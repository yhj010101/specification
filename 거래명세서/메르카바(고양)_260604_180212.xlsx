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890B8C-99E3-42F5-9FD8-2781A77F6928}" xr6:coauthVersionLast="47" xr6:coauthVersionMax="47" xr10:uidLastSave="{00000000-0000-0000-0000-000000000000}"/>
  <bookViews>
    <workbookView xWindow="-120" yWindow="-120" windowWidth="29040" windowHeight="15840" xr2:uid="{0F27F88B-7D22-4B90-8F9E-343A3379D9A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<sst xmlns="http://schemas.openxmlformats.org/spreadsheetml/2006/main" count="77" uniqueCount="41">
  <si>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</si>
  <si>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</si>
  <si>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</si>
  <si>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</si>
  <si>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</si>
  <si>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</si>
  <si>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</si>
  <si>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</si>
  <si>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메르카바(고양)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</si>
  <si>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</si>
  <si>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</si>
  <si>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</si>
  <si>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</si>
  <si>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</si>
  <si>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</si>
  <si>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</si>
  <si>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토당로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</si>
  <si>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</si>
  <si>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</si>
  <si>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010-8743-2402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</si>
  <si>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</si>
  <si>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</si>
  <si>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</si>
  <si>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</si>
  <si>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</si>
  <si>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</si>
  <si>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</si>
  <si>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</si>
  <si>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</si>
  <si>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0B5_Shaft_Seal</t>
    <phoneticPr fontId="2" type="noConversion"/>
  </si>
  <si>
    <t>19037052B</t>
    <phoneticPr fontId="2" type="noConversion"/>
  </si>
  <si>
    <t>0B5_Repair_Kit</t>
  </si>
  <si>
    <t>0B5398048D</t>
  </si>
  <si>
    <t>0B5_Solenoid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</si>
  <si>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</si>
  <si>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</si>
  <si>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</si>
  <si>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</si>
  <si>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</si>
  <si>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금성오토(광주)_260604_180053.xlsx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</si>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</sst>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837878-DEC0-42E8-8ACC-C4EEFFF3A26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18FA-4330-48DD-9AE3-4B0563B82CD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202155</v>
      </c>
      <c r="G8" s="47"/>
      <c r="H8" s="47"/>
      <c r="I8" s="48"/>
      <c r="J8" s="49">
        <v>700000</v>
      </c>
      <c r="K8" s="49"/>
      <c r="L8" s="49"/>
      <c r="M8" s="49"/>
      <c r="N8" s="49"/>
      <c r="O8" s="50">
        <v>1</v>
      </c>
      <c r="P8" s="50"/>
      <c r="Q8" s="51">
        <v>70000</v>
      </c>
      <c r="R8" s="52"/>
      <c r="S8" s="53"/>
      <c r="T8" s="54">
        <v>770000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>
        <v>2000</v>
      </c>
      <c r="R9" s="63"/>
      <c r="S9" s="64"/>
      <c r="T9" s="65">
        <v>22000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650000</v>
      </c>
      <c r="K10" s="60"/>
      <c r="L10" s="60"/>
      <c r="M10" s="60"/>
      <c r="N10" s="60"/>
      <c r="O10" s="61">
        <v>1</v>
      </c>
      <c r="P10" s="61"/>
      <c r="Q10" s="62">
        <v>65000</v>
      </c>
      <c r="R10" s="63"/>
      <c r="S10" s="64"/>
      <c r="T10" s="65">
        <v>715000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>
        <v>50229</v>
      </c>
      <c r="G11" s="57"/>
      <c r="H11" s="57"/>
      <c r="I11" s="58"/>
      <c r="J11" s="60">
        <v>80000</v>
      </c>
      <c r="K11" s="60"/>
      <c r="L11" s="60"/>
      <c r="M11" s="60"/>
      <c r="N11" s="60"/>
      <c r="O11" s="61">
        <v>1</v>
      </c>
      <c r="P11" s="61"/>
      <c r="Q11" s="62">
        <v>8000</v>
      </c>
      <c r="R11" s="63"/>
      <c r="S11" s="64"/>
      <c r="T11" s="65">
        <v>88000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1450000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145000</v>
      </c>
      <c r="R20" s="96"/>
      <c r="S20" s="97"/>
      <c r="T20" s="96">
        <f>SUM(T8:U15)</f>
        <v>1595000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1594999.9000000004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메르카바(고양)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메르카바(고양)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덕양구 토당로 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010-8743-2402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</v>
      </c>
      <c r="B31" s="119"/>
      <c r="C31" s="119"/>
      <c r="D31" s="119"/>
      <c r="E31" s="119"/>
      <c r="F31" s="119">
        <f>F8</f>
        <v>202155</v>
      </c>
      <c r="G31" s="119"/>
      <c r="H31" s="119"/>
      <c r="I31" s="119"/>
      <c r="J31" s="120">
        <f>J8</f>
        <v>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70000</v>
      </c>
      <c r="R31" s="121"/>
      <c r="S31" s="121"/>
      <c r="T31" s="122">
        <f>T8</f>
        <v>770000</v>
      </c>
      <c r="U31" s="123"/>
    </row>
    <row r="32" spans="1:21" ht="15.6" customHeight="1" x14ac:dyDescent="0.3">
      <c r="A32" s="124" t="str">
        <f t="shared" ref="A32:A38" si="0">A9</f>
        <v>0B5_Shaft_Seal</v>
      </c>
      <c r="B32" s="125"/>
      <c r="C32" s="125"/>
      <c r="D32" s="125"/>
      <c r="E32" s="125"/>
      <c r="F32" s="125" t="str">
        <f t="shared" ref="F32:F38" si="1">F9</f>
        <v>19037052B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2000</v>
      </c>
      <c r="R32" s="127"/>
      <c r="S32" s="127"/>
      <c r="T32" s="128">
        <f t="shared" ref="T32:T38" si="5">T9</f>
        <v>22000</v>
      </c>
      <c r="U32" s="129"/>
    </row>
    <row r="33" spans="1:21" ht="15.6" customHeight="1" x14ac:dyDescent="0.3">
      <c r="A33" s="124" t="str">
        <f t="shared" si="0"/>
        <v>0B5_Repair_Kit</v>
      </c>
      <c r="B33" s="125"/>
      <c r="C33" s="125"/>
      <c r="D33" s="125"/>
      <c r="E33" s="125"/>
      <c r="F33" s="125" t="str">
        <f t="shared" si="1"/>
        <v>0B5398048D</v>
      </c>
      <c r="G33" s="125"/>
      <c r="H33" s="125"/>
      <c r="I33" s="125"/>
      <c r="J33" s="126">
        <f t="shared" si="2"/>
        <v>650000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65000</v>
      </c>
      <c r="R33" s="127"/>
      <c r="S33" s="127"/>
      <c r="T33" s="128">
        <f t="shared" si="5"/>
        <v>715000</v>
      </c>
      <c r="U33" s="129"/>
    </row>
    <row r="34" spans="1:21" ht="15.6" customHeight="1" x14ac:dyDescent="0.3">
      <c r="A34" s="124" t="str">
        <f t="shared" si="0"/>
        <v>0B5_Solenoid</v>
      </c>
      <c r="B34" s="125"/>
      <c r="C34" s="125"/>
      <c r="D34" s="125"/>
      <c r="E34" s="125"/>
      <c r="F34" s="125">
        <f t="shared" si="1"/>
        <v>50229</v>
      </c>
      <c r="G34" s="125"/>
      <c r="H34" s="125"/>
      <c r="I34" s="125"/>
      <c r="J34" s="126">
        <f t="shared" si="2"/>
        <v>80000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8000</v>
      </c>
      <c r="R34" s="127"/>
      <c r="S34" s="127"/>
      <c r="T34" s="128">
        <f t="shared" si="5"/>
        <v>88000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1450000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145000</v>
      </c>
      <c r="R43" s="96"/>
      <c r="S43" s="96"/>
      <c r="T43" s="96">
        <f>T20</f>
        <v>1595000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1594999.9000000004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메르카바(고양)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2026-06-04T09:02:12Z</dcterms:created>
  <dcterms:modified xsi:type="dcterms:W3CDTF">2026-06-04T09:02:12Z</dcterms:modified>
</cp:coreProperties>
</file>