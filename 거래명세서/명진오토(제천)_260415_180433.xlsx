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82941936-07AC-424D-A38E-A33E5C89842B}" xr6:coauthVersionLast="47" xr6:coauthVersionMax="47" xr10:uidLastSave="{00000000-0000-0000-0000-000000000000}"/>
  <bookViews>
    <workbookView xWindow="-120" yWindow="-120" windowWidth="29040" windowHeight="15840" xr2:uid="{96361206-A16B-4B81-8335-2EF9C5F58CFE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T43" i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F21" i="1"/>
  <c r="F44" i="1" s="1"/>
  <c r="T20" i="1"/>
  <c r="Q20" i="1"/>
  <c r="Q43" i="1" s="1"/>
  <c r="O20" i="1"/>
  <c r="J20" i="1"/>
  <c r="J43" i="1" s="1"/>
</calcChain>
</file>

<file path=xl/sharedStrings.xml><?xml version="1.0" encoding="utf-8"?>
<sst xmlns="http://schemas.openxmlformats.org/spreadsheetml/2006/main" count="75" uniqueCount="39">
  <si>
    <t>거   래   명   세   서</t>
    <phoneticPr fontId="2" type="noConversion"/>
  </si>
  <si>
    <t>VIN:</t>
    <phoneticPr fontId="2" type="noConversion"/>
  </si>
  <si>
    <t>WVWZZZ16ZGM616059</t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</si>
  <si>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</si>
  <si>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</si>
  <si>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</si>
  <si>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</si>
  <si>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</si>
  <si>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</si>
  <si>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명진오토(제천)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</si>
  <si>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</si>
  <si>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</si>
  <si>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</si>
  <si>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</si>
  <si>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</si>
  <si>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</si>
  <si>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</si>
  <si>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충북 제천시 내토로492</t>
    <phoneticPr fontId="2" type="noConversion"/>
  </si>
  <si>
    <t>대구 달서구 용산로 28(본리동)</t>
    <phoneticPr fontId="2" type="noConversion"/>
  </si>
  <si>
    <t>전화</t>
    <phoneticPr fontId="2" type="noConversion"/>
  </si>
  <si>
    <t>010-5485-6736</t>
    <phoneticPr fontId="2" type="noConversion"/>
  </si>
  <si>
    <t>010-5168-3542</t>
    <phoneticPr fontId="2" type="noConversion"/>
  </si>
  <si>
    <t>배송</t>
    <phoneticPr fontId="2" type="noConversion"/>
  </si>
  <si>
    <t>P0771 솔레노이드벨브5 단선</t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</si>
  <si>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</si>
  <si>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</si>
  <si>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</si>
  <si>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</si>
  <si>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</si>
  <si>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</si>
  <si>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02E_AL</t>
    <phoneticPr fontId="2" type="noConversion"/>
  </si>
  <si>
    <t>02E927770AL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</si>
  <si>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</si>
  <si>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</si>
  <si>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</si>
  <si>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</si>
  <si>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</si>
  <si>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부산비엔비(부산)_260415_180230.xlsx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</si>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</sst>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BD779D8E-651F-4A6E-A852-94486DE41C34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0048E4-3DA2-4560-AA73-0A168A778868}">
  <sheetPr codeName="shtOrder_print1"/>
  <dimension ref="A1:U44"/>
  <sheetViews>
    <sheetView tabSelected="1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 t="s">
        <v>2</v>
      </c>
      <c r="T1" s="5"/>
      <c r="U1" s="6"/>
    </row>
    <row r="2" spans="1:21" x14ac:dyDescent="0.3">
      <c r="A2" s="7" t="s">
        <v>3</v>
      </c>
      <c r="B2" s="8"/>
      <c r="C2" s="9" t="s">
        <v>4</v>
      </c>
      <c r="D2" s="10"/>
      <c r="E2" s="10"/>
      <c r="F2" s="10"/>
      <c r="G2" s="11"/>
      <c r="H2" s="9" t="s">
        <v>5</v>
      </c>
      <c r="I2" s="10"/>
      <c r="J2" s="10"/>
      <c r="K2" s="10"/>
      <c r="L2" s="10"/>
      <c r="M2" s="10"/>
      <c r="N2" s="10"/>
      <c r="O2" s="11"/>
      <c r="P2" s="12" t="s">
        <v>6</v>
      </c>
      <c r="Q2" s="13"/>
      <c r="R2" s="13"/>
      <c r="S2" s="8"/>
      <c r="T2" s="14">
        <v>46127</v>
      </c>
      <c r="U2" s="15"/>
    </row>
    <row r="3" spans="1:21" ht="24.95" customHeight="1" x14ac:dyDescent="0.3">
      <c r="A3" s="16" t="s">
        <v>7</v>
      </c>
      <c r="B3" s="17" t="s">
        <v>8</v>
      </c>
      <c r="C3" s="18" t="s">
        <v>9</v>
      </c>
      <c r="D3" s="19"/>
      <c r="E3" s="19"/>
      <c r="F3" s="19"/>
      <c r="G3" s="19"/>
      <c r="H3" s="19"/>
      <c r="I3" s="19"/>
      <c r="J3" s="20"/>
      <c r="K3" s="21" t="s">
        <v>10</v>
      </c>
      <c r="L3" s="17" t="s">
        <v>8</v>
      </c>
      <c r="M3" s="22" t="s">
        <v>11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12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12</v>
      </c>
      <c r="M4" s="30" t="s">
        <v>13</v>
      </c>
      <c r="N4" s="31"/>
      <c r="O4" s="31"/>
      <c r="P4" s="31"/>
      <c r="Q4" s="31"/>
      <c r="R4" s="32"/>
      <c r="S4" s="33" t="s">
        <v>14</v>
      </c>
      <c r="T4" s="30" t="s">
        <v>15</v>
      </c>
      <c r="U4" s="34"/>
    </row>
    <row r="5" spans="1:21" ht="24.95" customHeight="1" x14ac:dyDescent="0.3">
      <c r="A5" s="25"/>
      <c r="B5" s="33" t="s">
        <v>16</v>
      </c>
      <c r="C5" s="30" t="s">
        <v>17</v>
      </c>
      <c r="D5" s="31"/>
      <c r="E5" s="31"/>
      <c r="F5" s="31"/>
      <c r="G5" s="31"/>
      <c r="H5" s="31"/>
      <c r="I5" s="31"/>
      <c r="J5" s="32"/>
      <c r="K5" s="29"/>
      <c r="L5" s="33" t="s">
        <v>16</v>
      </c>
      <c r="M5" s="30" t="s">
        <v>18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19</v>
      </c>
      <c r="C6" s="30" t="s">
        <v>20</v>
      </c>
      <c r="D6" s="31"/>
      <c r="E6" s="31"/>
      <c r="F6" s="31"/>
      <c r="G6" s="31"/>
      <c r="H6" s="31"/>
      <c r="I6" s="31"/>
      <c r="J6" s="32"/>
      <c r="K6" s="36"/>
      <c r="L6" s="33" t="s">
        <v>19</v>
      </c>
      <c r="M6" s="30" t="s">
        <v>21</v>
      </c>
      <c r="N6" s="31"/>
      <c r="O6" s="31"/>
      <c r="P6" s="31"/>
      <c r="Q6" s="31"/>
      <c r="R6" s="32"/>
      <c r="S6" s="33" t="s">
        <v>22</v>
      </c>
      <c r="T6" s="30" t="s">
        <v>23</v>
      </c>
      <c r="U6" s="34"/>
    </row>
    <row r="7" spans="1:21" ht="15.75" customHeight="1" x14ac:dyDescent="0.3">
      <c r="A7" s="37" t="s">
        <v>24</v>
      </c>
      <c r="B7" s="38"/>
      <c r="C7" s="38"/>
      <c r="D7" s="38"/>
      <c r="E7" s="39"/>
      <c r="F7" s="40" t="s">
        <v>25</v>
      </c>
      <c r="G7" s="38"/>
      <c r="H7" s="38"/>
      <c r="I7" s="39"/>
      <c r="J7" s="40" t="s">
        <v>26</v>
      </c>
      <c r="K7" s="38"/>
      <c r="L7" s="38"/>
      <c r="M7" s="38"/>
      <c r="N7" s="39"/>
      <c r="O7" s="38" t="s">
        <v>27</v>
      </c>
      <c r="P7" s="39"/>
      <c r="Q7" s="40" t="s">
        <v>28</v>
      </c>
      <c r="R7" s="38"/>
      <c r="S7" s="39"/>
      <c r="T7" s="40" t="s">
        <v>29</v>
      </c>
      <c r="U7" s="41"/>
    </row>
    <row r="8" spans="1:21" ht="15.6" customHeight="1" x14ac:dyDescent="0.3">
      <c r="A8" s="42" t="s">
        <v>30</v>
      </c>
      <c r="B8" s="43"/>
      <c r="C8" s="43"/>
      <c r="D8" s="43"/>
      <c r="E8" s="44"/>
      <c r="F8" s="45" t="s">
        <v>31</v>
      </c>
      <c r="G8" s="46"/>
      <c r="H8" s="46"/>
      <c r="I8" s="47"/>
      <c r="J8" s="48">
        <v>1600000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1600000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32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33</v>
      </c>
      <c r="B20" s="38"/>
      <c r="C20" s="38"/>
      <c r="D20" s="38"/>
      <c r="E20" s="38"/>
      <c r="F20" s="95">
        <v>-9.9999999627470998E-2</v>
      </c>
      <c r="G20" s="95"/>
      <c r="H20" s="95"/>
      <c r="I20" s="96"/>
      <c r="J20" s="97">
        <f>SUM(J8:N19)</f>
        <v>1600000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1600000</v>
      </c>
      <c r="U20" s="102"/>
    </row>
    <row r="21" spans="1:21" ht="20.100000000000001" customHeight="1" thickBot="1" x14ac:dyDescent="0.35">
      <c r="A21" s="103" t="s">
        <v>34</v>
      </c>
      <c r="B21" s="104"/>
      <c r="C21" s="104"/>
      <c r="D21" s="104"/>
      <c r="E21" s="104"/>
      <c r="F21" s="105">
        <f>F20+T20</f>
        <v>1599999.9000000004</v>
      </c>
      <c r="G21" s="105"/>
      <c r="H21" s="105"/>
      <c r="I21" s="106"/>
      <c r="J21" s="107" t="s">
        <v>35</v>
      </c>
      <c r="K21" s="104"/>
      <c r="L21" s="108" t="str">
        <f>T4</f>
        <v>장효주</v>
      </c>
      <c r="M21" s="108"/>
      <c r="N21" s="108"/>
      <c r="O21" s="107" t="s">
        <v>36</v>
      </c>
      <c r="P21" s="104"/>
      <c r="Q21" s="108" t="str">
        <f>C3</f>
        <v>명진오토(제천)</v>
      </c>
      <c r="R21" s="108"/>
      <c r="S21" s="108"/>
      <c r="T21" s="108"/>
      <c r="U21" s="109"/>
    </row>
    <row r="22" spans="1:21" ht="20.100000000000001" customHeight="1" x14ac:dyDescent="0.3">
      <c r="A22" s="110" t="s">
        <v>37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 t="str">
        <f>S1</f>
        <v>WVWZZZ16ZGM616059</v>
      </c>
      <c r="T24" s="112"/>
      <c r="U24" s="113"/>
    </row>
    <row r="25" spans="1:21" x14ac:dyDescent="0.3">
      <c r="A25" s="7" t="s">
        <v>3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38</v>
      </c>
      <c r="I25" s="10"/>
      <c r="J25" s="10"/>
      <c r="K25" s="10"/>
      <c r="L25" s="10"/>
      <c r="M25" s="10"/>
      <c r="N25" s="10"/>
      <c r="O25" s="11"/>
      <c r="P25" s="12" t="s">
        <v>6</v>
      </c>
      <c r="Q25" s="13"/>
      <c r="R25" s="13"/>
      <c r="S25" s="8"/>
      <c r="T25" s="14">
        <f>T2</f>
        <v>46127</v>
      </c>
      <c r="U25" s="15"/>
    </row>
    <row r="26" spans="1:21" ht="24.95" customHeight="1" x14ac:dyDescent="0.3">
      <c r="A26" s="16" t="s">
        <v>7</v>
      </c>
      <c r="B26" s="17" t="s">
        <v>8</v>
      </c>
      <c r="C26" s="18" t="str">
        <f>C3</f>
        <v>명진오토(제천)</v>
      </c>
      <c r="D26" s="19"/>
      <c r="E26" s="19"/>
      <c r="F26" s="19"/>
      <c r="G26" s="19"/>
      <c r="H26" s="19"/>
      <c r="I26" s="19"/>
      <c r="J26" s="20"/>
      <c r="K26" s="21" t="s">
        <v>10</v>
      </c>
      <c r="L26" s="17" t="s">
        <v>8</v>
      </c>
      <c r="M26" s="22" t="s">
        <v>11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12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12</v>
      </c>
      <c r="M27" s="30" t="s">
        <v>13</v>
      </c>
      <c r="N27" s="31"/>
      <c r="O27" s="31"/>
      <c r="P27" s="31"/>
      <c r="Q27" s="31"/>
      <c r="R27" s="32"/>
      <c r="S27" s="33" t="s">
        <v>14</v>
      </c>
      <c r="T27" s="30" t="s">
        <v>15</v>
      </c>
      <c r="U27" s="34"/>
    </row>
    <row r="28" spans="1:21" ht="24.95" customHeight="1" x14ac:dyDescent="0.3">
      <c r="A28" s="25"/>
      <c r="B28" s="33" t="s">
        <v>16</v>
      </c>
      <c r="C28" s="30" t="str">
        <f>C5</f>
        <v>충북 제천시 내토로492</v>
      </c>
      <c r="D28" s="31"/>
      <c r="E28" s="31"/>
      <c r="F28" s="31"/>
      <c r="G28" s="31"/>
      <c r="H28" s="31"/>
      <c r="I28" s="31"/>
      <c r="J28" s="32"/>
      <c r="K28" s="29"/>
      <c r="L28" s="33" t="s">
        <v>16</v>
      </c>
      <c r="M28" s="30" t="s">
        <v>18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19</v>
      </c>
      <c r="C29" s="30" t="str">
        <f>C6</f>
        <v>010-5485-6736</v>
      </c>
      <c r="D29" s="31"/>
      <c r="E29" s="31"/>
      <c r="F29" s="31"/>
      <c r="G29" s="31"/>
      <c r="H29" s="31"/>
      <c r="I29" s="31"/>
      <c r="J29" s="32"/>
      <c r="K29" s="36"/>
      <c r="L29" s="33" t="s">
        <v>19</v>
      </c>
      <c r="M29" s="30" t="s">
        <v>21</v>
      </c>
      <c r="N29" s="31"/>
      <c r="O29" s="31"/>
      <c r="P29" s="31"/>
      <c r="Q29" s="31"/>
      <c r="R29" s="32"/>
      <c r="S29" s="33" t="s">
        <v>22</v>
      </c>
      <c r="T29" s="30" t="str">
        <f>T6</f>
        <v>P0771 솔레노이드벨브5 단선</v>
      </c>
      <c r="U29" s="34"/>
    </row>
    <row r="30" spans="1:21" ht="15.6" customHeight="1" x14ac:dyDescent="0.3">
      <c r="A30" s="37" t="s">
        <v>24</v>
      </c>
      <c r="B30" s="38"/>
      <c r="C30" s="38"/>
      <c r="D30" s="38"/>
      <c r="E30" s="39"/>
      <c r="F30" s="40" t="s">
        <v>25</v>
      </c>
      <c r="G30" s="38"/>
      <c r="H30" s="38"/>
      <c r="I30" s="39"/>
      <c r="J30" s="40" t="s">
        <v>26</v>
      </c>
      <c r="K30" s="38"/>
      <c r="L30" s="38"/>
      <c r="M30" s="38"/>
      <c r="N30" s="39"/>
      <c r="O30" s="38" t="s">
        <v>27</v>
      </c>
      <c r="P30" s="39"/>
      <c r="Q30" s="40" t="s">
        <v>28</v>
      </c>
      <c r="R30" s="38"/>
      <c r="S30" s="39"/>
      <c r="T30" s="40" t="s">
        <v>29</v>
      </c>
      <c r="U30" s="41"/>
    </row>
    <row r="31" spans="1:21" ht="15.6" customHeight="1" x14ac:dyDescent="0.3">
      <c r="A31" s="117" t="str">
        <f>A8</f>
        <v>02E_AL</v>
      </c>
      <c r="B31" s="118"/>
      <c r="C31" s="118"/>
      <c r="D31" s="118"/>
      <c r="E31" s="118"/>
      <c r="F31" s="118" t="str">
        <f>F8</f>
        <v>02E927770AL</v>
      </c>
      <c r="G31" s="118"/>
      <c r="H31" s="118"/>
      <c r="I31" s="118"/>
      <c r="J31" s="119">
        <f>J8</f>
        <v>1600000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1600000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32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33</v>
      </c>
      <c r="B43" s="38"/>
      <c r="C43" s="38"/>
      <c r="D43" s="38"/>
      <c r="E43" s="38"/>
      <c r="F43" s="95">
        <f>F20</f>
        <v>-9.9999999627470998E-2</v>
      </c>
      <c r="G43" s="95"/>
      <c r="H43" s="95"/>
      <c r="I43" s="96"/>
      <c r="J43" s="97">
        <f>J20</f>
        <v>1600000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1600000</v>
      </c>
      <c r="U43" s="102"/>
    </row>
    <row r="44" spans="1:21" ht="20.100000000000001" customHeight="1" thickBot="1" x14ac:dyDescent="0.35">
      <c r="A44" s="103" t="s">
        <v>34</v>
      </c>
      <c r="B44" s="104"/>
      <c r="C44" s="104"/>
      <c r="D44" s="104"/>
      <c r="E44" s="104"/>
      <c r="F44" s="105">
        <f>F21</f>
        <v>1599999.9000000004</v>
      </c>
      <c r="G44" s="105"/>
      <c r="H44" s="105"/>
      <c r="I44" s="106"/>
      <c r="J44" s="107" t="s">
        <v>35</v>
      </c>
      <c r="K44" s="104"/>
      <c r="L44" s="135" t="str">
        <f>T27</f>
        <v>장효주</v>
      </c>
      <c r="M44" s="135"/>
      <c r="N44" s="135"/>
      <c r="O44" s="107" t="s">
        <v>36</v>
      </c>
      <c r="P44" s="136"/>
      <c r="Q44" s="137" t="str">
        <f>Q21</f>
        <v>명진오토(제천)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2026-04-15T09:04:33Z</dcterms:created>
  <dcterms:modified xsi:type="dcterms:W3CDTF">2026-04-15T09:04:33Z</dcterms:modified>
</cp:coreProperties>
</file>