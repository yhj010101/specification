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A6E30D8-DDF6-451A-8C0D-D7AE35675B88}" xr6:coauthVersionLast="47" xr6:coauthVersionMax="47" xr10:uidLastSave="{00000000-0000-0000-0000-000000000000}"/>
  <bookViews>
    <workbookView xWindow="-120" yWindow="-120" windowWidth="29040" windowHeight="15840" xr2:uid="{9705930E-07BA-48DD-9CC9-3DBEB36696E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T43" i="1" l="1"/>
  <c r="F21" i="1"/>
  <c r="F44" i="1" s="1"/>
  <c r="Q44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<sst xmlns="http://schemas.openxmlformats.org/spreadsheetml/2006/main" count="74" uniqueCount="38">
  <si>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</si>
  <si>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</si>
  <si>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1C4RJFBG2KC796365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</si>
  <si>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</si>
  <si>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</si>
  <si>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</si>
  <si>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</si>
  <si>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</si>
  <si>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</si>
  <si>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모토렌(경산)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</si>
  <si>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</si>
  <si>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</si>
  <si>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</si>
  <si>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</si>
  <si>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</si>
  <si>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</si>
  <si>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</si>
  <si>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 xml:space="preserve">경북 경산시 삼성현로 37길 7  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</si>
  <si>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</si>
  <si>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</si>
  <si>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010-2044-7301</t>
    <phoneticPr fontId="2" type="noConversion"/>
  </si>
  <si>
    <t>010-5168-3542</t>
    <phoneticPr fontId="2" type="noConversion"/>
  </si>
  <si>
    <t>배송</t>
    <phoneticPr fontId="2" type="noConversion"/>
  </si>
  <si>
    <t>D클러치 수리후 A,B,D 관련 경고등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</si>
  <si>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</si>
  <si>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</si>
  <si>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</si>
  <si>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</si>
  <si>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</si>
  <si>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</si>
  <si>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Flange_G(New)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</si>
  <si>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</si>
  <si>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</si>
  <si>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</si>
  <si>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</si>
  <si>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</si>
  <si>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한국오토(안양)_260609_180042.xlsx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</si>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</sst>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41EB0AC-F859-4841-8BB0-4CE3259CF30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7D2C-77BE-44F2-97CF-F6DEC3C3BEA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/>
      <c r="G8" s="47"/>
      <c r="H8" s="47"/>
      <c r="I8" s="48"/>
      <c r="J8" s="49">
        <v>220000</v>
      </c>
      <c r="K8" s="49"/>
      <c r="L8" s="49"/>
      <c r="M8" s="49"/>
      <c r="N8" s="49"/>
      <c r="O8" s="50">
        <v>1</v>
      </c>
      <c r="P8" s="50"/>
      <c r="Q8" s="51">
        <v>22000</v>
      </c>
      <c r="R8" s="52"/>
      <c r="S8" s="53"/>
      <c r="T8" s="54">
        <v>242000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220000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22000</v>
      </c>
      <c r="R20" s="96"/>
      <c r="S20" s="97"/>
      <c r="T20" s="96">
        <f>SUM(T8:U15)</f>
        <v>242000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241999.90000000037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모토렌(경산)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1C4RJFBG2KC796365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모토렌(경산)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 xml:space="preserve">경북 경산시 삼성현로 37길 7  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010-2044-7301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D클러치 수리후 A,B,D 관련 경고등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Flange_G(New)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220000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22000</v>
      </c>
      <c r="R31" s="121"/>
      <c r="S31" s="121"/>
      <c r="T31" s="122">
        <f>T8</f>
        <v>242000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220000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22000</v>
      </c>
      <c r="R43" s="96"/>
      <c r="S43" s="96"/>
      <c r="T43" s="96">
        <f>T20</f>
        <v>242000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241999.90000000037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모토렌(경산)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2026-06-09T09:05:20Z</dcterms:created>
  <dcterms:modified xsi:type="dcterms:W3CDTF">2026-06-09T09:05:21Z</dcterms:modified>
</cp:coreProperties>
</file>