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2214C47-76D7-455E-8943-BBC50F9E0FE9}" xr6:coauthVersionLast="47" xr6:coauthVersionMax="47" xr10:uidLastSave="{00000000-0000-0000-0000-000000000000}"/>
  <bookViews>
    <workbookView xWindow="-120" yWindow="-120" windowWidth="29040" windowHeight="15840" xr2:uid="{BFD988EA-F44D-4DF4-9106-BADE7F55C33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O20" i="1"/>
  <c r="J20" i="1"/>
  <c r="F21" i="1" l="1"/>
  <c r="F44" i="1" s="1"/>
</calcChain>
</file>

<file path=xl/sharedStrings.xml><?xml version="1.0" encoding="utf-8"?>
<sst xmlns="http://schemas.openxmlformats.org/spreadsheetml/2006/main" count="76" uniqueCount="40">
  <si>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</si>
  <si>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</si>
  <si>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</si>
  <si>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</si>
  <si>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</si>
  <si>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</si>
  <si>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</si>
  <si>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</si>
  <si>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</si>
  <si>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</si>
  <si>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</si>
  <si>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</si>
  <si>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</si>
  <si>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</si>
  <si>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</si>
  <si>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</si>
  <si>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</si>
  <si>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</si>
  <si>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</si>
  <si>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</si>
  <si>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</si>
  <si>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</si>
  <si>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</si>
  <si>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</si>
  <si>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</si>
  <si>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</si>
  <si>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</si>
  <si>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</si>
  <si>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</si>
  <si>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PDK_Sensor</t>
    <phoneticPr fontId="2" type="noConversion"/>
  </si>
  <si>
    <t>501218962</t>
    <phoneticPr fontId="2" type="noConversion"/>
  </si>
  <si>
    <t>PDK_EndCap</t>
  </si>
  <si>
    <t>9P1301125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</si>
  <si>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</si>
  <si>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</si>
  <si>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</si>
  <si>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</si>
  <si>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</si>
  <si>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오토솔루션(천안)_251216_170044.xlsx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</si>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</sst>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D970210F-F865-422A-8C93-986FAC747294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E30CC-21C0-4ADB-B1F1-597709D13058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46008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3500000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3500000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110000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110000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34</v>
      </c>
      <c r="B20" s="38"/>
      <c r="C20" s="38"/>
      <c r="D20" s="38"/>
      <c r="E20" s="38"/>
      <c r="F20" s="95">
        <v>8490000</v>
      </c>
      <c r="G20" s="95"/>
      <c r="H20" s="95"/>
      <c r="I20" s="96"/>
      <c r="J20" s="97">
        <f>SUM(J8:N19)</f>
        <v>3610000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3610000</v>
      </c>
      <c r="U20" s="102"/>
    </row>
    <row r="21" spans="1:21" ht="20.100000000000001" customHeight="1" thickBot="1" x14ac:dyDescent="0.35">
      <c r="A21" s="103" t="s">
        <v>35</v>
      </c>
      <c r="B21" s="104"/>
      <c r="C21" s="104"/>
      <c r="D21" s="104"/>
      <c r="E21" s="104"/>
      <c r="F21" s="105">
        <f>F20+T20</f>
        <v>12100000</v>
      </c>
      <c r="G21" s="105"/>
      <c r="H21" s="105"/>
      <c r="I21" s="106"/>
      <c r="J21" s="107" t="s">
        <v>36</v>
      </c>
      <c r="K21" s="104"/>
      <c r="L21" s="108" t="str">
        <f>T4</f>
        <v>장효주</v>
      </c>
      <c r="M21" s="108"/>
      <c r="N21" s="108"/>
      <c r="O21" s="107" t="s">
        <v>37</v>
      </c>
      <c r="P21" s="104"/>
      <c r="Q21" s="108" t="str">
        <f>C3</f>
        <v>미르오토(대구)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38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39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46008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PDK_Sensor</v>
      </c>
      <c r="B31" s="118"/>
      <c r="C31" s="118"/>
      <c r="D31" s="118"/>
      <c r="E31" s="118"/>
      <c r="F31" s="118" t="str">
        <f>F8</f>
        <v>501218962</v>
      </c>
      <c r="G31" s="118"/>
      <c r="H31" s="118"/>
      <c r="I31" s="118"/>
      <c r="J31" s="119">
        <f>J8</f>
        <v>3500000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3500000</v>
      </c>
      <c r="U31" s="122"/>
    </row>
    <row r="32" spans="1:21" ht="15.6" customHeight="1" x14ac:dyDescent="0.3">
      <c r="A32" s="123" t="str">
        <f t="shared" ref="A32:A38" si="0">A9</f>
        <v>PDK_EndCap</v>
      </c>
      <c r="B32" s="124"/>
      <c r="C32" s="124"/>
      <c r="D32" s="124"/>
      <c r="E32" s="124"/>
      <c r="F32" s="124" t="str">
        <f t="shared" ref="F32:F38" si="1">F9</f>
        <v>9P1301125</v>
      </c>
      <c r="G32" s="124"/>
      <c r="H32" s="124"/>
      <c r="I32" s="124"/>
      <c r="J32" s="125">
        <f t="shared" ref="J32:J38" si="2">J9</f>
        <v>110000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110000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34</v>
      </c>
      <c r="B43" s="38"/>
      <c r="C43" s="38"/>
      <c r="D43" s="38"/>
      <c r="E43" s="38"/>
      <c r="F43" s="95">
        <f>F20</f>
        <v>8490000</v>
      </c>
      <c r="G43" s="95"/>
      <c r="H43" s="95"/>
      <c r="I43" s="96"/>
      <c r="J43" s="97">
        <f>J20</f>
        <v>3610000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3610000</v>
      </c>
      <c r="U43" s="102"/>
    </row>
    <row r="44" spans="1:21" ht="20.100000000000001" customHeight="1" thickBot="1" x14ac:dyDescent="0.35">
      <c r="A44" s="103" t="s">
        <v>35</v>
      </c>
      <c r="B44" s="104"/>
      <c r="C44" s="104"/>
      <c r="D44" s="104"/>
      <c r="E44" s="104"/>
      <c r="F44" s="105">
        <f>F21</f>
        <v>12100000</v>
      </c>
      <c r="G44" s="105"/>
      <c r="H44" s="105"/>
      <c r="I44" s="106"/>
      <c r="J44" s="107" t="s">
        <v>36</v>
      </c>
      <c r="K44" s="104"/>
      <c r="L44" s="135" t="str">
        <f>T27</f>
        <v>장효주</v>
      </c>
      <c r="M44" s="135"/>
      <c r="N44" s="135"/>
      <c r="O44" s="107" t="s">
        <v>37</v>
      </c>
      <c r="P44" s="136"/>
      <c r="Q44" s="137" t="str">
        <f>Q21</f>
        <v>미르오토(대구)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2025-12-17T08:31:29Z</dcterms:created>
  <dcterms:modified xsi:type="dcterms:W3CDTF">2025-12-17T08:31:29Z</dcterms:modified>
</cp:coreProperties>
</file>