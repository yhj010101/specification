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18C48589-0CB8-48D5-8762-06B91B624F19}" xr6:coauthVersionLast="47" xr6:coauthVersionMax="47" xr10:uidLastSave="{00000000-0000-0000-0000-000000000000}"/>
  <bookViews>
    <workbookView xWindow="-120" yWindow="-120" windowWidth="29040" windowHeight="15840" xr2:uid="{F2BCC2C0-CCD9-4889-962E-70122D187335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T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F21" i="1"/>
  <c r="F44" i="1" s="1"/>
  <c r="T20" i="1"/>
  <c r="Q20" i="1"/>
  <c r="Q43" i="1" s="1"/>
  <c r="O20" i="1"/>
  <c r="J20" i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<sst xmlns="http://schemas.openxmlformats.org/spreadsheetml/2006/main" count="74" uniqueCount="38">
  <si>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</si>
  <si>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</si>
  <si>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</si>
  <si>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</si>
  <si>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</si>
  <si>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</si>
  <si>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</si>
  <si>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</si>
  <si>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미르오토(대구)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</si>
  <si>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</si>
  <si>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</si>
  <si>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</si>
  <si>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</si>
  <si>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</si>
  <si>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</si>
  <si>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</si>
  <si>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서구 가르뱅이로10길 3-5</t>
    <phoneticPr fontId="2" type="noConversion"/>
  </si>
  <si>
    <t>대구 달서구 용산로 28(본리동)</t>
    <phoneticPr fontId="2" type="noConversion"/>
  </si>
  <si>
    <t>전화</t>
    <phoneticPr fontId="2" type="noConversion"/>
  </si>
  <si>
    <t>010-6859-2065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</si>
  <si>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</si>
  <si>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</si>
  <si>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</si>
  <si>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</si>
  <si>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</si>
  <si>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</si>
  <si>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</si>
  <si>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</si>
  <si>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</si>
  <si>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0B5_DISC</t>
    <phoneticPr fontId="2" type="noConversion"/>
  </si>
  <si>
    <t>34265KIT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</si>
  <si>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</si>
  <si>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</si>
  <si>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</si>
  <si>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</si>
  <si>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</si>
  <si>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하나오토(진주)_251219_162826.xlsx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</si>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</sst>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02E34C4-A1F5-4B0B-9FFE-623F475D45BB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DBE6D-46F1-4D5C-B4D7-C8859FC98FB2}">
  <sheetPr codeName="shtOrder_print1"/>
  <dimension ref="A1:U44"/>
  <sheetViews>
    <sheetView tabSelected="1" zoomScaleNormal="100" workbookViewId="0">
      <selection activeCell="AB16" sqref="AB16:AB17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46010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130000</v>
      </c>
      <c r="K8" s="48"/>
      <c r="L8" s="48"/>
      <c r="M8" s="48"/>
      <c r="N8" s="48"/>
      <c r="O8" s="49">
        <v>2</v>
      </c>
      <c r="P8" s="49"/>
      <c r="Q8" s="50"/>
      <c r="R8" s="51"/>
      <c r="S8" s="52"/>
      <c r="T8" s="53">
        <v>260000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12100000</v>
      </c>
      <c r="G20" s="95"/>
      <c r="H20" s="95"/>
      <c r="I20" s="96"/>
      <c r="J20" s="97">
        <f>SUM(J8:N19)</f>
        <v>130000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0</v>
      </c>
      <c r="R20" s="95"/>
      <c r="S20" s="96"/>
      <c r="T20" s="95">
        <f>SUM(T8:U15)</f>
        <v>260000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12360000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미르오토(대구)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46010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미르오토(대구)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서구 가르뱅이로10길 3-5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010-6859-2065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0B5_DISC</v>
      </c>
      <c r="B31" s="118"/>
      <c r="C31" s="118"/>
      <c r="D31" s="118"/>
      <c r="E31" s="118"/>
      <c r="F31" s="118" t="str">
        <f>F8</f>
        <v>34265KIT</v>
      </c>
      <c r="G31" s="118"/>
      <c r="H31" s="118"/>
      <c r="I31" s="118"/>
      <c r="J31" s="119">
        <f>J8</f>
        <v>130000</v>
      </c>
      <c r="K31" s="119"/>
      <c r="L31" s="119"/>
      <c r="M31" s="119"/>
      <c r="N31" s="119"/>
      <c r="O31" s="119">
        <f>O8</f>
        <v>2</v>
      </c>
      <c r="P31" s="119"/>
      <c r="Q31" s="120">
        <f>Q8</f>
        <v>0</v>
      </c>
      <c r="R31" s="120"/>
      <c r="S31" s="120"/>
      <c r="T31" s="121">
        <f>T8</f>
        <v>260000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12100000</v>
      </c>
      <c r="G43" s="95"/>
      <c r="H43" s="95"/>
      <c r="I43" s="96"/>
      <c r="J43" s="97">
        <f>J20</f>
        <v>130000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0</v>
      </c>
      <c r="R43" s="95"/>
      <c r="S43" s="95"/>
      <c r="T43" s="95">
        <f>T20</f>
        <v>260000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12360000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미르오토(대구)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2025-12-19T07:28:51Z</dcterms:created>
  <dcterms:modified xsi:type="dcterms:W3CDTF">2025-12-19T07:28:51Z</dcterms:modified>
</cp:coreProperties>
</file>