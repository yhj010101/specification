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4D5AFE7-2DCF-44E8-A3C7-5BEBD4C0869E}" xr6:coauthVersionLast="47" xr6:coauthVersionMax="47" xr10:uidLastSave="{00000000-0000-0000-0000-000000000000}"/>
  <bookViews>
    <workbookView xWindow="-120" yWindow="-120" windowWidth="29040" windowHeight="15840" xr2:uid="{CCB09E54-DAE9-4FFE-BE3D-674547D46EB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<sst xmlns="http://schemas.openxmlformats.org/spreadsheetml/2006/main" count="81" uniqueCount="45">
  <si>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</si>
  <si>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</si>
  <si>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</si>
  <si>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</si>
  <si>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</si>
  <si>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</si>
  <si>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</si>
  <si>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</si>
  <si>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</si>
  <si>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</si>
  <si>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</si>
  <si>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</si>
  <si>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</si>
  <si>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</si>
  <si>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</si>
  <si>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</si>
  <si>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</si>
  <si>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</si>
  <si>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</si>
  <si>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</si>
  <si>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</si>
  <si>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</si>
  <si>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</si>
  <si>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</si>
  <si>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</si>
  <si>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</si>
  <si>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</si>
  <si>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</si>
  <si>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</si>
  <si>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</si>
  <si>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</si>
  <si>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0B5_DISC</t>
  </si>
  <si>
    <t>34265KIT</t>
  </si>
  <si>
    <t>0B5_Filter</t>
  </si>
  <si>
    <t>0B5325330A</t>
  </si>
  <si>
    <t>0B5_Shaft_Seal</t>
  </si>
  <si>
    <t>19037052B</t>
  </si>
  <si>
    <t>0B5_Ring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</si>
  <si>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</si>
  <si>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</si>
  <si>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</si>
  <si>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</si>
  <si>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</si>
  <si>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알씨모터스(대구)_260108_175130.xlsx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</si>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</sst>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292E60-BAF6-4E03-A152-E9A1CB3E16D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197E-400A-4E36-BE61-44313A834A02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800000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260000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30000</v>
      </c>
      <c r="K10" s="59"/>
      <c r="L10" s="59"/>
      <c r="M10" s="59"/>
      <c r="N10" s="59"/>
      <c r="O10" s="60">
        <v>3</v>
      </c>
      <c r="P10" s="60"/>
      <c r="Q10" s="61"/>
      <c r="R10" s="62"/>
      <c r="S10" s="63"/>
      <c r="T10" s="64">
        <v>90000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10000</v>
      </c>
      <c r="K11" s="59"/>
      <c r="L11" s="59"/>
      <c r="M11" s="59"/>
      <c r="N11" s="59"/>
      <c r="O11" s="60">
        <v>3</v>
      </c>
      <c r="P11" s="60"/>
      <c r="Q11" s="61"/>
      <c r="R11" s="62"/>
      <c r="S11" s="63"/>
      <c r="T11" s="64">
        <v>30000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/>
      <c r="G12" s="56"/>
      <c r="H12" s="56"/>
      <c r="I12" s="57"/>
      <c r="J12" s="59">
        <v>10000</v>
      </c>
      <c r="K12" s="59"/>
      <c r="L12" s="59"/>
      <c r="M12" s="59"/>
      <c r="N12" s="59"/>
      <c r="O12" s="60">
        <v>3</v>
      </c>
      <c r="P12" s="60"/>
      <c r="Q12" s="61"/>
      <c r="R12" s="62"/>
      <c r="S12" s="63"/>
      <c r="T12" s="64">
        <v>30000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38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39</v>
      </c>
      <c r="B20" s="38"/>
      <c r="C20" s="38"/>
      <c r="D20" s="38"/>
      <c r="E20" s="38"/>
      <c r="F20" s="95">
        <v>450000</v>
      </c>
      <c r="G20" s="95"/>
      <c r="H20" s="95"/>
      <c r="I20" s="96"/>
      <c r="J20" s="97">
        <f>SUM(J8:N19)</f>
        <v>580000</v>
      </c>
      <c r="K20" s="98"/>
      <c r="L20" s="98"/>
      <c r="M20" s="98"/>
      <c r="N20" s="99"/>
      <c r="O20" s="100">
        <f>SUM(O8:P19)</f>
        <v>13</v>
      </c>
      <c r="P20" s="100"/>
      <c r="Q20" s="101">
        <f>SUM(Q8:S19)</f>
        <v>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40</v>
      </c>
      <c r="B21" s="104"/>
      <c r="C21" s="104"/>
      <c r="D21" s="104"/>
      <c r="E21" s="104"/>
      <c r="F21" s="105">
        <f>F20+T20</f>
        <v>1660000</v>
      </c>
      <c r="G21" s="105"/>
      <c r="H21" s="105"/>
      <c r="I21" s="106"/>
      <c r="J21" s="107" t="s">
        <v>41</v>
      </c>
      <c r="K21" s="104"/>
      <c r="L21" s="108" t="str">
        <f>T4</f>
        <v>장효주</v>
      </c>
      <c r="M21" s="108"/>
      <c r="N21" s="108"/>
      <c r="O21" s="107" t="s">
        <v>42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43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44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800000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260000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3</v>
      </c>
      <c r="P33" s="125"/>
      <c r="Q33" s="126">
        <f t="shared" si="4"/>
        <v>0</v>
      </c>
      <c r="R33" s="126"/>
      <c r="S33" s="126"/>
      <c r="T33" s="127">
        <f t="shared" si="5"/>
        <v>90000</v>
      </c>
      <c r="U33" s="128"/>
    </row>
    <row r="34" spans="1:21" ht="15.6" customHeight="1" x14ac:dyDescent="0.3">
      <c r="A34" s="123" t="str">
        <f t="shared" si="0"/>
        <v>0B5_Shaft_Seal</v>
      </c>
      <c r="B34" s="124"/>
      <c r="C34" s="124"/>
      <c r="D34" s="124"/>
      <c r="E34" s="124"/>
      <c r="F34" s="124" t="str">
        <f t="shared" si="1"/>
        <v>19037052B</v>
      </c>
      <c r="G34" s="124"/>
      <c r="H34" s="124"/>
      <c r="I34" s="124"/>
      <c r="J34" s="125">
        <f t="shared" si="2"/>
        <v>10000</v>
      </c>
      <c r="K34" s="125"/>
      <c r="L34" s="125"/>
      <c r="M34" s="125"/>
      <c r="N34" s="125"/>
      <c r="O34" s="125">
        <f t="shared" si="3"/>
        <v>3</v>
      </c>
      <c r="P34" s="125"/>
      <c r="Q34" s="126">
        <f t="shared" si="4"/>
        <v>0</v>
      </c>
      <c r="R34" s="126"/>
      <c r="S34" s="126"/>
      <c r="T34" s="127">
        <f t="shared" si="5"/>
        <v>30000</v>
      </c>
      <c r="U34" s="128"/>
    </row>
    <row r="35" spans="1:21" ht="15.6" customHeight="1" x14ac:dyDescent="0.3">
      <c r="A35" s="123" t="str">
        <f t="shared" si="0"/>
        <v>0B5_Ring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10000</v>
      </c>
      <c r="K35" s="125"/>
      <c r="L35" s="125"/>
      <c r="M35" s="125"/>
      <c r="N35" s="125"/>
      <c r="O35" s="125">
        <f t="shared" si="3"/>
        <v>3</v>
      </c>
      <c r="P35" s="125"/>
      <c r="Q35" s="126">
        <f t="shared" si="4"/>
        <v>0</v>
      </c>
      <c r="R35" s="126"/>
      <c r="S35" s="126"/>
      <c r="T35" s="127">
        <f t="shared" si="5"/>
        <v>30000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38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39</v>
      </c>
      <c r="B43" s="38"/>
      <c r="C43" s="38"/>
      <c r="D43" s="38"/>
      <c r="E43" s="38"/>
      <c r="F43" s="95">
        <f>F20</f>
        <v>450000</v>
      </c>
      <c r="G43" s="95"/>
      <c r="H43" s="95"/>
      <c r="I43" s="96"/>
      <c r="J43" s="97">
        <f>J20</f>
        <v>580000</v>
      </c>
      <c r="K43" s="98"/>
      <c r="L43" s="98"/>
      <c r="M43" s="98"/>
      <c r="N43" s="99"/>
      <c r="O43" s="100">
        <f>O20</f>
        <v>13</v>
      </c>
      <c r="P43" s="100"/>
      <c r="Q43" s="101">
        <f>Q20</f>
        <v>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40</v>
      </c>
      <c r="B44" s="104"/>
      <c r="C44" s="104"/>
      <c r="D44" s="104"/>
      <c r="E44" s="104"/>
      <c r="F44" s="105">
        <f>F21</f>
        <v>1660000</v>
      </c>
      <c r="G44" s="105"/>
      <c r="H44" s="105"/>
      <c r="I44" s="106"/>
      <c r="J44" s="107" t="s">
        <v>41</v>
      </c>
      <c r="K44" s="104"/>
      <c r="L44" s="135" t="str">
        <f>T27</f>
        <v>장효주</v>
      </c>
      <c r="M44" s="135"/>
      <c r="N44" s="135"/>
      <c r="O44" s="107" t="s">
        <v>42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2026-01-08T08:56:08Z</dcterms:created>
  <dcterms:modified xsi:type="dcterms:W3CDTF">2026-01-08T08:56:08Z</dcterms:modified>
</cp:coreProperties>
</file>