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717019F-1300-4D63-9FAA-8A163736D778}" xr6:coauthVersionLast="47" xr6:coauthVersionMax="47" xr10:uidLastSave="{00000000-0000-0000-0000-000000000000}"/>
  <bookViews>
    <workbookView xWindow="-120" yWindow="-120" windowWidth="29040" windowHeight="15840" xr2:uid="{8606C5A2-4823-45B5-B471-C89661ABD7E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<sst xmlns="http://schemas.openxmlformats.org/spreadsheetml/2006/main" count="81" uniqueCount="45">
  <si>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</si>
  <si>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</si>
  <si>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</si>
  <si>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</si>
  <si>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</si>
  <si>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</si>
  <si>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</si>
  <si>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</si>
  <si>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</si>
  <si>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</si>
  <si>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</si>
  <si>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</si>
  <si>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</si>
  <si>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</si>
  <si>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</si>
  <si>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</si>
  <si>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</si>
  <si>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</si>
  <si>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</si>
  <si>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</si>
  <si>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</si>
  <si>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</si>
  <si>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</si>
  <si>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</si>
  <si>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</si>
  <si>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</si>
  <si>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</si>
  <si>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</si>
  <si>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</si>
  <si>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0B5_Clutch_Rebuild</t>
    <phoneticPr fontId="2" type="noConversion"/>
  </si>
  <si>
    <t>0B5_Shaft_Seal</t>
    <phoneticPr fontId="2" type="noConversion"/>
  </si>
  <si>
    <t>19037052B</t>
    <phoneticPr fontId="2" type="noConversion"/>
  </si>
  <si>
    <t>0B5_Repair_Kit(RE)</t>
  </si>
  <si>
    <t>0B5398048D</t>
  </si>
  <si>
    <t>0B5_Filter</t>
  </si>
  <si>
    <t>0B5325330A</t>
  </si>
  <si>
    <t>0B5_Solenoid</t>
  </si>
  <si>
    <t>50229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</si>
  <si>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</si>
  <si>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</si>
  <si>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</si>
  <si>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</si>
  <si>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</si>
  <si>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조이오토(대구)_251022_174603.xlsx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</si>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</sst>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9362F27-715A-4FBA-993A-019C50F14B3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DF1D-559A-4BB3-9E39-3996D061D50A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10000</v>
      </c>
      <c r="K9" s="59"/>
      <c r="L9" s="59"/>
      <c r="M9" s="59"/>
      <c r="N9" s="59"/>
      <c r="O9" s="60">
        <v>2</v>
      </c>
      <c r="P9" s="60"/>
      <c r="Q9" s="61"/>
      <c r="R9" s="62"/>
      <c r="S9" s="63"/>
      <c r="T9" s="64">
        <v>20000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400000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400000</v>
      </c>
      <c r="U10" s="65"/>
    </row>
    <row r="11" spans="1:21" ht="15.6" customHeight="1" x14ac:dyDescent="0.3">
      <c r="A11" s="55" t="s">
        <v>34</v>
      </c>
      <c r="B11" s="56"/>
      <c r="C11" s="56"/>
      <c r="D11" s="56"/>
      <c r="E11" s="57"/>
      <c r="F11" s="58" t="s">
        <v>35</v>
      </c>
      <c r="G11" s="56"/>
      <c r="H11" s="56"/>
      <c r="I11" s="57"/>
      <c r="J11" s="59">
        <v>35000</v>
      </c>
      <c r="K11" s="59"/>
      <c r="L11" s="59"/>
      <c r="M11" s="59"/>
      <c r="N11" s="59"/>
      <c r="O11" s="60">
        <v>1</v>
      </c>
      <c r="P11" s="60"/>
      <c r="Q11" s="61"/>
      <c r="R11" s="62"/>
      <c r="S11" s="63"/>
      <c r="T11" s="64">
        <v>35000</v>
      </c>
      <c r="U11" s="65"/>
    </row>
    <row r="12" spans="1:21" ht="15.6" customHeight="1" x14ac:dyDescent="0.3">
      <c r="A12" s="55" t="s">
        <v>36</v>
      </c>
      <c r="B12" s="56"/>
      <c r="C12" s="56"/>
      <c r="D12" s="56"/>
      <c r="E12" s="57"/>
      <c r="F12" s="58" t="s">
        <v>37</v>
      </c>
      <c r="G12" s="56"/>
      <c r="H12" s="56"/>
      <c r="I12" s="57"/>
      <c r="J12" s="59">
        <v>80000</v>
      </c>
      <c r="K12" s="59"/>
      <c r="L12" s="59"/>
      <c r="M12" s="59"/>
      <c r="N12" s="59"/>
      <c r="O12" s="60">
        <v>1</v>
      </c>
      <c r="P12" s="60"/>
      <c r="Q12" s="61"/>
      <c r="R12" s="62"/>
      <c r="S12" s="63"/>
      <c r="T12" s="64">
        <v>80000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38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39</v>
      </c>
      <c r="B20" s="38"/>
      <c r="C20" s="38"/>
      <c r="D20" s="38"/>
      <c r="E20" s="38"/>
      <c r="F20" s="95">
        <v>1170000</v>
      </c>
      <c r="G20" s="95"/>
      <c r="H20" s="95"/>
      <c r="I20" s="96"/>
      <c r="J20" s="97">
        <f>SUM(J8:N19)</f>
        <v>1125000</v>
      </c>
      <c r="K20" s="98"/>
      <c r="L20" s="98"/>
      <c r="M20" s="98"/>
      <c r="N20" s="99"/>
      <c r="O20" s="100">
        <f>SUM(O8:P19)</f>
        <v>6</v>
      </c>
      <c r="P20" s="100"/>
      <c r="Q20" s="101">
        <f>SUM(Q8:S19)</f>
        <v>0</v>
      </c>
      <c r="R20" s="95"/>
      <c r="S20" s="96"/>
      <c r="T20" s="95">
        <f>SUM(T8:U15)</f>
        <v>1135000</v>
      </c>
      <c r="U20" s="102"/>
    </row>
    <row r="21" spans="1:21" ht="20.100000000000001" customHeight="1" thickBot="1" x14ac:dyDescent="0.35">
      <c r="A21" s="103" t="s">
        <v>40</v>
      </c>
      <c r="B21" s="104"/>
      <c r="C21" s="104"/>
      <c r="D21" s="104"/>
      <c r="E21" s="104"/>
      <c r="F21" s="105">
        <f>F20+T20</f>
        <v>2305000</v>
      </c>
      <c r="G21" s="105"/>
      <c r="H21" s="105"/>
      <c r="I21" s="106"/>
      <c r="J21" s="107" t="s">
        <v>41</v>
      </c>
      <c r="K21" s="104"/>
      <c r="L21" s="108" t="str">
        <f>T4</f>
        <v>장효주</v>
      </c>
      <c r="M21" s="108"/>
      <c r="N21" s="108"/>
      <c r="O21" s="107" t="s">
        <v>42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43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44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0B5_Clutch_Rebuild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 t="str">
        <f t="shared" ref="A32:A38" si="0">A9</f>
        <v>0B5_Shaft_Seal</v>
      </c>
      <c r="B32" s="124"/>
      <c r="C32" s="124"/>
      <c r="D32" s="124"/>
      <c r="E32" s="124"/>
      <c r="F32" s="124" t="str">
        <f t="shared" ref="F32:F38" si="1">F9</f>
        <v>19037052B</v>
      </c>
      <c r="G32" s="124"/>
      <c r="H32" s="124"/>
      <c r="I32" s="124"/>
      <c r="J32" s="125">
        <f t="shared" ref="J32:J38" si="2">J9</f>
        <v>10000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</v>
      </c>
      <c r="U32" s="128"/>
    </row>
    <row r="33" spans="1:21" ht="15.6" customHeight="1" x14ac:dyDescent="0.3">
      <c r="A33" s="123" t="str">
        <f t="shared" si="0"/>
        <v>0B5_Repair_Kit(RE)</v>
      </c>
      <c r="B33" s="124"/>
      <c r="C33" s="124"/>
      <c r="D33" s="124"/>
      <c r="E33" s="124"/>
      <c r="F33" s="124" t="str">
        <f t="shared" si="1"/>
        <v>0B5398048D</v>
      </c>
      <c r="G33" s="124"/>
      <c r="H33" s="124"/>
      <c r="I33" s="124"/>
      <c r="J33" s="125">
        <f t="shared" si="2"/>
        <v>400000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400000</v>
      </c>
      <c r="U33" s="128"/>
    </row>
    <row r="34" spans="1:21" ht="15.6" customHeight="1" x14ac:dyDescent="0.3">
      <c r="A34" s="123" t="str">
        <f t="shared" si="0"/>
        <v>0B5_Filter</v>
      </c>
      <c r="B34" s="124"/>
      <c r="C34" s="124"/>
      <c r="D34" s="124"/>
      <c r="E34" s="124"/>
      <c r="F34" s="124" t="str">
        <f t="shared" si="1"/>
        <v>0B5325330A</v>
      </c>
      <c r="G34" s="124"/>
      <c r="H34" s="124"/>
      <c r="I34" s="124"/>
      <c r="J34" s="125">
        <f t="shared" si="2"/>
        <v>35000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0</v>
      </c>
      <c r="R34" s="126"/>
      <c r="S34" s="126"/>
      <c r="T34" s="127">
        <f t="shared" si="5"/>
        <v>35000</v>
      </c>
      <c r="U34" s="128"/>
    </row>
    <row r="35" spans="1:21" ht="15.6" customHeight="1" x14ac:dyDescent="0.3">
      <c r="A35" s="123" t="str">
        <f t="shared" si="0"/>
        <v>0B5_Solenoid</v>
      </c>
      <c r="B35" s="124"/>
      <c r="C35" s="124"/>
      <c r="D35" s="124"/>
      <c r="E35" s="124"/>
      <c r="F35" s="124" t="str">
        <f t="shared" si="1"/>
        <v>50229</v>
      </c>
      <c r="G35" s="124"/>
      <c r="H35" s="124"/>
      <c r="I35" s="124"/>
      <c r="J35" s="125">
        <f t="shared" si="2"/>
        <v>80000</v>
      </c>
      <c r="K35" s="125"/>
      <c r="L35" s="125"/>
      <c r="M35" s="125"/>
      <c r="N35" s="125"/>
      <c r="O35" s="125">
        <f t="shared" si="3"/>
        <v>1</v>
      </c>
      <c r="P35" s="125"/>
      <c r="Q35" s="126">
        <f t="shared" si="4"/>
        <v>0</v>
      </c>
      <c r="R35" s="126"/>
      <c r="S35" s="126"/>
      <c r="T35" s="127">
        <f t="shared" si="5"/>
        <v>80000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38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39</v>
      </c>
      <c r="B43" s="38"/>
      <c r="C43" s="38"/>
      <c r="D43" s="38"/>
      <c r="E43" s="38"/>
      <c r="F43" s="95">
        <f>F20</f>
        <v>1170000</v>
      </c>
      <c r="G43" s="95"/>
      <c r="H43" s="95"/>
      <c r="I43" s="96"/>
      <c r="J43" s="97">
        <f>J20</f>
        <v>1125000</v>
      </c>
      <c r="K43" s="98"/>
      <c r="L43" s="98"/>
      <c r="M43" s="98"/>
      <c r="N43" s="99"/>
      <c r="O43" s="100">
        <f>O20</f>
        <v>6</v>
      </c>
      <c r="P43" s="100"/>
      <c r="Q43" s="101">
        <f>Q20</f>
        <v>0</v>
      </c>
      <c r="R43" s="95"/>
      <c r="S43" s="95"/>
      <c r="T43" s="95">
        <f>T20</f>
        <v>1135000</v>
      </c>
      <c r="U43" s="102"/>
    </row>
    <row r="44" spans="1:21" ht="20.100000000000001" customHeight="1" thickBot="1" x14ac:dyDescent="0.35">
      <c r="A44" s="103" t="s">
        <v>40</v>
      </c>
      <c r="B44" s="104"/>
      <c r="C44" s="104"/>
      <c r="D44" s="104"/>
      <c r="E44" s="104"/>
      <c r="F44" s="105">
        <f>F21</f>
        <v>2305000</v>
      </c>
      <c r="G44" s="105"/>
      <c r="H44" s="105"/>
      <c r="I44" s="106"/>
      <c r="J44" s="107" t="s">
        <v>41</v>
      </c>
      <c r="K44" s="104"/>
      <c r="L44" s="135" t="str">
        <f>T27</f>
        <v>장효주</v>
      </c>
      <c r="M44" s="135"/>
      <c r="N44" s="135"/>
      <c r="O44" s="107" t="s">
        <v>42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2025-10-22T08:48:27Z</dcterms:created>
  <dcterms:modified xsi:type="dcterms:W3CDTF">2025-10-22T08:48:28Z</dcterms:modified>
</cp:coreProperties>
</file>