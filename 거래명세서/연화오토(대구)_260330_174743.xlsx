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31C28F0-D88E-4382-8C5D-1523F97896DB}" xr6:coauthVersionLast="47" xr6:coauthVersionMax="47" xr10:uidLastSave="{00000000-0000-0000-0000-000000000000}"/>
  <bookViews>
    <workbookView xWindow="-120" yWindow="-120" windowWidth="29040" windowHeight="15840" xr2:uid="{7A81B13C-D06C-434A-A50F-46C0681CD09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<sst xmlns="http://schemas.openxmlformats.org/spreadsheetml/2006/main" count="79" uniqueCount="43">
  <si>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</si>
  <si>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</si>
  <si>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WDDZF4KBXJA471165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</si>
  <si>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</si>
  <si>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</si>
  <si>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</si>
  <si>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</si>
  <si>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</si>
  <si>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</si>
  <si>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연화오토(대구)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</si>
  <si>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</si>
  <si>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</si>
  <si>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</si>
  <si>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</si>
  <si>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</si>
  <si>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</si>
  <si>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</si>
  <si>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 6-8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</si>
  <si>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</si>
  <si>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</si>
  <si>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010-8854-0599</t>
    <phoneticPr fontId="2" type="noConversion"/>
  </si>
  <si>
    <t>010-5168-3542</t>
    <phoneticPr fontId="2" type="noConversion"/>
  </si>
  <si>
    <t>배송</t>
    <phoneticPr fontId="2" type="noConversion"/>
  </si>
  <si>
    <t>후진기어 삽입 안됨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</si>
  <si>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</si>
  <si>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</si>
  <si>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</si>
  <si>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</si>
  <si>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</si>
  <si>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</si>
  <si>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</si>
  <si>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</si>
  <si>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</si>
  <si>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</si>
  <si>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</si>
  <si>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</si>
  <si>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</si>
  <si>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</si>
  <si>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</si>
  <si>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</si>
  <si>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</si>
  <si>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대륙오토(대구)_260330_174552.xlsx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</si>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</sst>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A14E85D-CC50-4184-A9A1-1475AC43EEC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70B4-B4D7-47EA-B301-E632986ABB1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46111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 t="s">
        <v>34</v>
      </c>
      <c r="B10" s="56"/>
      <c r="C10" s="56"/>
      <c r="D10" s="56"/>
      <c r="E10" s="57"/>
      <c r="F10" s="58" t="s">
        <v>35</v>
      </c>
      <c r="G10" s="56"/>
      <c r="H10" s="56"/>
      <c r="I10" s="57"/>
      <c r="J10" s="59">
        <v>50000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50000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36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37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38</v>
      </c>
      <c r="B21" s="104"/>
      <c r="C21" s="104"/>
      <c r="D21" s="104"/>
      <c r="E21" s="104"/>
      <c r="F21" s="105">
        <f>F20+T20</f>
        <v>1599999.9000000004</v>
      </c>
      <c r="G21" s="105"/>
      <c r="H21" s="105"/>
      <c r="I21" s="106"/>
      <c r="J21" s="107" t="s">
        <v>39</v>
      </c>
      <c r="K21" s="104"/>
      <c r="L21" s="108" t="str">
        <f>T4</f>
        <v>장효주</v>
      </c>
      <c r="M21" s="108"/>
      <c r="N21" s="108"/>
      <c r="O21" s="107" t="s">
        <v>40</v>
      </c>
      <c r="P21" s="104"/>
      <c r="Q21" s="108" t="str">
        <f>C3</f>
        <v>연화오토(대구)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WDDZF4KBXJA471165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46111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연화오토(대구)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호산동로 6-8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010-8854-0599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 삽입 안됨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 t="str">
        <f t="shared" si="0"/>
        <v>BMTSR_Oilpan_9G</v>
      </c>
      <c r="B33" s="124"/>
      <c r="C33" s="124"/>
      <c r="D33" s="124"/>
      <c r="E33" s="124"/>
      <c r="F33" s="124" t="str">
        <f t="shared" si="1"/>
        <v>B7252703707</v>
      </c>
      <c r="G33" s="124"/>
      <c r="H33" s="124"/>
      <c r="I33" s="124"/>
      <c r="J33" s="125">
        <f t="shared" si="2"/>
        <v>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50000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36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37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38</v>
      </c>
      <c r="B44" s="104"/>
      <c r="C44" s="104"/>
      <c r="D44" s="104"/>
      <c r="E44" s="104"/>
      <c r="F44" s="105">
        <f>F21</f>
        <v>1599999.9000000004</v>
      </c>
      <c r="G44" s="105"/>
      <c r="H44" s="105"/>
      <c r="I44" s="106"/>
      <c r="J44" s="107" t="s">
        <v>39</v>
      </c>
      <c r="K44" s="104"/>
      <c r="L44" s="135" t="str">
        <f>T27</f>
        <v>장효주</v>
      </c>
      <c r="M44" s="135"/>
      <c r="N44" s="135"/>
      <c r="O44" s="107" t="s">
        <v>40</v>
      </c>
      <c r="P44" s="136"/>
      <c r="Q44" s="137" t="str">
        <f>Q21</f>
        <v>연화오토(대구)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2026-03-30T08:47:43Z</dcterms:created>
  <dcterms:modified xsi:type="dcterms:W3CDTF">2026-03-30T08:47:43Z</dcterms:modified>
</cp:coreProperties>
</file>