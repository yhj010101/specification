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EF943531-8B4E-4863-A717-B8B299CE7640}" xr6:coauthVersionLast="47" xr6:coauthVersionMax="47" xr10:uidLastSave="{00000000-0000-0000-0000-000000000000}"/>
  <bookViews>
    <workbookView xWindow="-120" yWindow="-120" windowWidth="29040" windowHeight="15840" xr2:uid="{ED020583-DB1C-41ED-85E4-20483FD83563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Q20" i="1"/>
  <c r="O20" i="1"/>
  <c r="J20" i="1"/>
  <c r="F21" i="1" l="1"/>
  <c r="F44" i="1" s="1"/>
  <c r="Q44" i="1"/>
  <c r="T43" i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<sst xmlns="http://schemas.openxmlformats.org/spreadsheetml/2006/main" count="74" uniqueCount="38">
  <si>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</si>
  <si>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</si>
  <si>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WDDNG56X37A143425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</si>
  <si>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</si>
  <si>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</si>
  <si>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</si>
  <si>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</si>
  <si>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</si>
  <si>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</si>
  <si>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전주오토(전주)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</si>
  <si>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</si>
  <si>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</si>
  <si>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</si>
  <si>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</si>
  <si>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</si>
  <si>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</si>
  <si>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</si>
  <si>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전북 전주시 완산구 쑥고개로 301-6</t>
    <phoneticPr fontId="2" type="noConversion"/>
  </si>
  <si>
    <t>대구 달서구 용산로 28(본리동)</t>
    <phoneticPr fontId="2" type="noConversion"/>
  </si>
  <si>
    <t>전화</t>
    <phoneticPr fontId="2" type="noConversion"/>
  </si>
  <si>
    <t>010-6665-7115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</si>
  <si>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</si>
  <si>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</si>
  <si>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</si>
  <si>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</si>
  <si>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</si>
  <si>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</si>
  <si>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</si>
  <si>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</si>
  <si>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VGSNAG2</t>
    <phoneticPr fontId="2" type="noConversion"/>
  </si>
  <si>
    <t>A0009013200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</si>
  <si>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</si>
  <si>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</si>
  <si>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</si>
  <si>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</si>
  <si>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</si>
  <si>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천안오토(천안)_260616_162338.xlsx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</si>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</sst>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AE0101BA-8936-48AD-AC04-3F5EA16DEE85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CA50F-7EFF-4654-82D9-DDE260047CED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46189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 t="s">
        <v>30</v>
      </c>
      <c r="G8" s="47"/>
      <c r="H8" s="47"/>
      <c r="I8" s="48"/>
      <c r="J8" s="49">
        <v>600000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600000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31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32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600000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600000</v>
      </c>
      <c r="U20" s="103"/>
    </row>
    <row r="21" spans="1:21" ht="20.100000000000001" customHeight="1" thickBot="1" x14ac:dyDescent="0.35">
      <c r="A21" s="104" t="s">
        <v>33</v>
      </c>
      <c r="B21" s="105"/>
      <c r="C21" s="105"/>
      <c r="D21" s="105"/>
      <c r="E21" s="105"/>
      <c r="F21" s="106">
        <f>F20+T20</f>
        <v>599999.90000000037</v>
      </c>
      <c r="G21" s="106"/>
      <c r="H21" s="106"/>
      <c r="I21" s="107"/>
      <c r="J21" s="108" t="s">
        <v>34</v>
      </c>
      <c r="K21" s="105"/>
      <c r="L21" s="109" t="str">
        <f>T4</f>
        <v>장효주</v>
      </c>
      <c r="M21" s="109"/>
      <c r="N21" s="109"/>
      <c r="O21" s="108" t="s">
        <v>35</v>
      </c>
      <c r="P21" s="105"/>
      <c r="Q21" s="109" t="str">
        <f>C3</f>
        <v>전주오토(전주)</v>
      </c>
      <c r="R21" s="109"/>
      <c r="S21" s="109"/>
      <c r="T21" s="109"/>
      <c r="U21" s="110"/>
    </row>
    <row r="22" spans="1:21" ht="20.100000000000001" customHeight="1" x14ac:dyDescent="0.3">
      <c r="A22" s="111" t="s">
        <v>36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WDDNG56X37A143425</v>
      </c>
      <c r="T24" s="113"/>
      <c r="U24" s="114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46189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전주오토(전주)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전북 전주시 완산구 쑥고개로 301-6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010-6665-7115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VGSNAG2</v>
      </c>
      <c r="B31" s="119"/>
      <c r="C31" s="119"/>
      <c r="D31" s="119"/>
      <c r="E31" s="119"/>
      <c r="F31" s="119" t="str">
        <f>F8</f>
        <v>A0009013200</v>
      </c>
      <c r="G31" s="119"/>
      <c r="H31" s="119"/>
      <c r="I31" s="119"/>
      <c r="J31" s="120">
        <f>J8</f>
        <v>600000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600000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31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32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600000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600000</v>
      </c>
      <c r="U43" s="103"/>
    </row>
    <row r="44" spans="1:21" ht="20.100000000000001" customHeight="1" thickBot="1" x14ac:dyDescent="0.35">
      <c r="A44" s="104" t="s">
        <v>33</v>
      </c>
      <c r="B44" s="105"/>
      <c r="C44" s="105"/>
      <c r="D44" s="105"/>
      <c r="E44" s="105"/>
      <c r="F44" s="106">
        <f>F21</f>
        <v>599999.90000000037</v>
      </c>
      <c r="G44" s="106"/>
      <c r="H44" s="106"/>
      <c r="I44" s="107"/>
      <c r="J44" s="108" t="s">
        <v>34</v>
      </c>
      <c r="K44" s="105"/>
      <c r="L44" s="136" t="str">
        <f>T27</f>
        <v>장효주</v>
      </c>
      <c r="M44" s="136"/>
      <c r="N44" s="136"/>
      <c r="O44" s="108" t="s">
        <v>35</v>
      </c>
      <c r="P44" s="137"/>
      <c r="Q44" s="138" t="str">
        <f>Q21</f>
        <v>전주오토(전주)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2026-06-16T07:24:32Z</dcterms:created>
  <dcterms:modified xsi:type="dcterms:W3CDTF">2026-06-16T07:24:32Z</dcterms:modified>
</cp:coreProperties>
</file>