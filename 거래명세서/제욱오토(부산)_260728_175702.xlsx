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2873EFB8-F29C-4F36-BD87-E549DB29BB42}" xr6:coauthVersionLast="47" xr6:coauthVersionMax="47" xr10:uidLastSave="{00000000-0000-0000-0000-000000000000}"/>
  <bookViews>
    <workbookView xWindow="0" yWindow="615" windowWidth="28800" windowHeight="15585" xr2:uid="{FECE288E-60D7-4AE0-AF26-DF30E5B7EC94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<sst xmlns="http://schemas.openxmlformats.org/spreadsheetml/2006/main" count="75" uniqueCount="39">
  <si>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</si>
  <si>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</si>
  <si>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</si>
  <si>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</si>
  <si>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</si>
  <si>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</si>
  <si>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</si>
  <si>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</si>
  <si>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제욱오토(부산)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</si>
  <si>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</si>
  <si>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</si>
  <si>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</si>
  <si>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</si>
  <si>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</si>
  <si>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</si>
  <si>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</si>
  <si>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부산 사상구 학장로 309(주례동)</t>
    <phoneticPr fontId="2" type="noConversion"/>
  </si>
  <si>
    <t>대구 달서구 용산로 28(본리동)</t>
    <phoneticPr fontId="2" type="noConversion"/>
  </si>
  <si>
    <t>전화</t>
    <phoneticPr fontId="2" type="noConversion"/>
  </si>
  <si>
    <t>010-5542-9240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</si>
  <si>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</si>
  <si>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</si>
  <si>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</si>
  <si>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</si>
  <si>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</si>
  <si>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</si>
  <si>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</si>
  <si>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</si>
  <si>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</si>
  <si>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</si>
  <si>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PARK_PAWL</t>
  </si>
  <si>
    <t>A7259820003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</si>
  <si>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</si>
  <si>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</si>
  <si>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</si>
  <si>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</si>
  <si>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</si>
  <si>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경동오토(서울)_260728_175626.xlsx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</si>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</sst>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561B7164-2D5C-4987-A61D-CBA5CCED982A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A5C76-4722-440C-BE3E-1A98CFC3B83C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46231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>
        <v>120000</v>
      </c>
      <c r="R8" s="52"/>
      <c r="S8" s="53"/>
      <c r="T8" s="54">
        <v>1320000</v>
      </c>
      <c r="U8" s="55"/>
    </row>
    <row r="9" spans="1:21" ht="15.6" customHeight="1" x14ac:dyDescent="0.3">
      <c r="A9" s="56" t="s">
        <v>30</v>
      </c>
      <c r="B9" s="57"/>
      <c r="C9" s="57"/>
      <c r="D9" s="57"/>
      <c r="E9" s="58"/>
      <c r="F9" s="59" t="s">
        <v>31</v>
      </c>
      <c r="G9" s="57"/>
      <c r="H9" s="57"/>
      <c r="I9" s="58"/>
      <c r="J9" s="60">
        <v>350000</v>
      </c>
      <c r="K9" s="60"/>
      <c r="L9" s="60"/>
      <c r="M9" s="60"/>
      <c r="N9" s="60"/>
      <c r="O9" s="61">
        <v>1</v>
      </c>
      <c r="P9" s="61"/>
      <c r="Q9" s="62">
        <v>35000</v>
      </c>
      <c r="R9" s="63"/>
      <c r="S9" s="64"/>
      <c r="T9" s="65">
        <v>385000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32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33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1550000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155000</v>
      </c>
      <c r="R20" s="96"/>
      <c r="S20" s="97"/>
      <c r="T20" s="96">
        <f>SUM(T8:U15)</f>
        <v>1705000</v>
      </c>
      <c r="U20" s="103"/>
    </row>
    <row r="21" spans="1:21" ht="20.100000000000001" customHeight="1" thickBot="1" x14ac:dyDescent="0.35">
      <c r="A21" s="104" t="s">
        <v>34</v>
      </c>
      <c r="B21" s="105"/>
      <c r="C21" s="105"/>
      <c r="D21" s="105"/>
      <c r="E21" s="105"/>
      <c r="F21" s="106">
        <f>F20+T20</f>
        <v>1704999.9000000004</v>
      </c>
      <c r="G21" s="106"/>
      <c r="H21" s="106"/>
      <c r="I21" s="107"/>
      <c r="J21" s="108" t="s">
        <v>35</v>
      </c>
      <c r="K21" s="105"/>
      <c r="L21" s="109" t="str">
        <f>T4</f>
        <v>장효주</v>
      </c>
      <c r="M21" s="109"/>
      <c r="N21" s="109"/>
      <c r="O21" s="108" t="s">
        <v>36</v>
      </c>
      <c r="P21" s="105"/>
      <c r="Q21" s="109" t="str">
        <f>C3</f>
        <v>제욱오토(부산)</v>
      </c>
      <c r="R21" s="109"/>
      <c r="S21" s="109"/>
      <c r="T21" s="109"/>
      <c r="U21" s="110"/>
    </row>
    <row r="22" spans="1:21" ht="20.100000000000001" customHeight="1" x14ac:dyDescent="0.3">
      <c r="A22" s="111" t="s">
        <v>37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46231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제욱오토(부산)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부산 사상구 학장로 309(주례동)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010-5542-9240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120000</v>
      </c>
      <c r="R31" s="121"/>
      <c r="S31" s="121"/>
      <c r="T31" s="122">
        <f>T8</f>
        <v>1320000</v>
      </c>
      <c r="U31" s="123"/>
    </row>
    <row r="32" spans="1:21" ht="15.6" customHeight="1" x14ac:dyDescent="0.3">
      <c r="A32" s="124" t="str">
        <f t="shared" ref="A32:A38" si="0">A9</f>
        <v>PARK_PAWL</v>
      </c>
      <c r="B32" s="125"/>
      <c r="C32" s="125"/>
      <c r="D32" s="125"/>
      <c r="E32" s="125"/>
      <c r="F32" s="125" t="str">
        <f t="shared" ref="F32:F38" si="1">F9</f>
        <v>A7259820003</v>
      </c>
      <c r="G32" s="125"/>
      <c r="H32" s="125"/>
      <c r="I32" s="125"/>
      <c r="J32" s="126">
        <f t="shared" ref="J32:J38" si="2">J9</f>
        <v>350000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35000</v>
      </c>
      <c r="R32" s="127"/>
      <c r="S32" s="127"/>
      <c r="T32" s="128">
        <f t="shared" ref="T32:T38" si="5">T9</f>
        <v>385000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32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33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1550000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155000</v>
      </c>
      <c r="R43" s="96"/>
      <c r="S43" s="96"/>
      <c r="T43" s="96">
        <f>T20</f>
        <v>1705000</v>
      </c>
      <c r="U43" s="103"/>
    </row>
    <row r="44" spans="1:21" ht="20.100000000000001" customHeight="1" thickBot="1" x14ac:dyDescent="0.35">
      <c r="A44" s="104" t="s">
        <v>34</v>
      </c>
      <c r="B44" s="105"/>
      <c r="C44" s="105"/>
      <c r="D44" s="105"/>
      <c r="E44" s="105"/>
      <c r="F44" s="106">
        <f>F21</f>
        <v>1704999.9000000004</v>
      </c>
      <c r="G44" s="106"/>
      <c r="H44" s="106"/>
      <c r="I44" s="107"/>
      <c r="J44" s="108" t="s">
        <v>35</v>
      </c>
      <c r="K44" s="105"/>
      <c r="L44" s="136" t="str">
        <f>T27</f>
        <v>장효주</v>
      </c>
      <c r="M44" s="136"/>
      <c r="N44" s="136"/>
      <c r="O44" s="108" t="s">
        <v>36</v>
      </c>
      <c r="P44" s="137"/>
      <c r="Q44" s="138" t="str">
        <f>Q21</f>
        <v>제욱오토(부산)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2026-07-28T08:57:02Z</dcterms:created>
  <dcterms:modified xsi:type="dcterms:W3CDTF">2026-07-28T08:57:03Z</dcterms:modified>
</cp:coreProperties>
</file>