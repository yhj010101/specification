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A63FF112-B943-4FAB-9172-DEB42BDE57CF}" xr6:coauthVersionLast="47" xr6:coauthVersionMax="47" xr10:uidLastSave="{00000000-0000-0000-0000-000000000000}"/>
  <bookViews>
    <workbookView xWindow="-120" yWindow="-120" windowWidth="29040" windowHeight="15840" xr2:uid="{1008E4E2-595C-47B8-A9E3-E30A3BA3844D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O20" i="1"/>
  <c r="O43" i="1" s="1"/>
  <c r="J20" i="1"/>
  <c r="J43" i="1" s="1"/>
  <c r="T43" i="1" l="1"/>
</calcChain>
</file>

<file path=xl/sharedStrings.xml><?xml version="1.0" encoding="utf-8"?>
<sst xmlns="http://schemas.openxmlformats.org/spreadsheetml/2006/main" count="76" uniqueCount="40">
  <si>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</si>
  <si>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</si>
  <si>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</si>
  <si>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</si>
  <si>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</si>
  <si>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</si>
  <si>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</si>
  <si>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</si>
  <si>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제이오토(대구)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</si>
  <si>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</si>
  <si>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</si>
  <si>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</si>
  <si>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</si>
  <si>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</si>
  <si>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</si>
  <si>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</si>
  <si>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서구 가르뱅이로 53</t>
    <phoneticPr fontId="2" type="noConversion"/>
  </si>
  <si>
    <t>대구 달서구 용산로 28(본리동)</t>
    <phoneticPr fontId="2" type="noConversion"/>
  </si>
  <si>
    <t>전화</t>
    <phoneticPr fontId="2" type="noConversion"/>
  </si>
  <si>
    <t>010-5102-8176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</si>
  <si>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</si>
  <si>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</si>
  <si>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</si>
  <si>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</si>
  <si>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</si>
  <si>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</si>
  <si>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</si>
  <si>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</si>
  <si>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</si>
  <si>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ZF_6HP_Solenoid</t>
    <phoneticPr fontId="2" type="noConversion"/>
  </si>
  <si>
    <t>1068298046</t>
  </si>
  <si>
    <t>6HP_Oilpan</t>
  </si>
  <si>
    <t>24152333903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</si>
  <si>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</si>
  <si>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</si>
  <si>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</si>
  <si>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</si>
  <si>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</si>
  <si>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하정오토(광주)_251031_171619.xlsx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</si>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</sst>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4C2236B6-7B35-4876-BA68-14F90BC5B5C4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B9384-6590-4220-90B0-BD2A5B95D2CF}">
  <sheetPr codeName="shtOrder_print1"/>
  <dimension ref="A1:U44"/>
  <sheetViews>
    <sheetView tabSelected="1" zoomScaleNormal="100" workbookViewId="0">
      <selection activeCell="T2" sqref="T2:U2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45961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450000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450000</v>
      </c>
      <c r="U8" s="54"/>
    </row>
    <row r="9" spans="1:21" ht="15.6" customHeight="1" x14ac:dyDescent="0.3">
      <c r="A9" s="55" t="s">
        <v>31</v>
      </c>
      <c r="B9" s="56"/>
      <c r="C9" s="56"/>
      <c r="D9" s="56"/>
      <c r="E9" s="57"/>
      <c r="F9" s="58" t="s">
        <v>32</v>
      </c>
      <c r="G9" s="56"/>
      <c r="H9" s="56"/>
      <c r="I9" s="57"/>
      <c r="J9" s="59">
        <v>50000</v>
      </c>
      <c r="K9" s="59"/>
      <c r="L9" s="59"/>
      <c r="M9" s="59"/>
      <c r="N9" s="59"/>
      <c r="O9" s="60">
        <v>2</v>
      </c>
      <c r="P9" s="60"/>
      <c r="Q9" s="61"/>
      <c r="R9" s="62"/>
      <c r="S9" s="63"/>
      <c r="T9" s="64">
        <v>100000</v>
      </c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33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34</v>
      </c>
      <c r="B20" s="38"/>
      <c r="C20" s="38"/>
      <c r="D20" s="38"/>
      <c r="E20" s="38"/>
      <c r="F20" s="95">
        <v>2750000</v>
      </c>
      <c r="G20" s="95"/>
      <c r="H20" s="95"/>
      <c r="I20" s="96"/>
      <c r="J20" s="97">
        <f>SUM(J8:N19)</f>
        <v>500000</v>
      </c>
      <c r="K20" s="98"/>
      <c r="L20" s="98"/>
      <c r="M20" s="98"/>
      <c r="N20" s="99"/>
      <c r="O20" s="100">
        <f>SUM(O8:P19)</f>
        <v>3</v>
      </c>
      <c r="P20" s="100"/>
      <c r="Q20" s="101">
        <f>SUM(Q8:S19)</f>
        <v>0</v>
      </c>
      <c r="R20" s="95"/>
      <c r="S20" s="96"/>
      <c r="T20" s="95">
        <f>SUM(T8:U15)</f>
        <v>550000</v>
      </c>
      <c r="U20" s="102"/>
    </row>
    <row r="21" spans="1:21" ht="20.100000000000001" customHeight="1" thickBot="1" x14ac:dyDescent="0.35">
      <c r="A21" s="103" t="s">
        <v>35</v>
      </c>
      <c r="B21" s="104"/>
      <c r="C21" s="104"/>
      <c r="D21" s="104"/>
      <c r="E21" s="104"/>
      <c r="F21" s="105">
        <f>F20+T20</f>
        <v>3300000</v>
      </c>
      <c r="G21" s="105"/>
      <c r="H21" s="105"/>
      <c r="I21" s="106"/>
      <c r="J21" s="107" t="s">
        <v>36</v>
      </c>
      <c r="K21" s="104"/>
      <c r="L21" s="108" t="str">
        <f>T4</f>
        <v>장효주</v>
      </c>
      <c r="M21" s="108"/>
      <c r="N21" s="108"/>
      <c r="O21" s="107" t="s">
        <v>37</v>
      </c>
      <c r="P21" s="104"/>
      <c r="Q21" s="108" t="str">
        <f>C3</f>
        <v>제이오토(대구)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38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39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45961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제이오토(대구)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서구 가르뱅이로 53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010-5102-8176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ZF_6HP_Solenoid</v>
      </c>
      <c r="B31" s="118"/>
      <c r="C31" s="118"/>
      <c r="D31" s="118"/>
      <c r="E31" s="118"/>
      <c r="F31" s="118" t="str">
        <f>F8</f>
        <v>1068298046</v>
      </c>
      <c r="G31" s="118"/>
      <c r="H31" s="118"/>
      <c r="I31" s="118"/>
      <c r="J31" s="119">
        <f>J8</f>
        <v>450000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450000</v>
      </c>
      <c r="U31" s="122"/>
    </row>
    <row r="32" spans="1:21" ht="15.6" customHeight="1" x14ac:dyDescent="0.3">
      <c r="A32" s="123" t="str">
        <f t="shared" ref="A32:A38" si="0">A9</f>
        <v>6HP_Oilpan</v>
      </c>
      <c r="B32" s="124"/>
      <c r="C32" s="124"/>
      <c r="D32" s="124"/>
      <c r="E32" s="124"/>
      <c r="F32" s="124" t="str">
        <f t="shared" ref="F32:F38" si="1">F9</f>
        <v>24152333903</v>
      </c>
      <c r="G32" s="124"/>
      <c r="H32" s="124"/>
      <c r="I32" s="124"/>
      <c r="J32" s="125">
        <f t="shared" ref="J32:J38" si="2">J9</f>
        <v>50000</v>
      </c>
      <c r="K32" s="125"/>
      <c r="L32" s="125"/>
      <c r="M32" s="125"/>
      <c r="N32" s="125"/>
      <c r="O32" s="125">
        <f t="shared" ref="O32:O38" si="3">O9</f>
        <v>2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100000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33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34</v>
      </c>
      <c r="B43" s="38"/>
      <c r="C43" s="38"/>
      <c r="D43" s="38"/>
      <c r="E43" s="38"/>
      <c r="F43" s="95">
        <f>F20</f>
        <v>2750000</v>
      </c>
      <c r="G43" s="95"/>
      <c r="H43" s="95"/>
      <c r="I43" s="96"/>
      <c r="J43" s="97">
        <f>J20</f>
        <v>500000</v>
      </c>
      <c r="K43" s="98"/>
      <c r="L43" s="98"/>
      <c r="M43" s="98"/>
      <c r="N43" s="99"/>
      <c r="O43" s="100">
        <f>O20</f>
        <v>3</v>
      </c>
      <c r="P43" s="100"/>
      <c r="Q43" s="101">
        <f>Q20</f>
        <v>0</v>
      </c>
      <c r="R43" s="95"/>
      <c r="S43" s="95"/>
      <c r="T43" s="95">
        <f>T20</f>
        <v>550000</v>
      </c>
      <c r="U43" s="102"/>
    </row>
    <row r="44" spans="1:21" ht="20.100000000000001" customHeight="1" thickBot="1" x14ac:dyDescent="0.35">
      <c r="A44" s="103" t="s">
        <v>35</v>
      </c>
      <c r="B44" s="104"/>
      <c r="C44" s="104"/>
      <c r="D44" s="104"/>
      <c r="E44" s="104"/>
      <c r="F44" s="105">
        <f>F21</f>
        <v>3300000</v>
      </c>
      <c r="G44" s="105"/>
      <c r="H44" s="105"/>
      <c r="I44" s="106"/>
      <c r="J44" s="107" t="s">
        <v>36</v>
      </c>
      <c r="K44" s="104"/>
      <c r="L44" s="135" t="str">
        <f>T27</f>
        <v>장효주</v>
      </c>
      <c r="M44" s="135"/>
      <c r="N44" s="135"/>
      <c r="O44" s="107" t="s">
        <v>37</v>
      </c>
      <c r="P44" s="136"/>
      <c r="Q44" s="137" t="str">
        <f>Q21</f>
        <v>제이오토(대구)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2025-10-31T08:17:08Z</dcterms:created>
  <dcterms:modified xsi:type="dcterms:W3CDTF">2025-10-31T08:17:08Z</dcterms:modified>
</cp:coreProperties>
</file>