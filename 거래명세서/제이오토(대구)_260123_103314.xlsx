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EB66859-25FB-4250-B6F0-0BC8F31B0DB8}" xr6:coauthVersionLast="47" xr6:coauthVersionMax="47" xr10:uidLastSave="{00000000-0000-0000-0000-000000000000}"/>
  <bookViews>
    <workbookView xWindow="-120" yWindow="-120" windowWidth="29040" windowHeight="15840" xr2:uid="{84E53868-B781-432B-B321-291933FF360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<sst xmlns="http://schemas.openxmlformats.org/spreadsheetml/2006/main" count="82" uniqueCount="46">
  <si>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</si>
  <si>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</si>
  <si>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</si>
  <si>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</si>
  <si>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</si>
  <si>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</si>
  <si>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</si>
  <si>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</si>
  <si>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</si>
  <si>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</si>
  <si>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</si>
  <si>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</si>
  <si>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</si>
  <si>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</si>
  <si>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</si>
  <si>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</si>
  <si>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</si>
  <si>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</si>
  <si>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</si>
  <si>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</si>
  <si>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</si>
  <si>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</si>
  <si>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</si>
  <si>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</si>
  <si>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</si>
  <si>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</si>
  <si>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</si>
  <si>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</si>
  <si>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</si>
  <si>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</si>
  <si>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</si>
  <si>
    <t>0B5_Solenoid</t>
  </si>
  <si>
    <t>50229</t>
  </si>
  <si>
    <t>0B5_Filter</t>
  </si>
  <si>
    <t>0B5325330A</t>
  </si>
  <si>
    <t>0B5_DISC</t>
  </si>
  <si>
    <t>34265KIT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</si>
  <si>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</si>
  <si>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</si>
  <si>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</si>
  <si>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</si>
  <si>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</si>
  <si>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</si>
  <si>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</si>
  <si>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알씨모터스(대구)_260123_103213.xlsx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</si>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</sst>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4E4532-7E59-4B01-82C7-36136D02BF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BEF5-9744-4016-BC36-57033D64794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75000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75000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40000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40000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130000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130000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 t="s">
        <v>38</v>
      </c>
      <c r="G12" s="56"/>
      <c r="H12" s="56"/>
      <c r="I12" s="57"/>
      <c r="J12" s="59">
        <v>20000</v>
      </c>
      <c r="K12" s="59"/>
      <c r="L12" s="59"/>
      <c r="M12" s="59"/>
      <c r="N12" s="59"/>
      <c r="O12" s="60">
        <v>1</v>
      </c>
      <c r="P12" s="60"/>
      <c r="Q12" s="61"/>
      <c r="R12" s="62"/>
      <c r="S12" s="63"/>
      <c r="T12" s="64">
        <v>20000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39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40</v>
      </c>
      <c r="B20" s="38"/>
      <c r="C20" s="38"/>
      <c r="D20" s="38"/>
      <c r="E20" s="38"/>
      <c r="F20" s="95">
        <v>410000</v>
      </c>
      <c r="G20" s="95"/>
      <c r="H20" s="95"/>
      <c r="I20" s="96"/>
      <c r="J20" s="97">
        <f>SUM(J8:N19)</f>
        <v>865000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865000</v>
      </c>
      <c r="U20" s="102"/>
    </row>
    <row r="21" spans="1:21" ht="20.100000000000001" customHeight="1" thickBot="1" x14ac:dyDescent="0.35">
      <c r="A21" s="103" t="s">
        <v>41</v>
      </c>
      <c r="B21" s="104"/>
      <c r="C21" s="104"/>
      <c r="D21" s="104"/>
      <c r="E21" s="104"/>
      <c r="F21" s="105">
        <f>F20+T20</f>
        <v>1275000</v>
      </c>
      <c r="G21" s="105"/>
      <c r="H21" s="105"/>
      <c r="I21" s="106"/>
      <c r="J21" s="107" t="s">
        <v>42</v>
      </c>
      <c r="K21" s="104"/>
      <c r="L21" s="108" t="str">
        <f>T4</f>
        <v>장효주</v>
      </c>
      <c r="M21" s="108"/>
      <c r="N21" s="108"/>
      <c r="O21" s="107" t="s">
        <v>43</v>
      </c>
      <c r="P21" s="104"/>
      <c r="Q21" s="108" t="str">
        <f>C3</f>
        <v>제이오토(대구)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44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 t="str">
        <f t="shared" ref="A32:A38" si="0">A9</f>
        <v>0B5_Solenoid</v>
      </c>
      <c r="B32" s="124"/>
      <c r="C32" s="124"/>
      <c r="D32" s="124"/>
      <c r="E32" s="124"/>
      <c r="F32" s="124" t="str">
        <f t="shared" ref="F32:F38" si="1">F9</f>
        <v>50229</v>
      </c>
      <c r="G32" s="124"/>
      <c r="H32" s="124"/>
      <c r="I32" s="124"/>
      <c r="J32" s="125">
        <f t="shared" ref="J32:J38" si="2">J9</f>
        <v>75000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75000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40000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40000</v>
      </c>
      <c r="U33" s="128"/>
    </row>
    <row r="34" spans="1:21" ht="15.6" customHeight="1" x14ac:dyDescent="0.3">
      <c r="A34" s="123" t="str">
        <f t="shared" si="0"/>
        <v>0B5_DISC</v>
      </c>
      <c r="B34" s="124"/>
      <c r="C34" s="124"/>
      <c r="D34" s="124"/>
      <c r="E34" s="124"/>
      <c r="F34" s="124" t="str">
        <f t="shared" si="1"/>
        <v>34265KIT</v>
      </c>
      <c r="G34" s="124"/>
      <c r="H34" s="124"/>
      <c r="I34" s="124"/>
      <c r="J34" s="125">
        <f t="shared" si="2"/>
        <v>130000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130000</v>
      </c>
      <c r="U34" s="128"/>
    </row>
    <row r="35" spans="1:21" ht="15.6" customHeight="1" x14ac:dyDescent="0.3">
      <c r="A35" s="123" t="str">
        <f t="shared" si="0"/>
        <v>0B5_Shaft_Seal</v>
      </c>
      <c r="B35" s="124"/>
      <c r="C35" s="124"/>
      <c r="D35" s="124"/>
      <c r="E35" s="124"/>
      <c r="F35" s="124" t="str">
        <f t="shared" si="1"/>
        <v>19037052B</v>
      </c>
      <c r="G35" s="124"/>
      <c r="H35" s="124"/>
      <c r="I35" s="124"/>
      <c r="J35" s="125">
        <f t="shared" si="2"/>
        <v>20000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0</v>
      </c>
      <c r="R35" s="126"/>
      <c r="S35" s="126"/>
      <c r="T35" s="127">
        <f t="shared" si="5"/>
        <v>20000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39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40</v>
      </c>
      <c r="B43" s="38"/>
      <c r="C43" s="38"/>
      <c r="D43" s="38"/>
      <c r="E43" s="38"/>
      <c r="F43" s="95">
        <f>F20</f>
        <v>410000</v>
      </c>
      <c r="G43" s="95"/>
      <c r="H43" s="95"/>
      <c r="I43" s="96"/>
      <c r="J43" s="97">
        <f>J20</f>
        <v>865000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865000</v>
      </c>
      <c r="U43" s="102"/>
    </row>
    <row r="44" spans="1:21" ht="20.100000000000001" customHeight="1" thickBot="1" x14ac:dyDescent="0.35">
      <c r="A44" s="103" t="s">
        <v>41</v>
      </c>
      <c r="B44" s="104"/>
      <c r="C44" s="104"/>
      <c r="D44" s="104"/>
      <c r="E44" s="104"/>
      <c r="F44" s="105">
        <f>F21</f>
        <v>1275000</v>
      </c>
      <c r="G44" s="105"/>
      <c r="H44" s="105"/>
      <c r="I44" s="106"/>
      <c r="J44" s="107" t="s">
        <v>42</v>
      </c>
      <c r="K44" s="104"/>
      <c r="L44" s="135" t="str">
        <f>T27</f>
        <v>장효주</v>
      </c>
      <c r="M44" s="135"/>
      <c r="N44" s="135"/>
      <c r="O44" s="107" t="s">
        <v>43</v>
      </c>
      <c r="P44" s="136"/>
      <c r="Q44" s="137" t="str">
        <f>Q21</f>
        <v>제이오토(대구)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2026-01-23T01:33:14Z</dcterms:created>
  <dcterms:modified xsi:type="dcterms:W3CDTF">2026-01-23T01:33:15Z</dcterms:modified>
</cp:coreProperties>
</file>