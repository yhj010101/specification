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D83A586-97D6-42E8-B5C9-D84DD2390189}" xr6:coauthVersionLast="47" xr6:coauthVersionMax="47" xr10:uidLastSave="{00000000-0000-0000-0000-000000000000}"/>
  <bookViews>
    <workbookView xWindow="-120" yWindow="-120" windowWidth="29040" windowHeight="15840" xr2:uid="{011667A8-FD68-475A-B4F1-9EB41AEDBFF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<sst xmlns="http://schemas.openxmlformats.org/spreadsheetml/2006/main" count="78" uniqueCount="42">
  <si>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</si>
  <si>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</si>
  <si>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</si>
  <si>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</si>
  <si>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</si>
  <si>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</si>
  <si>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</si>
  <si>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</si>
  <si>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제일오토(대구)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</si>
  <si>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</si>
  <si>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</si>
  <si>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</si>
  <si>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</si>
  <si>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</si>
  <si>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</si>
  <si>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</si>
  <si>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파동로 183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</si>
  <si>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</si>
  <si>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</si>
  <si>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010-5100-1818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</si>
  <si>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</si>
  <si>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</si>
  <si>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</si>
  <si>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</si>
  <si>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</si>
  <si>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</si>
  <si>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</si>
  <si>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</si>
  <si>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</si>
  <si>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0B5_Repair_Kit(Schaeffler)</t>
    <phoneticPr fontId="2" type="noConversion"/>
  </si>
  <si>
    <t>0B5398048D</t>
    <phoneticPr fontId="2" type="noConversion"/>
  </si>
  <si>
    <t>0B5_Solenoid</t>
  </si>
  <si>
    <t>50229</t>
  </si>
  <si>
    <t>0B5_Filter</t>
  </si>
  <si>
    <t>0B5325330A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</si>
  <si>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</si>
  <si>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</si>
  <si>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</si>
  <si>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</si>
  <si>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</si>
  <si>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하정오토(광주)_251029_180737.xlsx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</si>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</sst>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BFC5AD9-87EE-4B91-9638-CB2C0BE8643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A13BA-5157-444D-8C0E-8ECAD022F953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526364</v>
      </c>
      <c r="K8" s="48"/>
      <c r="L8" s="48"/>
      <c r="M8" s="48"/>
      <c r="N8" s="48"/>
      <c r="O8" s="49">
        <v>1</v>
      </c>
      <c r="P8" s="49"/>
      <c r="Q8" s="50">
        <v>52636</v>
      </c>
      <c r="R8" s="51"/>
      <c r="S8" s="52"/>
      <c r="T8" s="53">
        <v>579000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70000</v>
      </c>
      <c r="K9" s="59"/>
      <c r="L9" s="59"/>
      <c r="M9" s="59"/>
      <c r="N9" s="59"/>
      <c r="O9" s="60">
        <v>1</v>
      </c>
      <c r="P9" s="60"/>
      <c r="Q9" s="61">
        <v>7000</v>
      </c>
      <c r="R9" s="62"/>
      <c r="S9" s="63"/>
      <c r="T9" s="64">
        <v>77000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35000</v>
      </c>
      <c r="K10" s="59"/>
      <c r="L10" s="59"/>
      <c r="M10" s="59"/>
      <c r="N10" s="59"/>
      <c r="O10" s="60">
        <v>1</v>
      </c>
      <c r="P10" s="60"/>
      <c r="Q10" s="61">
        <v>3500</v>
      </c>
      <c r="R10" s="62"/>
      <c r="S10" s="63"/>
      <c r="T10" s="64">
        <v>38500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631364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63136</v>
      </c>
      <c r="R20" s="95"/>
      <c r="S20" s="96"/>
      <c r="T20" s="95">
        <f>SUM(T8:U15)</f>
        <v>694500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694500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제일오토(대구)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제일오토(대구)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파동로 183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010-5100-1818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0B5_Repair_Kit(Schaeffler)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526364</v>
      </c>
      <c r="K31" s="119"/>
      <c r="L31" s="119"/>
      <c r="M31" s="119"/>
      <c r="N31" s="119"/>
      <c r="O31" s="119">
        <f>O8</f>
        <v>1</v>
      </c>
      <c r="P31" s="119"/>
      <c r="Q31" s="120">
        <f>Q8</f>
        <v>52636</v>
      </c>
      <c r="R31" s="120"/>
      <c r="S31" s="120"/>
      <c r="T31" s="121">
        <f>T8</f>
        <v>579000</v>
      </c>
      <c r="U31" s="122"/>
    </row>
    <row r="32" spans="1:21" ht="15.6" customHeight="1" x14ac:dyDescent="0.3">
      <c r="A32" s="123" t="str">
        <f t="shared" ref="A32:A38" si="0">A9</f>
        <v>0B5_Solenoid</v>
      </c>
      <c r="B32" s="124"/>
      <c r="C32" s="124"/>
      <c r="D32" s="124"/>
      <c r="E32" s="124"/>
      <c r="F32" s="124" t="str">
        <f t="shared" ref="F32:F38" si="1">F9</f>
        <v>50229</v>
      </c>
      <c r="G32" s="124"/>
      <c r="H32" s="124"/>
      <c r="I32" s="124"/>
      <c r="J32" s="125">
        <f t="shared" ref="J32:J38" si="2">J9</f>
        <v>70000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7000</v>
      </c>
      <c r="R32" s="126"/>
      <c r="S32" s="126"/>
      <c r="T32" s="127">
        <f t="shared" ref="T32:T38" si="5">T9</f>
        <v>77000</v>
      </c>
      <c r="U32" s="128"/>
    </row>
    <row r="33" spans="1:21" ht="15.6" customHeight="1" x14ac:dyDescent="0.3">
      <c r="A33" s="123" t="str">
        <f t="shared" si="0"/>
        <v>0B5_Filter</v>
      </c>
      <c r="B33" s="124"/>
      <c r="C33" s="124"/>
      <c r="D33" s="124"/>
      <c r="E33" s="124"/>
      <c r="F33" s="124" t="str">
        <f t="shared" si="1"/>
        <v>0B5325330A</v>
      </c>
      <c r="G33" s="124"/>
      <c r="H33" s="124"/>
      <c r="I33" s="124"/>
      <c r="J33" s="125">
        <f t="shared" si="2"/>
        <v>35000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3500</v>
      </c>
      <c r="R33" s="126"/>
      <c r="S33" s="126"/>
      <c r="T33" s="127">
        <f t="shared" si="5"/>
        <v>38500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631364</v>
      </c>
      <c r="K43" s="98"/>
      <c r="L43" s="98"/>
      <c r="M43" s="98"/>
      <c r="N43" s="99"/>
      <c r="O43" s="100">
        <f>O20</f>
        <v>3</v>
      </c>
      <c r="P43" s="100"/>
      <c r="Q43" s="101">
        <f>Q20</f>
        <v>63136</v>
      </c>
      <c r="R43" s="95"/>
      <c r="S43" s="95"/>
      <c r="T43" s="95">
        <f>T20</f>
        <v>694500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694500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제일오토(대구)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2025-10-29T09:08:29Z</dcterms:created>
  <dcterms:modified xsi:type="dcterms:W3CDTF">2025-10-29T09:08:29Z</dcterms:modified>
</cp:coreProperties>
</file>