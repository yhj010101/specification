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현재_통합_문서"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CBC5E4DB-E558-48DA-998B-8A670A414B1F}" xr6:coauthVersionLast="47" xr6:coauthVersionMax="47" xr10:uidLastSave="{00000000-0000-0000-0000-000000000000}"/>
  <bookViews>
    <workbookView xWindow="-120" yWindow="-120" windowWidth="29040" windowHeight="15840" xr2:uid="{381D4225-110B-4420-B5CA-EBC379EB445B}"/>
  </bookViews>
  <sheets>
    <sheet name="거래명세서" sheetId="1" r:id="rId1"/>
  </sheets>
  <definedNames>
    <definedName name="_xlnm.Print_Area" localSheetId="0">거래명세서!$A$1:$U$44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44" i="1" l="1"/>
  <c r="L44" i="1"/>
  <c r="Q43" i="1"/>
  <c r="O43" i="1"/>
  <c r="J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L21" i="1"/>
  <c r="F21" i="1"/>
  <c r="F44" i="1" s="1"/>
  <c r="T20" i="1"/>
  <c r="T43" i="1" s="1"/>
  <c r="Q20" i="1"/>
  <c r="O20" i="1"/>
  <c r="J20" i="1"/>
</calcChain>
</file>

<file path=xl/sharedStrings.xml><?xml version="1.0" encoding="utf-8"?>
<sst xmlns="http://schemas.openxmlformats.org/spreadsheetml/2006/main" count="74" uniqueCount="38">
  <si>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</si>
  <si>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</si>
  <si>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</si>
  <si>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카카오뱅크 3333181865047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</si>
  <si>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</si>
  <si>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</si>
  <si>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</si>
  <si>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</si>
  <si>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조이오토(대구)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</si>
  <si>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</si>
  <si>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</si>
  <si>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</si>
  <si>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</si>
  <si>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</si>
  <si>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</si>
  <si>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</si>
  <si>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대구광역시 북구 연암로42길 43-1</t>
    <phoneticPr fontId="2" type="noConversion"/>
  </si>
  <si>
    <t>대구 달서구 용산로 28(본리동)</t>
    <phoneticPr fontId="2" type="noConversion"/>
  </si>
  <si>
    <t>전화</t>
    <phoneticPr fontId="2" type="noConversion"/>
  </si>
  <si>
    <t>010-4141-9634</t>
    <phoneticPr fontId="2" type="noConversion"/>
  </si>
  <si>
    <t>010-5168-3542</t>
    <phoneticPr fontId="2" type="noConversion"/>
  </si>
  <si>
    <t>배송</t>
    <phoneticPr fontId="2" type="noConversion"/>
  </si>
  <si>
    <t>대구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</si>
  <si>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</si>
  <si>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</si>
  <si>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</si>
  <si>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</si>
  <si>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</si>
  <si>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</si>
  <si>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724_Diff_Clutch</t>
    <phoneticPr fontId="2" type="noConversion"/>
  </si>
  <si>
    <t>A1763503100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</si>
  <si>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</si>
  <si>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</si>
  <si>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</si>
  <si>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</si>
  <si>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</si>
  <si>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오토맥스(대구)_260120_175531.xlsx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</si>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</sst>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41" fontId="6" fillId="0" borderId="24" xfId="1" applyFont="1" applyBorder="1" applyAlignment="1">
      <alignment vertical="center"/>
    </xf>
    <xf numFmtId="41" fontId="6" fillId="0" borderId="22" xfId="1" applyFont="1" applyBorder="1" applyAlignment="1">
      <alignment vertical="center"/>
    </xf>
    <xf numFmtId="41" fontId="6" fillId="0" borderId="23" xfId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41" fontId="6" fillId="0" borderId="30" xfId="1" applyFont="1" applyBorder="1" applyAlignment="1">
      <alignment vertical="center"/>
    </xf>
    <xf numFmtId="41" fontId="6" fillId="0" borderId="28" xfId="1" applyFont="1" applyBorder="1" applyAlignment="1">
      <alignment vertical="center"/>
    </xf>
    <xf numFmtId="41" fontId="6" fillId="0" borderId="29" xfId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41" fontId="6" fillId="0" borderId="36" xfId="1" applyFont="1" applyBorder="1" applyAlignment="1">
      <alignment horizontal="center" vertical="center"/>
    </xf>
    <xf numFmtId="41" fontId="6" fillId="0" borderId="34" xfId="1" applyFont="1" applyBorder="1" applyAlignment="1">
      <alignment horizontal="center" vertical="center"/>
    </xf>
    <xf numFmtId="41" fontId="6" fillId="0" borderId="35" xfId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134D636A-C861-453E-ABB2-98130460A254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76B23-7C3D-4586-A50B-7468495D3FE2}">
  <sheetPr codeName="shtOrder_print1"/>
  <dimension ref="A1:U44"/>
  <sheetViews>
    <sheetView tabSelected="1" topLeftCell="A5" zoomScaleNormal="100" workbookViewId="0">
      <selection activeCell="T43" sqref="T43:U43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46042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0" t="s">
        <v>22</v>
      </c>
      <c r="U6" s="34"/>
    </row>
    <row r="7" spans="1:21" ht="15.75" customHeight="1" x14ac:dyDescent="0.3">
      <c r="A7" s="37" t="s">
        <v>23</v>
      </c>
      <c r="B7" s="38"/>
      <c r="C7" s="38"/>
      <c r="D7" s="38"/>
      <c r="E7" s="39"/>
      <c r="F7" s="40" t="s">
        <v>24</v>
      </c>
      <c r="G7" s="38"/>
      <c r="H7" s="38"/>
      <c r="I7" s="39"/>
      <c r="J7" s="40" t="s">
        <v>25</v>
      </c>
      <c r="K7" s="38"/>
      <c r="L7" s="38"/>
      <c r="M7" s="38"/>
      <c r="N7" s="39"/>
      <c r="O7" s="38" t="s">
        <v>26</v>
      </c>
      <c r="P7" s="39"/>
      <c r="Q7" s="40" t="s">
        <v>27</v>
      </c>
      <c r="R7" s="38"/>
      <c r="S7" s="39"/>
      <c r="T7" s="40" t="s">
        <v>28</v>
      </c>
      <c r="U7" s="41"/>
    </row>
    <row r="8" spans="1:21" ht="15.6" customHeight="1" x14ac:dyDescent="0.3">
      <c r="A8" s="42" t="s">
        <v>29</v>
      </c>
      <c r="B8" s="43"/>
      <c r="C8" s="43"/>
      <c r="D8" s="43"/>
      <c r="E8" s="44"/>
      <c r="F8" s="45" t="s">
        <v>30</v>
      </c>
      <c r="G8" s="46"/>
      <c r="H8" s="46"/>
      <c r="I8" s="47"/>
      <c r="J8" s="48">
        <v>850000</v>
      </c>
      <c r="K8" s="48"/>
      <c r="L8" s="48"/>
      <c r="M8" s="48"/>
      <c r="N8" s="48"/>
      <c r="O8" s="49">
        <v>1</v>
      </c>
      <c r="P8" s="49"/>
      <c r="Q8" s="50"/>
      <c r="R8" s="51"/>
      <c r="S8" s="52"/>
      <c r="T8" s="53">
        <v>850000</v>
      </c>
      <c r="U8" s="54"/>
    </row>
    <row r="9" spans="1:21" ht="15.6" customHeight="1" x14ac:dyDescent="0.3">
      <c r="A9" s="55"/>
      <c r="B9" s="56"/>
      <c r="C9" s="56"/>
      <c r="D9" s="56"/>
      <c r="E9" s="57"/>
      <c r="F9" s="58"/>
      <c r="G9" s="56"/>
      <c r="H9" s="56"/>
      <c r="I9" s="57"/>
      <c r="J9" s="59"/>
      <c r="K9" s="59"/>
      <c r="L9" s="59"/>
      <c r="M9" s="59"/>
      <c r="N9" s="59"/>
      <c r="O9" s="60"/>
      <c r="P9" s="60"/>
      <c r="Q9" s="61"/>
      <c r="R9" s="62"/>
      <c r="S9" s="63"/>
      <c r="T9" s="64"/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31</v>
      </c>
      <c r="B16" s="78"/>
      <c r="C16" s="78"/>
      <c r="D16" s="78"/>
      <c r="E16" s="79"/>
      <c r="F16" s="80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32</v>
      </c>
      <c r="B20" s="38"/>
      <c r="C20" s="38"/>
      <c r="D20" s="38"/>
      <c r="E20" s="38"/>
      <c r="F20" s="95">
        <v>0</v>
      </c>
      <c r="G20" s="95"/>
      <c r="H20" s="95"/>
      <c r="I20" s="96"/>
      <c r="J20" s="97">
        <f>SUM(J8:N19)</f>
        <v>850000</v>
      </c>
      <c r="K20" s="98"/>
      <c r="L20" s="98"/>
      <c r="M20" s="98"/>
      <c r="N20" s="99"/>
      <c r="O20" s="100">
        <f>SUM(O8:P19)</f>
        <v>1</v>
      </c>
      <c r="P20" s="100"/>
      <c r="Q20" s="101">
        <f>SUM(Q8:S19)</f>
        <v>0</v>
      </c>
      <c r="R20" s="95"/>
      <c r="S20" s="96"/>
      <c r="T20" s="95">
        <f>SUM(T8:U15)</f>
        <v>850000</v>
      </c>
      <c r="U20" s="102"/>
    </row>
    <row r="21" spans="1:21" ht="20.100000000000001" customHeight="1" thickBot="1" x14ac:dyDescent="0.35">
      <c r="A21" s="103" t="s">
        <v>33</v>
      </c>
      <c r="B21" s="104"/>
      <c r="C21" s="104"/>
      <c r="D21" s="104"/>
      <c r="E21" s="104"/>
      <c r="F21" s="105">
        <f>F20+T20</f>
        <v>850000</v>
      </c>
      <c r="G21" s="105"/>
      <c r="H21" s="105"/>
      <c r="I21" s="106"/>
      <c r="J21" s="107" t="s">
        <v>34</v>
      </c>
      <c r="K21" s="104"/>
      <c r="L21" s="108" t="str">
        <f>T4</f>
        <v>장효주</v>
      </c>
      <c r="M21" s="108"/>
      <c r="N21" s="108"/>
      <c r="O21" s="107" t="s">
        <v>35</v>
      </c>
      <c r="P21" s="104"/>
      <c r="Q21" s="108" t="str">
        <f>C3</f>
        <v>조이오토(대구)</v>
      </c>
      <c r="R21" s="108"/>
      <c r="S21" s="108"/>
      <c r="T21" s="108"/>
      <c r="U21" s="109"/>
    </row>
    <row r="22" spans="1:21" ht="20.100000000000001" customHeight="1" x14ac:dyDescent="0.3">
      <c r="A22" s="110" t="s">
        <v>36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>
        <f>S1</f>
        <v>0</v>
      </c>
      <c r="T24" s="112"/>
      <c r="U24" s="113"/>
    </row>
    <row r="25" spans="1:21" x14ac:dyDescent="0.3">
      <c r="A25" s="7" t="s">
        <v>2</v>
      </c>
      <c r="B25" s="8"/>
      <c r="C25" s="9" t="str">
        <f>C2</f>
        <v>카카오뱅크 3333181865047</v>
      </c>
      <c r="D25" s="10"/>
      <c r="E25" s="10"/>
      <c r="F25" s="10"/>
      <c r="G25" s="11"/>
      <c r="H25" s="9" t="s">
        <v>37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46042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조이오토(대구)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대구광역시 북구 연암로42길 43-1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010-4141-9634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 t="str">
        <f>T6</f>
        <v>대구</v>
      </c>
      <c r="U29" s="34"/>
    </row>
    <row r="30" spans="1:21" ht="15.6" customHeight="1" x14ac:dyDescent="0.3">
      <c r="A30" s="37" t="s">
        <v>23</v>
      </c>
      <c r="B30" s="38"/>
      <c r="C30" s="38"/>
      <c r="D30" s="38"/>
      <c r="E30" s="39"/>
      <c r="F30" s="40" t="s">
        <v>24</v>
      </c>
      <c r="G30" s="38"/>
      <c r="H30" s="38"/>
      <c r="I30" s="39"/>
      <c r="J30" s="40" t="s">
        <v>25</v>
      </c>
      <c r="K30" s="38"/>
      <c r="L30" s="38"/>
      <c r="M30" s="38"/>
      <c r="N30" s="39"/>
      <c r="O30" s="38" t="s">
        <v>26</v>
      </c>
      <c r="P30" s="39"/>
      <c r="Q30" s="40" t="s">
        <v>27</v>
      </c>
      <c r="R30" s="38"/>
      <c r="S30" s="39"/>
      <c r="T30" s="40" t="s">
        <v>28</v>
      </c>
      <c r="U30" s="41"/>
    </row>
    <row r="31" spans="1:21" ht="15.6" customHeight="1" x14ac:dyDescent="0.3">
      <c r="A31" s="117" t="str">
        <f>A8</f>
        <v>724_Diff_Clutch</v>
      </c>
      <c r="B31" s="118"/>
      <c r="C31" s="118"/>
      <c r="D31" s="118"/>
      <c r="E31" s="118"/>
      <c r="F31" s="118" t="str">
        <f>F8</f>
        <v>A1763503100</v>
      </c>
      <c r="G31" s="118"/>
      <c r="H31" s="118"/>
      <c r="I31" s="118"/>
      <c r="J31" s="119">
        <f>J8</f>
        <v>850000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0</v>
      </c>
      <c r="R31" s="120"/>
      <c r="S31" s="120"/>
      <c r="T31" s="121">
        <f>T8</f>
        <v>850000</v>
      </c>
      <c r="U31" s="122"/>
    </row>
    <row r="32" spans="1:21" ht="15.6" customHeight="1" x14ac:dyDescent="0.3">
      <c r="A32" s="123">
        <f t="shared" ref="A32:A38" si="0">A9</f>
        <v>0</v>
      </c>
      <c r="B32" s="124"/>
      <c r="C32" s="124"/>
      <c r="D32" s="124"/>
      <c r="E32" s="124"/>
      <c r="F32" s="124">
        <f t="shared" ref="F32:F38" si="1">F9</f>
        <v>0</v>
      </c>
      <c r="G32" s="124"/>
      <c r="H32" s="124"/>
      <c r="I32" s="124"/>
      <c r="J32" s="125">
        <f t="shared" ref="J32:J38" si="2">J9</f>
        <v>0</v>
      </c>
      <c r="K32" s="125"/>
      <c r="L32" s="125"/>
      <c r="M32" s="125"/>
      <c r="N32" s="125"/>
      <c r="O32" s="125">
        <f t="shared" ref="O32:O38" si="3">O9</f>
        <v>0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31</v>
      </c>
      <c r="B39" s="78"/>
      <c r="C39" s="78"/>
      <c r="D39" s="78"/>
      <c r="E39" s="79"/>
      <c r="F39" s="80">
        <f>F16</f>
        <v>0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32</v>
      </c>
      <c r="B43" s="38"/>
      <c r="C43" s="38"/>
      <c r="D43" s="38"/>
      <c r="E43" s="38"/>
      <c r="F43" s="95">
        <f>F20</f>
        <v>0</v>
      </c>
      <c r="G43" s="95"/>
      <c r="H43" s="95"/>
      <c r="I43" s="96"/>
      <c r="J43" s="97">
        <f>J20</f>
        <v>850000</v>
      </c>
      <c r="K43" s="98"/>
      <c r="L43" s="98"/>
      <c r="M43" s="98"/>
      <c r="N43" s="99"/>
      <c r="O43" s="100">
        <f>O20</f>
        <v>1</v>
      </c>
      <c r="P43" s="100"/>
      <c r="Q43" s="101">
        <f>Q20</f>
        <v>0</v>
      </c>
      <c r="R43" s="95"/>
      <c r="S43" s="95"/>
      <c r="T43" s="95">
        <f>T20</f>
        <v>850000</v>
      </c>
      <c r="U43" s="102"/>
    </row>
    <row r="44" spans="1:21" ht="20.100000000000001" customHeight="1" thickBot="1" x14ac:dyDescent="0.35">
      <c r="A44" s="103" t="s">
        <v>33</v>
      </c>
      <c r="B44" s="104"/>
      <c r="C44" s="104"/>
      <c r="D44" s="104"/>
      <c r="E44" s="104"/>
      <c r="F44" s="105">
        <f>F21</f>
        <v>850000</v>
      </c>
      <c r="G44" s="105"/>
      <c r="H44" s="105"/>
      <c r="I44" s="106"/>
      <c r="J44" s="107" t="s">
        <v>34</v>
      </c>
      <c r="K44" s="104"/>
      <c r="L44" s="135" t="str">
        <f>T27</f>
        <v>장효주</v>
      </c>
      <c r="M44" s="135"/>
      <c r="N44" s="135"/>
      <c r="O44" s="107" t="s">
        <v>35</v>
      </c>
      <c r="P44" s="136"/>
      <c r="Q44" s="137" t="str">
        <f>Q21</f>
        <v>조이오토(대구)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거래명세서</vt:lpstr>
      <vt:lpstr>거래명세서!Print_Area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2026-01-20T09:23:05Z</dcterms:created>
  <dcterms:modified xsi:type="dcterms:W3CDTF">2026-01-20T09:23:06Z</dcterms:modified>
</cp:coreProperties>
</file>