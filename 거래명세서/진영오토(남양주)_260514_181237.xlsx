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D343817-2F38-44BA-9EBE-73CBCDBE8333}" xr6:coauthVersionLast="47" xr6:coauthVersionMax="47" xr10:uidLastSave="{00000000-0000-0000-0000-000000000000}"/>
  <bookViews>
    <workbookView xWindow="-120" yWindow="-120" windowWidth="29040" windowHeight="15840" xr2:uid="{A08D8821-C0AF-444A-A5C5-D8B501A3740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O43" i="1" s="1"/>
  <c r="J20" i="1"/>
</calcChain>
</file>

<file path=xl/sharedStrings.xml><?xml version="1.0" encoding="utf-8"?>
<sst xmlns="http://schemas.openxmlformats.org/spreadsheetml/2006/main" count="79" uniqueCount="43">
  <si>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</si>
  <si>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</si>
  <si>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</si>
  <si>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</si>
  <si>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</si>
  <si>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</si>
  <si>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</si>
  <si>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</si>
  <si>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</si>
  <si>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</si>
  <si>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</si>
  <si>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</si>
  <si>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</si>
  <si>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</si>
  <si>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</si>
  <si>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</si>
  <si>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</si>
  <si>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</si>
  <si>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</si>
  <si>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</si>
  <si>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</si>
  <si>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</si>
  <si>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</si>
  <si>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</si>
  <si>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</si>
  <si>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</si>
  <si>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</si>
  <si>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</si>
  <si>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</si>
  <si>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</si>
  <si>
    <t>0B5_DISC</t>
  </si>
  <si>
    <t>34265KIT</t>
  </si>
  <si>
    <t>0B5_Filter</t>
  </si>
  <si>
    <t>0B5325330A</t>
  </si>
  <si>
    <t>0B5_Shaft_Seal</t>
  </si>
  <si>
    <t>19037052B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</si>
  <si>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</si>
  <si>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</si>
  <si>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</si>
  <si>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</si>
  <si>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</si>
  <si>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대성오토(대구)_260514_181125.xlsx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</si>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</sst>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EC258B3-8DE8-4C7C-AA6B-5B7DA4ED19A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D30A6-D1F2-400C-88EE-CD1457B6085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46156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650000</v>
      </c>
      <c r="K8" s="49"/>
      <c r="L8" s="49"/>
      <c r="M8" s="49"/>
      <c r="N8" s="49"/>
      <c r="O8" s="50">
        <v>2</v>
      </c>
      <c r="P8" s="50"/>
      <c r="Q8" s="51"/>
      <c r="R8" s="52"/>
      <c r="S8" s="53"/>
      <c r="T8" s="54">
        <v>1300000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140000</v>
      </c>
      <c r="K9" s="60"/>
      <c r="L9" s="60"/>
      <c r="M9" s="60"/>
      <c r="N9" s="60"/>
      <c r="O9" s="61">
        <v>2</v>
      </c>
      <c r="P9" s="61"/>
      <c r="Q9" s="62"/>
      <c r="R9" s="63"/>
      <c r="S9" s="64"/>
      <c r="T9" s="65">
        <v>280000</v>
      </c>
      <c r="U9" s="66"/>
    </row>
    <row r="10" spans="1:21" ht="15.6" customHeight="1" x14ac:dyDescent="0.3">
      <c r="A10" s="56" t="s">
        <v>32</v>
      </c>
      <c r="B10" s="57"/>
      <c r="C10" s="57"/>
      <c r="D10" s="57"/>
      <c r="E10" s="58"/>
      <c r="F10" s="59" t="s">
        <v>33</v>
      </c>
      <c r="G10" s="57"/>
      <c r="H10" s="57"/>
      <c r="I10" s="58"/>
      <c r="J10" s="60">
        <v>40000</v>
      </c>
      <c r="K10" s="60"/>
      <c r="L10" s="60"/>
      <c r="M10" s="60"/>
      <c r="N10" s="60"/>
      <c r="O10" s="61">
        <v>2</v>
      </c>
      <c r="P10" s="61"/>
      <c r="Q10" s="62"/>
      <c r="R10" s="63"/>
      <c r="S10" s="64"/>
      <c r="T10" s="65">
        <v>80000</v>
      </c>
      <c r="U10" s="66"/>
    </row>
    <row r="11" spans="1:21" ht="15.6" customHeight="1" x14ac:dyDescent="0.3">
      <c r="A11" s="56" t="s">
        <v>34</v>
      </c>
      <c r="B11" s="57"/>
      <c r="C11" s="57"/>
      <c r="D11" s="57"/>
      <c r="E11" s="58"/>
      <c r="F11" s="59" t="s">
        <v>35</v>
      </c>
      <c r="G11" s="57"/>
      <c r="H11" s="57"/>
      <c r="I11" s="58"/>
      <c r="J11" s="60">
        <v>20000</v>
      </c>
      <c r="K11" s="60"/>
      <c r="L11" s="60"/>
      <c r="M11" s="60"/>
      <c r="N11" s="60"/>
      <c r="O11" s="61">
        <v>2</v>
      </c>
      <c r="P11" s="61"/>
      <c r="Q11" s="62"/>
      <c r="R11" s="63"/>
      <c r="S11" s="64"/>
      <c r="T11" s="65">
        <v>40000</v>
      </c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36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37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850000</v>
      </c>
      <c r="K20" s="99"/>
      <c r="L20" s="99"/>
      <c r="M20" s="99"/>
      <c r="N20" s="100"/>
      <c r="O20" s="101">
        <f>SUM(O8:P19)</f>
        <v>8</v>
      </c>
      <c r="P20" s="101"/>
      <c r="Q20" s="102">
        <f>SUM(Q8:S19)</f>
        <v>0</v>
      </c>
      <c r="R20" s="96"/>
      <c r="S20" s="97"/>
      <c r="T20" s="96">
        <f>SUM(T8:U15)</f>
        <v>1700000</v>
      </c>
      <c r="U20" s="103"/>
    </row>
    <row r="21" spans="1:21" ht="20.100000000000001" customHeight="1" thickBot="1" x14ac:dyDescent="0.35">
      <c r="A21" s="104" t="s">
        <v>38</v>
      </c>
      <c r="B21" s="105"/>
      <c r="C21" s="105"/>
      <c r="D21" s="105"/>
      <c r="E21" s="105"/>
      <c r="F21" s="106">
        <f>F20+T20</f>
        <v>1699999.9000000004</v>
      </c>
      <c r="G21" s="106"/>
      <c r="H21" s="106"/>
      <c r="I21" s="107"/>
      <c r="J21" s="108" t="s">
        <v>39</v>
      </c>
      <c r="K21" s="105"/>
      <c r="L21" s="109" t="str">
        <f>T4</f>
        <v>장효주</v>
      </c>
      <c r="M21" s="109"/>
      <c r="N21" s="109"/>
      <c r="O21" s="108" t="s">
        <v>40</v>
      </c>
      <c r="P21" s="105"/>
      <c r="Q21" s="109" t="str">
        <f>C3</f>
        <v>진영오토(남양주)</v>
      </c>
      <c r="R21" s="109"/>
      <c r="S21" s="109"/>
      <c r="T21" s="109"/>
      <c r="U21" s="110"/>
    </row>
    <row r="22" spans="1:21" ht="20.100000000000001" customHeight="1" x14ac:dyDescent="0.3">
      <c r="A22" s="111" t="s">
        <v>41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42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46156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2</v>
      </c>
      <c r="P31" s="120"/>
      <c r="Q31" s="121">
        <f>Q8</f>
        <v>0</v>
      </c>
      <c r="R31" s="121"/>
      <c r="S31" s="121"/>
      <c r="T31" s="122">
        <f>T8</f>
        <v>1300000</v>
      </c>
      <c r="U31" s="123"/>
    </row>
    <row r="32" spans="1:21" ht="15.6" customHeight="1" x14ac:dyDescent="0.3">
      <c r="A32" s="124" t="str">
        <f t="shared" ref="A32:A38" si="0">A9</f>
        <v>0B5_DISC</v>
      </c>
      <c r="B32" s="125"/>
      <c r="C32" s="125"/>
      <c r="D32" s="125"/>
      <c r="E32" s="125"/>
      <c r="F32" s="125" t="str">
        <f t="shared" ref="F32:F38" si="1">F9</f>
        <v>34265KIT</v>
      </c>
      <c r="G32" s="125"/>
      <c r="H32" s="125"/>
      <c r="I32" s="125"/>
      <c r="J32" s="126">
        <f t="shared" ref="J32:J38" si="2">J9</f>
        <v>140000</v>
      </c>
      <c r="K32" s="126"/>
      <c r="L32" s="126"/>
      <c r="M32" s="126"/>
      <c r="N32" s="126"/>
      <c r="O32" s="126">
        <f t="shared" ref="O32:O38" si="3">O9</f>
        <v>2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280000</v>
      </c>
      <c r="U32" s="129"/>
    </row>
    <row r="33" spans="1:21" ht="15.6" customHeight="1" x14ac:dyDescent="0.3">
      <c r="A33" s="124" t="str">
        <f t="shared" si="0"/>
        <v>0B5_Filter</v>
      </c>
      <c r="B33" s="125"/>
      <c r="C33" s="125"/>
      <c r="D33" s="125"/>
      <c r="E33" s="125"/>
      <c r="F33" s="125" t="str">
        <f t="shared" si="1"/>
        <v>0B5325330A</v>
      </c>
      <c r="G33" s="125"/>
      <c r="H33" s="125"/>
      <c r="I33" s="125"/>
      <c r="J33" s="126">
        <f t="shared" si="2"/>
        <v>40000</v>
      </c>
      <c r="K33" s="126"/>
      <c r="L33" s="126"/>
      <c r="M33" s="126"/>
      <c r="N33" s="126"/>
      <c r="O33" s="126">
        <f t="shared" si="3"/>
        <v>2</v>
      </c>
      <c r="P33" s="126"/>
      <c r="Q33" s="127">
        <f t="shared" si="4"/>
        <v>0</v>
      </c>
      <c r="R33" s="127"/>
      <c r="S33" s="127"/>
      <c r="T33" s="128">
        <f t="shared" si="5"/>
        <v>80000</v>
      </c>
      <c r="U33" s="129"/>
    </row>
    <row r="34" spans="1:21" ht="15.6" customHeight="1" x14ac:dyDescent="0.3">
      <c r="A34" s="124" t="str">
        <f t="shared" si="0"/>
        <v>0B5_Shaft_Seal</v>
      </c>
      <c r="B34" s="125"/>
      <c r="C34" s="125"/>
      <c r="D34" s="125"/>
      <c r="E34" s="125"/>
      <c r="F34" s="125" t="str">
        <f t="shared" si="1"/>
        <v>19037052B</v>
      </c>
      <c r="G34" s="125"/>
      <c r="H34" s="125"/>
      <c r="I34" s="125"/>
      <c r="J34" s="126">
        <f t="shared" si="2"/>
        <v>20000</v>
      </c>
      <c r="K34" s="126"/>
      <c r="L34" s="126"/>
      <c r="M34" s="126"/>
      <c r="N34" s="126"/>
      <c r="O34" s="126">
        <f t="shared" si="3"/>
        <v>2</v>
      </c>
      <c r="P34" s="126"/>
      <c r="Q34" s="127">
        <f t="shared" si="4"/>
        <v>0</v>
      </c>
      <c r="R34" s="127"/>
      <c r="S34" s="127"/>
      <c r="T34" s="128">
        <f t="shared" si="5"/>
        <v>40000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36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37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850000</v>
      </c>
      <c r="K43" s="99"/>
      <c r="L43" s="99"/>
      <c r="M43" s="99"/>
      <c r="N43" s="100"/>
      <c r="O43" s="101">
        <f>O20</f>
        <v>8</v>
      </c>
      <c r="P43" s="101"/>
      <c r="Q43" s="102">
        <f>Q20</f>
        <v>0</v>
      </c>
      <c r="R43" s="96"/>
      <c r="S43" s="96"/>
      <c r="T43" s="96">
        <f>T20</f>
        <v>1700000</v>
      </c>
      <c r="U43" s="103"/>
    </row>
    <row r="44" spans="1:21" ht="20.100000000000001" customHeight="1" thickBot="1" x14ac:dyDescent="0.35">
      <c r="A44" s="104" t="s">
        <v>38</v>
      </c>
      <c r="B44" s="105"/>
      <c r="C44" s="105"/>
      <c r="D44" s="105"/>
      <c r="E44" s="105"/>
      <c r="F44" s="106">
        <f>F21</f>
        <v>1699999.9000000004</v>
      </c>
      <c r="G44" s="106"/>
      <c r="H44" s="106"/>
      <c r="I44" s="107"/>
      <c r="J44" s="108" t="s">
        <v>39</v>
      </c>
      <c r="K44" s="105"/>
      <c r="L44" s="136" t="str">
        <f>T27</f>
        <v>장효주</v>
      </c>
      <c r="M44" s="136"/>
      <c r="N44" s="136"/>
      <c r="O44" s="108" t="s">
        <v>40</v>
      </c>
      <c r="P44" s="137"/>
      <c r="Q44" s="138" t="str">
        <f>Q21</f>
        <v>진영오토(남양주)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2026-05-14T09:12:37Z</dcterms:created>
  <dcterms:modified xsi:type="dcterms:W3CDTF">2026-05-14T09:12:37Z</dcterms:modified>
</cp:coreProperties>
</file>