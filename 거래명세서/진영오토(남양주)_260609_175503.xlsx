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3588964-3008-496A-8B13-71B7C0689BBF}" xr6:coauthVersionLast="47" xr6:coauthVersionMax="47" xr10:uidLastSave="{00000000-0000-0000-0000-000000000000}"/>
  <bookViews>
    <workbookView xWindow="-120" yWindow="-120" windowWidth="29040" windowHeight="15840" xr2:uid="{03927567-51BE-415E-9DFC-24681018121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<sst xmlns="http://schemas.openxmlformats.org/spreadsheetml/2006/main" count="77" uniqueCount="41">
  <si>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</si>
  <si>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</si>
  <si>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</si>
  <si>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</si>
  <si>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</si>
  <si>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</si>
  <si>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</si>
  <si>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</si>
  <si>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</si>
  <si>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</si>
  <si>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</si>
  <si>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</si>
  <si>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</si>
  <si>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</si>
  <si>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</si>
  <si>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</si>
  <si>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</si>
  <si>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</si>
  <si>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</si>
  <si>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</si>
  <si>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</si>
  <si>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</si>
  <si>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</si>
  <si>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</si>
  <si>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</si>
  <si>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</si>
  <si>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</si>
  <si>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</si>
  <si>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</si>
  <si>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</si>
  <si>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</si>
  <si>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</si>
  <si>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0B5_Repair_Kit</t>
  </si>
  <si>
    <t>0B5398048D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</si>
  <si>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</si>
  <si>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</si>
  <si>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</si>
  <si>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</si>
  <si>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</si>
  <si>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미르오토(대구)_260608_190400.xlsx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</si>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</sst>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C6CA34-C94D-4D63-9951-FCD0AF58CF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10BD-E342-4B2D-AE1A-BF91B99A68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 t="s">
        <v>32</v>
      </c>
      <c r="B10" s="57"/>
      <c r="C10" s="57"/>
      <c r="D10" s="57"/>
      <c r="E10" s="58"/>
      <c r="F10" s="59" t="s">
        <v>33</v>
      </c>
      <c r="G10" s="57"/>
      <c r="H10" s="57"/>
      <c r="I10" s="58"/>
      <c r="J10" s="60">
        <v>650000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650000</v>
      </c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34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35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2100000</v>
      </c>
      <c r="K20" s="99"/>
      <c r="L20" s="99"/>
      <c r="M20" s="99"/>
      <c r="N20" s="100"/>
      <c r="O20" s="101">
        <f>SUM(O8:P19)</f>
        <v>3</v>
      </c>
      <c r="P20" s="101"/>
      <c r="Q20" s="102">
        <f>SUM(Q8:S19)</f>
        <v>0</v>
      </c>
      <c r="R20" s="96"/>
      <c r="S20" s="97"/>
      <c r="T20" s="96">
        <f>SUM(T8:U15)</f>
        <v>2100000</v>
      </c>
      <c r="U20" s="103"/>
    </row>
    <row r="21" spans="1:21" ht="20.100000000000001" customHeight="1" thickBot="1" x14ac:dyDescent="0.35">
      <c r="A21" s="104" t="s">
        <v>36</v>
      </c>
      <c r="B21" s="105"/>
      <c r="C21" s="105"/>
      <c r="D21" s="105"/>
      <c r="E21" s="105"/>
      <c r="F21" s="106">
        <f>F20+T20</f>
        <v>2099999.9000000004</v>
      </c>
      <c r="G21" s="106"/>
      <c r="H21" s="106"/>
      <c r="I21" s="107"/>
      <c r="J21" s="108" t="s">
        <v>37</v>
      </c>
      <c r="K21" s="105"/>
      <c r="L21" s="109" t="str">
        <f>T4</f>
        <v>장효주</v>
      </c>
      <c r="M21" s="109"/>
      <c r="N21" s="109"/>
      <c r="O21" s="108" t="s">
        <v>38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39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 t="str">
        <f t="shared" si="0"/>
        <v>0B5_Repair_Kit</v>
      </c>
      <c r="B33" s="125"/>
      <c r="C33" s="125"/>
      <c r="D33" s="125"/>
      <c r="E33" s="125"/>
      <c r="F33" s="125" t="str">
        <f t="shared" si="1"/>
        <v>0B5398048D</v>
      </c>
      <c r="G33" s="125"/>
      <c r="H33" s="125"/>
      <c r="I33" s="125"/>
      <c r="J33" s="126">
        <f t="shared" si="2"/>
        <v>650000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650000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34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35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2100000</v>
      </c>
      <c r="K43" s="99"/>
      <c r="L43" s="99"/>
      <c r="M43" s="99"/>
      <c r="N43" s="100"/>
      <c r="O43" s="101">
        <f>O20</f>
        <v>3</v>
      </c>
      <c r="P43" s="101"/>
      <c r="Q43" s="102">
        <f>Q20</f>
        <v>0</v>
      </c>
      <c r="R43" s="96"/>
      <c r="S43" s="96"/>
      <c r="T43" s="96">
        <f>T20</f>
        <v>2100000</v>
      </c>
      <c r="U43" s="103"/>
    </row>
    <row r="44" spans="1:21" ht="20.100000000000001" customHeight="1" thickBot="1" x14ac:dyDescent="0.35">
      <c r="A44" s="104" t="s">
        <v>36</v>
      </c>
      <c r="B44" s="105"/>
      <c r="C44" s="105"/>
      <c r="D44" s="105"/>
      <c r="E44" s="105"/>
      <c r="F44" s="106">
        <f>F21</f>
        <v>2099999.9000000004</v>
      </c>
      <c r="G44" s="106"/>
      <c r="H44" s="106"/>
      <c r="I44" s="107"/>
      <c r="J44" s="108" t="s">
        <v>37</v>
      </c>
      <c r="K44" s="105"/>
      <c r="L44" s="136" t="str">
        <f>T27</f>
        <v>장효주</v>
      </c>
      <c r="M44" s="136"/>
      <c r="N44" s="136"/>
      <c r="O44" s="108" t="s">
        <v>38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2026-06-09T08:55:03Z</dcterms:created>
  <dcterms:modified xsi:type="dcterms:W3CDTF">2026-06-09T08:55:03Z</dcterms:modified>
</cp:coreProperties>
</file>