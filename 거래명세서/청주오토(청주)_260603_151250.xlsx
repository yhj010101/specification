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5659DAD-4430-44F4-92D5-B598BAD17B2C}" xr6:coauthVersionLast="47" xr6:coauthVersionMax="47" xr10:uidLastSave="{00000000-0000-0000-0000-000000000000}"/>
  <bookViews>
    <workbookView xWindow="-120" yWindow="-120" windowWidth="29040" windowHeight="15840" xr2:uid="{543C361A-DB64-476F-ABCB-3C50EE68D5E1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F21" i="1" l="1"/>
  <c r="F44" i="1" s="1"/>
  <c r="Q44" i="1"/>
  <c r="T43" i="1"/>
</calcChain>
</file>

<file path=xl/sharedStrings.xml><?xml version="1.0" encoding="utf-8"?>
<sst xmlns="http://schemas.openxmlformats.org/spreadsheetml/2006/main" count="73" uniqueCount="37">
  <si>
    <t>거   래   명   세   서</t>
    <phoneticPr fontId="2" type="noConversion"/>
  </si>
  <si>
    <t>VIN:</t>
    <phoneticPr fontId="2" type="noConversion"/>
  </si>
  <si>
    <t>WDDNG71X58A165561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</si>
  <si>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</si>
  <si>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</si>
  <si>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</si>
  <si>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</si>
  <si>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</si>
  <si>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</si>
  <si>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청주오토(청주)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</si>
  <si>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</si>
  <si>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</si>
  <si>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</si>
  <si>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</si>
  <si>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</si>
  <si>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</si>
  <si>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</si>
  <si>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충북 청주시 청원구 사천동 194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</si>
  <si>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</si>
  <si>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</si>
  <si>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010-5420-2735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</si>
  <si>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</si>
  <si>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</si>
  <si>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</si>
  <si>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</si>
  <si>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</si>
  <si>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</si>
  <si>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</si>
  <si>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</si>
  <si>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VGSNAG2_Programming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</si>
  <si>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</si>
  <si>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</si>
  <si>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</si>
  <si>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</si>
  <si>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</si>
  <si>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경남오토미션(창원)_260602_170341.xlsx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</si>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</sst>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0BEEF5-F288-433B-A920-D2F364DD093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3C6DF-4160-4932-934B-045712D29BB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46176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/>
      <c r="G8" s="47"/>
      <c r="H8" s="47"/>
      <c r="I8" s="48"/>
      <c r="J8" s="49">
        <v>100000</v>
      </c>
      <c r="K8" s="49"/>
      <c r="L8" s="49"/>
      <c r="M8" s="49"/>
      <c r="N8" s="49"/>
      <c r="O8" s="50">
        <v>1</v>
      </c>
      <c r="P8" s="50"/>
      <c r="Q8" s="51">
        <v>10000</v>
      </c>
      <c r="R8" s="52"/>
      <c r="S8" s="53"/>
      <c r="T8" s="54">
        <v>110000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30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31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10000</v>
      </c>
      <c r="R20" s="96"/>
      <c r="S20" s="97"/>
      <c r="T20" s="96">
        <f>SUM(T8:U15)</f>
        <v>110000</v>
      </c>
      <c r="U20" s="103"/>
    </row>
    <row r="21" spans="1:21" ht="20.100000000000001" customHeight="1" thickBot="1" x14ac:dyDescent="0.35">
      <c r="A21" s="104" t="s">
        <v>32</v>
      </c>
      <c r="B21" s="105"/>
      <c r="C21" s="105"/>
      <c r="D21" s="105"/>
      <c r="E21" s="105"/>
      <c r="F21" s="106">
        <f>F20+T20</f>
        <v>109999.90000000037</v>
      </c>
      <c r="G21" s="106"/>
      <c r="H21" s="106"/>
      <c r="I21" s="107"/>
      <c r="J21" s="108" t="s">
        <v>33</v>
      </c>
      <c r="K21" s="105"/>
      <c r="L21" s="109" t="str">
        <f>T4</f>
        <v>장효주</v>
      </c>
      <c r="M21" s="109"/>
      <c r="N21" s="109"/>
      <c r="O21" s="108" t="s">
        <v>34</v>
      </c>
      <c r="P21" s="105"/>
      <c r="Q21" s="109" t="str">
        <f>C3</f>
        <v>청주오토(청주)</v>
      </c>
      <c r="R21" s="109"/>
      <c r="S21" s="109"/>
      <c r="T21" s="109"/>
      <c r="U21" s="110"/>
    </row>
    <row r="22" spans="1:21" ht="20.100000000000001" customHeight="1" x14ac:dyDescent="0.3">
      <c r="A22" s="111" t="s">
        <v>35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WDDNG71X58A165561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36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46176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청주오토(청주)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충북 청주시 청원구 사천동 194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010-5420-2735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VGSNAG2_Programming</v>
      </c>
      <c r="B31" s="119"/>
      <c r="C31" s="119"/>
      <c r="D31" s="119"/>
      <c r="E31" s="119"/>
      <c r="F31" s="119">
        <f>F8</f>
        <v>0</v>
      </c>
      <c r="G31" s="119"/>
      <c r="H31" s="119"/>
      <c r="I31" s="119"/>
      <c r="J31" s="120">
        <f>J8</f>
        <v>100000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10000</v>
      </c>
      <c r="R31" s="121"/>
      <c r="S31" s="121"/>
      <c r="T31" s="122">
        <f>T8</f>
        <v>110000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30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31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10000</v>
      </c>
      <c r="R43" s="96"/>
      <c r="S43" s="96"/>
      <c r="T43" s="96">
        <f>T20</f>
        <v>110000</v>
      </c>
      <c r="U43" s="103"/>
    </row>
    <row r="44" spans="1:21" ht="20.100000000000001" customHeight="1" thickBot="1" x14ac:dyDescent="0.35">
      <c r="A44" s="104" t="s">
        <v>32</v>
      </c>
      <c r="B44" s="105"/>
      <c r="C44" s="105"/>
      <c r="D44" s="105"/>
      <c r="E44" s="105"/>
      <c r="F44" s="106">
        <f>F21</f>
        <v>109999.90000000037</v>
      </c>
      <c r="G44" s="106"/>
      <c r="H44" s="106"/>
      <c r="I44" s="107"/>
      <c r="J44" s="108" t="s">
        <v>33</v>
      </c>
      <c r="K44" s="105"/>
      <c r="L44" s="136" t="str">
        <f>T27</f>
        <v>장효주</v>
      </c>
      <c r="M44" s="136"/>
      <c r="N44" s="136"/>
      <c r="O44" s="108" t="s">
        <v>34</v>
      </c>
      <c r="P44" s="137"/>
      <c r="Q44" s="138" t="str">
        <f>Q21</f>
        <v>청주오토(청주)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2026-06-03T06:12:50Z</dcterms:created>
  <dcterms:modified xsi:type="dcterms:W3CDTF">2026-06-03T06:12:50Z</dcterms:modified>
</cp:coreProperties>
</file>