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23DB86F-1440-43F0-9093-AB34E45678E1}" xr6:coauthVersionLast="47" xr6:coauthVersionMax="47" xr10:uidLastSave="{00000000-0000-0000-0000-000000000000}"/>
  <bookViews>
    <workbookView xWindow="-120" yWindow="-120" windowWidth="29040" windowHeight="15840" xr2:uid="{97AF6197-7D1C-4A99-A3D3-036CB2DA4CB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<sst xmlns="http://schemas.openxmlformats.org/spreadsheetml/2006/main" count="79" uniqueCount="43">
  <si>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</si>
  <si>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</si>
  <si>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W1KZFFB6MA911252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</si>
  <si>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</si>
  <si>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</si>
  <si>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</si>
  <si>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</si>
  <si>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</si>
  <si>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</si>
  <si>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</si>
  <si>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</si>
  <si>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</si>
  <si>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</si>
  <si>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</si>
  <si>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</si>
  <si>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</si>
  <si>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</si>
  <si>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</si>
  <si>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</si>
  <si>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</si>
  <si>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</si>
  <si>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</si>
  <si>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</si>
  <si>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</si>
  <si>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</si>
  <si>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</si>
  <si>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</si>
  <si>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</si>
  <si>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</si>
  <si>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</si>
  <si>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</si>
  <si>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</si>
  <si>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VGSNAG3</t>
    <phoneticPr fontId="2" type="noConversion"/>
  </si>
  <si>
    <t>A7252709011-1</t>
    <phoneticPr fontId="2" type="noConversion"/>
  </si>
  <si>
    <t>BMTSR_Oilpan_9G</t>
    <phoneticPr fontId="2" type="noConversion"/>
  </si>
  <si>
    <t>B7252703707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</si>
  <si>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</si>
  <si>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</si>
  <si>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</si>
  <si>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</si>
  <si>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</si>
  <si>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제이오토(대구)_260123_103314.xlsx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</si>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</sst>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B276ED3-7C9C-4CBA-81F1-54F894CD7EB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1A9D-32A9-4BFA-83A2-D6110942F91C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>
        <v>35000</v>
      </c>
      <c r="R8" s="51"/>
      <c r="S8" s="52"/>
      <c r="T8" s="53">
        <v>385000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1200000</v>
      </c>
      <c r="K9" s="59"/>
      <c r="L9" s="59"/>
      <c r="M9" s="59"/>
      <c r="N9" s="59"/>
      <c r="O9" s="60">
        <v>1</v>
      </c>
      <c r="P9" s="60"/>
      <c r="Q9" s="61">
        <v>120000</v>
      </c>
      <c r="R9" s="62"/>
      <c r="S9" s="63"/>
      <c r="T9" s="64">
        <v>1320000</v>
      </c>
      <c r="U9" s="65"/>
    </row>
    <row r="10" spans="1:21" ht="15.6" customHeight="1" x14ac:dyDescent="0.3">
      <c r="A10" s="55" t="s">
        <v>34</v>
      </c>
      <c r="B10" s="56"/>
      <c r="C10" s="56"/>
      <c r="D10" s="56"/>
      <c r="E10" s="57"/>
      <c r="F10" s="58" t="s">
        <v>35</v>
      </c>
      <c r="G10" s="56"/>
      <c r="H10" s="56"/>
      <c r="I10" s="57"/>
      <c r="J10" s="59">
        <v>50000</v>
      </c>
      <c r="K10" s="59"/>
      <c r="L10" s="59"/>
      <c r="M10" s="59"/>
      <c r="N10" s="59"/>
      <c r="O10" s="60">
        <v>1</v>
      </c>
      <c r="P10" s="60"/>
      <c r="Q10" s="61">
        <v>5000</v>
      </c>
      <c r="R10" s="62"/>
      <c r="S10" s="63"/>
      <c r="T10" s="64">
        <v>55000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36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37</v>
      </c>
      <c r="B20" s="38"/>
      <c r="C20" s="38"/>
      <c r="D20" s="38"/>
      <c r="E20" s="38"/>
      <c r="F20" s="95">
        <v>275000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38</v>
      </c>
      <c r="B21" s="104"/>
      <c r="C21" s="104"/>
      <c r="D21" s="104"/>
      <c r="E21" s="104"/>
      <c r="F21" s="105">
        <f>F20+T20</f>
        <v>2035000</v>
      </c>
      <c r="G21" s="105"/>
      <c r="H21" s="105"/>
      <c r="I21" s="106"/>
      <c r="J21" s="107" t="s">
        <v>39</v>
      </c>
      <c r="K21" s="104"/>
      <c r="L21" s="108" t="str">
        <f>T4</f>
        <v>장효주</v>
      </c>
      <c r="M21" s="108"/>
      <c r="N21" s="108"/>
      <c r="O21" s="107" t="s">
        <v>40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41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W1KZFFB6MA911252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35000</v>
      </c>
      <c r="R31" s="120"/>
      <c r="S31" s="120"/>
      <c r="T31" s="121">
        <f>T8</f>
        <v>385000</v>
      </c>
      <c r="U31" s="122"/>
    </row>
    <row r="32" spans="1:21" ht="15.6" customHeight="1" x14ac:dyDescent="0.3">
      <c r="A32" s="123" t="str">
        <f t="shared" ref="A32:A38" si="0">A9</f>
        <v>VGSNAG3</v>
      </c>
      <c r="B32" s="124"/>
      <c r="C32" s="124"/>
      <c r="D32" s="124"/>
      <c r="E32" s="124"/>
      <c r="F32" s="124" t="str">
        <f t="shared" ref="F32:F38" si="1">F9</f>
        <v>A7252709011-1</v>
      </c>
      <c r="G32" s="124"/>
      <c r="H32" s="124"/>
      <c r="I32" s="124"/>
      <c r="J32" s="125">
        <f t="shared" ref="J32:J38" si="2">J9</f>
        <v>1200000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120000</v>
      </c>
      <c r="R32" s="126"/>
      <c r="S32" s="126"/>
      <c r="T32" s="127">
        <f t="shared" ref="T32:T38" si="5">T9</f>
        <v>1320000</v>
      </c>
      <c r="U32" s="128"/>
    </row>
    <row r="33" spans="1:21" ht="15.6" customHeight="1" x14ac:dyDescent="0.3">
      <c r="A33" s="123" t="str">
        <f t="shared" si="0"/>
        <v>BMTSR_Oilpan_9G</v>
      </c>
      <c r="B33" s="124"/>
      <c r="C33" s="124"/>
      <c r="D33" s="124"/>
      <c r="E33" s="124"/>
      <c r="F33" s="124" t="str">
        <f t="shared" si="1"/>
        <v>B7252703707</v>
      </c>
      <c r="G33" s="124"/>
      <c r="H33" s="124"/>
      <c r="I33" s="124"/>
      <c r="J33" s="125">
        <f t="shared" si="2"/>
        <v>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5000</v>
      </c>
      <c r="R33" s="126"/>
      <c r="S33" s="126"/>
      <c r="T33" s="127">
        <f t="shared" si="5"/>
        <v>55000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36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37</v>
      </c>
      <c r="B43" s="38"/>
      <c r="C43" s="38"/>
      <c r="D43" s="38"/>
      <c r="E43" s="38"/>
      <c r="F43" s="95">
        <f>F20</f>
        <v>275000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38</v>
      </c>
      <c r="B44" s="104"/>
      <c r="C44" s="104"/>
      <c r="D44" s="104"/>
      <c r="E44" s="104"/>
      <c r="F44" s="105">
        <f>F21</f>
        <v>2035000</v>
      </c>
      <c r="G44" s="105"/>
      <c r="H44" s="105"/>
      <c r="I44" s="106"/>
      <c r="J44" s="107" t="s">
        <v>39</v>
      </c>
      <c r="K44" s="104"/>
      <c r="L44" s="135" t="str">
        <f>T27</f>
        <v>장효주</v>
      </c>
      <c r="M44" s="135"/>
      <c r="N44" s="135"/>
      <c r="O44" s="107" t="s">
        <v>40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2026-01-23T01:34:23Z</dcterms:created>
  <dcterms:modified xsi:type="dcterms:W3CDTF">2026-01-23T01:34:23Z</dcterms:modified>
</cp:coreProperties>
</file>