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F0D331E3-D8EA-469E-9CBE-4F7283CB3AA9}" xr6:coauthVersionLast="47" xr6:coauthVersionMax="47" xr10:uidLastSave="{00000000-0000-0000-0000-000000000000}"/>
  <bookViews>
    <workbookView xWindow="-120" yWindow="-120" windowWidth="29040" windowHeight="15840" xr2:uid="{6C1B59B8-80BF-4534-8FF2-BE61073826A4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Q43" i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O20" i="1"/>
  <c r="J20" i="1"/>
  <c r="J43" i="1" s="1"/>
  <c r="T43" i="1" l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<sst xmlns="http://schemas.openxmlformats.org/spreadsheetml/2006/main" count="74" uniqueCount="38">
  <si>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</si>
  <si>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</si>
  <si>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</si>
  <si>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</si>
  <si>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</si>
  <si>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</si>
  <si>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</si>
  <si>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</si>
  <si>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하나오토(청주)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</si>
  <si>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</si>
  <si>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</si>
  <si>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</si>
  <si>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</si>
  <si>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</si>
  <si>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</si>
  <si>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</si>
  <si>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충북 청주시 서원구 사북로30</t>
    <phoneticPr fontId="2" type="noConversion"/>
  </si>
  <si>
    <t>대구 달서구 용산로 28(본리동)</t>
    <phoneticPr fontId="2" type="noConversion"/>
  </si>
  <si>
    <t>전화</t>
    <phoneticPr fontId="2" type="noConversion"/>
  </si>
  <si>
    <t>010-9977-2169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</si>
  <si>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</si>
  <si>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</si>
  <si>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</si>
  <si>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</si>
  <si>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</si>
  <si>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</si>
  <si>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</si>
  <si>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</si>
  <si>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PDK_Sensor(4WD)</t>
    <phoneticPr fontId="2" type="noConversion"/>
  </si>
  <si>
    <t>0501.218.962</t>
  </si>
  <si>
    <t>0GC_TOOL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</si>
  <si>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</si>
  <si>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</si>
  <si>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</si>
  <si>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</si>
  <si>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</si>
  <si>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동원모터스_260410_174406.xlsx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</si>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</sst>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2A8EB239-3ED4-4BDB-A62F-DE59513228E3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63C3D-24C3-4A5C-BF97-453855BCA666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46122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/>
      <c r="U6" s="34"/>
    </row>
    <row r="7" spans="1:21" ht="15.75" customHeight="1" x14ac:dyDescent="0.3">
      <c r="A7" s="37" t="s">
        <v>22</v>
      </c>
      <c r="B7" s="38"/>
      <c r="C7" s="38"/>
      <c r="D7" s="38"/>
      <c r="E7" s="39"/>
      <c r="F7" s="40" t="s">
        <v>23</v>
      </c>
      <c r="G7" s="38"/>
      <c r="H7" s="38"/>
      <c r="I7" s="39"/>
      <c r="J7" s="40" t="s">
        <v>24</v>
      </c>
      <c r="K7" s="38"/>
      <c r="L7" s="38"/>
      <c r="M7" s="38"/>
      <c r="N7" s="39"/>
      <c r="O7" s="38" t="s">
        <v>25</v>
      </c>
      <c r="P7" s="39"/>
      <c r="Q7" s="40" t="s">
        <v>26</v>
      </c>
      <c r="R7" s="38"/>
      <c r="S7" s="39"/>
      <c r="T7" s="40" t="s">
        <v>27</v>
      </c>
      <c r="U7" s="41"/>
    </row>
    <row r="8" spans="1:21" ht="15.6" customHeight="1" x14ac:dyDescent="0.3">
      <c r="A8" s="42" t="s">
        <v>28</v>
      </c>
      <c r="B8" s="43"/>
      <c r="C8" s="43"/>
      <c r="D8" s="43"/>
      <c r="E8" s="44"/>
      <c r="F8" s="45" t="s">
        <v>29</v>
      </c>
      <c r="G8" s="46"/>
      <c r="H8" s="46"/>
      <c r="I8" s="47"/>
      <c r="J8" s="48">
        <v>1300000</v>
      </c>
      <c r="K8" s="48"/>
      <c r="L8" s="48"/>
      <c r="M8" s="48"/>
      <c r="N8" s="48"/>
      <c r="O8" s="49">
        <v>1</v>
      </c>
      <c r="P8" s="49"/>
      <c r="Q8" s="50">
        <v>130000</v>
      </c>
      <c r="R8" s="51"/>
      <c r="S8" s="52"/>
      <c r="T8" s="53">
        <v>1430000</v>
      </c>
      <c r="U8" s="54"/>
    </row>
    <row r="9" spans="1:21" ht="15.6" customHeight="1" x14ac:dyDescent="0.3">
      <c r="A9" s="55" t="s">
        <v>30</v>
      </c>
      <c r="B9" s="56"/>
      <c r="C9" s="56"/>
      <c r="D9" s="56"/>
      <c r="E9" s="57"/>
      <c r="F9" s="58"/>
      <c r="G9" s="56"/>
      <c r="H9" s="56"/>
      <c r="I9" s="57"/>
      <c r="J9" s="59">
        <v>160000</v>
      </c>
      <c r="K9" s="59"/>
      <c r="L9" s="59"/>
      <c r="M9" s="59"/>
      <c r="N9" s="59"/>
      <c r="O9" s="60">
        <v>1</v>
      </c>
      <c r="P9" s="60"/>
      <c r="Q9" s="61">
        <v>16000</v>
      </c>
      <c r="R9" s="62"/>
      <c r="S9" s="63"/>
      <c r="T9" s="64">
        <v>176000</v>
      </c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-9.9999999627470998E-2</v>
      </c>
      <c r="G20" s="95"/>
      <c r="H20" s="95"/>
      <c r="I20" s="96"/>
      <c r="J20" s="97">
        <f>SUM(J8:N19)</f>
        <v>1460000</v>
      </c>
      <c r="K20" s="98"/>
      <c r="L20" s="98"/>
      <c r="M20" s="98"/>
      <c r="N20" s="99"/>
      <c r="O20" s="100">
        <f>SUM(O8:P19)</f>
        <v>2</v>
      </c>
      <c r="P20" s="100"/>
      <c r="Q20" s="101">
        <f>SUM(Q8:S19)</f>
        <v>146000</v>
      </c>
      <c r="R20" s="95"/>
      <c r="S20" s="96"/>
      <c r="T20" s="95">
        <f>SUM(T8:U15)</f>
        <v>1606000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1605999.9000000004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하나오토(청주)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46122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하나오토(청주)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충북 청주시 서원구 사북로30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010-9977-2169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7" t="s">
        <v>22</v>
      </c>
      <c r="B30" s="38"/>
      <c r="C30" s="38"/>
      <c r="D30" s="38"/>
      <c r="E30" s="39"/>
      <c r="F30" s="40" t="s">
        <v>23</v>
      </c>
      <c r="G30" s="38"/>
      <c r="H30" s="38"/>
      <c r="I30" s="39"/>
      <c r="J30" s="40" t="s">
        <v>24</v>
      </c>
      <c r="K30" s="38"/>
      <c r="L30" s="38"/>
      <c r="M30" s="38"/>
      <c r="N30" s="39"/>
      <c r="O30" s="38" t="s">
        <v>25</v>
      </c>
      <c r="P30" s="39"/>
      <c r="Q30" s="40" t="s">
        <v>26</v>
      </c>
      <c r="R30" s="38"/>
      <c r="S30" s="39"/>
      <c r="T30" s="40" t="s">
        <v>27</v>
      </c>
      <c r="U30" s="41"/>
    </row>
    <row r="31" spans="1:21" ht="15.6" customHeight="1" x14ac:dyDescent="0.3">
      <c r="A31" s="117" t="str">
        <f>A8</f>
        <v>PDK_Sensor(4WD)</v>
      </c>
      <c r="B31" s="118"/>
      <c r="C31" s="118"/>
      <c r="D31" s="118"/>
      <c r="E31" s="118"/>
      <c r="F31" s="118" t="str">
        <f>F8</f>
        <v>0501.218.962</v>
      </c>
      <c r="G31" s="118"/>
      <c r="H31" s="118"/>
      <c r="I31" s="118"/>
      <c r="J31" s="119">
        <f>J8</f>
        <v>1300000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130000</v>
      </c>
      <c r="R31" s="120"/>
      <c r="S31" s="120"/>
      <c r="T31" s="121">
        <f>T8</f>
        <v>1430000</v>
      </c>
      <c r="U31" s="122"/>
    </row>
    <row r="32" spans="1:21" ht="15.6" customHeight="1" x14ac:dyDescent="0.3">
      <c r="A32" s="123" t="str">
        <f t="shared" ref="A32:A38" si="0">A9</f>
        <v>0GC_TOOL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160000</v>
      </c>
      <c r="K32" s="125"/>
      <c r="L32" s="125"/>
      <c r="M32" s="125"/>
      <c r="N32" s="125"/>
      <c r="O32" s="125">
        <f t="shared" ref="O32:O38" si="3">O9</f>
        <v>1</v>
      </c>
      <c r="P32" s="125"/>
      <c r="Q32" s="126">
        <f t="shared" ref="Q32:Q38" si="4">Q9</f>
        <v>16000</v>
      </c>
      <c r="R32" s="126"/>
      <c r="S32" s="126"/>
      <c r="T32" s="127">
        <f t="shared" ref="T32:T38" si="5">T9</f>
        <v>176000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-9.9999999627470998E-2</v>
      </c>
      <c r="G43" s="95"/>
      <c r="H43" s="95"/>
      <c r="I43" s="96"/>
      <c r="J43" s="97">
        <f>J20</f>
        <v>1460000</v>
      </c>
      <c r="K43" s="98"/>
      <c r="L43" s="98"/>
      <c r="M43" s="98"/>
      <c r="N43" s="99"/>
      <c r="O43" s="100">
        <f>O20</f>
        <v>2</v>
      </c>
      <c r="P43" s="100"/>
      <c r="Q43" s="101">
        <f>Q20</f>
        <v>146000</v>
      </c>
      <c r="R43" s="95"/>
      <c r="S43" s="95"/>
      <c r="T43" s="95">
        <f>T20</f>
        <v>1606000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1605999.9000000004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하나오토(청주)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2026-04-10T08:45:41Z</dcterms:created>
  <dcterms:modified xsi:type="dcterms:W3CDTF">2026-04-10T08:45:41Z</dcterms:modified>
</cp:coreProperties>
</file>