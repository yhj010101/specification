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8FB62B-BCC8-449F-8198-895EEABE08C7}" xr6:coauthVersionLast="47" xr6:coauthVersionMax="47" xr10:uidLastSave="{00000000-0000-0000-0000-000000000000}"/>
  <bookViews>
    <workbookView xWindow="0" yWindow="600" windowWidth="28800" windowHeight="15600" xr2:uid="{E3902B8D-B621-4A4D-86A1-67ECC182602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Q43" i="1"/>
  <c r="J43" i="1"/>
  <c r="O43" i="1"/>
  <c r="T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<sst xmlns="http://schemas.openxmlformats.org/spreadsheetml/2006/main" count="73" uniqueCount="37">
  <si>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</si>
  <si>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</si>
  <si>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</si>
  <si>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</si>
  <si>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</si>
  <si>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</si>
  <si>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</si>
  <si>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</si>
  <si>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하오르모터스(부산)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</si>
  <si>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</si>
  <si>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</si>
  <si>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</si>
  <si>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</si>
  <si>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</si>
  <si>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</si>
  <si>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</si>
  <si>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수영구 감포로 32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</si>
  <si>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</si>
  <si>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</si>
  <si>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010-3687-3573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</si>
  <si>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</si>
  <si>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</si>
  <si>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</si>
  <si>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</si>
  <si>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</si>
  <si>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</si>
  <si>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</si>
  <si>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</si>
  <si>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8HP45_EGS</t>
    <phoneticPr fontId="2" type="noConversion"/>
  </si>
  <si>
    <t>6058008114_236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</si>
  <si>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</si>
  <si>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</si>
  <si>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</si>
  <si>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</si>
  <si>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</si>
  <si>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미르오토(대구)_260624_165123.xlsx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</si>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</sst>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B3BC3AF-8953-4130-96B2-E6F6C5A7381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B289-072D-4708-BC76-C9D3A19D50F3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800000</v>
      </c>
      <c r="K8" s="49"/>
      <c r="L8" s="49"/>
      <c r="M8" s="49"/>
      <c r="N8" s="49"/>
      <c r="O8" s="50">
        <v>1</v>
      </c>
      <c r="P8" s="50"/>
      <c r="Q8" s="51">
        <v>80000</v>
      </c>
      <c r="R8" s="52"/>
      <c r="S8" s="53"/>
      <c r="T8" s="54">
        <v>880000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80000</v>
      </c>
      <c r="R20" s="96"/>
      <c r="S20" s="97"/>
      <c r="T20" s="96">
        <f>SUM(T8:U15)</f>
        <v>880000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879999.90000000037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하오르모터스(부산)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하오르모터스(부산)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수영구 감포로 32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010-3687-3573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8HP45_EGS</v>
      </c>
      <c r="B31" s="119"/>
      <c r="C31" s="119"/>
      <c r="D31" s="119"/>
      <c r="E31" s="119"/>
      <c r="F31" s="119" t="str">
        <f>F8</f>
        <v>6058008114_236</v>
      </c>
      <c r="G31" s="119"/>
      <c r="H31" s="119"/>
      <c r="I31" s="119"/>
      <c r="J31" s="120">
        <f>J8</f>
        <v>800000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80000</v>
      </c>
      <c r="R31" s="121"/>
      <c r="S31" s="121"/>
      <c r="T31" s="122">
        <f>T8</f>
        <v>880000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80000</v>
      </c>
      <c r="R43" s="96"/>
      <c r="S43" s="96"/>
      <c r="T43" s="96">
        <f>T20</f>
        <v>880000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879999.90000000037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하오르모터스(부산)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2026-06-24T07:52:00Z</dcterms:created>
  <dcterms:modified xsi:type="dcterms:W3CDTF">2026-06-24T07:52:01Z</dcterms:modified>
</cp:coreProperties>
</file>