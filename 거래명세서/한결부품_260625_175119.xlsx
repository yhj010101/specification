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70DB95E4-D557-4A90-8B94-97BCE3F3A7A8}" xr6:coauthVersionLast="47" xr6:coauthVersionMax="47" xr10:uidLastSave="{00000000-0000-0000-0000-000000000000}"/>
  <bookViews>
    <workbookView xWindow="-120" yWindow="-120" windowWidth="29040" windowHeight="15840" xr2:uid="{347CCEAF-8BE3-4DA5-B366-08F31B393AC7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Q20" i="1"/>
  <c r="O20" i="1"/>
  <c r="J20" i="1"/>
  <c r="Q44" i="1" l="1"/>
  <c r="T43" i="1"/>
  <c r="F21" i="1"/>
  <c r="F44" i="1" s="1"/>
</calcChain>
</file>

<file path=xl/sharedStrings.xml><?xml version="1.0" encoding="utf-8"?>
<sst xmlns="http://schemas.openxmlformats.org/spreadsheetml/2006/main" count="72" uniqueCount="36">
  <si>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</si>
  <si>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</si>
  <si>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</si>
  <si>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</si>
  <si>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</si>
  <si>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</si>
  <si>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</si>
  <si>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</si>
  <si>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한결부품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</si>
  <si>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</si>
  <si>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</si>
  <si>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</si>
  <si>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</si>
  <si>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</si>
  <si>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</si>
  <si>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</si>
  <si>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empty</t>
    <phoneticPr fontId="2" type="noConversion"/>
  </si>
  <si>
    <t>대구 달서구 용산로 28(본리동)</t>
    <phoneticPr fontId="2" type="noConversion"/>
  </si>
  <si>
    <t>전화</t>
    <phoneticPr fontId="2" type="noConversion"/>
  </si>
  <si>
    <t>010-7591-3333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</si>
  <si>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</si>
  <si>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</si>
  <si>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</si>
  <si>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</si>
  <si>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</si>
  <si>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</si>
  <si>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</si>
  <si>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</si>
  <si>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Flange_F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</si>
  <si>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</si>
  <si>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</si>
  <si>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</si>
  <si>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</si>
  <si>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</si>
  <si>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엔비모터스(인천)_260625_175049.xlsx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</si>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</sst>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529FB593-82FD-4162-8FA5-10CB5C99384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80E77-4816-4C55-9093-ABAE1AA61BF5}">
  <sheetPr codeName="shtOrder_print1"/>
  <dimension ref="A1:U44"/>
  <sheetViews>
    <sheetView tabSelected="1" zoomScaleNormal="100" workbookViewId="0">
      <selection activeCell="M5" sqref="M5:U5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46198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7"/>
      <c r="U6" s="34"/>
    </row>
    <row r="7" spans="1:21" ht="15.75" customHeight="1" x14ac:dyDescent="0.3">
      <c r="A7" s="38" t="s">
        <v>22</v>
      </c>
      <c r="B7" s="39"/>
      <c r="C7" s="39"/>
      <c r="D7" s="39"/>
      <c r="E7" s="40"/>
      <c r="F7" s="41" t="s">
        <v>23</v>
      </c>
      <c r="G7" s="39"/>
      <c r="H7" s="39"/>
      <c r="I7" s="40"/>
      <c r="J7" s="41" t="s">
        <v>24</v>
      </c>
      <c r="K7" s="39"/>
      <c r="L7" s="39"/>
      <c r="M7" s="39"/>
      <c r="N7" s="40"/>
      <c r="O7" s="39" t="s">
        <v>25</v>
      </c>
      <c r="P7" s="40"/>
      <c r="Q7" s="41" t="s">
        <v>26</v>
      </c>
      <c r="R7" s="39"/>
      <c r="S7" s="40"/>
      <c r="T7" s="41" t="s">
        <v>27</v>
      </c>
      <c r="U7" s="42"/>
    </row>
    <row r="8" spans="1:21" ht="15.6" customHeight="1" x14ac:dyDescent="0.3">
      <c r="A8" s="43" t="s">
        <v>28</v>
      </c>
      <c r="B8" s="44"/>
      <c r="C8" s="44"/>
      <c r="D8" s="44"/>
      <c r="E8" s="45"/>
      <c r="F8" s="46">
        <v>27107593440</v>
      </c>
      <c r="G8" s="47"/>
      <c r="H8" s="47"/>
      <c r="I8" s="48"/>
      <c r="J8" s="49">
        <v>150000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150000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29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30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150000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150000</v>
      </c>
      <c r="U20" s="103"/>
    </row>
    <row r="21" spans="1:21" ht="20.100000000000001" customHeight="1" thickBot="1" x14ac:dyDescent="0.35">
      <c r="A21" s="104" t="s">
        <v>31</v>
      </c>
      <c r="B21" s="105"/>
      <c r="C21" s="105"/>
      <c r="D21" s="105"/>
      <c r="E21" s="105"/>
      <c r="F21" s="106">
        <f>F20+T20</f>
        <v>149999.90000000037</v>
      </c>
      <c r="G21" s="106"/>
      <c r="H21" s="106"/>
      <c r="I21" s="107"/>
      <c r="J21" s="108" t="s">
        <v>32</v>
      </c>
      <c r="K21" s="105"/>
      <c r="L21" s="109" t="str">
        <f>T4</f>
        <v>장효주</v>
      </c>
      <c r="M21" s="109"/>
      <c r="N21" s="109"/>
      <c r="O21" s="108" t="s">
        <v>33</v>
      </c>
      <c r="P21" s="105"/>
      <c r="Q21" s="109" t="str">
        <f>C3</f>
        <v>한결부품</v>
      </c>
      <c r="R21" s="109"/>
      <c r="S21" s="109"/>
      <c r="T21" s="109"/>
      <c r="U21" s="110"/>
    </row>
    <row r="22" spans="1:21" ht="20.100000000000001" customHeight="1" x14ac:dyDescent="0.3">
      <c r="A22" s="111" t="s">
        <v>34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>
        <f>S1</f>
        <v>0</v>
      </c>
      <c r="T24" s="113"/>
      <c r="U24" s="114"/>
    </row>
    <row r="25" spans="1:21" x14ac:dyDescent="0.3">
      <c r="A25" s="7" t="s">
        <v>2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35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46198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한결부품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empty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010-7591-3333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>
        <f>T6</f>
        <v>0</v>
      </c>
      <c r="U29" s="34"/>
    </row>
    <row r="30" spans="1:21" ht="15.6" customHeight="1" x14ac:dyDescent="0.3">
      <c r="A30" s="38" t="s">
        <v>22</v>
      </c>
      <c r="B30" s="39"/>
      <c r="C30" s="39"/>
      <c r="D30" s="39"/>
      <c r="E30" s="40"/>
      <c r="F30" s="41" t="s">
        <v>23</v>
      </c>
      <c r="G30" s="39"/>
      <c r="H30" s="39"/>
      <c r="I30" s="40"/>
      <c r="J30" s="41" t="s">
        <v>24</v>
      </c>
      <c r="K30" s="39"/>
      <c r="L30" s="39"/>
      <c r="M30" s="39"/>
      <c r="N30" s="40"/>
      <c r="O30" s="39" t="s">
        <v>25</v>
      </c>
      <c r="P30" s="40"/>
      <c r="Q30" s="41" t="s">
        <v>26</v>
      </c>
      <c r="R30" s="39"/>
      <c r="S30" s="40"/>
      <c r="T30" s="41" t="s">
        <v>27</v>
      </c>
      <c r="U30" s="42"/>
    </row>
    <row r="31" spans="1:21" ht="15.6" customHeight="1" x14ac:dyDescent="0.3">
      <c r="A31" s="118" t="str">
        <f>A8</f>
        <v>Flange_F</v>
      </c>
      <c r="B31" s="119"/>
      <c r="C31" s="119"/>
      <c r="D31" s="119"/>
      <c r="E31" s="119"/>
      <c r="F31" s="119">
        <f>F8</f>
        <v>27107593440</v>
      </c>
      <c r="G31" s="119"/>
      <c r="H31" s="119"/>
      <c r="I31" s="119"/>
      <c r="J31" s="120">
        <f>J8</f>
        <v>150000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150000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29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30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150000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150000</v>
      </c>
      <c r="U43" s="103"/>
    </row>
    <row r="44" spans="1:21" ht="20.100000000000001" customHeight="1" thickBot="1" x14ac:dyDescent="0.35">
      <c r="A44" s="104" t="s">
        <v>31</v>
      </c>
      <c r="B44" s="105"/>
      <c r="C44" s="105"/>
      <c r="D44" s="105"/>
      <c r="E44" s="105"/>
      <c r="F44" s="106">
        <f>F21</f>
        <v>149999.90000000037</v>
      </c>
      <c r="G44" s="106"/>
      <c r="H44" s="106"/>
      <c r="I44" s="107"/>
      <c r="J44" s="108" t="s">
        <v>32</v>
      </c>
      <c r="K44" s="105"/>
      <c r="L44" s="136" t="str">
        <f>T27</f>
        <v>장효주</v>
      </c>
      <c r="M44" s="136"/>
      <c r="N44" s="136"/>
      <c r="O44" s="108" t="s">
        <v>33</v>
      </c>
      <c r="P44" s="137"/>
      <c r="Q44" s="138" t="str">
        <f>Q21</f>
        <v>한결부품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2026-06-25T08:51:19Z</dcterms:created>
  <dcterms:modified xsi:type="dcterms:W3CDTF">2026-06-25T08:51:19Z</dcterms:modified>
</cp:coreProperties>
</file>