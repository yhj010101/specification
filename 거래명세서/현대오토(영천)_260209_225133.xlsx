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2BBE992-1A1A-4320-BA37-FEB817B8ED3E}" xr6:coauthVersionLast="47" xr6:coauthVersionMax="47" xr10:uidLastSave="{00000000-0000-0000-0000-000000000000}"/>
  <bookViews>
    <workbookView xWindow="-120" yWindow="-120" windowWidth="29040" windowHeight="15840" xr2:uid="{C7739777-DB13-41CB-BE1E-577BC17A084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<sst xmlns="http://schemas.openxmlformats.org/spreadsheetml/2006/main" count="80" uniqueCount="44">
  <si>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</si>
  <si>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</si>
  <si>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</si>
  <si>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</si>
  <si>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</si>
  <si>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</si>
  <si>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</si>
  <si>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</si>
  <si>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현대오토(영천)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</si>
  <si>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</si>
  <si>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</si>
  <si>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</si>
  <si>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</si>
  <si>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</si>
  <si>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</si>
  <si>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</si>
  <si>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영천시 장수로 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</si>
  <si>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</si>
  <si>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</si>
  <si>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010-6526-9328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</si>
  <si>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</si>
  <si>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</si>
  <si>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</si>
  <si>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</si>
  <si>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</si>
  <si>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</si>
  <si>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</si>
  <si>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</si>
  <si>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</si>
  <si>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9HP48_dog_clutch</t>
    <phoneticPr fontId="2" type="noConversion"/>
  </si>
  <si>
    <t>1094302044</t>
    <phoneticPr fontId="2" type="noConversion"/>
  </si>
  <si>
    <t>948TE_Solenoid</t>
  </si>
  <si>
    <t>948TE_Pressure</t>
  </si>
  <si>
    <t>04752889AA</t>
  </si>
  <si>
    <t>948_Filter</t>
  </si>
  <si>
    <t>04752814AA</t>
  </si>
  <si>
    <t>Wire Harness Kit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</si>
  <si>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</si>
  <si>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</si>
  <si>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</si>
  <si>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</si>
  <si>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</si>
  <si>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연화오토(대구)_260207_113234.xlsx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</si>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</sst>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7487655-295D-471D-9E46-553BB454DFA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EE31-C77C-49BB-B2B1-5B073A8B3F34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600000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600000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65000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65000</v>
      </c>
      <c r="U10" s="65"/>
    </row>
    <row r="11" spans="1:21" ht="15.6" customHeight="1" x14ac:dyDescent="0.3">
      <c r="A11" s="55" t="s">
        <v>34</v>
      </c>
      <c r="B11" s="56"/>
      <c r="C11" s="56"/>
      <c r="D11" s="56"/>
      <c r="E11" s="57"/>
      <c r="F11" s="58" t="s">
        <v>35</v>
      </c>
      <c r="G11" s="56"/>
      <c r="H11" s="56"/>
      <c r="I11" s="57"/>
      <c r="J11" s="59">
        <v>30000</v>
      </c>
      <c r="K11" s="59"/>
      <c r="L11" s="59"/>
      <c r="M11" s="59"/>
      <c r="N11" s="59"/>
      <c r="O11" s="60">
        <v>1</v>
      </c>
      <c r="P11" s="60"/>
      <c r="Q11" s="61"/>
      <c r="R11" s="62"/>
      <c r="S11" s="63"/>
      <c r="T11" s="64">
        <v>30000</v>
      </c>
      <c r="U11" s="65"/>
    </row>
    <row r="12" spans="1:21" ht="15.6" customHeight="1" x14ac:dyDescent="0.3">
      <c r="A12" s="55" t="s">
        <v>36</v>
      </c>
      <c r="B12" s="56"/>
      <c r="C12" s="56"/>
      <c r="D12" s="56"/>
      <c r="E12" s="57"/>
      <c r="F12" s="58"/>
      <c r="G12" s="56"/>
      <c r="H12" s="56"/>
      <c r="I12" s="57"/>
      <c r="J12" s="59">
        <v>300000</v>
      </c>
      <c r="K12" s="59"/>
      <c r="L12" s="59"/>
      <c r="M12" s="59"/>
      <c r="N12" s="59"/>
      <c r="O12" s="60">
        <v>1</v>
      </c>
      <c r="P12" s="60"/>
      <c r="Q12" s="61"/>
      <c r="R12" s="62"/>
      <c r="S12" s="63"/>
      <c r="T12" s="64">
        <v>300000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37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38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1295000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0</v>
      </c>
      <c r="R20" s="95"/>
      <c r="S20" s="96"/>
      <c r="T20" s="95">
        <f>SUM(T8:U15)</f>
        <v>1295000</v>
      </c>
      <c r="U20" s="102"/>
    </row>
    <row r="21" spans="1:21" ht="20.100000000000001" customHeight="1" thickBot="1" x14ac:dyDescent="0.35">
      <c r="A21" s="103" t="s">
        <v>39</v>
      </c>
      <c r="B21" s="104"/>
      <c r="C21" s="104"/>
      <c r="D21" s="104"/>
      <c r="E21" s="104"/>
      <c r="F21" s="105">
        <f>F20+T20</f>
        <v>1295000</v>
      </c>
      <c r="G21" s="105"/>
      <c r="H21" s="105"/>
      <c r="I21" s="106"/>
      <c r="J21" s="107" t="s">
        <v>40</v>
      </c>
      <c r="K21" s="104"/>
      <c r="L21" s="108" t="str">
        <f>T4</f>
        <v>장효주</v>
      </c>
      <c r="M21" s="108"/>
      <c r="N21" s="108"/>
      <c r="O21" s="107" t="s">
        <v>41</v>
      </c>
      <c r="P21" s="104"/>
      <c r="Q21" s="108" t="str">
        <f>C3</f>
        <v>현대오토(영천)</v>
      </c>
      <c r="R21" s="108"/>
      <c r="S21" s="108"/>
      <c r="T21" s="108"/>
      <c r="U21" s="109"/>
    </row>
    <row r="22" spans="1:21" ht="20.100000000000001" customHeight="1" x14ac:dyDescent="0.3">
      <c r="A22" s="110" t="s">
        <v>42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43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현대오토(영천)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영천시 장수로 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010-6526-9328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9HP48_dog_clutch</v>
      </c>
      <c r="B31" s="118"/>
      <c r="C31" s="118"/>
      <c r="D31" s="118"/>
      <c r="E31" s="118"/>
      <c r="F31" s="118" t="str">
        <f>F8</f>
        <v>1094302044</v>
      </c>
      <c r="G31" s="118"/>
      <c r="H31" s="118"/>
      <c r="I31" s="118"/>
      <c r="J31" s="119">
        <f>J8</f>
        <v>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300000</v>
      </c>
      <c r="U31" s="122"/>
    </row>
    <row r="32" spans="1:21" ht="15.6" customHeight="1" x14ac:dyDescent="0.3">
      <c r="A32" s="123" t="str">
        <f t="shared" ref="A32:A38" si="0">A9</f>
        <v>948TE_Solenoid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600000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600000</v>
      </c>
      <c r="U32" s="128"/>
    </row>
    <row r="33" spans="1:21" ht="15.6" customHeight="1" x14ac:dyDescent="0.3">
      <c r="A33" s="123" t="str">
        <f t="shared" si="0"/>
        <v>948TE_Pressure</v>
      </c>
      <c r="B33" s="124"/>
      <c r="C33" s="124"/>
      <c r="D33" s="124"/>
      <c r="E33" s="124"/>
      <c r="F33" s="124" t="str">
        <f t="shared" si="1"/>
        <v>04752889AA</v>
      </c>
      <c r="G33" s="124"/>
      <c r="H33" s="124"/>
      <c r="I33" s="124"/>
      <c r="J33" s="125">
        <f t="shared" si="2"/>
        <v>65000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65000</v>
      </c>
      <c r="U33" s="128"/>
    </row>
    <row r="34" spans="1:21" ht="15.6" customHeight="1" x14ac:dyDescent="0.3">
      <c r="A34" s="123" t="str">
        <f t="shared" si="0"/>
        <v>948_Filter</v>
      </c>
      <c r="B34" s="124"/>
      <c r="C34" s="124"/>
      <c r="D34" s="124"/>
      <c r="E34" s="124"/>
      <c r="F34" s="124" t="str">
        <f t="shared" si="1"/>
        <v>04752814AA</v>
      </c>
      <c r="G34" s="124"/>
      <c r="H34" s="124"/>
      <c r="I34" s="124"/>
      <c r="J34" s="125">
        <f t="shared" si="2"/>
        <v>30000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0</v>
      </c>
      <c r="R34" s="126"/>
      <c r="S34" s="126"/>
      <c r="T34" s="127">
        <f t="shared" si="5"/>
        <v>30000</v>
      </c>
      <c r="U34" s="128"/>
    </row>
    <row r="35" spans="1:21" ht="15.6" customHeight="1" x14ac:dyDescent="0.3">
      <c r="A35" s="123" t="str">
        <f t="shared" si="0"/>
        <v>Wire Harness Kit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300000</v>
      </c>
      <c r="K35" s="125"/>
      <c r="L35" s="125"/>
      <c r="M35" s="125"/>
      <c r="N35" s="125"/>
      <c r="O35" s="125">
        <f t="shared" si="3"/>
        <v>1</v>
      </c>
      <c r="P35" s="125"/>
      <c r="Q35" s="126">
        <f t="shared" si="4"/>
        <v>0</v>
      </c>
      <c r="R35" s="126"/>
      <c r="S35" s="126"/>
      <c r="T35" s="127">
        <f t="shared" si="5"/>
        <v>300000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37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38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1295000</v>
      </c>
      <c r="K43" s="98"/>
      <c r="L43" s="98"/>
      <c r="M43" s="98"/>
      <c r="N43" s="99"/>
      <c r="O43" s="100">
        <f>O20</f>
        <v>5</v>
      </c>
      <c r="P43" s="100"/>
      <c r="Q43" s="101">
        <f>Q20</f>
        <v>0</v>
      </c>
      <c r="R43" s="95"/>
      <c r="S43" s="95"/>
      <c r="T43" s="95">
        <f>T20</f>
        <v>1295000</v>
      </c>
      <c r="U43" s="102"/>
    </row>
    <row r="44" spans="1:21" ht="20.100000000000001" customHeight="1" thickBot="1" x14ac:dyDescent="0.35">
      <c r="A44" s="103" t="s">
        <v>39</v>
      </c>
      <c r="B44" s="104"/>
      <c r="C44" s="104"/>
      <c r="D44" s="104"/>
      <c r="E44" s="104"/>
      <c r="F44" s="105">
        <f>F21</f>
        <v>1295000</v>
      </c>
      <c r="G44" s="105"/>
      <c r="H44" s="105"/>
      <c r="I44" s="106"/>
      <c r="J44" s="107" t="s">
        <v>40</v>
      </c>
      <c r="K44" s="104"/>
      <c r="L44" s="135" t="str">
        <f>T27</f>
        <v>장효주</v>
      </c>
      <c r="M44" s="135"/>
      <c r="N44" s="135"/>
      <c r="O44" s="107" t="s">
        <v>41</v>
      </c>
      <c r="P44" s="136"/>
      <c r="Q44" s="137" t="str">
        <f>Q21</f>
        <v>현대오토(영천)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2026-02-09T13:51:33Z</dcterms:created>
  <dcterms:modified xsi:type="dcterms:W3CDTF">2026-02-09T13:51:34Z</dcterms:modified>
</cp:coreProperties>
</file>