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86A171-FF0B-4C1C-9493-DC6F62BBA8DD}" xr6:coauthVersionLast="47" xr6:coauthVersionMax="47" xr10:uidLastSave="{00000000-0000-0000-0000-000000000000}"/>
  <bookViews>
    <workbookView xWindow="-120" yWindow="-120" windowWidth="29040" windowHeight="15840" xr2:uid="{6E12FB29-D96E-48A4-A2FE-44DBA21C7C0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<sst xmlns="http://schemas.openxmlformats.org/spreadsheetml/2006/main" count="82" uniqueCount="46">
  <si>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</si>
  <si>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</si>
  <si>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</si>
  <si>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</si>
  <si>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</si>
  <si>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</si>
  <si>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</si>
  <si>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</si>
  <si>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현대오토(영천)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</si>
  <si>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</si>
  <si>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</si>
  <si>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</si>
  <si>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</si>
  <si>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</si>
  <si>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</si>
  <si>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</si>
  <si>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영천시 장수로 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</si>
  <si>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</si>
  <si>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</si>
  <si>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010-6526-9328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</si>
  <si>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</si>
  <si>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</si>
  <si>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</si>
  <si>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</si>
  <si>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</si>
  <si>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</si>
  <si>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</si>
  <si>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</si>
  <si>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</si>
  <si>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</si>
  <si>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</si>
  <si>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  <phoneticPr fontId="2" type="noConversion"/>
  </si>
  <si>
    <t>50229</t>
    <phoneticPr fontId="2" type="noConversion"/>
  </si>
  <si>
    <t>0B5_DISC</t>
    <phoneticPr fontId="2" type="noConversion"/>
  </si>
  <si>
    <t>34265KIT</t>
    <phoneticPr fontId="2" type="noConversion"/>
  </si>
  <si>
    <t>0B5_Shaft_Seal</t>
    <phoneticPr fontId="2" type="noConversion"/>
  </si>
  <si>
    <t>19037052B</t>
    <phoneticPr fontId="2" type="noConversion"/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</si>
  <si>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</si>
  <si>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</si>
  <si>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</si>
  <si>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</si>
  <si>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</si>
  <si>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</si>
  <si>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</si>
  <si>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대구오토(대구)_260210_203412.xlsx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</si>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</sst>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1188EAA-CE70-4D22-B47F-778C1E5271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588C-1424-4956-B813-D6A54EAC0A49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75000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130000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40000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40000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40</v>
      </c>
      <c r="B20" s="38"/>
      <c r="C20" s="38"/>
      <c r="D20" s="38"/>
      <c r="E20" s="38"/>
      <c r="F20" s="95">
        <v>1295000</v>
      </c>
      <c r="G20" s="95"/>
      <c r="H20" s="95"/>
      <c r="I20" s="96"/>
      <c r="J20" s="97">
        <f>SUM(J8:N19)</f>
        <v>855000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0</v>
      </c>
      <c r="R20" s="95"/>
      <c r="S20" s="96"/>
      <c r="T20" s="95">
        <f>SUM(T8:U15)</f>
        <v>865000</v>
      </c>
      <c r="U20" s="102"/>
    </row>
    <row r="21" spans="1:21" ht="20.100000000000001" customHeight="1" thickBot="1" x14ac:dyDescent="0.35">
      <c r="A21" s="103" t="s">
        <v>41</v>
      </c>
      <c r="B21" s="104"/>
      <c r="C21" s="104"/>
      <c r="D21" s="104"/>
      <c r="E21" s="104"/>
      <c r="F21" s="105">
        <f>F20+T20</f>
        <v>2160000</v>
      </c>
      <c r="G21" s="105"/>
      <c r="H21" s="105"/>
      <c r="I21" s="106"/>
      <c r="J21" s="107" t="s">
        <v>42</v>
      </c>
      <c r="K21" s="104"/>
      <c r="L21" s="108" t="str">
        <f>T4</f>
        <v>장효주</v>
      </c>
      <c r="M21" s="108"/>
      <c r="N21" s="108"/>
      <c r="O21" s="107" t="s">
        <v>43</v>
      </c>
      <c r="P21" s="104"/>
      <c r="Q21" s="108" t="str">
        <f>C3</f>
        <v>현대오토(영천)</v>
      </c>
      <c r="R21" s="108"/>
      <c r="S21" s="108"/>
      <c r="T21" s="108"/>
      <c r="U21" s="109"/>
    </row>
    <row r="22" spans="1:21" ht="20.100000000000001" customHeight="1" x14ac:dyDescent="0.3">
      <c r="A22" s="110" t="s">
        <v>44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현대오토(영천)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영천시 장수로 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010-6526-9328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75000</v>
      </c>
      <c r="U32" s="128"/>
    </row>
    <row r="33" spans="1:21" ht="15.6" customHeight="1" x14ac:dyDescent="0.3">
      <c r="A33" s="123" t="str">
        <f t="shared" si="0"/>
        <v>0B5_DISC</v>
      </c>
      <c r="B33" s="124"/>
      <c r="C33" s="124"/>
      <c r="D33" s="124"/>
      <c r="E33" s="124"/>
      <c r="F33" s="124" t="str">
        <f t="shared" si="1"/>
        <v>34265KIT</v>
      </c>
      <c r="G33" s="124"/>
      <c r="H33" s="124"/>
      <c r="I33" s="124"/>
      <c r="J33" s="125">
        <f t="shared" si="2"/>
        <v>130000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130000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20000</v>
      </c>
      <c r="U34" s="128"/>
    </row>
    <row r="35" spans="1:21" ht="15.6" customHeight="1" x14ac:dyDescent="0.3">
      <c r="A35" s="123" t="str">
        <f t="shared" si="0"/>
        <v>0B5_Filter</v>
      </c>
      <c r="B35" s="124"/>
      <c r="C35" s="124"/>
      <c r="D35" s="124"/>
      <c r="E35" s="124"/>
      <c r="F35" s="124" t="str">
        <f t="shared" si="1"/>
        <v>0B5325330A</v>
      </c>
      <c r="G35" s="124"/>
      <c r="H35" s="124"/>
      <c r="I35" s="124"/>
      <c r="J35" s="125">
        <f t="shared" si="2"/>
        <v>40000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40000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40</v>
      </c>
      <c r="B43" s="38"/>
      <c r="C43" s="38"/>
      <c r="D43" s="38"/>
      <c r="E43" s="38"/>
      <c r="F43" s="95">
        <f>F20</f>
        <v>1295000</v>
      </c>
      <c r="G43" s="95"/>
      <c r="H43" s="95"/>
      <c r="I43" s="96"/>
      <c r="J43" s="97">
        <f>J20</f>
        <v>855000</v>
      </c>
      <c r="K43" s="98"/>
      <c r="L43" s="98"/>
      <c r="M43" s="98"/>
      <c r="N43" s="99"/>
      <c r="O43" s="100">
        <f>O20</f>
        <v>6</v>
      </c>
      <c r="P43" s="100"/>
      <c r="Q43" s="101">
        <f>Q20</f>
        <v>0</v>
      </c>
      <c r="R43" s="95"/>
      <c r="S43" s="95"/>
      <c r="T43" s="95">
        <f>T20</f>
        <v>865000</v>
      </c>
      <c r="U43" s="102"/>
    </row>
    <row r="44" spans="1:21" ht="20.100000000000001" customHeight="1" thickBot="1" x14ac:dyDescent="0.35">
      <c r="A44" s="103" t="s">
        <v>41</v>
      </c>
      <c r="B44" s="104"/>
      <c r="C44" s="104"/>
      <c r="D44" s="104"/>
      <c r="E44" s="104"/>
      <c r="F44" s="105">
        <f>F21</f>
        <v>2160000</v>
      </c>
      <c r="G44" s="105"/>
      <c r="H44" s="105"/>
      <c r="I44" s="106"/>
      <c r="J44" s="107" t="s">
        <v>42</v>
      </c>
      <c r="K44" s="104"/>
      <c r="L44" s="135" t="str">
        <f>T27</f>
        <v>장효주</v>
      </c>
      <c r="M44" s="135"/>
      <c r="N44" s="135"/>
      <c r="O44" s="107" t="s">
        <v>43</v>
      </c>
      <c r="P44" s="136"/>
      <c r="Q44" s="137" t="str">
        <f>Q21</f>
        <v>현대오토(영천)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2026-02-11T06:35:12Z</dcterms:created>
  <dcterms:modified xsi:type="dcterms:W3CDTF">2026-02-11T06:35:12Z</dcterms:modified>
</cp:coreProperties>
</file>