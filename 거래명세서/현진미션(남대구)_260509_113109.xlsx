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67795C7-B836-46CA-8991-7AF5694C24A6}" xr6:coauthVersionLast="47" xr6:coauthVersionMax="47" xr10:uidLastSave="{00000000-0000-0000-0000-000000000000}"/>
  <bookViews>
    <workbookView xWindow="-120" yWindow="-120" windowWidth="29040" windowHeight="15840" xr2:uid="{F224E5F4-48ED-4983-B99A-8AA8642ACAA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<sst xmlns="http://schemas.openxmlformats.org/spreadsheetml/2006/main" count="78" uniqueCount="42">
  <si>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</si>
  <si>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</si>
  <si>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</si>
  <si>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</si>
  <si>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</si>
  <si>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</si>
  <si>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</si>
  <si>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</si>
  <si>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</si>
  <si>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</si>
  <si>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</si>
  <si>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</si>
  <si>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</si>
  <si>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</si>
  <si>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</si>
  <si>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</si>
  <si>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</si>
  <si>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</si>
  <si>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</si>
  <si>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</si>
  <si>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</si>
  <si>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</si>
  <si>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</si>
  <si>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</si>
  <si>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</si>
  <si>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</si>
  <si>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</si>
  <si>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</si>
  <si>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</si>
  <si>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</si>
  <si>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0B5_DISC</t>
    <phoneticPr fontId="2" type="noConversion"/>
  </si>
  <si>
    <t>34265KIT</t>
  </si>
  <si>
    <t>0B5_Solenoid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</si>
  <si>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</si>
  <si>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</si>
  <si>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</si>
  <si>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</si>
  <si>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</si>
  <si>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</si>
  <si>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</si>
  <si>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STC모터스(통영)_260509_113006.xlsx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</si>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</sst>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987EB27-6868-4098-BD76-C70974A5F6D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05CD-0F13-4D47-93E9-85AC18401FE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>
        <v>50229</v>
      </c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80000</v>
      </c>
      <c r="U10" s="66"/>
    </row>
    <row r="11" spans="1:21" ht="15.6" customHeight="1" x14ac:dyDescent="0.3">
      <c r="A11" s="56" t="s">
        <v>33</v>
      </c>
      <c r="B11" s="57"/>
      <c r="C11" s="57"/>
      <c r="D11" s="57"/>
      <c r="E11" s="58"/>
      <c r="F11" s="59" t="s">
        <v>34</v>
      </c>
      <c r="G11" s="57"/>
      <c r="H11" s="57"/>
      <c r="I11" s="58"/>
      <c r="J11" s="60">
        <v>20000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20000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35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36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870000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0</v>
      </c>
      <c r="R20" s="96"/>
      <c r="S20" s="97"/>
      <c r="T20" s="96">
        <f>SUM(T8:U15)</f>
        <v>870000</v>
      </c>
      <c r="U20" s="103"/>
    </row>
    <row r="21" spans="1:21" ht="20.100000000000001" customHeight="1" thickBot="1" x14ac:dyDescent="0.35">
      <c r="A21" s="104" t="s">
        <v>37</v>
      </c>
      <c r="B21" s="105"/>
      <c r="C21" s="105"/>
      <c r="D21" s="105"/>
      <c r="E21" s="105"/>
      <c r="F21" s="106">
        <f>F20+T20</f>
        <v>869999.90000000037</v>
      </c>
      <c r="G21" s="106"/>
      <c r="H21" s="106"/>
      <c r="I21" s="107"/>
      <c r="J21" s="108" t="s">
        <v>38</v>
      </c>
      <c r="K21" s="105"/>
      <c r="L21" s="109" t="str">
        <f>T4</f>
        <v>장효주</v>
      </c>
      <c r="M21" s="109"/>
      <c r="N21" s="109"/>
      <c r="O21" s="108" t="s">
        <v>39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40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 t="str">
        <f t="shared" si="0"/>
        <v>0B5_Solenoid</v>
      </c>
      <c r="B33" s="125"/>
      <c r="C33" s="125"/>
      <c r="D33" s="125"/>
      <c r="E33" s="125"/>
      <c r="F33" s="125">
        <f t="shared" si="1"/>
        <v>50229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80000</v>
      </c>
      <c r="U33" s="129"/>
    </row>
    <row r="34" spans="1:21" ht="15.6" customHeight="1" x14ac:dyDescent="0.3">
      <c r="A34" s="124" t="str">
        <f t="shared" si="0"/>
        <v>0B5_Shaft_Seal</v>
      </c>
      <c r="B34" s="125"/>
      <c r="C34" s="125"/>
      <c r="D34" s="125"/>
      <c r="E34" s="125"/>
      <c r="F34" s="125" t="str">
        <f t="shared" si="1"/>
        <v>19037052B</v>
      </c>
      <c r="G34" s="125"/>
      <c r="H34" s="125"/>
      <c r="I34" s="125"/>
      <c r="J34" s="126">
        <f t="shared" si="2"/>
        <v>20000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20000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35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36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870000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0</v>
      </c>
      <c r="R43" s="96"/>
      <c r="S43" s="96"/>
      <c r="T43" s="96">
        <f>T20</f>
        <v>870000</v>
      </c>
      <c r="U43" s="103"/>
    </row>
    <row r="44" spans="1:21" ht="20.100000000000001" customHeight="1" thickBot="1" x14ac:dyDescent="0.35">
      <c r="A44" s="104" t="s">
        <v>37</v>
      </c>
      <c r="B44" s="105"/>
      <c r="C44" s="105"/>
      <c r="D44" s="105"/>
      <c r="E44" s="105"/>
      <c r="F44" s="106">
        <f>F21</f>
        <v>869999.90000000037</v>
      </c>
      <c r="G44" s="106"/>
      <c r="H44" s="106"/>
      <c r="I44" s="107"/>
      <c r="J44" s="108" t="s">
        <v>38</v>
      </c>
      <c r="K44" s="105"/>
      <c r="L44" s="136" t="str">
        <f>T27</f>
        <v>장효주</v>
      </c>
      <c r="M44" s="136"/>
      <c r="N44" s="136"/>
      <c r="O44" s="108" t="s">
        <v>39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2026-05-09T02:31:09Z</dcterms:created>
  <dcterms:modified xsi:type="dcterms:W3CDTF">2026-05-09T02:31:09Z</dcterms:modified>
</cp:coreProperties>
</file>