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2A16D01-FD1A-43A8-AEEF-8BA2507D9F37}" xr6:coauthVersionLast="47" xr6:coauthVersionMax="47" xr10:uidLastSave="{00000000-0000-0000-0000-000000000000}"/>
  <bookViews>
    <workbookView xWindow="0" yWindow="600" windowWidth="28800" windowHeight="15600" xr2:uid="{58275606-B6EF-46C2-B8EA-CE1A3DE80B89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<sst xmlns="http://schemas.openxmlformats.org/spreadsheetml/2006/main" count="76" uniqueCount="40">
  <si>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</si>
  <si>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</si>
  <si>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WDDZF4CB8JA404594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</si>
  <si>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</si>
  <si>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</si>
  <si>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</si>
  <si>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</si>
  <si>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</si>
  <si>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</si>
  <si>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현진미션(칠곡)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</si>
  <si>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</si>
  <si>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</si>
  <si>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</si>
  <si>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</si>
  <si>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</si>
  <si>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</si>
  <si>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</si>
  <si>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태전로1길 36</t>
    <phoneticPr fontId="2" type="noConversion"/>
  </si>
  <si>
    <t>대구 달서구 용산로 28(본리동)</t>
    <phoneticPr fontId="2" type="noConversion"/>
  </si>
  <si>
    <t>전화</t>
    <phoneticPr fontId="2" type="noConversion"/>
  </si>
  <si>
    <t>010-4505-2801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</si>
  <si>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</si>
  <si>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</si>
  <si>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</si>
  <si>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</si>
  <si>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</si>
  <si>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</si>
  <si>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</si>
  <si>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</si>
  <si>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</si>
  <si>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</si>
  <si>
    <t>ZF_9G_Oilpan</t>
  </si>
  <si>
    <t>7252703114-1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</si>
  <si>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</si>
  <si>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</si>
  <si>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</si>
  <si>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</si>
  <si>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</si>
  <si>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부산비엔비(부산)_260703_171534.xlsx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</si>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</sst>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E5144A0-D175-4D00-BF54-45C7F907F0C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1DB3A-906A-44F8-B20C-8DF77F77DB67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46206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 t="s">
        <v>31</v>
      </c>
      <c r="B9" s="57"/>
      <c r="C9" s="57"/>
      <c r="D9" s="57"/>
      <c r="E9" s="58"/>
      <c r="F9" s="59" t="s">
        <v>32</v>
      </c>
      <c r="G9" s="57"/>
      <c r="H9" s="57"/>
      <c r="I9" s="58"/>
      <c r="J9" s="60">
        <v>140000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140000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33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34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1340000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1340000</v>
      </c>
      <c r="U20" s="103"/>
    </row>
    <row r="21" spans="1:21" ht="20.100000000000001" customHeight="1" thickBot="1" x14ac:dyDescent="0.35">
      <c r="A21" s="104" t="s">
        <v>35</v>
      </c>
      <c r="B21" s="105"/>
      <c r="C21" s="105"/>
      <c r="D21" s="105"/>
      <c r="E21" s="105"/>
      <c r="F21" s="106">
        <f>F20+T20</f>
        <v>1339999.9000000004</v>
      </c>
      <c r="G21" s="106"/>
      <c r="H21" s="106"/>
      <c r="I21" s="107"/>
      <c r="J21" s="108" t="s">
        <v>36</v>
      </c>
      <c r="K21" s="105"/>
      <c r="L21" s="109" t="str">
        <f>T4</f>
        <v>장효주</v>
      </c>
      <c r="M21" s="109"/>
      <c r="N21" s="109"/>
      <c r="O21" s="108" t="s">
        <v>37</v>
      </c>
      <c r="P21" s="105"/>
      <c r="Q21" s="109" t="str">
        <f>C3</f>
        <v>현진미션(칠곡)</v>
      </c>
      <c r="R21" s="109"/>
      <c r="S21" s="109"/>
      <c r="T21" s="109"/>
      <c r="U21" s="110"/>
    </row>
    <row r="22" spans="1:21" ht="20.100000000000001" customHeight="1" x14ac:dyDescent="0.3">
      <c r="A22" s="111" t="s">
        <v>38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WDDZF4CB8JA404594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46206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현진미션(칠곡)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북구 태전로1길 36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010-4505-2801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 t="str">
        <f t="shared" ref="A32:A38" si="0">A9</f>
        <v>ZF_9G_Oilpan</v>
      </c>
      <c r="B32" s="125"/>
      <c r="C32" s="125"/>
      <c r="D32" s="125"/>
      <c r="E32" s="125"/>
      <c r="F32" s="125" t="str">
        <f t="shared" ref="F32:F38" si="1">F9</f>
        <v>7252703114-1</v>
      </c>
      <c r="G32" s="125"/>
      <c r="H32" s="125"/>
      <c r="I32" s="125"/>
      <c r="J32" s="126">
        <f t="shared" ref="J32:J38" si="2">J9</f>
        <v>140000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140000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33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34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1340000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1340000</v>
      </c>
      <c r="U43" s="103"/>
    </row>
    <row r="44" spans="1:21" ht="20.100000000000001" customHeight="1" thickBot="1" x14ac:dyDescent="0.35">
      <c r="A44" s="104" t="s">
        <v>35</v>
      </c>
      <c r="B44" s="105"/>
      <c r="C44" s="105"/>
      <c r="D44" s="105"/>
      <c r="E44" s="105"/>
      <c r="F44" s="106">
        <f>F21</f>
        <v>1339999.9000000004</v>
      </c>
      <c r="G44" s="106"/>
      <c r="H44" s="106"/>
      <c r="I44" s="107"/>
      <c r="J44" s="108" t="s">
        <v>36</v>
      </c>
      <c r="K44" s="105"/>
      <c r="L44" s="136" t="str">
        <f>T27</f>
        <v>장효주</v>
      </c>
      <c r="M44" s="136"/>
      <c r="N44" s="136"/>
      <c r="O44" s="108" t="s">
        <v>37</v>
      </c>
      <c r="P44" s="137"/>
      <c r="Q44" s="138" t="str">
        <f>Q21</f>
        <v>현진미션(칠곡)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2026-07-03T08:16:21Z</dcterms:created>
  <dcterms:modified xsi:type="dcterms:W3CDTF">2026-07-03T08:16:22Z</dcterms:modified>
</cp:coreProperties>
</file>