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AE62E2E4-FEFC-45A5-A92A-B9034A738A7F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s="1"/>
  <c r="C222" i="56" l="1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<sst xmlns="http://schemas.openxmlformats.org/spreadsheetml/2006/main" count="8648" uniqueCount="3246">
  <si>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</si>
  <si>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</si>
  <si>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</si>
  <si>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</si>
  <si>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</si>
  <si>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</si>
  <si>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</si>
  <si>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</si>
  <si>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</si>
  <si>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</si>
  <si>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</si>
  <si>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</si>
  <si>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</si>
  <si>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</si>
  <si>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</si>
  <si>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</si>
  <si>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</si>
  <si>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</si>
  <si>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</si>
  <si>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</si>
  <si>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</si>
  <si>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</si>
  <si>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</si>
  <si>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</si>
  <si>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</si>
  <si>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</si>
  <si>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</si>
  <si>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</si>
  <si>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</si>
  <si>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</si>
  <si>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</si>
  <si>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</si>
  <si>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</si>
  <si>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</si>
  <si>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</si>
  <si>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</si>
  <si>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</si>
  <si>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</si>
  <si>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</si>
  <si>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</si>
  <si>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</si>
  <si>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</si>
  <si>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</si>
  <si>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</si>
  <si>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</si>
  <si>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</si>
  <si>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</si>
  <si>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</si>
  <si>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</si>
  <si>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</si>
  <si>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</si>
  <si>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</si>
  <si>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</si>
  <si>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</si>
  <si>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</si>
  <si>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</si>
  <si>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</si>
  <si>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</si>
  <si>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</si>
  <si>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</si>
  <si>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</si>
  <si>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</si>
  <si>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</si>
  <si>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</si>
  <si>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</si>
  <si>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</si>
  <si>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</si>
  <si>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</si>
  <si>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</si>
  <si>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</si>
  <si>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</si>
  <si>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</si>
  <si>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</si>
  <si>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</si>
  <si>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</si>
  <si>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</si>
  <si>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</si>
  <si>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</si>
  <si>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</si>
  <si>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</si>
  <si>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</si>
  <si>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</si>
  <si>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</si>
  <si>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</si>
  <si>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</si>
  <si>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</si>
  <si>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</si>
  <si>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</si>
  <si>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</si>
  <si>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</si>
  <si>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</si>
  <si>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</si>
  <si>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</si>
  <si>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</si>
  <si>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</si>
  <si>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</si>
  <si>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</si>
  <si>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</si>
  <si>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</si>
  <si>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</si>
  <si>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</si>
  <si>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</si>
  <si>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</si>
  <si>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</si>
  <si>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</si>
  <si>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</si>
  <si>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</si>
  <si>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</si>
  <si>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</si>
  <si>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</si>
  <si>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</si>
  <si>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</si>
  <si>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</si>
  <si>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</si>
  <si>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</si>
  <si>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</si>
  <si>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</si>
  <si>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</si>
  <si>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</si>
  <si>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</si>
  <si>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</si>
  <si>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</si>
  <si>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</si>
  <si>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</si>
  <si>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</si>
  <si>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</si>
  <si>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</si>
  <si>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</si>
  <si>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</si>
  <si>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</si>
  <si>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</si>
  <si>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</si>
  <si>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</si>
  <si>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</si>
  <si>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</si>
  <si>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</si>
  <si>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</si>
  <si>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</si>
  <si>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</si>
  <si>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</si>
  <si>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</si>
  <si>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</si>
  <si>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</si>
  <si>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</si>
  <si>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</si>
  <si>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</si>
  <si>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</si>
  <si>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</si>
  <si>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</si>
  <si>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</si>
  <si>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</si>
  <si>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</si>
  <si>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</si>
  <si>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</si>
  <si>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</si>
  <si>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</si>
  <si>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</si>
  <si>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</si>
  <si>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</si>
  <si>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</si>
  <si>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</si>
  <si>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</si>
  <si>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</si>
  <si>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</si>
  <si>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</si>
  <si>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</si>
  <si>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</si>
  <si>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</si>
  <si>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</si>
  <si>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</si>
  <si>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</si>
  <si>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</si>
  <si>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</si>
  <si>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</si>
  <si>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</si>
  <si>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</si>
  <si>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</si>
  <si>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</si>
  <si>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</si>
  <si>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</si>
  <si>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</si>
  <si>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</si>
  <si>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</si>
  <si>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</si>
  <si>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</si>
  <si>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</si>
  <si>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</si>
  <si>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</si>
  <si>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</si>
  <si>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</si>
  <si>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</si>
  <si>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</si>
  <si>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</si>
  <si>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</si>
  <si>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</si>
  <si>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</si>
  <si>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</si>
  <si>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</si>
  <si>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</si>
  <si>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</si>
  <si>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</si>
  <si>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</si>
  <si>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</si>
  <si>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</si>
  <si>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</si>
  <si>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</si>
  <si>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</si>
  <si>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</si>
  <si>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</si>
  <si>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</si>
  <si>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</si>
  <si>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</si>
  <si>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</si>
  <si>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</si>
  <si>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</si>
  <si>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</si>
  <si>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</si>
  <si>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</si>
  <si>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</si>
  <si>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</si>
  <si>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</si>
  <si>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</si>
  <si>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</si>
  <si>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</si>
  <si>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</si>
  <si>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</si>
  <si>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</si>
  <si>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</si>
  <si>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</si>
  <si>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</si>
  <si>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</si>
  <si>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</si>
  <si>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</si>
  <si>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</si>
  <si>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</si>
  <si>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</si>
  <si>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</si>
  <si>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</si>
  <si>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</si>
  <si>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</si>
  <si>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</si>
  <si>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</si>
  <si>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</si>
  <si>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</si>
  <si>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</si>
  <si>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</si>
  <si>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</si>
  <si>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</si>
  <si>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</si>
  <si>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</si>
  <si>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</si>
  <si>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</si>
  <si>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</si>
  <si>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</si>
  <si>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</si>
  <si>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</si>
  <si>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</si>
  <si>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</si>
  <si>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</si>
  <si>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</si>
  <si>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</si>
  <si>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</si>
  <si>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</si>
  <si>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</si>
  <si>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</si>
  <si>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</si>
  <si>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</si>
  <si>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</si>
  <si>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</si>
  <si>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</si>
  <si>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</si>
  <si>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</si>
  <si>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</si>
  <si>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</si>
  <si>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</si>
  <si>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</si>
  <si>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</si>
  <si>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</si>
  <si>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</si>
  <si>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</si>
  <si>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</si>
  <si>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</si>
  <si>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</si>
  <si>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</si>
  <si>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</si>
  <si>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</si>
  <si>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</si>
  <si>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</si>
  <si>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</si>
  <si>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</si>
  <si>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</si>
  <si>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</si>
  <si>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</si>
  <si>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</si>
  <si>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</si>
  <si>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</si>
  <si>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</si>
  <si>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</si>
  <si>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</si>
  <si>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</si>
  <si>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</si>
  <si>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</si>
  <si>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</si>
  <si>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</si>
  <si>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</si>
  <si>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</si>
  <si>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</si>
  <si>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</si>
  <si>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</si>
  <si>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</si>
  <si>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</si>
  <si>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</si>
  <si>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</si>
  <si>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</si>
  <si>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</si>
  <si>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</si>
  <si>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</si>
  <si>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</si>
  <si>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</si>
  <si>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</si>
  <si>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</si>
  <si>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</si>
  <si>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</si>
  <si>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</si>
  <si>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</si>
  <si>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</si>
  <si>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</si>
  <si>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</si>
  <si>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</si>
  <si>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</si>
  <si>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</si>
  <si>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</si>
  <si>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</si>
  <si>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</si>
  <si>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</si>
  <si>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</si>
  <si>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</si>
  <si>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</si>
  <si>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</si>
  <si>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</si>
  <si>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</si>
  <si>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</si>
  <si>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</si>
  <si>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</si>
  <si>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</si>
  <si>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</si>
  <si>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</si>
  <si>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</si>
  <si>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</si>
  <si>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</si>
  <si>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</si>
  <si>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</si>
  <si>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</si>
  <si>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</si>
  <si>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</si>
  <si>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</si>
  <si>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</si>
  <si>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</si>
  <si>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</si>
  <si>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</si>
  <si>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</si>
  <si>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</si>
  <si>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</si>
  <si>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</si>
  <si>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</si>
  <si>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</si>
  <si>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</si>
  <si>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</si>
  <si>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</si>
  <si>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</si>
  <si>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</si>
  <si>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</si>
  <si>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</si>
  <si>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</si>
  <si>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</si>
  <si>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</si>
  <si>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</si>
  <si>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</si>
  <si>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</si>
  <si>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</si>
  <si>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</si>
  <si>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</si>
  <si>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</si>
  <si>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</si>
  <si>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</si>
  <si>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</si>
  <si>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</si>
  <si>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</si>
  <si>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</si>
  <si>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</si>
  <si>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</si>
  <si>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</si>
  <si>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</si>
  <si>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</si>
  <si>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</si>
  <si>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</si>
  <si>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</si>
  <si>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</si>
  <si>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</si>
  <si>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</si>
  <si>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</si>
  <si>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</si>
  <si>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</si>
  <si>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</si>
  <si>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</si>
  <si>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</si>
  <si>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</si>
  <si>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</si>
  <si>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</si>
  <si>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</si>
  <si>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</si>
  <si>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</si>
  <si>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</si>
  <si>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</si>
  <si>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</si>
  <si>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</si>
  <si>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</si>
  <si>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</si>
  <si>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</si>
  <si>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</si>
  <si>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</si>
  <si>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</si>
  <si>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</si>
  <si>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</si>
  <si>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</si>
  <si>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</si>
  <si>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</si>
  <si>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</si>
  <si>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</si>
  <si>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</si>
  <si>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</si>
  <si>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</si>
  <si>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</si>
  <si>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</si>
  <si>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</si>
  <si>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</si>
  <si>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</si>
  <si>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</si>
  <si>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</si>
  <si>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</si>
  <si>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</si>
  <si>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</si>
  <si>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</si>
  <si>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</si>
  <si>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</si>
  <si>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</si>
  <si>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</si>
  <si>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</si>
  <si>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</si>
  <si>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</si>
  <si>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</si>
  <si>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</si>
  <si>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</si>
  <si>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</si>
  <si>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</si>
  <si>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</si>
  <si>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</si>
  <si>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</si>
  <si>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</si>
  <si>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</si>
  <si>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</si>
  <si>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</si>
  <si>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</si>
  <si>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</si>
  <si>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</si>
  <si>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</si>
  <si>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</si>
  <si>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</si>
  <si>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</si>
  <si>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</si>
  <si>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</si>
  <si>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</si>
  <si>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</si>
  <si>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</si>
  <si>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</si>
  <si>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</si>
  <si>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</si>
  <si>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</si>
  <si>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</si>
  <si>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</si>
  <si>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</si>
  <si>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</si>
  <si>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</si>
  <si>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</si>
  <si>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</si>
  <si>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</si>
  <si>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</si>
  <si>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</si>
  <si>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</si>
  <si>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</si>
  <si>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</si>
  <si>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</si>
  <si>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</si>
  <si>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</si>
  <si>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</si>
  <si>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</si>
  <si>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</si>
  <si>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</si>
  <si>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</si>
  <si>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</si>
  <si>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</si>
  <si>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</si>
  <si>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</si>
  <si>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</si>
  <si>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</si>
  <si>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</si>
  <si>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</si>
  <si>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</si>
  <si>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</si>
  <si>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</si>
  <si>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</si>
  <si>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</si>
  <si>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</si>
  <si>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</si>
  <si>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</si>
  <si>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</si>
  <si>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</si>
  <si>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</si>
  <si>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</si>
  <si>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</si>
  <si>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</si>
  <si>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</si>
  <si>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</si>
  <si>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</si>
  <si>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</si>
  <si>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</si>
  <si>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</si>
  <si>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</si>
  <si>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</si>
  <si>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</si>
  <si>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</si>
  <si>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</si>
  <si>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</si>
  <si>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</si>
  <si>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</si>
  <si>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</si>
  <si>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</si>
  <si>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</si>
  <si>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</si>
  <si>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</si>
  <si>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</si>
  <si>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</si>
  <si>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</si>
  <si>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</si>
  <si>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</si>
  <si>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</si>
  <si>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</si>
  <si>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</si>
  <si>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</si>
  <si>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</si>
  <si>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</si>
  <si>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</si>
  <si>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</si>
  <si>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</si>
  <si>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</si>
  <si>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</si>
  <si>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</si>
  <si>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</si>
  <si>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</si>
  <si>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</si>
  <si>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</si>
  <si>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</si>
  <si>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</si>
  <si>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</si>
  <si>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</si>
  <si>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</si>
  <si>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</si>
  <si>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</si>
  <si>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</si>
  <si>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</si>
  <si>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</si>
  <si>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</si>
  <si>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</si>
  <si>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</si>
  <si>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</si>
  <si>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</si>
  <si>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</si>
  <si>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</si>
  <si>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</si>
  <si>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</si>
  <si>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</si>
  <si>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</si>
  <si>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</si>
  <si>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</si>
  <si>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</si>
  <si>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</si>
  <si>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</si>
  <si>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</si>
  <si>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</si>
  <si>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</si>
  <si>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</si>
  <si>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</si>
  <si>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</si>
  <si>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</si>
  <si>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</si>
  <si>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</si>
  <si>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</si>
  <si>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</si>
  <si>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</si>
  <si>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</si>
  <si>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</si>
  <si>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</si>
  <si>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</si>
  <si>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</si>
  <si>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</si>
  <si>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</si>
  <si>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</si>
  <si>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</si>
  <si>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</si>
  <si>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</si>
  <si>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</si>
  <si>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</si>
  <si>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</si>
  <si>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</si>
  <si>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</si>
  <si>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</si>
  <si>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</si>
  <si>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</si>
  <si>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</si>
  <si>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</si>
  <si>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</si>
  <si>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</si>
  <si>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</si>
  <si>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</si>
  <si>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</si>
  <si>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</si>
  <si>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</si>
  <si>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</si>
  <si>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</si>
  <si>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</si>
  <si>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</si>
  <si>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</si>
  <si>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</si>
  <si>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</si>
  <si>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</si>
  <si>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</si>
  <si>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</si>
  <si>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</si>
  <si>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</si>
  <si>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</si>
  <si>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</si>
  <si>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</si>
  <si>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</si>
  <si>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</si>
  <si>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</si>
  <si>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</si>
  <si>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</si>
  <si>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</si>
  <si>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</si>
  <si>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</si>
  <si>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</si>
  <si>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</si>
  <si>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</si>
  <si>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</si>
  <si>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</si>
  <si>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</si>
  <si>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</si>
  <si>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</si>
  <si>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</si>
  <si>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</si>
  <si>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</si>
  <si>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</si>
  <si>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</si>
  <si>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</si>
  <si>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</si>
  <si>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</si>
  <si>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</si>
  <si>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</si>
  <si>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</si>
  <si>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</si>
  <si>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</si>
  <si>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</si>
  <si>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</si>
  <si>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</si>
  <si>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</si>
  <si>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</si>
  <si>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</si>
  <si>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</si>
  <si>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</si>
  <si>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</si>
  <si>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</si>
  <si>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</si>
  <si>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</si>
  <si>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</si>
  <si>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</si>
  <si>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</si>
  <si>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</si>
  <si>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</si>
  <si>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</si>
  <si>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</si>
  <si>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</si>
  <si>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</si>
  <si>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</si>
  <si>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</si>
  <si>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</si>
  <si>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</si>
  <si>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</si>
  <si>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</si>
  <si>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</si>
  <si>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</si>
  <si>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</si>
  <si>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</si>
  <si>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</si>
  <si>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</si>
  <si>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</si>
  <si>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</si>
  <si>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</si>
  <si>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</si>
  <si>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</si>
  <si>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</si>
  <si>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</si>
  <si>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</si>
  <si>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</si>
  <si>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</si>
  <si>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</si>
  <si>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</si>
  <si>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</si>
  <si>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</si>
  <si>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</si>
  <si>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</si>
  <si>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</si>
  <si>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</si>
  <si>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</si>
  <si>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</si>
  <si>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</si>
  <si>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</si>
  <si>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</si>
  <si>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</si>
  <si>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</si>
  <si>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</si>
  <si>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</si>
  <si>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</si>
  <si>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</si>
  <si>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</si>
  <si>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</si>
  <si>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</si>
  <si>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</si>
  <si>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</si>
  <si>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</si>
  <si>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</si>
  <si>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</si>
  <si>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</si>
  <si>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</si>
  <si>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</si>
  <si>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</si>
  <si>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</si>
  <si>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</si>
  <si>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</si>
  <si>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</si>
  <si>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</si>
  <si>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</si>
  <si>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</si>
  <si>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</si>
  <si>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</si>
  <si>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</si>
  <si>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</si>
  <si>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</si>
  <si>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</si>
  <si>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</si>
  <si>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</si>
  <si>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</si>
  <si>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</si>
  <si>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</si>
  <si>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</si>
  <si>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</si>
  <si>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</si>
  <si>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</si>
  <si>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</si>
  <si>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</si>
  <si>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</si>
  <si>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</si>
  <si>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</si>
  <si>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</si>
  <si>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</si>
  <si>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</si>
  <si>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</si>
  <si>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</si>
  <si>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</si>
  <si>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</si>
  <si>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</si>
  <si>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</si>
  <si>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</si>
  <si>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</si>
  <si>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</si>
  <si>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</si>
  <si>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</si>
  <si>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</si>
  <si>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</si>
  <si>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</si>
  <si>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</si>
  <si>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</si>
  <si>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</si>
  <si>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</si>
  <si>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</si>
  <si>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</si>
  <si>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</si>
  <si>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</si>
  <si>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</si>
  <si>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</si>
  <si>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</si>
  <si>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</si>
  <si>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</si>
  <si>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</si>
  <si>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</si>
  <si>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</si>
  <si>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</si>
  <si>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</si>
  <si>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</si>
  <si>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</si>
  <si>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</si>
  <si>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</si>
  <si>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</si>
  <si>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</si>
  <si>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</si>
  <si>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</si>
  <si>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</si>
  <si>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</si>
  <si>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</si>
  <si>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</si>
  <si>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</si>
  <si>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</si>
  <si>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</si>
  <si>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</si>
  <si>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</si>
  <si>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</si>
  <si>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</si>
  <si>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</si>
  <si>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</si>
  <si>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</si>
  <si>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</si>
  <si>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</si>
  <si>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</si>
  <si>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</si>
  <si>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</si>
  <si>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</si>
  <si>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</si>
  <si>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</si>
  <si>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</si>
  <si>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</si>
  <si>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</si>
  <si>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</si>
  <si>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</si>
  <si>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</si>
  <si>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</si>
  <si>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</si>
  <si>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</si>
  <si>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</si>
  <si>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</si>
  <si>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</si>
  <si>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</si>
  <si>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</si>
  <si>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</si>
  <si>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</si>
  <si>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</si>
  <si>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</si>
  <si>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</si>
  <si>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</si>
  <si>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</si>
  <si>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</si>
  <si>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</si>
  <si>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</si>
  <si>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</si>
  <si>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</si>
  <si>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</si>
  <si>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</si>
  <si>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</si>
  <si>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</si>
  <si>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</si>
  <si>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</si>
  <si>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</si>
  <si>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</si>
  <si>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</si>
  <si>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</si>
  <si>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</si>
  <si>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</si>
  <si>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</si>
  <si>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</si>
  <si>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</si>
  <si>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</si>
  <si>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</si>
  <si>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</si>
  <si>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</si>
  <si>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</si>
  <si>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</si>
  <si>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</si>
  <si>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</si>
  <si>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</si>
  <si>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</si>
  <si>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</si>
  <si>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</si>
  <si>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</si>
  <si>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</si>
  <si>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</si>
  <si>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</si>
  <si>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</si>
  <si>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</si>
  <si>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</si>
  <si>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</si>
  <si>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</si>
  <si>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</si>
  <si>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</si>
  <si>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</si>
  <si>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</si>
  <si>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</si>
  <si>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</si>
  <si>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</si>
  <si>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</si>
  <si>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</si>
  <si>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</si>
  <si>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</si>
  <si>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</si>
  <si>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</si>
  <si>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</si>
  <si>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</si>
  <si>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</si>
  <si>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</si>
  <si>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</si>
  <si>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</si>
  <si>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</si>
  <si>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</si>
  <si>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</si>
  <si>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</si>
  <si>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</si>
  <si>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</si>
  <si>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</si>
  <si>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</si>
  <si>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</si>
  <si>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</si>
  <si>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</si>
  <si>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</si>
  <si>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</si>
  <si>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</si>
  <si>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</si>
  <si>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</si>
  <si>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</si>
  <si>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</si>
  <si>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</si>
  <si>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</si>
  <si>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</si>
  <si>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</si>
  <si>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</si>
  <si>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</si>
  <si>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</si>
  <si>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</si>
  <si>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</si>
  <si>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</si>
  <si>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</si>
  <si>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</si>
  <si>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</si>
  <si>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</si>
  <si>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</si>
  <si>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</si>
  <si>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</si>
  <si>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</si>
  <si>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</si>
  <si>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</si>
  <si>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</si>
  <si>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</si>
  <si>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</si>
  <si>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</si>
  <si>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</si>
  <si>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</si>
  <si>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</si>
  <si>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</si>
  <si>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</si>
  <si>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</si>
  <si>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</si>
  <si>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</si>
  <si>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</si>
  <si>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</si>
  <si>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</si>
  <si>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</si>
  <si>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</si>
  <si>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</si>
  <si>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</si>
  <si>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</si>
  <si>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</si>
  <si>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</si>
  <si>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</si>
  <si>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</si>
  <si>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</si>
  <si>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</si>
  <si>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</si>
  <si>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</si>
  <si>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</si>
  <si>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</si>
  <si>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</si>
  <si>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</si>
  <si>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</si>
  <si>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</si>
  <si>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</si>
  <si>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</si>
  <si>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</si>
  <si>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</si>
  <si>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</si>
  <si>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</si>
  <si>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</si>
  <si>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</si>
  <si>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</si>
  <si>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</si>
  <si>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</si>
  <si>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</si>
  <si>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</si>
  <si>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</si>
  <si>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</si>
  <si>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</si>
  <si>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</si>
  <si>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</si>
  <si>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</si>
  <si>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</si>
  <si>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</si>
  <si>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</si>
  <si>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</si>
  <si>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</si>
  <si>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</si>
  <si>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</si>
  <si>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</si>
  <si>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</si>
  <si>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</si>
  <si>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</si>
  <si>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</si>
  <si>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</si>
  <si>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</si>
  <si>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</si>
  <si>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</si>
  <si>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</si>
  <si>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</si>
  <si>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</si>
  <si>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</si>
  <si>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</si>
  <si>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</si>
  <si>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</si>
  <si>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</si>
  <si>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</si>
  <si>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</si>
  <si>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</si>
  <si>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</si>
  <si>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</si>
  <si>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</si>
  <si>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</si>
  <si>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</si>
  <si>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</si>
  <si>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</si>
  <si>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</si>
  <si>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</si>
  <si>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</si>
  <si>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</si>
  <si>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</si>
  <si>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</si>
  <si>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</si>
  <si>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</si>
  <si>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</si>
  <si>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</si>
  <si>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</si>
  <si>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</si>
  <si>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</si>
  <si>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</si>
  <si>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</si>
  <si>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</si>
  <si>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</si>
  <si>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</si>
  <si>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</si>
  <si>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</si>
  <si>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</si>
  <si>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</si>
  <si>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</si>
  <si>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</si>
  <si>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</si>
  <si>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</si>
  <si>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</si>
  <si>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</si>
  <si>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</si>
  <si>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</si>
  <si>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</si>
  <si>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</si>
  <si>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</si>
  <si>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</si>
  <si>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</si>
  <si>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</si>
  <si>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</si>
  <si>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</si>
  <si>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</si>
  <si>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</si>
  <si>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</si>
  <si>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</si>
  <si>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</si>
  <si>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</si>
  <si>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</si>
  <si>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</si>
  <si>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</si>
  <si>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</si>
  <si>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</si>
  <si>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</si>
  <si>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</si>
  <si>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</si>
  <si>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</si>
  <si>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</si>
  <si>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</si>
  <si>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</si>
  <si>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</si>
  <si>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</si>
  <si>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</si>
  <si>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</si>
  <si>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</si>
  <si>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</si>
  <si>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</si>
  <si>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</si>
  <si>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</si>
  <si>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</si>
  <si>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</si>
  <si>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</si>
  <si>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</si>
  <si>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</si>
  <si>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</si>
  <si>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</si>
  <si>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</si>
  <si>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</si>
  <si>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</si>
  <si>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</si>
  <si>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</si>
  <si>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</si>
  <si>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</si>
  <si>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</si>
  <si>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</si>
  <si>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</si>
  <si>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</si>
  <si>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</si>
  <si>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</si>
  <si>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</si>
  <si>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</si>
  <si>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</si>
  <si>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</si>
  <si>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</si>
  <si>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</si>
  <si>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</si>
  <si>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</si>
  <si>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</si>
  <si>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</si>
  <si>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</si>
  <si>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</si>
  <si>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</si>
  <si>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</si>
  <si>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</si>
  <si>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</si>
  <si>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</si>
  <si>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</si>
  <si>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</si>
  <si>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</si>
  <si>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</si>
  <si>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</si>
  <si>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</si>
  <si>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</si>
  <si>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</si>
  <si>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</si>
  <si>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</si>
  <si>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</si>
  <si>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</si>
  <si>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</si>
  <si>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</si>
  <si>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</si>
  <si>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</si>
  <si>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</si>
  <si>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</si>
  <si>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</si>
  <si>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</si>
  <si>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</si>
  <si>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</si>
  <si>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</si>
  <si>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</si>
  <si>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</si>
  <si>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</si>
  <si>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</si>
  <si>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</si>
  <si>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</si>
  <si>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</si>
  <si>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</si>
  <si>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</si>
  <si>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</si>
  <si>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</si>
  <si>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</si>
  <si>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</si>
  <si>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</si>
  <si>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</si>
  <si>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</si>
  <si>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</si>
  <si>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</si>
  <si>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</si>
  <si>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</si>
  <si>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</si>
  <si>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</si>
  <si>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</si>
  <si>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</si>
  <si>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</si>
  <si>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</si>
  <si>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</si>
  <si>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</si>
  <si>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</si>
  <si>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</si>
  <si>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</si>
  <si>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</si>
  <si>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</si>
  <si>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</si>
  <si>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</si>
  <si>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</si>
  <si>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</si>
  <si>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</si>
  <si>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</si>
  <si>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</si>
  <si>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</si>
  <si>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</si>
  <si>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</si>
  <si>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</si>
  <si>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</si>
  <si>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</si>
  <si>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</si>
  <si>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</si>
  <si>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</si>
  <si>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</si>
  <si>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</si>
  <si>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</si>
  <si>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</si>
  <si>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</si>
  <si>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</si>
  <si>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</si>
  <si>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</si>
  <si>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</si>
  <si>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</si>
  <si>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</si>
  <si>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</si>
  <si>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</si>
  <si>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</si>
  <si>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</si>
  <si>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</si>
  <si>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</si>
  <si>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</si>
  <si>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</si>
  <si>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</si>
  <si>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</si>
  <si>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</si>
  <si>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</si>
  <si>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</si>
  <si>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</si>
  <si>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</si>
  <si>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</si>
  <si>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</si>
  <si>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</si>
  <si>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</si>
  <si>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</si>
  <si>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</si>
  <si>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</si>
  <si>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</si>
  <si>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</si>
  <si>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</si>
  <si>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</si>
  <si>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</si>
  <si>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</si>
  <si>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</si>
  <si>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</si>
  <si>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</si>
  <si>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</si>
  <si>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</si>
  <si>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</si>
  <si>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</si>
  <si>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</si>
  <si>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</si>
  <si>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</si>
  <si>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</si>
  <si>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</si>
  <si>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</si>
  <si>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</si>
  <si>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</si>
  <si>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</si>
  <si>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</si>
  <si>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</si>
  <si>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</si>
  <si>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</si>
  <si>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</si>
  <si>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</si>
  <si>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</si>
  <si>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</si>
  <si>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</si>
  <si>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</si>
  <si>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</si>
  <si>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</si>
  <si>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</si>
  <si>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</si>
  <si>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</si>
  <si>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</si>
  <si>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</si>
  <si>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</si>
  <si>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</si>
  <si>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</si>
  <si>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</si>
  <si>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</si>
  <si>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</si>
  <si>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</si>
  <si>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</si>
  <si>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</si>
  <si>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</si>
  <si>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</si>
  <si>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</si>
  <si>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</si>
  <si>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</si>
  <si>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</si>
  <si>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</si>
  <si>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</si>
  <si>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</si>
  <si>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</si>
  <si>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</si>
  <si>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</si>
  <si>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</si>
  <si>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</si>
  <si>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</si>
  <si>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</si>
  <si>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</si>
  <si>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</si>
  <si>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</si>
  <si>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</si>
  <si>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</si>
  <si>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</si>
  <si>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</si>
  <si>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</si>
  <si>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</si>
  <si>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</si>
  <si>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</si>
  <si>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</si>
  <si>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</si>
  <si>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</si>
  <si>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</si>
  <si>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</si>
  <si>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</si>
  <si>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</si>
  <si>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</si>
  <si>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</si>
  <si>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</si>
  <si>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</si>
  <si>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</si>
  <si>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</si>
  <si>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</si>
  <si>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</si>
  <si>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</si>
  <si>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</si>
  <si>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</si>
  <si>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</si>
  <si>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</si>
  <si>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</si>
  <si>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</si>
  <si>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</si>
  <si>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</si>
  <si>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</si>
  <si>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</si>
  <si>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</si>
  <si>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</si>
  <si>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</si>
  <si>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</si>
  <si>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</si>
  <si>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</si>
  <si>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</si>
  <si>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</si>
  <si>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</si>
  <si>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</si>
  <si>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</si>
  <si>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</si>
  <si>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</si>
  <si>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</si>
  <si>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</si>
  <si>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</si>
  <si>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</si>
  <si>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</si>
  <si>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</si>
  <si>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</si>
  <si>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</si>
  <si>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</si>
  <si>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</si>
  <si>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</si>
  <si>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</si>
  <si>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</si>
  <si>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</si>
  <si>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</si>
  <si>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</si>
  <si>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</si>
  <si>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</si>
  <si>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</si>
  <si>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</si>
  <si>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</si>
  <si>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</si>
  <si>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</si>
  <si>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</si>
  <si>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</si>
  <si>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</si>
  <si>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</si>
  <si>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</si>
  <si>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</si>
  <si>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</si>
  <si>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</si>
  <si>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</si>
  <si>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</si>
  <si>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</si>
  <si>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</si>
  <si>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</si>
  <si>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</si>
  <si>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</si>
  <si>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</si>
  <si>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</si>
  <si>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</si>
  <si>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</si>
  <si>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</si>
  <si>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</si>
  <si>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</si>
  <si>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</si>
  <si>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</si>
  <si>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</si>
  <si>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</si>
  <si>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</si>
  <si>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</si>
  <si>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</si>
  <si>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</si>
  <si>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</si>
  <si>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</si>
  <si>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</si>
  <si>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</si>
  <si>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</si>
  <si>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</si>
  <si>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</si>
  <si>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</si>
  <si>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</si>
  <si>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</si>
  <si>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</si>
  <si>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</si>
  <si>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</si>
  <si>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</si>
  <si>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</si>
  <si>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</si>
  <si>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</si>
  <si>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</si>
  <si>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</si>
  <si>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</si>
  <si>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</si>
  <si>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</si>
  <si>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</si>
  <si>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</si>
  <si>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</si>
  <si>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</si>
  <si>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</si>
  <si>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</si>
  <si>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</si>
  <si>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</si>
  <si>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</si>
  <si>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</si>
  <si>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</si>
  <si>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</si>
  <si>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</si>
  <si>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</si>
  <si>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</si>
  <si>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</si>
  <si>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</si>
  <si>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</si>
  <si>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</si>
  <si>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</si>
  <si>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</si>
  <si>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</si>
  <si>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</si>
  <si>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</si>
  <si>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</si>
  <si>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</si>
  <si>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</si>
  <si>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</si>
  <si>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</si>
  <si>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</si>
  <si>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</si>
  <si>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</si>
  <si>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</si>
  <si>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</si>
  <si>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</si>
  <si>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</si>
  <si>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</si>
  <si>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</si>
  <si>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</si>
  <si>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</si>
  <si>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</si>
  <si>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</si>
  <si>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</si>
  <si>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</si>
  <si>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</si>
  <si>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</si>
  <si>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</si>
  <si>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</si>
  <si>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</si>
  <si>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</si>
  <si>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</si>
  <si>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</si>
  <si>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</si>
  <si>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</si>
  <si>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</si>
  <si>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</si>
  <si>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</si>
  <si>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</si>
  <si>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</si>
  <si>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</si>
  <si>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</si>
  <si>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</si>
  <si>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</si>
  <si>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</si>
  <si>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</si>
  <si>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</si>
  <si>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</si>
  <si>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</si>
  <si>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</si>
  <si>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</si>
  <si>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</si>
  <si>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</si>
  <si>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</si>
  <si>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</si>
  <si>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</si>
  <si>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</si>
  <si>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</si>
  <si>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</si>
  <si>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</si>
  <si>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</si>
  <si>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</si>
  <si>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</si>
  <si>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</si>
  <si>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</si>
  <si>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</si>
  <si>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</si>
  <si>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</si>
  <si>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</si>
  <si>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</si>
  <si>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</si>
  <si>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</si>
  <si>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</si>
  <si>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</si>
  <si>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</si>
  <si>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</si>
  <si>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</si>
  <si>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</si>
  <si>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</si>
  <si>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</si>
  <si>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</si>
  <si>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</si>
  <si>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</si>
  <si>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</si>
  <si>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</si>
  <si>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</si>
  <si>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</si>
  <si>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</si>
  <si>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</si>
  <si>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</si>
  <si>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</si>
  <si>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</si>
  <si>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</si>
  <si>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</si>
  <si>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</si>
  <si>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</si>
  <si>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</si>
  <si>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</si>
  <si>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</si>
  <si>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</si>
  <si>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</si>
  <si>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</si>
  <si>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</si>
  <si>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</si>
  <si>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</si>
  <si>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</si>
  <si>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</si>
  <si>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</si>
  <si>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</si>
  <si>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</si>
  <si>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</si>
  <si>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</si>
  <si>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</si>
  <si>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</si>
  <si>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</si>
  <si>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</si>
  <si>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</si>
  <si>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</si>
  <si>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</si>
  <si>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</si>
  <si>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</si>
  <si>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</si>
  <si>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</si>
  <si>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</si>
  <si>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</si>
  <si>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</si>
  <si>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</si>
  <si>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</si>
  <si>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</si>
  <si>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</si>
  <si>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</si>
  <si>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</si>
  <si>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</si>
  <si>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</si>
  <si>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</si>
  <si>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</si>
  <si>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</si>
  <si>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</si>
  <si>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</si>
  <si>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</si>
  <si>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</si>
  <si>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</si>
  <si>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</si>
  <si>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</si>
  <si>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</si>
  <si>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</si>
  <si>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</si>
  <si>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</si>
  <si>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</si>
  <si>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</si>
  <si>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</si>
  <si>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</si>
  <si>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</si>
  <si>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</si>
  <si>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</si>
  <si>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</si>
  <si>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</si>
  <si>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</si>
  <si>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</si>
  <si>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</si>
  <si>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</si>
  <si>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</si>
  <si>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</si>
  <si>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</si>
  <si>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</si>
  <si>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</si>
  <si>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</si>
  <si>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</si>
  <si>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</si>
  <si>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</si>
  <si>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</si>
  <si>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</si>
  <si>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</si>
  <si>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</si>
  <si>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</si>
  <si>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</si>
  <si>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</si>
  <si>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</si>
  <si>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</si>
  <si>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</si>
  <si>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</si>
  <si>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</si>
  <si>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</si>
  <si>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</si>
  <si>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</si>
  <si>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</si>
  <si>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</si>
  <si>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</si>
  <si>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</si>
  <si>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</si>
  <si>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</si>
  <si>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</si>
  <si>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</si>
  <si>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</si>
  <si>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</si>
  <si>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</si>
  <si>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</si>
  <si>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</si>
  <si>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</si>
  <si>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</si>
  <si>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</si>
  <si>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</si>
  <si>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</si>
  <si>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</si>
  <si>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</si>
  <si>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</si>
  <si>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</si>
  <si>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</si>
  <si>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</si>
  <si>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</si>
  <si>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</si>
  <si>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</si>
  <si>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</si>
  <si>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</si>
  <si>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</si>
  <si>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</si>
  <si>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</si>
  <si>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</si>
  <si>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</si>
  <si>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</si>
  <si>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</si>
  <si>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</si>
  <si>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</si>
  <si>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</si>
  <si>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</si>
  <si>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</si>
  <si>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</si>
  <si>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</si>
  <si>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</si>
  <si>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</si>
  <si>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</si>
  <si>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</si>
  <si>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</si>
  <si>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</si>
  <si>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</si>
  <si>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</si>
  <si>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</si>
  <si>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</si>
  <si>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</si>
  <si>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</si>
  <si>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</si>
  <si>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</si>
  <si>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</si>
  <si>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</si>
  <si>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</si>
  <si>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</si>
  <si>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</si>
  <si>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</si>
  <si>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</si>
  <si>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</si>
  <si>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</si>
  <si>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</si>
  <si>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</si>
  <si>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</si>
  <si>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</si>
  <si>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</si>
  <si>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</si>
  <si>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</si>
  <si>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</si>
  <si>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</si>
  <si>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</si>
  <si>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</si>
  <si>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</si>
  <si>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</si>
  <si>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</si>
  <si>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</si>
  <si>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</si>
  <si>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</si>
  <si>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</si>
  <si>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</si>
  <si>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</si>
  <si>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</si>
  <si>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</si>
  <si>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</si>
  <si>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</si>
  <si>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</si>
  <si>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</si>
  <si>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</si>
  <si>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</si>
  <si>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</si>
  <si>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</si>
  <si>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</si>
  <si>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</si>
  <si>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</si>
  <si>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</si>
  <si>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</si>
  <si>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</si>
  <si>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</si>
  <si>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</si>
  <si>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</si>
  <si>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</si>
  <si>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</si>
  <si>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</si>
  <si>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</si>
  <si>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</si>
  <si>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</si>
  <si>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</si>
  <si>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</si>
  <si>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</si>
  <si>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</si>
  <si>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</si>
  <si>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</si>
  <si>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</si>
  <si>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</si>
  <si>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</si>
  <si>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</si>
  <si>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</si>
  <si>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</si>
  <si>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</si>
  <si>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</si>
  <si>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</si>
  <si>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</si>
  <si>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</si>
  <si>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</si>
  <si>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</si>
  <si>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</si>
  <si>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</si>
  <si>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</si>
  <si>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</si>
  <si>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</si>
  <si>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</si>
  <si>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</si>
  <si>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</si>
  <si>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</si>
  <si>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</si>
  <si>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</si>
  <si>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</si>
  <si>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</si>
  <si>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</si>
  <si>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</si>
  <si>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</si>
  <si>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</si>
  <si>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</si>
  <si>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</si>
  <si>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</si>
  <si>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</si>
  <si>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</si>
  <si>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</si>
  <si>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</si>
  <si>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</si>
  <si>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</si>
  <si>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</si>
  <si>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</si>
  <si>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</si>
  <si>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</si>
  <si>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</si>
  <si>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</si>
  <si>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</si>
  <si>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</si>
  <si>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</si>
  <si>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</si>
  <si>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</si>
  <si>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</si>
  <si>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</si>
  <si>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</si>
  <si>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</si>
  <si>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</si>
  <si>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</si>
  <si>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</si>
  <si>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</si>
  <si>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</si>
  <si>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</si>
  <si>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</si>
  <si>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</si>
  <si>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</si>
  <si>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</si>
  <si>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</si>
  <si>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</si>
  <si>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</si>
  <si>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</si>
  <si>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</si>
  <si>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</si>
  <si>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</si>
  <si>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</si>
  <si>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</si>
  <si>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</si>
  <si>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</si>
  <si>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</si>
  <si>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</si>
  <si>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</si>
  <si>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</si>
  <si>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</si>
  <si>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</si>
  <si>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</si>
  <si>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</si>
  <si>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</si>
  <si>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</si>
  <si>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</si>
  <si>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</si>
  <si>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</si>
  <si>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</si>
  <si>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</si>
  <si>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</si>
  <si>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</si>
  <si>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</si>
  <si>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</si>
  <si>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</si>
  <si>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</si>
  <si>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</si>
  <si>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</si>
  <si>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</si>
  <si>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</si>
  <si>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</si>
  <si>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</si>
  <si>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</si>
  <si>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</si>
  <si>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</si>
  <si>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</si>
  <si>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</si>
  <si>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</si>
  <si>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</si>
  <si>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</si>
  <si>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</si>
  <si>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</si>
  <si>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</si>
  <si>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</si>
  <si>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</si>
  <si>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</si>
  <si>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</si>
  <si>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</si>
  <si>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</si>
  <si>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</si>
  <si>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</si>
  <si>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</si>
  <si>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</si>
  <si>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</si>
  <si>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</si>
  <si>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</si>
  <si>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</si>
  <si>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</si>
  <si>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</si>
  <si>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</si>
  <si>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</si>
  <si>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</si>
  <si>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</si>
  <si>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</si>
  <si>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</si>
  <si>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</si>
  <si>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</si>
  <si>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</si>
  <si>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</si>
  <si>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</si>
  <si>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</si>
  <si>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</si>
  <si>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</si>
  <si>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</si>
  <si>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</si>
  <si>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</si>
  <si>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</si>
  <si>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</si>
  <si>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</si>
  <si>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</si>
  <si>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</si>
  <si>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</si>
  <si>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</si>
  <si>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</si>
  <si>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</si>
  <si>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</si>
  <si>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</si>
  <si>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</si>
  <si>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</si>
  <si>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</si>
  <si>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</si>
  <si>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</si>
  <si>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</si>
  <si>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</si>
  <si>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</si>
  <si>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</si>
  <si>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</si>
  <si>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</si>
  <si>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</si>
  <si>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</si>
  <si>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</si>
  <si>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</si>
  <si>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</si>
  <si>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</si>
  <si>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</si>
  <si>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</si>
  <si>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</si>
  <si>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</si>
  <si>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</si>
  <si>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</si>
  <si>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</si>
  <si>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</si>
  <si>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</si>
  <si>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</si>
  <si>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</si>
  <si>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</si>
  <si>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</si>
  <si>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</si>
  <si>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</si>
  <si>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</si>
  <si>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</si>
  <si>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</si>
  <si>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</si>
  <si>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</si>
  <si>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</si>
  <si>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</si>
  <si>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</si>
  <si>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</si>
  <si>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</si>
  <si>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</si>
  <si>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</si>
  <si>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</si>
  <si>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</si>
  <si>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</si>
  <si>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</si>
  <si>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</si>
  <si>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</si>
  <si>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</si>
  <si>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</si>
  <si>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</si>
  <si>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</si>
  <si>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</si>
  <si>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</si>
  <si>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</si>
  <si>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</si>
  <si>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</si>
  <si>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</si>
  <si>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</si>
  <si>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</si>
  <si>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</si>
  <si>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</si>
  <si>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</si>
  <si>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</si>
  <si>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</si>
  <si>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</si>
  <si>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</si>
  <si>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</si>
  <si>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</si>
  <si>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</si>
  <si>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</si>
  <si>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</si>
  <si>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</si>
  <si>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</si>
  <si>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</si>
  <si>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</si>
  <si>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</si>
  <si>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</si>
  <si>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</si>
  <si>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</si>
  <si>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</si>
  <si>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</si>
  <si>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</si>
  <si>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</si>
  <si>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</si>
  <si>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</si>
  <si>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</si>
  <si>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</si>
  <si>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</si>
  <si>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</si>
  <si>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</si>
  <si>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</si>
  <si>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</si>
  <si>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</si>
  <si>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</si>
  <si>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</si>
  <si>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</si>
  <si>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</si>
  <si>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</si>
  <si>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</si>
  <si>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</si>
  <si>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</si>
  <si>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</si>
  <si>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</si>
  <si>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</si>
  <si>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</si>
  <si>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</si>
  <si>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</si>
  <si>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</si>
  <si>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</si>
  <si>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</si>
  <si>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</si>
  <si>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</si>
  <si>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</si>
  <si>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</si>
  <si>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</si>
  <si>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</si>
  <si>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</si>
  <si>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</si>
  <si>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</si>
  <si>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</si>
  <si>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</si>
  <si>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</si>
  <si>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</si>
  <si>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</si>
  <si>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</si>
  <si>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</si>
  <si>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</si>
  <si>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</si>
  <si>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</si>
  <si>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</si>
  <si>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</si>
  <si>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</si>
  <si>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</si>
  <si>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</si>
  <si>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</si>
  <si>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</si>
  <si>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</si>
  <si>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</si>
  <si>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</si>
  <si>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</si>
  <si>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</si>
  <si>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</si>
  <si>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</si>
  <si>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</si>
  <si>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</si>
  <si>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</si>
  <si>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</si>
  <si>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</si>
  <si>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</si>
  <si>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</si>
  <si>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</si>
  <si>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</si>
  <si>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</si>
  <si>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</si>
  <si>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</si>
  <si>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</si>
  <si>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</si>
  <si>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</si>
  <si>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</si>
  <si>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</si>
  <si>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</si>
  <si>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</si>
  <si>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</si>
  <si>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</si>
  <si>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</si>
  <si>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</si>
  <si>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</si>
  <si>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</si>
  <si>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</si>
  <si>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</si>
  <si>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</si>
  <si>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</si>
  <si>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</si>
  <si>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</si>
  <si>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</si>
  <si>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</si>
  <si>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</si>
  <si>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</si>
  <si>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</si>
  <si>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</si>
  <si>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</si>
  <si>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</si>
  <si>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</si>
  <si>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</si>
  <si>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</si>
  <si>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</si>
  <si>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</si>
  <si>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</si>
  <si>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</si>
  <si>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</si>
  <si>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</si>
  <si>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</si>
  <si>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</si>
  <si>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</si>
  <si>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</si>
  <si>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</si>
  <si>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</si>
  <si>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</si>
  <si>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</si>
  <si>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</si>
  <si>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</si>
  <si>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</si>
  <si>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</si>
  <si>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</si>
  <si>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</si>
  <si>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</si>
  <si>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</si>
  <si>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</si>
  <si>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</si>
  <si>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</si>
  <si>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</si>
  <si>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</si>
  <si>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</si>
  <si>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</si>
  <si>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</si>
  <si>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</si>
  <si>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</si>
  <si>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</si>
  <si>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</si>
  <si>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</si>
  <si>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</si>
  <si>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</si>
  <si>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</si>
  <si>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</si>
  <si>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</si>
  <si>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</si>
  <si>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</si>
  <si>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</si>
  <si>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</si>
  <si>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</si>
  <si>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</si>
  <si>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</si>
  <si>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</si>
  <si>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</si>
  <si>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</si>
  <si>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</si>
  <si>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</si>
  <si>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</si>
  <si>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</si>
  <si>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</si>
  <si>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</si>
  <si>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</si>
  <si>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</si>
  <si>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</si>
  <si>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</si>
  <si>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</si>
  <si>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</si>
  <si>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</si>
  <si>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</si>
  <si>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</si>
  <si>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</si>
  <si>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</si>
  <si>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</si>
  <si>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</si>
  <si>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</si>
  <si>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</si>
  <si>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</si>
  <si>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</si>
  <si>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</si>
  <si>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</si>
  <si>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</si>
  <si>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</si>
  <si>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</si>
  <si>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</si>
  <si>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</si>
  <si>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</si>
  <si>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</si>
  <si>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</si>
  <si>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</si>
  <si>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</si>
  <si>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</si>
  <si>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</si>
  <si>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</si>
  <si>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</si>
  <si>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</si>
  <si>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</si>
  <si>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</si>
  <si>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</si>
  <si>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</si>
  <si>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</si>
  <si>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</si>
  <si>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</si>
  <si>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</si>
  <si>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</si>
  <si>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</si>
  <si>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</si>
  <si>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</si>
  <si>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</si>
  <si>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</si>
  <si>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</si>
  <si>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</si>
  <si>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</si>
  <si>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</si>
  <si>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</si>
  <si>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</si>
  <si>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</si>
  <si>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</si>
  <si>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</si>
  <si>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</si>
  <si>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</si>
  <si>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</si>
  <si>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</si>
  <si>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</si>
  <si>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</si>
  <si>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</si>
  <si>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</si>
  <si>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</si>
  <si>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</si>
  <si>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</si>
  <si>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</si>
  <si>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</si>
  <si>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</si>
  <si>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</si>
  <si>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</si>
  <si>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</si>
  <si>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</si>
  <si>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</si>
  <si>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</si>
  <si>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</si>
  <si>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</si>
  <si>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</si>
  <si>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</si>
  <si>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</si>
  <si>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</si>
  <si>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</si>
  <si>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</si>
  <si>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</si>
  <si>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</si>
  <si>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</si>
  <si>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</si>
  <si>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</si>
  <si>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</si>
  <si>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</si>
  <si>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</si>
  <si>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</si>
  <si>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</si>
  <si>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</si>
  <si>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</si>
  <si>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</si>
  <si>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</si>
  <si>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</si>
  <si>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</si>
  <si>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</si>
  <si>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</si>
  <si>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</si>
  <si>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</si>
  <si>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</si>
  <si>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</si>
  <si>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</si>
  <si>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</si>
  <si>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</si>
  <si>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</si>
  <si>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</si>
  <si>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</si>
  <si>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</si>
  <si>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</si>
  <si>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</si>
  <si>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</si>
  <si>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</si>
  <si>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</si>
  <si>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</si>
  <si>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</si>
  <si>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</si>
  <si>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</si>
  <si>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</si>
  <si>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</si>
  <si>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</si>
  <si>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</si>
  <si>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</si>
  <si>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</si>
  <si>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</si>
  <si>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</si>
  <si>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</si>
  <si>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</si>
  <si>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</si>
  <si>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</si>
  <si>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</si>
  <si>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</si>
  <si>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</si>
  <si>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</si>
  <si>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</si>
  <si>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</si>
  <si>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</si>
  <si>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</si>
  <si>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</si>
  <si>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</si>
  <si>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</si>
  <si>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</si>
  <si>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</si>
  <si>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</si>
  <si>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</si>
  <si>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</si>
  <si>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</si>
  <si>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</si>
  <si>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</si>
  <si>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</si>
  <si>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</si>
  <si>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</si>
  <si>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</si>
  <si>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</si>
  <si>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</si>
  <si>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</si>
  <si>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</si>
  <si>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</si>
  <si>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</si>
  <si>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</si>
  <si>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</si>
  <si>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</si>
  <si>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</si>
  <si>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</si>
  <si>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</si>
  <si>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</si>
  <si>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</si>
  <si>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</si>
  <si>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</si>
  <si>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</si>
  <si>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</si>
  <si>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</si>
  <si>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</si>
  <si>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</si>
  <si>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</si>
  <si>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</si>
  <si>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</si>
  <si>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</si>
  <si>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</si>
  <si>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</si>
  <si>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</si>
  <si>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</si>
  <si>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</si>
  <si>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</si>
  <si>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</si>
  <si>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</si>
  <si>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</si>
  <si>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</si>
  <si>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</si>
  <si>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</si>
  <si>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</si>
  <si>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</si>
  <si>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</si>
  <si>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</si>
  <si>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</si>
  <si>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</si>
  <si>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</si>
  <si>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</si>
  <si>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</si>
  <si>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</si>
  <si>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</si>
  <si>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</si>
  <si>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</si>
  <si>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</si>
  <si>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</si>
  <si>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</si>
  <si>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</si>
  <si>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</si>
  <si>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</si>
  <si>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</si>
  <si>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</si>
  <si>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</si>
  <si>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</si>
  <si>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</si>
  <si>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</si>
  <si>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</si>
  <si>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</si>
  <si>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</si>
  <si>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</si>
  <si>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</si>
  <si>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</si>
  <si>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</si>
  <si>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</si>
  <si>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</si>
  <si>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</si>
  <si>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</si>
  <si>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</si>
  <si>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</si>
  <si>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</si>
  <si>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</si>
  <si>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</si>
  <si>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</si>
  <si>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</si>
  <si>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</si>
  <si>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</si>
  <si>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</si>
  <si>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</si>
  <si>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</si>
  <si>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</si>
  <si>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</si>
  <si>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</si>
  <si>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</si>
  <si>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</si>
  <si>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</si>
  <si>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</si>
  <si>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</si>
  <si>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</si>
  <si>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</si>
  <si>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</si>
  <si>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</si>
  <si>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</si>
  <si>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</si>
  <si>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</si>
  <si>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</si>
  <si>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</si>
  <si>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</si>
  <si>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</si>
  <si>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</si>
  <si>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</si>
  <si>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</si>
  <si>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</si>
  <si>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</si>
  <si>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</si>
  <si>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</si>
  <si>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</si>
  <si>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</si>
  <si>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</si>
  <si>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</si>
  <si>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</si>
  <si>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</si>
  <si>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</si>
  <si>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</si>
  <si>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</si>
  <si>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</si>
  <si>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</si>
  <si>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</si>
  <si>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</si>
  <si>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</si>
  <si>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</si>
  <si>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</si>
  <si>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</si>
  <si>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</si>
  <si>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</si>
  <si>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</si>
  <si>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</si>
  <si>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</si>
  <si>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</si>
  <si>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</si>
  <si>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</si>
  <si>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</si>
  <si>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</si>
  <si>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</si>
  <si>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</si>
  <si>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</si>
  <si>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</si>
  <si>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</si>
  <si>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</si>
  <si>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</si>
  <si>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</si>
  <si>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</si>
  <si>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</si>
  <si>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</si>
  <si>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</si>
  <si>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</si>
  <si>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</si>
  <si>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</si>
  <si>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</si>
  <si>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</si>
  <si>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</si>
  <si>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</si>
  <si>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</si>
  <si>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</si>
  <si>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</si>
  <si>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</si>
  <si>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</si>
  <si>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</si>
  <si>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</si>
  <si>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</si>
  <si>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</si>
  <si>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</si>
  <si>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</si>
  <si>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</si>
  <si>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</si>
  <si>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</si>
  <si>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</si>
  <si>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</si>
  <si>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</si>
  <si>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</si>
  <si>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</si>
  <si>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</si>
  <si>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</si>
  <si>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</si>
  <si>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</si>
  <si>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</si>
  <si>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</si>
  <si>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</si>
  <si>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</si>
  <si>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</si>
  <si>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</si>
  <si>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</si>
  <si>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</si>
  <si>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</si>
  <si>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</si>
  <si>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</si>
  <si>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</si>
  <si>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</si>
  <si>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</si>
  <si>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</si>
  <si>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</si>
  <si>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</si>
  <si>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</si>
  <si>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</si>
  <si>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</si>
  <si>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</si>
  <si>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</si>
  <si>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</si>
  <si>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</si>
  <si>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</si>
  <si>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</si>
  <si>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</si>
  <si>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</si>
  <si>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</si>
  <si>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</si>
  <si>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</si>
  <si>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</si>
  <si>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</si>
  <si>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</si>
  <si>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</si>
  <si>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</si>
  <si>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</si>
  <si>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</si>
  <si>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</si>
  <si>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</si>
  <si>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</si>
  <si>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</si>
  <si>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</si>
  <si>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</si>
  <si>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</si>
  <si>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</si>
  <si>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</si>
  <si>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</si>
  <si>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</si>
  <si>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</si>
  <si>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</si>
  <si>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</si>
  <si>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</si>
  <si>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</si>
  <si>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</si>
  <si>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</si>
  <si>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</si>
  <si>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</si>
  <si>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</si>
  <si>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</si>
  <si>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</si>
  <si>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</si>
  <si>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</si>
  <si>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</si>
  <si>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</si>
  <si>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</si>
  <si>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</si>
  <si>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</si>
  <si>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</si>
  <si>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</si>
  <si>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</si>
  <si>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</si>
  <si>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</si>
  <si>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</si>
  <si>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</si>
  <si>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</si>
  <si>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</si>
  <si>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</si>
  <si>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</si>
  <si>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</si>
  <si>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</si>
  <si>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</si>
  <si>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</si>
  <si>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</si>
  <si>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</si>
  <si>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</si>
  <si>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</si>
  <si>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</si>
  <si>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</si>
  <si>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</si>
  <si>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</si>
  <si>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</si>
  <si>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</si>
  <si>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</si>
  <si>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</si>
  <si>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</si>
  <si>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</si>
  <si>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</si>
  <si>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</si>
  <si>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</si>
  <si>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</si>
  <si>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</si>
  <si>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</si>
  <si>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</si>
  <si>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</si>
  <si>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</si>
  <si>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</si>
  <si>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</si>
  <si>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</si>
  <si>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</si>
  <si>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</si>
  <si>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</si>
  <si>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</si>
  <si>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</si>
  <si>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</si>
  <si>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</si>
  <si>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</si>
  <si>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</si>
  <si>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</si>
  <si>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</si>
  <si>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</si>
  <si>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</si>
  <si>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</si>
  <si>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</si>
  <si>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</si>
  <si>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</si>
  <si>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</si>
  <si>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</si>
  <si>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</si>
  <si>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</si>
  <si>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</si>
  <si>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</si>
  <si>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</si>
  <si>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</si>
  <si>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</si>
  <si>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</si>
  <si>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</si>
  <si>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</si>
  <si>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</si>
  <si>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</si>
  <si>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</si>
  <si>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</si>
  <si>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</si>
  <si>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</si>
  <si>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</si>
  <si>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</si>
  <si>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</si>
  <si>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</si>
  <si>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</si>
  <si>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</si>
  <si>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</si>
  <si>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</si>
  <si>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</si>
  <si>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</si>
  <si>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</si>
  <si>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</si>
  <si>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</si>
  <si>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</si>
  <si>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</si>
  <si>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</si>
  <si>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</si>
  <si>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</si>
  <si>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</si>
  <si>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</si>
  <si>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</si>
  <si>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</si>
  <si>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</si>
  <si>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</si>
  <si>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</si>
  <si>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</si>
  <si>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</si>
  <si>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</si>
  <si>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</si>
  <si>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</si>
  <si>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</si>
  <si>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</si>
  <si>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</si>
  <si>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</si>
  <si>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</si>
  <si>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</si>
  <si>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</si>
  <si>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</si>
  <si>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</si>
  <si>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</si>
  <si>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</si>
  <si>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</si>
  <si>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</si>
  <si>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</si>
  <si>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</si>
  <si>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</si>
  <si>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</si>
  <si>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</si>
  <si>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</si>
  <si>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</si>
  <si>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</si>
  <si>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</si>
  <si>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</si>
  <si>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</si>
  <si>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</si>
  <si>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</si>
  <si>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</si>
  <si>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</si>
  <si>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</si>
  <si>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</si>
  <si>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</si>
  <si>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</si>
  <si>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</si>
  <si>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</si>
  <si>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</si>
  <si>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</si>
  <si>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</si>
  <si>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</si>
  <si>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</si>
  <si>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</si>
  <si>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</si>
  <si>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</si>
  <si>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</si>
  <si>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</si>
  <si>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</si>
  <si>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</si>
  <si>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</si>
  <si>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</si>
  <si>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</si>
  <si>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</si>
  <si>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</si>
  <si>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</si>
  <si>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</si>
  <si>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</si>
  <si>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</si>
  <si>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</si>
  <si>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</si>
  <si>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</si>
  <si>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</si>
  <si>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</si>
  <si>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</si>
  <si>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</si>
  <si>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</si>
  <si>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</si>
  <si>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</si>
  <si>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</si>
  <si>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</si>
  <si>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</si>
  <si>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</si>
  <si>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</si>
  <si>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</si>
  <si>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</si>
  <si>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</si>
  <si>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</si>
  <si>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</si>
  <si>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</si>
  <si>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</si>
  <si>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</si>
  <si>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</si>
  <si>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</si>
  <si>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</si>
  <si>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</si>
  <si>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</si>
  <si>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</si>
  <si>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</si>
  <si>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</si>
  <si>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</si>
  <si>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</si>
  <si>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</si>
  <si>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</si>
  <si>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</si>
  <si>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</si>
  <si>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</si>
  <si>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</si>
  <si>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</si>
  <si>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</si>
  <si>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</si>
  <si>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</si>
  <si>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</si>
  <si>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</si>
  <si>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</si>
  <si>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</si>
  <si>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</si>
  <si>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</si>
  <si>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</si>
  <si>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</si>
  <si>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</si>
  <si>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</si>
  <si>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</si>
  <si>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</si>
  <si>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</si>
  <si>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</si>
  <si>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</si>
  <si>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</si>
  <si>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</si>
  <si>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</si>
  <si>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</si>
  <si>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</si>
  <si>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</si>
  <si>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</si>
  <si>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</si>
  <si>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</si>
  <si>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</si>
  <si>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</si>
  <si>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</si>
  <si>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</si>
  <si>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</si>
  <si>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</si>
  <si>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</si>
  <si>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</si>
  <si>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</si>
  <si>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</si>
  <si>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</si>
  <si>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</si>
  <si>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</si>
  <si>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</si>
  <si>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</si>
  <si>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</si>
  <si>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</si>
  <si>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</si>
  <si>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</si>
  <si>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</si>
  <si>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</si>
  <si>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</si>
  <si>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</si>
  <si>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</si>
  <si>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</si>
  <si>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</si>
  <si>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</si>
  <si>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</si>
  <si>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</si>
  <si>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</si>
  <si>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</si>
  <si>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</si>
  <si>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</si>
  <si>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</si>
  <si>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</si>
  <si>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</si>
  <si>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</si>
  <si>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</si>
  <si>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</si>
  <si>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</si>
  <si>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</si>
  <si>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</si>
  <si>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</si>
  <si>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</si>
  <si>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</si>
  <si>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</si>
  <si>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</si>
  <si>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</si>
  <si>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</si>
  <si>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</si>
  <si>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</si>
  <si>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</si>
  <si>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</si>
  <si>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</si>
  <si>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</si>
  <si>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</si>
  <si>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</si>
  <si>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</si>
  <si>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</si>
  <si>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</si>
  <si>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</si>
  <si>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</si>
  <si>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</si>
  <si>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</si>
  <si>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</si>
  <si>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</si>
  <si>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</si>
  <si>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</si>
  <si>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</si>
  <si>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</si>
  <si>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</si>
  <si>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</si>
  <si>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</si>
  <si>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</si>
  <si>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</si>
  <si>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</si>
  <si>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</si>
  <si>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</si>
  <si>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</si>
  <si>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</si>
  <si>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</si>
  <si>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</si>
  <si>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</si>
  <si>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</si>
  <si>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</si>
  <si>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</si>
  <si>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</si>
  <si>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</si>
  <si>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</si>
  <si>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</si>
  <si>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</si>
  <si>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</si>
  <si>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</si>
  <si>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</si>
  <si>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</si>
  <si>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</si>
  <si>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</si>
  <si>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</si>
  <si>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</si>
  <si>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</si>
  <si>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</si>
  <si>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</si>
  <si>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</si>
  <si>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</si>
  <si>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</si>
  <si>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</si>
  <si>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</si>
  <si>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</si>
  <si>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</si>
  <si>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</si>
  <si>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</si>
  <si>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</si>
  <si>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</si>
  <si>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</si>
  <si>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</si>
  <si>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</si>
  <si>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</si>
  <si>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</si>
  <si>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</si>
  <si>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</si>
  <si>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</si>
  <si>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</si>
  <si>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</si>
  <si>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</si>
  <si>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</si>
  <si>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</si>
  <si>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</si>
  <si>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</si>
  <si>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</si>
  <si>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</si>
  <si>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</si>
  <si>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</si>
  <si>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</si>
  <si>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</si>
  <si>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</si>
  <si>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</si>
  <si>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</si>
  <si>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</si>
  <si>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</si>
  <si>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</si>
  <si>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</si>
  <si>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</si>
  <si>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</si>
  <si>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</si>
  <si>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</si>
  <si>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</si>
  <si>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</si>
  <si>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</si>
  <si>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</si>
  <si>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</si>
  <si>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</si>
  <si>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</si>
  <si>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</si>
  <si>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</si>
  <si>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</si>
  <si>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</si>
  <si>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</si>
  <si>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</si>
  <si>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</si>
  <si>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</si>
  <si>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</si>
  <si>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</si>
  <si>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</si>
  <si>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</si>
  <si>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</si>
  <si>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</si>
  <si>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</si>
  <si>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</si>
  <si>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</si>
  <si>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</si>
  <si>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</si>
  <si>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</si>
  <si>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</si>
  <si>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</si>
  <si>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</si>
  <si>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</si>
  <si>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</si>
  <si>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</si>
  <si>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</si>
  <si>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</si>
  <si>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</si>
  <si>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</si>
  <si>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</si>
  <si>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</si>
  <si>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</si>
  <si>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</si>
  <si>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</si>
  <si>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</si>
  <si>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</si>
  <si>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</si>
  <si>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</si>
  <si>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</si>
  <si>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</si>
  <si>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</si>
  <si>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</si>
  <si>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</si>
  <si>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</si>
  <si>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</si>
  <si>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</si>
  <si>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</si>
  <si>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</si>
  <si>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</si>
  <si>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</si>
  <si>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</si>
  <si>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</si>
  <si>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</si>
  <si>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</si>
  <si>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</si>
  <si>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</si>
  <si>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</si>
  <si>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</si>
  <si>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</si>
  <si>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</si>
  <si>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</si>
  <si>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</si>
  <si>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</si>
  <si>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</si>
  <si>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</si>
  <si>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</si>
  <si>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</si>
  <si>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</si>
  <si>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</si>
  <si>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</si>
  <si>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</si>
  <si>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</si>
  <si>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</si>
  <si>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</si>
  <si>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</si>
  <si>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</si>
  <si>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</si>
  <si>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</si>
  <si>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</si>
  <si>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</si>
  <si>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</si>
  <si>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</si>
  <si>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</si>
  <si>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</si>
  <si>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</si>
  <si>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</si>
  <si>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</si>
  <si>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</si>
  <si>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</si>
  <si>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</si>
  <si>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</si>
  <si>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</si>
  <si>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</si>
  <si>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</si>
  <si>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</si>
  <si>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</si>
  <si>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</si>
  <si>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</si>
  <si>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</si>
  <si>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</si>
  <si>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</si>
  <si>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</si>
  <si>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</si>
  <si>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</si>
  <si>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</si>
  <si>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</si>
  <si>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</si>
  <si>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</si>
  <si>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</si>
  <si>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</si>
  <si>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</si>
  <si>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</si>
  <si>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</si>
  <si>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</si>
  <si>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</si>
  <si>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</si>
  <si>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</si>
  <si>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</si>
  <si>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</si>
  <si>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</si>
  <si>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</si>
  <si>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</si>
  <si>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</si>
  <si>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</si>
  <si>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</si>
  <si>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</si>
  <si>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</si>
  <si>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</si>
  <si>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</si>
  <si>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</si>
  <si>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</si>
  <si>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</si>
  <si>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</si>
  <si>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</si>
  <si>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</si>
  <si>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</si>
  <si>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</si>
  <si>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</si>
  <si>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</si>
  <si>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</si>
  <si>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</si>
  <si>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</si>
  <si>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</si>
  <si>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</si>
  <si>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</si>
  <si>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</si>
  <si>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</si>
  <si>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</si>
  <si>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</si>
  <si>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</si>
  <si>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</si>
  <si>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</si>
  <si>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</si>
  <si>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</si>
  <si>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</si>
  <si>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</si>
  <si>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</si>
  <si>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</si>
  <si>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</si>
  <si>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</si>
  <si>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</si>
  <si>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</si>
  <si>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</si>
  <si>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</si>
  <si>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</si>
  <si>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</si>
  <si>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</si>
  <si>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</si>
  <si>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</si>
  <si>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</si>
  <si>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</si>
  <si>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</si>
  <si>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</si>
  <si>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</si>
  <si>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</si>
  <si>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</si>
  <si>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</si>
  <si>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</si>
  <si>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</si>
  <si>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</si>
  <si>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</si>
  <si>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</si>
  <si>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</si>
  <si>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</si>
  <si>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</si>
  <si>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</si>
  <si>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</si>
  <si>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</si>
  <si>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</si>
  <si>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</si>
  <si>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</si>
  <si>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</si>
  <si>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</si>
  <si>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</si>
  <si>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</si>
  <si>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</si>
  <si>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</si>
  <si>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</si>
  <si>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</si>
  <si>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</si>
  <si>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</si>
  <si>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</si>
  <si>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</si>
  <si>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</si>
  <si>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</si>
  <si>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</si>
  <si>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</si>
  <si>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</si>
  <si>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</si>
  <si>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</si>
  <si>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</si>
  <si>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</si>
  <si>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</si>
  <si>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</si>
  <si>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</si>
  <si>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</si>
  <si>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</si>
  <si>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</si>
  <si>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</si>
  <si>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</si>
  <si>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</si>
  <si>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</si>
  <si>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</si>
  <si>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</si>
  <si>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</si>
  <si>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</si>
  <si>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</si>
  <si>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</si>
  <si>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</si>
  <si>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</si>
  <si>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</si>
  <si>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</si>
  <si>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</si>
  <si>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</si>
  <si>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</si>
  <si>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</si>
  <si>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</si>
  <si>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</si>
  <si>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</si>
  <si>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</si>
  <si>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</si>
  <si>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</si>
  <si>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</si>
  <si>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</si>
  <si>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</si>
  <si>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</si>
  <si>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</si>
  <si>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</si>
  <si>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</si>
  <si>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</si>
  <si>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</si>
  <si>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</si>
  <si>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</si>
  <si>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</si>
  <si>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</si>
  <si>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</si>
  <si>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</si>
  <si>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</si>
  <si>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</si>
  <si>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</si>
  <si>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</si>
  <si>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</si>
  <si>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</si>
  <si>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</si>
  <si>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</si>
  <si>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</si>
  <si>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</si>
  <si>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</si>
  <si>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</si>
  <si>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</si>
  <si>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</si>
  <si>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</si>
  <si>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</si>
  <si>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</si>
  <si>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</si>
  <si>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</si>
  <si>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</si>
  <si>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2025-07-29</t>
  </si>
  <si>
    <t>0CK321281N</t>
  </si>
  <si>
    <t>0CK_Gear_Oil_Pump</t>
  </si>
  <si>
    <t>010-2806-9270</t>
    <phoneticPr fontId="2" type="noConversion"/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</si>
  <si>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</si>
  <si>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</si>
  <si>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</si>
  <si>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</si>
  <si>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</si>
  <si>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</si>
  <si>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</si>
  <si>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 xml:space="preserve">P0C2A, P0C29 등등_x000D_
보조유압펌프 관련 경고등_x000D_
</t>
  </si>
  <si>
    <t>대륙오토(대구)_250729_175220.xlsx</t>
  </si>
  <si>
    <t>대륙오토(대구)_250729_175220.xlsx</t>
    <phoneticPr fontId="2" type="noConversion"/>
  </si>
  <si>
    <t>청주오토(청주)</t>
    <phoneticPr fontId="2" type="noConversion"/>
  </si>
  <si>
    <t>0CW_Mechatronics</t>
    <phoneticPr fontId="2" type="noConversion"/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</si>
  <si>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</si>
  <si>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</si>
  <si>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</si>
  <si>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</si>
  <si>
    <t>AMG630_Clutch(Schaeffler)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</si>
</sst>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8637000</c:v>
                </c:pt>
                <c:pt idx="1">
                  <c:v>5005000</c:v>
                </c:pt>
                <c:pt idx="2">
                  <c:v>9010000</c:v>
                </c:pt>
                <c:pt idx="3">
                  <c:v>4510000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6</c:v>
                      </c:pt>
                      <c:pt idx="2">
                        <c:v>1</c:v>
                      </c:pt>
                      <c:pt idx="3">
                        <c:v>9</c:v>
                      </c:pt>
                      <c:pt idx="4">
                        <c:v>11</c:v>
                      </c:pt>
                      <c:pt idx="5">
                        <c:v>13</c:v>
                      </c:pt>
                      <c:pt idx="6">
                        <c:v>7</c:v>
                      </c:pt>
                      <c:pt idx="7">
                        <c:v>4</c:v>
                      </c:pt>
                      <c:pt idx="8">
                        <c:v>14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2438</v>
      </c>
    </row>
    <row r="4" spans="14:17" x14ac:dyDescent="0.3">
      <c r="Q4" s="99">
        <v>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1661</v>
      </c>
      <c r="D1" s="187" t="s">
        <v>40</v>
      </c>
      <c r="E1" s="187" t="s">
        <v>1662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2052</v>
      </c>
      <c r="D2" t="s">
        <v>2046</v>
      </c>
      <c r="E2" s="233">
        <v>21000</v>
      </c>
    </row>
    <row r="3" spans="1:7" x14ac:dyDescent="0.3">
      <c r="A3">
        <v>2</v>
      </c>
      <c r="B3" s="13">
        <v>45747</v>
      </c>
      <c r="C3" t="s">
        <v>2053</v>
      </c>
      <c r="D3" t="s">
        <v>2050</v>
      </c>
      <c r="E3" s="233">
        <v>48210</v>
      </c>
    </row>
    <row r="4" spans="1:7" x14ac:dyDescent="0.3">
      <c r="A4">
        <v>3</v>
      </c>
      <c r="B4" s="13">
        <v>45749</v>
      </c>
      <c r="C4" t="s">
        <v>2049</v>
      </c>
      <c r="D4" t="s">
        <v>2049</v>
      </c>
      <c r="E4" s="233">
        <v>16600</v>
      </c>
      <c r="F4" t="s">
        <v>2054</v>
      </c>
    </row>
    <row r="5" spans="1:7" x14ac:dyDescent="0.3">
      <c r="A5">
        <v>4</v>
      </c>
      <c r="B5" s="13">
        <v>45749</v>
      </c>
      <c r="C5" t="s">
        <v>1675</v>
      </c>
      <c r="D5" t="s">
        <v>2047</v>
      </c>
      <c r="E5">
        <v>19500</v>
      </c>
    </row>
    <row r="6" spans="1:7" x14ac:dyDescent="0.3">
      <c r="A6">
        <v>5</v>
      </c>
      <c r="B6" s="13">
        <v>45749</v>
      </c>
      <c r="C6" t="s">
        <v>2049</v>
      </c>
      <c r="D6" t="s">
        <v>1672</v>
      </c>
      <c r="E6">
        <v>8000</v>
      </c>
      <c r="F6" t="s">
        <v>2055</v>
      </c>
    </row>
    <row r="7" spans="1:7" x14ac:dyDescent="0.3">
      <c r="A7">
        <v>6</v>
      </c>
      <c r="B7" s="13">
        <v>45750</v>
      </c>
      <c r="C7" t="s">
        <v>1675</v>
      </c>
      <c r="D7" t="s">
        <v>2047</v>
      </c>
      <c r="E7">
        <v>22000</v>
      </c>
    </row>
    <row r="8" spans="1:7" x14ac:dyDescent="0.3">
      <c r="A8">
        <v>7</v>
      </c>
      <c r="B8" s="13">
        <v>45751</v>
      </c>
      <c r="C8" t="s">
        <v>1731</v>
      </c>
      <c r="D8" t="s">
        <v>2047</v>
      </c>
      <c r="E8">
        <v>7900</v>
      </c>
    </row>
    <row r="9" spans="1:7" x14ac:dyDescent="0.3">
      <c r="A9">
        <v>8</v>
      </c>
      <c r="B9" s="13">
        <v>45751</v>
      </c>
      <c r="C9" t="s">
        <v>1747</v>
      </c>
      <c r="D9" t="s">
        <v>2047</v>
      </c>
      <c r="E9">
        <v>5400</v>
      </c>
      <c r="F9" t="s">
        <v>1748</v>
      </c>
    </row>
    <row r="10" spans="1:7" x14ac:dyDescent="0.3">
      <c r="A10">
        <v>9</v>
      </c>
      <c r="B10" s="13">
        <v>45754</v>
      </c>
      <c r="C10" t="s">
        <v>1553</v>
      </c>
      <c r="D10" t="s">
        <v>2049</v>
      </c>
      <c r="E10">
        <v>8000</v>
      </c>
      <c r="F10" t="s">
        <v>1789</v>
      </c>
    </row>
    <row r="11" spans="1:7" x14ac:dyDescent="0.3">
      <c r="A11">
        <v>10</v>
      </c>
      <c r="B11" s="13">
        <v>45754</v>
      </c>
      <c r="C11" t="s">
        <v>1675</v>
      </c>
      <c r="D11" t="s">
        <v>2047</v>
      </c>
      <c r="E11">
        <v>11000</v>
      </c>
    </row>
    <row r="12" spans="1:7" x14ac:dyDescent="0.3">
      <c r="A12">
        <v>11</v>
      </c>
      <c r="B12" s="13">
        <v>45754</v>
      </c>
      <c r="C12" t="s">
        <v>1660</v>
      </c>
      <c r="D12" t="s">
        <v>2051</v>
      </c>
      <c r="E12">
        <v>47970</v>
      </c>
    </row>
    <row r="13" spans="1:7" x14ac:dyDescent="0.3">
      <c r="A13">
        <v>12</v>
      </c>
      <c r="B13" s="13">
        <v>45755</v>
      </c>
      <c r="C13" t="s">
        <v>1747</v>
      </c>
      <c r="D13" t="s">
        <v>2047</v>
      </c>
      <c r="E13">
        <v>5400</v>
      </c>
      <c r="F13" t="s">
        <v>1840</v>
      </c>
    </row>
    <row r="14" spans="1:7" x14ac:dyDescent="0.3">
      <c r="A14">
        <v>13</v>
      </c>
      <c r="B14" s="13">
        <v>45756</v>
      </c>
      <c r="C14" t="s">
        <v>1866</v>
      </c>
      <c r="D14" t="s">
        <v>2048</v>
      </c>
      <c r="E14">
        <v>44600</v>
      </c>
    </row>
    <row r="15" spans="1:7" x14ac:dyDescent="0.3">
      <c r="A15">
        <v>14</v>
      </c>
      <c r="B15" s="13">
        <v>45756</v>
      </c>
      <c r="C15" t="s">
        <v>1675</v>
      </c>
      <c r="D15" t="s">
        <v>2047</v>
      </c>
      <c r="E15">
        <v>11000</v>
      </c>
    </row>
    <row r="16" spans="1:7" x14ac:dyDescent="0.3">
      <c r="A16">
        <v>15</v>
      </c>
      <c r="B16" s="13">
        <v>45758</v>
      </c>
      <c r="C16" t="s">
        <v>1731</v>
      </c>
      <c r="D16" t="s">
        <v>2047</v>
      </c>
      <c r="E16">
        <v>7900</v>
      </c>
    </row>
    <row r="17" spans="1:6" x14ac:dyDescent="0.3">
      <c r="A17">
        <v>16</v>
      </c>
      <c r="B17" s="13">
        <v>45762</v>
      </c>
      <c r="C17" t="s">
        <v>1660</v>
      </c>
      <c r="D17" t="s">
        <v>2051</v>
      </c>
      <c r="E17">
        <v>47550</v>
      </c>
    </row>
    <row r="18" spans="1:6" x14ac:dyDescent="0.3">
      <c r="A18">
        <v>17</v>
      </c>
      <c r="B18" s="13">
        <v>45762</v>
      </c>
      <c r="C18" t="s">
        <v>1660</v>
      </c>
      <c r="D18" t="s">
        <v>2051</v>
      </c>
      <c r="E18">
        <v>5000</v>
      </c>
      <c r="F18" t="s">
        <v>1926</v>
      </c>
    </row>
    <row r="19" spans="1:6" x14ac:dyDescent="0.3">
      <c r="A19">
        <v>18</v>
      </c>
      <c r="B19" s="13">
        <v>45762</v>
      </c>
      <c r="C19" t="s">
        <v>1927</v>
      </c>
      <c r="D19" t="s">
        <v>2047</v>
      </c>
      <c r="E19">
        <v>40600</v>
      </c>
    </row>
    <row r="20" spans="1:6" x14ac:dyDescent="0.3">
      <c r="A20">
        <v>19</v>
      </c>
      <c r="B20" s="13">
        <v>45771</v>
      </c>
      <c r="C20" t="s">
        <v>1660</v>
      </c>
      <c r="D20" t="s">
        <v>2051</v>
      </c>
      <c r="E20">
        <v>47550</v>
      </c>
    </row>
    <row r="21" spans="1:6" x14ac:dyDescent="0.3">
      <c r="A21">
        <v>20</v>
      </c>
      <c r="B21" s="13">
        <v>45771</v>
      </c>
      <c r="C21" t="s">
        <v>2016</v>
      </c>
      <c r="D21" t="s">
        <v>2051</v>
      </c>
      <c r="E21">
        <v>5000</v>
      </c>
      <c r="F21" t="s">
        <v>1926</v>
      </c>
    </row>
    <row r="22" spans="1:6" x14ac:dyDescent="0.3">
      <c r="A22">
        <v>21</v>
      </c>
      <c r="B22" s="13">
        <v>45772</v>
      </c>
      <c r="C22" t="s">
        <v>1553</v>
      </c>
      <c r="D22" t="s">
        <v>2049</v>
      </c>
      <c r="E22">
        <v>7000</v>
      </c>
      <c r="F22" t="s">
        <v>2034</v>
      </c>
    </row>
    <row r="23" spans="1:6" x14ac:dyDescent="0.3">
      <c r="A23">
        <v>22</v>
      </c>
      <c r="B23" s="13">
        <v>45775</v>
      </c>
      <c r="C23" t="s">
        <v>2042</v>
      </c>
      <c r="D23" t="s">
        <v>2047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2106</v>
      </c>
      <c r="D25" t="s">
        <v>1822</v>
      </c>
      <c r="E25">
        <v>2000</v>
      </c>
      <c r="F25" t="s">
        <v>2107</v>
      </c>
    </row>
    <row r="26" spans="1:6" x14ac:dyDescent="0.3">
      <c r="A26">
        <v>25</v>
      </c>
      <c r="B26" s="13">
        <v>45778</v>
      </c>
      <c r="C26" t="s">
        <v>2106</v>
      </c>
      <c r="D26" t="s">
        <v>1822</v>
      </c>
      <c r="E26">
        <v>2000</v>
      </c>
      <c r="F26" t="s">
        <v>2107</v>
      </c>
    </row>
    <row r="27" spans="1:6" x14ac:dyDescent="0.3">
      <c r="A27">
        <v>26</v>
      </c>
      <c r="B27" s="13">
        <v>45777</v>
      </c>
      <c r="C27" t="s">
        <v>2109</v>
      </c>
      <c r="D27" t="s">
        <v>2046</v>
      </c>
      <c r="E27">
        <v>32000</v>
      </c>
    </row>
    <row r="28" spans="1:6" x14ac:dyDescent="0.3">
      <c r="A28">
        <v>27</v>
      </c>
      <c r="B28" s="13">
        <v>45778</v>
      </c>
      <c r="C28" t="s">
        <v>2042</v>
      </c>
      <c r="D28" t="s">
        <v>2046</v>
      </c>
      <c r="E28" s="233">
        <v>8000</v>
      </c>
    </row>
    <row r="29" spans="1:6" x14ac:dyDescent="0.3">
      <c r="A29">
        <v>28</v>
      </c>
      <c r="B29" s="13">
        <v>45779</v>
      </c>
      <c r="C29" t="s">
        <v>2106</v>
      </c>
      <c r="D29" t="s">
        <v>1822</v>
      </c>
      <c r="E29">
        <v>6000</v>
      </c>
      <c r="F29" t="s">
        <v>2112</v>
      </c>
    </row>
    <row r="30" spans="1:6" x14ac:dyDescent="0.3">
      <c r="A30">
        <v>29</v>
      </c>
      <c r="B30" s="13">
        <v>45779</v>
      </c>
      <c r="C30" t="s">
        <v>2123</v>
      </c>
      <c r="D30" t="s">
        <v>2045</v>
      </c>
      <c r="E30">
        <v>74100</v>
      </c>
      <c r="F30" t="s">
        <v>2124</v>
      </c>
    </row>
    <row r="31" spans="1:6" x14ac:dyDescent="0.3">
      <c r="A31">
        <v>30</v>
      </c>
      <c r="B31" s="13">
        <v>45780</v>
      </c>
      <c r="C31" t="s">
        <v>2121</v>
      </c>
      <c r="D31" t="s">
        <v>2045</v>
      </c>
      <c r="E31">
        <v>7000</v>
      </c>
      <c r="F31" t="s">
        <v>2122</v>
      </c>
    </row>
    <row r="32" spans="1:6" x14ac:dyDescent="0.3">
      <c r="A32">
        <v>31</v>
      </c>
      <c r="B32" s="13">
        <v>45780</v>
      </c>
      <c r="C32" t="s">
        <v>2106</v>
      </c>
      <c r="D32" t="s">
        <v>1822</v>
      </c>
      <c r="E32">
        <v>7000</v>
      </c>
      <c r="F32" t="s">
        <v>1934</v>
      </c>
    </row>
    <row r="33" spans="1:6" x14ac:dyDescent="0.3">
      <c r="A33">
        <v>32</v>
      </c>
      <c r="B33" s="13">
        <v>45784</v>
      </c>
      <c r="C33" t="s">
        <v>1675</v>
      </c>
      <c r="D33" t="s">
        <v>2046</v>
      </c>
      <c r="E33">
        <v>9500</v>
      </c>
    </row>
    <row r="34" spans="1:6" x14ac:dyDescent="0.3">
      <c r="A34">
        <v>33</v>
      </c>
      <c r="B34" s="13">
        <v>45785</v>
      </c>
      <c r="C34" t="s">
        <v>2168</v>
      </c>
      <c r="D34" t="s">
        <v>2046</v>
      </c>
      <c r="E34">
        <v>14000</v>
      </c>
    </row>
    <row r="35" spans="1:6" x14ac:dyDescent="0.3">
      <c r="A35">
        <v>34</v>
      </c>
      <c r="B35" s="13">
        <v>45786</v>
      </c>
      <c r="C35" t="s">
        <v>2168</v>
      </c>
      <c r="D35" t="s">
        <v>2046</v>
      </c>
      <c r="E35">
        <v>14000</v>
      </c>
    </row>
    <row r="36" spans="1:6" x14ac:dyDescent="0.3">
      <c r="A36">
        <v>35</v>
      </c>
      <c r="B36" s="13">
        <v>45789</v>
      </c>
      <c r="C36" t="s">
        <v>2106</v>
      </c>
      <c r="D36" t="s">
        <v>1822</v>
      </c>
      <c r="E36">
        <v>2000</v>
      </c>
      <c r="F36" t="s">
        <v>2170</v>
      </c>
    </row>
    <row r="37" spans="1:6" x14ac:dyDescent="0.3">
      <c r="A37">
        <v>36</v>
      </c>
      <c r="B37" s="13">
        <v>45789</v>
      </c>
      <c r="C37" t="s">
        <v>2106</v>
      </c>
      <c r="D37" t="s">
        <v>1822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2168</v>
      </c>
      <c r="D39" t="s">
        <v>2046</v>
      </c>
      <c r="E39">
        <v>14000</v>
      </c>
    </row>
    <row r="40" spans="1:6" x14ac:dyDescent="0.3">
      <c r="A40">
        <v>39</v>
      </c>
      <c r="B40" s="13">
        <v>45790</v>
      </c>
      <c r="C40" t="s">
        <v>1747</v>
      </c>
      <c r="D40" t="s">
        <v>2046</v>
      </c>
      <c r="E40">
        <v>9600</v>
      </c>
    </row>
    <row r="41" spans="1:6" x14ac:dyDescent="0.3">
      <c r="A41">
        <v>40</v>
      </c>
      <c r="B41" s="13">
        <v>45790</v>
      </c>
      <c r="C41" t="s">
        <v>2223</v>
      </c>
      <c r="D41" t="s">
        <v>2049</v>
      </c>
      <c r="E41">
        <v>7000</v>
      </c>
      <c r="F41" t="s">
        <v>2224</v>
      </c>
    </row>
    <row r="42" spans="1:6" x14ac:dyDescent="0.3">
      <c r="A42">
        <v>41</v>
      </c>
      <c r="B42" s="13">
        <v>45790</v>
      </c>
      <c r="C42" t="s">
        <v>2221</v>
      </c>
      <c r="D42" t="s">
        <v>1822</v>
      </c>
      <c r="E42">
        <v>14000</v>
      </c>
      <c r="F42" t="s">
        <v>2222</v>
      </c>
    </row>
    <row r="43" spans="1:6" x14ac:dyDescent="0.3">
      <c r="A43">
        <v>42</v>
      </c>
      <c r="B43" s="13">
        <v>45791</v>
      </c>
      <c r="C43" t="s">
        <v>2106</v>
      </c>
      <c r="D43" t="s">
        <v>1822</v>
      </c>
      <c r="E43">
        <v>6000</v>
      </c>
      <c r="F43" t="s">
        <v>2225</v>
      </c>
    </row>
    <row r="44" spans="1:6" x14ac:dyDescent="0.3">
      <c r="A44">
        <v>43</v>
      </c>
      <c r="B44" s="13">
        <v>45791</v>
      </c>
      <c r="C44" t="s">
        <v>2106</v>
      </c>
      <c r="D44" t="s">
        <v>1822</v>
      </c>
      <c r="E44">
        <v>6000</v>
      </c>
      <c r="F44" t="s">
        <v>2226</v>
      </c>
    </row>
    <row r="45" spans="1:6" x14ac:dyDescent="0.3">
      <c r="A45">
        <v>44</v>
      </c>
      <c r="B45" s="13">
        <v>45791</v>
      </c>
      <c r="C45" t="s">
        <v>2229</v>
      </c>
      <c r="D45" t="s">
        <v>2050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1672</v>
      </c>
      <c r="E46">
        <v>7000</v>
      </c>
      <c r="F46" t="s">
        <v>2220</v>
      </c>
    </row>
    <row r="47" spans="1:6" x14ac:dyDescent="0.3">
      <c r="A47">
        <v>46</v>
      </c>
      <c r="B47" s="13">
        <v>45791</v>
      </c>
      <c r="C47" t="s">
        <v>2106</v>
      </c>
      <c r="D47" t="s">
        <v>1822</v>
      </c>
      <c r="E47">
        <v>4100</v>
      </c>
      <c r="F47" t="s">
        <v>2225</v>
      </c>
    </row>
    <row r="48" spans="1:6" x14ac:dyDescent="0.3">
      <c r="A48">
        <v>47</v>
      </c>
      <c r="B48" s="13">
        <v>45792</v>
      </c>
      <c r="C48" t="s">
        <v>2106</v>
      </c>
      <c r="D48" t="s">
        <v>1822</v>
      </c>
      <c r="E48">
        <v>6000</v>
      </c>
      <c r="F48" t="s">
        <v>2261</v>
      </c>
    </row>
    <row r="49" spans="1:6" x14ac:dyDescent="0.3">
      <c r="A49">
        <v>48</v>
      </c>
      <c r="B49" s="13">
        <v>45793</v>
      </c>
      <c r="C49" t="s">
        <v>1747</v>
      </c>
      <c r="D49" t="s">
        <v>2046</v>
      </c>
      <c r="E49">
        <v>5400</v>
      </c>
    </row>
    <row r="50" spans="1:6" x14ac:dyDescent="0.3">
      <c r="A50">
        <v>49</v>
      </c>
      <c r="B50" s="13">
        <v>45794</v>
      </c>
      <c r="C50" t="s">
        <v>2289</v>
      </c>
      <c r="D50" t="s">
        <v>1822</v>
      </c>
      <c r="E50">
        <v>8000</v>
      </c>
      <c r="F50" t="s">
        <v>2290</v>
      </c>
    </row>
    <row r="51" spans="1:6" x14ac:dyDescent="0.3">
      <c r="A51">
        <v>50</v>
      </c>
      <c r="B51" s="13">
        <v>45796</v>
      </c>
      <c r="C51" t="s">
        <v>2042</v>
      </c>
      <c r="D51" t="s">
        <v>2046</v>
      </c>
      <c r="E51">
        <v>8000</v>
      </c>
    </row>
    <row r="52" spans="1:6" x14ac:dyDescent="0.3">
      <c r="A52">
        <v>51</v>
      </c>
      <c r="B52" s="13">
        <v>45796</v>
      </c>
      <c r="C52" t="s">
        <v>2229</v>
      </c>
      <c r="D52" t="s">
        <v>2050</v>
      </c>
      <c r="E52">
        <v>46300</v>
      </c>
    </row>
    <row r="53" spans="1:6" x14ac:dyDescent="0.3">
      <c r="A53">
        <v>52</v>
      </c>
      <c r="B53" s="13">
        <v>45796</v>
      </c>
      <c r="C53" t="s">
        <v>2304</v>
      </c>
      <c r="D53" t="s">
        <v>2046</v>
      </c>
      <c r="E53">
        <v>1800</v>
      </c>
    </row>
    <row r="54" spans="1:6" x14ac:dyDescent="0.3">
      <c r="A54">
        <v>53</v>
      </c>
      <c r="B54" s="13">
        <v>45797</v>
      </c>
      <c r="C54" t="s">
        <v>2042</v>
      </c>
      <c r="D54" t="s">
        <v>2046</v>
      </c>
      <c r="E54" s="233">
        <v>8000</v>
      </c>
    </row>
    <row r="55" spans="1:6" x14ac:dyDescent="0.3">
      <c r="A55">
        <v>54</v>
      </c>
      <c r="B55" s="13">
        <v>45798</v>
      </c>
      <c r="C55" t="s">
        <v>2042</v>
      </c>
      <c r="D55" t="s">
        <v>2046</v>
      </c>
      <c r="E55">
        <v>8000</v>
      </c>
    </row>
    <row r="56" spans="1:6" x14ac:dyDescent="0.3">
      <c r="A56">
        <v>55</v>
      </c>
      <c r="B56" s="13">
        <v>45798</v>
      </c>
      <c r="C56" t="s">
        <v>2106</v>
      </c>
      <c r="D56" t="s">
        <v>1822</v>
      </c>
      <c r="E56">
        <v>6500</v>
      </c>
    </row>
    <row r="57" spans="1:6" x14ac:dyDescent="0.3">
      <c r="A57">
        <v>56</v>
      </c>
      <c r="B57" s="13">
        <v>45799</v>
      </c>
      <c r="C57" t="s">
        <v>2360</v>
      </c>
      <c r="D57" t="s">
        <v>2047</v>
      </c>
      <c r="E57">
        <v>9500</v>
      </c>
    </row>
    <row r="58" spans="1:6" x14ac:dyDescent="0.3">
      <c r="A58">
        <v>57</v>
      </c>
      <c r="B58" s="13">
        <v>45800</v>
      </c>
      <c r="C58" t="s">
        <v>2042</v>
      </c>
      <c r="D58" t="s">
        <v>2046</v>
      </c>
      <c r="E58">
        <v>8000</v>
      </c>
    </row>
    <row r="59" spans="1:6" x14ac:dyDescent="0.3">
      <c r="A59">
        <v>58</v>
      </c>
      <c r="B59" s="13">
        <v>45803</v>
      </c>
      <c r="C59" t="s">
        <v>2361</v>
      </c>
      <c r="D59" t="s">
        <v>2046</v>
      </c>
      <c r="E59">
        <v>7500</v>
      </c>
    </row>
    <row r="60" spans="1:6" x14ac:dyDescent="0.3">
      <c r="A60">
        <v>59</v>
      </c>
      <c r="B60" s="13">
        <v>45804</v>
      </c>
      <c r="C60" t="s">
        <v>1675</v>
      </c>
      <c r="D60" t="s">
        <v>2046</v>
      </c>
      <c r="E60">
        <v>10000</v>
      </c>
    </row>
    <row r="61" spans="1:6" x14ac:dyDescent="0.3">
      <c r="A61">
        <v>60</v>
      </c>
      <c r="B61" s="13">
        <v>45805</v>
      </c>
      <c r="C61" t="s">
        <v>2042</v>
      </c>
      <c r="D61" t="s">
        <v>2046</v>
      </c>
      <c r="E61">
        <v>8000</v>
      </c>
    </row>
    <row r="62" spans="1:6" x14ac:dyDescent="0.3">
      <c r="A62">
        <v>61</v>
      </c>
      <c r="B62" s="13">
        <v>45806</v>
      </c>
      <c r="C62" t="s">
        <v>2106</v>
      </c>
      <c r="D62" t="s">
        <v>1822</v>
      </c>
      <c r="E62">
        <v>11000</v>
      </c>
    </row>
    <row r="63" spans="1:6" x14ac:dyDescent="0.3">
      <c r="A63">
        <v>62</v>
      </c>
      <c r="B63" s="13">
        <v>45806</v>
      </c>
      <c r="C63" t="s">
        <v>2042</v>
      </c>
      <c r="D63" t="s">
        <v>2046</v>
      </c>
      <c r="E63">
        <v>8000</v>
      </c>
    </row>
    <row r="64" spans="1:6" x14ac:dyDescent="0.3">
      <c r="A64">
        <v>63</v>
      </c>
      <c r="B64" s="13">
        <v>45807</v>
      </c>
      <c r="C64" t="s">
        <v>1660</v>
      </c>
      <c r="D64" t="s">
        <v>2050</v>
      </c>
      <c r="E64">
        <v>46950</v>
      </c>
    </row>
    <row r="65" spans="1:6" x14ac:dyDescent="0.3">
      <c r="A65">
        <v>64</v>
      </c>
      <c r="B65" s="13">
        <v>45807</v>
      </c>
      <c r="C65" t="s">
        <v>2388</v>
      </c>
      <c r="D65" t="s">
        <v>1822</v>
      </c>
      <c r="E65">
        <v>6000</v>
      </c>
      <c r="F65" t="s">
        <v>2226</v>
      </c>
    </row>
    <row r="66" spans="1:6" x14ac:dyDescent="0.3">
      <c r="A66">
        <v>65</v>
      </c>
      <c r="B66" s="13">
        <v>45807</v>
      </c>
      <c r="C66" t="s">
        <v>2106</v>
      </c>
      <c r="D66" t="s">
        <v>1822</v>
      </c>
      <c r="E66">
        <v>6000</v>
      </c>
      <c r="F66" t="s">
        <v>2000</v>
      </c>
    </row>
    <row r="67" spans="1:6" x14ac:dyDescent="0.3">
      <c r="A67">
        <v>66</v>
      </c>
      <c r="B67" s="13">
        <v>45812</v>
      </c>
      <c r="C67" t="s">
        <v>2106</v>
      </c>
      <c r="D67" t="s">
        <v>1822</v>
      </c>
      <c r="E67">
        <v>6000</v>
      </c>
    </row>
    <row r="68" spans="1:6" x14ac:dyDescent="0.3">
      <c r="A68">
        <v>67</v>
      </c>
      <c r="B68" s="13">
        <v>45811</v>
      </c>
      <c r="C68" t="s">
        <v>2042</v>
      </c>
      <c r="D68" t="s">
        <v>2046</v>
      </c>
      <c r="E68">
        <v>8000</v>
      </c>
    </row>
    <row r="69" spans="1:6" x14ac:dyDescent="0.3">
      <c r="A69">
        <v>68</v>
      </c>
      <c r="B69" s="13">
        <v>45817</v>
      </c>
      <c r="C69" t="s">
        <v>2106</v>
      </c>
      <c r="D69" t="s">
        <v>1822</v>
      </c>
      <c r="E69">
        <v>6000</v>
      </c>
      <c r="F69" t="s">
        <v>2481</v>
      </c>
    </row>
    <row r="70" spans="1:6" x14ac:dyDescent="0.3">
      <c r="A70">
        <v>69</v>
      </c>
      <c r="B70" s="13">
        <v>45815</v>
      </c>
      <c r="C70" t="s">
        <v>2106</v>
      </c>
      <c r="D70" t="s">
        <v>1822</v>
      </c>
      <c r="E70">
        <v>6000</v>
      </c>
      <c r="F70" t="s">
        <v>2481</v>
      </c>
    </row>
    <row r="71" spans="1:6" x14ac:dyDescent="0.3">
      <c r="A71">
        <v>70</v>
      </c>
      <c r="B71" s="13">
        <v>45813</v>
      </c>
      <c r="C71" t="s">
        <v>2106</v>
      </c>
      <c r="D71" t="s">
        <v>1822</v>
      </c>
      <c r="E71">
        <v>4000</v>
      </c>
      <c r="F71" t="s">
        <v>2226</v>
      </c>
    </row>
    <row r="72" spans="1:6" x14ac:dyDescent="0.3">
      <c r="A72">
        <v>71</v>
      </c>
      <c r="B72" s="13">
        <v>45817</v>
      </c>
      <c r="C72" t="s">
        <v>2106</v>
      </c>
      <c r="D72" t="s">
        <v>1822</v>
      </c>
      <c r="E72">
        <v>4600</v>
      </c>
      <c r="F72" t="s">
        <v>2527</v>
      </c>
    </row>
    <row r="73" spans="1:6" x14ac:dyDescent="0.3">
      <c r="A73">
        <v>72</v>
      </c>
      <c r="B73" s="13">
        <v>45817</v>
      </c>
      <c r="C73" t="s">
        <v>2106</v>
      </c>
      <c r="D73" t="s">
        <v>1822</v>
      </c>
      <c r="E73">
        <v>9600</v>
      </c>
      <c r="F73" t="s">
        <v>2528</v>
      </c>
    </row>
    <row r="74" spans="1:6" x14ac:dyDescent="0.3">
      <c r="A74">
        <v>73</v>
      </c>
      <c r="B74" s="13">
        <v>45818</v>
      </c>
      <c r="C74" t="s">
        <v>2106</v>
      </c>
      <c r="D74" t="s">
        <v>1822</v>
      </c>
      <c r="E74">
        <v>6000</v>
      </c>
      <c r="F74" t="s">
        <v>2529</v>
      </c>
    </row>
    <row r="75" spans="1:6" x14ac:dyDescent="0.3">
      <c r="A75">
        <v>74</v>
      </c>
      <c r="B75" s="13">
        <v>45818</v>
      </c>
      <c r="C75" t="s">
        <v>2304</v>
      </c>
      <c r="D75" t="s">
        <v>2046</v>
      </c>
      <c r="E75">
        <v>2200</v>
      </c>
    </row>
    <row r="76" spans="1:6" x14ac:dyDescent="0.3">
      <c r="A76">
        <v>75</v>
      </c>
      <c r="B76" s="13">
        <v>45818</v>
      </c>
      <c r="C76" t="s">
        <v>2289</v>
      </c>
      <c r="D76" t="s">
        <v>1672</v>
      </c>
      <c r="E76">
        <v>10000</v>
      </c>
      <c r="F76" t="s">
        <v>2530</v>
      </c>
    </row>
    <row r="77" spans="1:6" x14ac:dyDescent="0.3">
      <c r="A77">
        <v>76</v>
      </c>
      <c r="B77" s="13">
        <v>45818</v>
      </c>
      <c r="C77" t="s">
        <v>2106</v>
      </c>
      <c r="D77" t="s">
        <v>1822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2221</v>
      </c>
      <c r="D78" t="s">
        <v>1822</v>
      </c>
      <c r="E78">
        <v>6000</v>
      </c>
      <c r="F78" t="s">
        <v>2561</v>
      </c>
    </row>
    <row r="79" spans="1:6" x14ac:dyDescent="0.3">
      <c r="A79">
        <v>78</v>
      </c>
      <c r="B79" s="13">
        <v>45820</v>
      </c>
      <c r="C79" t="s">
        <v>2106</v>
      </c>
      <c r="D79" t="s">
        <v>1822</v>
      </c>
      <c r="E79" s="233">
        <v>6000</v>
      </c>
      <c r="F79" t="s">
        <v>1862</v>
      </c>
    </row>
    <row r="80" spans="1:6" x14ac:dyDescent="0.3">
      <c r="A80">
        <v>79</v>
      </c>
      <c r="B80" s="13">
        <v>45820</v>
      </c>
      <c r="C80" t="s">
        <v>2106</v>
      </c>
      <c r="D80" t="s">
        <v>1822</v>
      </c>
      <c r="E80">
        <v>7600</v>
      </c>
      <c r="F80" t="s">
        <v>2482</v>
      </c>
    </row>
    <row r="81" spans="1:6" x14ac:dyDescent="0.3">
      <c r="A81">
        <v>80</v>
      </c>
      <c r="B81" s="13">
        <v>45824</v>
      </c>
      <c r="C81" t="s">
        <v>2229</v>
      </c>
      <c r="D81" t="s">
        <v>2050</v>
      </c>
      <c r="E81">
        <v>47970</v>
      </c>
    </row>
    <row r="82" spans="1:6" x14ac:dyDescent="0.3">
      <c r="A82">
        <v>81</v>
      </c>
      <c r="B82" s="13">
        <v>45824</v>
      </c>
      <c r="C82" t="s">
        <v>2042</v>
      </c>
      <c r="D82" t="s">
        <v>2046</v>
      </c>
      <c r="E82">
        <v>8000</v>
      </c>
    </row>
    <row r="83" spans="1:6" x14ac:dyDescent="0.3">
      <c r="A83">
        <v>82</v>
      </c>
      <c r="B83" s="13">
        <v>45824</v>
      </c>
      <c r="C83" t="s">
        <v>2106</v>
      </c>
      <c r="D83" t="s">
        <v>1822</v>
      </c>
      <c r="E83">
        <v>4600</v>
      </c>
      <c r="F83" t="s">
        <v>2596</v>
      </c>
    </row>
    <row r="84" spans="1:6" x14ac:dyDescent="0.3">
      <c r="A84">
        <v>83</v>
      </c>
      <c r="B84" s="13">
        <v>45825</v>
      </c>
      <c r="C84" t="s">
        <v>1412</v>
      </c>
      <c r="D84" t="s">
        <v>1822</v>
      </c>
      <c r="E84">
        <v>7000</v>
      </c>
      <c r="F84" t="s">
        <v>2603</v>
      </c>
    </row>
    <row r="85" spans="1:6" x14ac:dyDescent="0.3">
      <c r="A85">
        <v>84</v>
      </c>
      <c r="B85" s="13">
        <v>45825</v>
      </c>
      <c r="C85" t="s">
        <v>2289</v>
      </c>
      <c r="D85" t="s">
        <v>1672</v>
      </c>
      <c r="E85">
        <v>9000</v>
      </c>
      <c r="F85" t="s">
        <v>2603</v>
      </c>
    </row>
    <row r="86" spans="1:6" x14ac:dyDescent="0.3">
      <c r="A86">
        <v>85</v>
      </c>
      <c r="B86" s="13">
        <v>45825</v>
      </c>
      <c r="C86" t="s">
        <v>1731</v>
      </c>
      <c r="D86" t="s">
        <v>2046</v>
      </c>
      <c r="E86">
        <v>7000</v>
      </c>
    </row>
    <row r="87" spans="1:6" x14ac:dyDescent="0.3">
      <c r="A87">
        <v>86</v>
      </c>
      <c r="B87" s="13">
        <v>45826</v>
      </c>
      <c r="C87" t="s">
        <v>2106</v>
      </c>
      <c r="D87" t="s">
        <v>1822</v>
      </c>
      <c r="E87">
        <v>2000</v>
      </c>
      <c r="F87" t="s">
        <v>2482</v>
      </c>
    </row>
    <row r="88" spans="1:6" x14ac:dyDescent="0.3">
      <c r="A88">
        <v>87</v>
      </c>
      <c r="B88" s="13">
        <v>45826</v>
      </c>
      <c r="C88" t="s">
        <v>2106</v>
      </c>
      <c r="D88" t="s">
        <v>1822</v>
      </c>
      <c r="E88">
        <v>2000</v>
      </c>
      <c r="F88" t="s">
        <v>2482</v>
      </c>
    </row>
    <row r="89" spans="1:6" x14ac:dyDescent="0.3">
      <c r="A89">
        <v>88</v>
      </c>
      <c r="B89" s="13">
        <v>45826</v>
      </c>
      <c r="C89" t="s">
        <v>2106</v>
      </c>
      <c r="D89" t="s">
        <v>1822</v>
      </c>
      <c r="E89">
        <v>7500</v>
      </c>
      <c r="F89" t="s">
        <v>2652</v>
      </c>
    </row>
    <row r="90" spans="1:6" x14ac:dyDescent="0.3">
      <c r="A90">
        <v>89</v>
      </c>
      <c r="B90" s="13">
        <v>45826</v>
      </c>
      <c r="C90" t="s">
        <v>1675</v>
      </c>
      <c r="D90" t="s">
        <v>2046</v>
      </c>
      <c r="E90">
        <v>9500</v>
      </c>
    </row>
    <row r="91" spans="1:6" x14ac:dyDescent="0.3">
      <c r="A91">
        <v>90</v>
      </c>
      <c r="B91" s="13">
        <v>45827</v>
      </c>
      <c r="C91" t="s">
        <v>2106</v>
      </c>
      <c r="D91" t="s">
        <v>1822</v>
      </c>
      <c r="E91">
        <v>6000</v>
      </c>
      <c r="F91" t="s">
        <v>2529</v>
      </c>
    </row>
    <row r="92" spans="1:6" x14ac:dyDescent="0.3">
      <c r="A92">
        <v>91</v>
      </c>
      <c r="B92" s="13">
        <v>45827</v>
      </c>
      <c r="C92" t="s">
        <v>2106</v>
      </c>
      <c r="D92" t="s">
        <v>1822</v>
      </c>
      <c r="E92">
        <v>2000</v>
      </c>
      <c r="F92" t="s">
        <v>2662</v>
      </c>
    </row>
    <row r="93" spans="1:6" x14ac:dyDescent="0.3">
      <c r="A93">
        <v>92</v>
      </c>
      <c r="B93" s="13">
        <v>45827</v>
      </c>
      <c r="C93" t="s">
        <v>2106</v>
      </c>
      <c r="D93" t="s">
        <v>1822</v>
      </c>
      <c r="E93">
        <v>4600</v>
      </c>
      <c r="F93" t="s">
        <v>2680</v>
      </c>
    </row>
    <row r="94" spans="1:6" x14ac:dyDescent="0.3">
      <c r="A94">
        <v>93</v>
      </c>
      <c r="B94" s="13">
        <v>45828</v>
      </c>
      <c r="C94" t="s">
        <v>2106</v>
      </c>
      <c r="D94" t="s">
        <v>1822</v>
      </c>
      <c r="E94">
        <v>4500</v>
      </c>
      <c r="F94" t="s">
        <v>2698</v>
      </c>
    </row>
    <row r="95" spans="1:6" x14ac:dyDescent="0.3">
      <c r="A95">
        <v>94</v>
      </c>
      <c r="B95" s="13">
        <v>45829</v>
      </c>
      <c r="C95" t="s">
        <v>2229</v>
      </c>
      <c r="D95" t="s">
        <v>2050</v>
      </c>
      <c r="E95">
        <v>48750</v>
      </c>
    </row>
    <row r="96" spans="1:6" x14ac:dyDescent="0.3">
      <c r="A96">
        <v>95</v>
      </c>
      <c r="B96" s="13">
        <v>45829</v>
      </c>
      <c r="C96" t="s">
        <v>2106</v>
      </c>
      <c r="D96" t="s">
        <v>1822</v>
      </c>
      <c r="E96">
        <v>7600</v>
      </c>
      <c r="F96" t="s">
        <v>2586</v>
      </c>
    </row>
    <row r="97" spans="1:6" x14ac:dyDescent="0.3">
      <c r="A97">
        <v>96</v>
      </c>
      <c r="B97" s="13">
        <v>45829</v>
      </c>
      <c r="C97" t="s">
        <v>2106</v>
      </c>
      <c r="D97" t="s">
        <v>1822</v>
      </c>
      <c r="E97">
        <v>6100</v>
      </c>
      <c r="F97" t="s">
        <v>2586</v>
      </c>
    </row>
    <row r="98" spans="1:6" x14ac:dyDescent="0.3">
      <c r="A98">
        <v>97</v>
      </c>
      <c r="B98" s="13">
        <v>45831</v>
      </c>
      <c r="C98" t="s">
        <v>1553</v>
      </c>
      <c r="D98" t="s">
        <v>1672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2121</v>
      </c>
      <c r="D99" t="s">
        <v>2045</v>
      </c>
      <c r="E99">
        <v>2200</v>
      </c>
      <c r="F99" t="s">
        <v>2723</v>
      </c>
    </row>
    <row r="100" spans="1:6" x14ac:dyDescent="0.3">
      <c r="A100">
        <v>99</v>
      </c>
      <c r="B100" s="13">
        <v>45832</v>
      </c>
      <c r="C100" t="s">
        <v>2106</v>
      </c>
      <c r="D100" t="s">
        <v>1822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2106</v>
      </c>
      <c r="D101" t="s">
        <v>1822</v>
      </c>
      <c r="E101">
        <v>6600</v>
      </c>
      <c r="F101" t="s">
        <v>1862</v>
      </c>
    </row>
    <row r="102" spans="1:6" x14ac:dyDescent="0.3">
      <c r="A102">
        <v>101</v>
      </c>
      <c r="B102" s="13">
        <v>45833</v>
      </c>
      <c r="C102" t="s">
        <v>2106</v>
      </c>
      <c r="D102" t="s">
        <v>1822</v>
      </c>
      <c r="E102">
        <v>2200</v>
      </c>
      <c r="F102" t="s">
        <v>2739</v>
      </c>
    </row>
    <row r="103" spans="1:6" x14ac:dyDescent="0.3">
      <c r="A103">
        <v>102</v>
      </c>
      <c r="B103" s="13">
        <v>45833</v>
      </c>
      <c r="C103" t="s">
        <v>2106</v>
      </c>
      <c r="D103" t="s">
        <v>1822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2106</v>
      </c>
      <c r="D104" t="s">
        <v>1822</v>
      </c>
      <c r="E104">
        <v>4400</v>
      </c>
      <c r="F104" t="s">
        <v>2743</v>
      </c>
    </row>
    <row r="105" spans="1:6" x14ac:dyDescent="0.3">
      <c r="A105">
        <v>104</v>
      </c>
      <c r="B105" s="13">
        <v>45833</v>
      </c>
      <c r="C105" t="s">
        <v>2106</v>
      </c>
      <c r="D105" t="s">
        <v>1822</v>
      </c>
      <c r="E105">
        <v>4400</v>
      </c>
      <c r="F105" t="s">
        <v>2743</v>
      </c>
    </row>
    <row r="106" spans="1:6" x14ac:dyDescent="0.3">
      <c r="A106">
        <v>105</v>
      </c>
      <c r="B106" s="13">
        <v>45833</v>
      </c>
      <c r="C106" t="s">
        <v>2758</v>
      </c>
      <c r="D106" t="s">
        <v>2759</v>
      </c>
      <c r="E106">
        <v>24800</v>
      </c>
      <c r="F106" t="s">
        <v>2760</v>
      </c>
    </row>
    <row r="107" spans="1:6" x14ac:dyDescent="0.3">
      <c r="A107">
        <v>106</v>
      </c>
      <c r="B107" s="13">
        <v>45833</v>
      </c>
      <c r="C107" t="s">
        <v>1675</v>
      </c>
      <c r="D107" t="s">
        <v>2046</v>
      </c>
      <c r="E107">
        <v>10000</v>
      </c>
    </row>
    <row r="108" spans="1:6" x14ac:dyDescent="0.3">
      <c r="A108">
        <v>107</v>
      </c>
      <c r="B108" s="13">
        <v>45835</v>
      </c>
      <c r="C108" t="s">
        <v>2800</v>
      </c>
      <c r="D108" t="s">
        <v>2046</v>
      </c>
      <c r="E108">
        <v>22000</v>
      </c>
    </row>
    <row r="109" spans="1:6" x14ac:dyDescent="0.3">
      <c r="A109">
        <v>108</v>
      </c>
      <c r="B109" s="13">
        <v>45839</v>
      </c>
      <c r="C109" t="s">
        <v>2106</v>
      </c>
      <c r="D109" t="s">
        <v>1822</v>
      </c>
      <c r="E109">
        <v>2200</v>
      </c>
      <c r="F109" t="s">
        <v>2845</v>
      </c>
    </row>
    <row r="110" spans="1:6" x14ac:dyDescent="0.3">
      <c r="A110">
        <v>109</v>
      </c>
      <c r="B110" s="13">
        <v>45840</v>
      </c>
      <c r="C110" t="s">
        <v>2106</v>
      </c>
      <c r="D110" t="s">
        <v>1822</v>
      </c>
      <c r="E110">
        <v>6600</v>
      </c>
      <c r="F110" t="s">
        <v>2858</v>
      </c>
    </row>
    <row r="111" spans="1:6" x14ac:dyDescent="0.3">
      <c r="A111">
        <v>110</v>
      </c>
      <c r="B111" s="13">
        <v>45840</v>
      </c>
      <c r="C111" t="s">
        <v>2106</v>
      </c>
      <c r="D111" t="s">
        <v>1822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2106</v>
      </c>
      <c r="D112" t="s">
        <v>1822</v>
      </c>
      <c r="E112">
        <v>7150</v>
      </c>
      <c r="F112" t="s">
        <v>2859</v>
      </c>
    </row>
    <row r="113" spans="1:6" x14ac:dyDescent="0.3">
      <c r="A113">
        <v>112</v>
      </c>
      <c r="B113" s="13">
        <v>45840</v>
      </c>
      <c r="C113" t="s">
        <v>2106</v>
      </c>
      <c r="D113" t="s">
        <v>1822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2168</v>
      </c>
      <c r="D114" t="s">
        <v>2046</v>
      </c>
      <c r="E114">
        <v>24000</v>
      </c>
    </row>
    <row r="115" spans="1:6" x14ac:dyDescent="0.3">
      <c r="A115">
        <v>114</v>
      </c>
      <c r="B115" s="13">
        <v>45845</v>
      </c>
      <c r="C115" t="s">
        <v>1660</v>
      </c>
      <c r="D115" t="s">
        <v>2050</v>
      </c>
      <c r="E115">
        <v>47800</v>
      </c>
    </row>
    <row r="116" spans="1:6" x14ac:dyDescent="0.3">
      <c r="A116">
        <v>115</v>
      </c>
      <c r="B116" s="13">
        <v>45846</v>
      </c>
      <c r="C116" t="s">
        <v>2106</v>
      </c>
      <c r="D116" t="s">
        <v>1822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2106</v>
      </c>
      <c r="D117" t="s">
        <v>1822</v>
      </c>
      <c r="E117">
        <v>6500</v>
      </c>
      <c r="F117" t="s">
        <v>1862</v>
      </c>
    </row>
    <row r="118" spans="1:6" x14ac:dyDescent="0.3">
      <c r="A118">
        <v>117</v>
      </c>
      <c r="B118" s="13">
        <v>45846</v>
      </c>
      <c r="C118" t="s">
        <v>2106</v>
      </c>
      <c r="D118" t="s">
        <v>1822</v>
      </c>
      <c r="E118">
        <v>6000</v>
      </c>
      <c r="F118" t="s">
        <v>2529</v>
      </c>
    </row>
    <row r="119" spans="1:6" x14ac:dyDescent="0.3">
      <c r="A119">
        <v>118</v>
      </c>
      <c r="B119" s="13">
        <v>45846</v>
      </c>
      <c r="C119" t="s">
        <v>2106</v>
      </c>
      <c r="D119" t="s">
        <v>1822</v>
      </c>
      <c r="E119">
        <v>2000</v>
      </c>
      <c r="F119" t="s">
        <v>2930</v>
      </c>
    </row>
    <row r="120" spans="1:6" x14ac:dyDescent="0.3">
      <c r="A120">
        <v>119</v>
      </c>
      <c r="B120" s="13">
        <v>45847</v>
      </c>
      <c r="C120" t="s">
        <v>2106</v>
      </c>
      <c r="D120" t="s">
        <v>1822</v>
      </c>
      <c r="E120">
        <v>2000</v>
      </c>
      <c r="F120" t="s">
        <v>1785</v>
      </c>
    </row>
    <row r="121" spans="1:6" x14ac:dyDescent="0.3">
      <c r="A121">
        <v>120</v>
      </c>
      <c r="B121" s="13">
        <v>45847</v>
      </c>
      <c r="C121" t="s">
        <v>2106</v>
      </c>
      <c r="D121" t="s">
        <v>1822</v>
      </c>
      <c r="E121">
        <v>6000</v>
      </c>
      <c r="F121" t="s">
        <v>2948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1822</v>
      </c>
      <c r="E122">
        <v>8000</v>
      </c>
      <c r="F122" t="s">
        <v>1785</v>
      </c>
    </row>
    <row r="123" spans="1:6" x14ac:dyDescent="0.3">
      <c r="A123">
        <v>122</v>
      </c>
      <c r="B123" s="13">
        <v>45849</v>
      </c>
      <c r="C123" t="s">
        <v>2106</v>
      </c>
      <c r="D123" t="s">
        <v>1822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1822</v>
      </c>
      <c r="E124">
        <v>12000</v>
      </c>
      <c r="F124" t="s">
        <v>3005</v>
      </c>
    </row>
    <row r="125" spans="1:6" x14ac:dyDescent="0.3">
      <c r="A125">
        <v>124</v>
      </c>
      <c r="B125" s="13">
        <v>45852</v>
      </c>
      <c r="C125" t="s">
        <v>1731</v>
      </c>
      <c r="D125" t="s">
        <v>2046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1228</v>
      </c>
      <c r="R1" s="320"/>
      <c r="S1" s="428"/>
      <c r="T1" s="428"/>
      <c r="U1" s="429"/>
    </row>
    <row r="2" spans="1:21" x14ac:dyDescent="0.3">
      <c r="A2" s="298" t="s">
        <v>70</v>
      </c>
      <c r="B2" s="299"/>
      <c r="C2" s="300" t="s">
        <v>2278</v>
      </c>
      <c r="D2" s="301"/>
      <c r="E2" s="301"/>
      <c r="F2" s="301"/>
      <c r="G2" s="302"/>
      <c r="H2" s="300" t="s">
        <v>82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45867</v>
      </c>
      <c r="U2" s="306"/>
    </row>
    <row r="3" spans="1:21" ht="24.95" customHeight="1" x14ac:dyDescent="0.3">
      <c r="A3" s="373" t="s">
        <v>1196</v>
      </c>
      <c r="B3" s="37" t="s">
        <v>64</v>
      </c>
      <c r="C3" s="376" t="s">
        <v>1322</v>
      </c>
      <c r="D3" s="377"/>
      <c r="E3" s="377"/>
      <c r="F3" s="377"/>
      <c r="G3" s="377"/>
      <c r="H3" s="377"/>
      <c r="I3" s="377"/>
      <c r="J3" s="378"/>
      <c r="K3" s="379" t="s">
        <v>1197</v>
      </c>
      <c r="L3" s="37" t="s">
        <v>64</v>
      </c>
      <c r="M3" s="382" t="s">
        <v>970</v>
      </c>
      <c r="N3" s="383"/>
      <c r="O3" s="383"/>
      <c r="P3" s="383"/>
      <c r="Q3" s="383"/>
      <c r="R3" s="383"/>
      <c r="S3" s="383"/>
      <c r="T3" s="383"/>
      <c r="U3" s="384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388" t="s">
        <v>78</v>
      </c>
      <c r="U4" s="391"/>
    </row>
    <row r="5" spans="1:21" ht="24.95" customHeight="1" x14ac:dyDescent="0.3">
      <c r="A5" s="374"/>
      <c r="B5" s="38" t="s">
        <v>10</v>
      </c>
      <c r="C5" s="388" t="s">
        <v>29</v>
      </c>
      <c r="D5" s="389"/>
      <c r="E5" s="389"/>
      <c r="F5" s="389"/>
      <c r="G5" s="389"/>
      <c r="H5" s="389"/>
      <c r="I5" s="389"/>
      <c r="J5" s="390"/>
      <c r="K5" s="380"/>
      <c r="L5" s="38" t="s">
        <v>10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24.95" customHeight="1" x14ac:dyDescent="0.3">
      <c r="A6" s="375"/>
      <c r="B6" s="38" t="s">
        <v>80</v>
      </c>
      <c r="C6" s="388" t="s">
        <v>3228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1604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48</v>
      </c>
      <c r="G7" s="308"/>
      <c r="H7" s="308"/>
      <c r="I7" s="370"/>
      <c r="J7" s="371" t="s">
        <v>46</v>
      </c>
      <c r="K7" s="308"/>
      <c r="L7" s="308"/>
      <c r="M7" s="308"/>
      <c r="N7" s="370"/>
      <c r="O7" s="308" t="s">
        <v>54</v>
      </c>
      <c r="P7" s="370"/>
      <c r="Q7" s="371" t="s">
        <v>74</v>
      </c>
      <c r="R7" s="308"/>
      <c r="S7" s="370"/>
      <c r="T7" s="371" t="s">
        <v>73</v>
      </c>
      <c r="U7" s="372"/>
    </row>
    <row r="8" spans="1:21" ht="15.6" customHeight="1" x14ac:dyDescent="0.3">
      <c r="A8" s="414" t="s">
        <v>2312</v>
      </c>
      <c r="B8" s="415"/>
      <c r="C8" s="415"/>
      <c r="D8" s="415"/>
      <c r="E8" s="416"/>
      <c r="F8" s="417" t="s">
        <v>2311</v>
      </c>
      <c r="G8" s="415"/>
      <c r="H8" s="415"/>
      <c r="I8" s="416"/>
      <c r="J8" s="423">
        <v>1500000</v>
      </c>
      <c r="K8" s="423"/>
      <c r="L8" s="423"/>
      <c r="M8" s="423"/>
      <c r="N8" s="423"/>
      <c r="O8" s="424">
        <v>1</v>
      </c>
      <c r="P8" s="424"/>
      <c r="Q8" s="418"/>
      <c r="R8" s="419"/>
      <c r="S8" s="420"/>
      <c r="T8" s="421">
        <v>1500000</v>
      </c>
      <c r="U8" s="422"/>
    </row>
    <row r="9" spans="1:21" ht="15.6" customHeight="1" x14ac:dyDescent="0.3">
      <c r="A9" s="403" t="s">
        <v>2235</v>
      </c>
      <c r="B9" s="404"/>
      <c r="C9" s="404"/>
      <c r="D9" s="404"/>
      <c r="E9" s="405"/>
      <c r="F9" s="406" t="s">
        <v>1842</v>
      </c>
      <c r="G9" s="404"/>
      <c r="H9" s="404"/>
      <c r="I9" s="405"/>
      <c r="J9" s="412">
        <v>50000</v>
      </c>
      <c r="K9" s="412"/>
      <c r="L9" s="412"/>
      <c r="M9" s="412"/>
      <c r="N9" s="412"/>
      <c r="O9" s="413">
        <v>1</v>
      </c>
      <c r="P9" s="413"/>
      <c r="Q9" s="407"/>
      <c r="R9" s="408"/>
      <c r="S9" s="409"/>
      <c r="T9" s="410">
        <v>50000</v>
      </c>
      <c r="U9" s="411"/>
    </row>
    <row r="10" spans="1:21" ht="15.6" customHeight="1" x14ac:dyDescent="0.3">
      <c r="A10" s="403" t="s">
        <v>1583</v>
      </c>
      <c r="B10" s="404"/>
      <c r="C10" s="404"/>
      <c r="D10" s="404"/>
      <c r="E10" s="405"/>
      <c r="F10" s="406">
        <v>24152333907</v>
      </c>
      <c r="G10" s="404"/>
      <c r="H10" s="404"/>
      <c r="I10" s="405"/>
      <c r="J10" s="412">
        <v>50000</v>
      </c>
      <c r="K10" s="412"/>
      <c r="L10" s="412"/>
      <c r="M10" s="412"/>
      <c r="N10" s="412"/>
      <c r="O10" s="413">
        <v>1</v>
      </c>
      <c r="P10" s="413"/>
      <c r="Q10" s="407"/>
      <c r="R10" s="408"/>
      <c r="S10" s="409"/>
      <c r="T10" s="410">
        <v>50000</v>
      </c>
      <c r="U10" s="411"/>
    </row>
    <row r="11" spans="1:21" ht="15.6" customHeight="1" x14ac:dyDescent="0.3">
      <c r="A11" s="403"/>
      <c r="B11" s="404"/>
      <c r="C11" s="404"/>
      <c r="D11" s="404"/>
      <c r="E11" s="405"/>
      <c r="F11" s="406"/>
      <c r="G11" s="404"/>
      <c r="H11" s="404"/>
      <c r="I11" s="405"/>
      <c r="J11" s="412"/>
      <c r="K11" s="412"/>
      <c r="L11" s="412"/>
      <c r="M11" s="412"/>
      <c r="N11" s="412"/>
      <c r="O11" s="413"/>
      <c r="P11" s="413"/>
      <c r="Q11" s="407"/>
      <c r="R11" s="408"/>
      <c r="S11" s="409"/>
      <c r="T11" s="410"/>
      <c r="U11" s="411"/>
    </row>
    <row r="12" spans="1:21" ht="15.6" customHeight="1" x14ac:dyDescent="0.3">
      <c r="A12" s="403"/>
      <c r="B12" s="404"/>
      <c r="C12" s="404"/>
      <c r="D12" s="404"/>
      <c r="E12" s="405"/>
      <c r="F12" s="406"/>
      <c r="G12" s="404"/>
      <c r="H12" s="404"/>
      <c r="I12" s="405"/>
      <c r="J12" s="412"/>
      <c r="K12" s="412"/>
      <c r="L12" s="412"/>
      <c r="M12" s="412"/>
      <c r="N12" s="412"/>
      <c r="O12" s="413"/>
      <c r="P12" s="413"/>
      <c r="Q12" s="407"/>
      <c r="R12" s="408"/>
      <c r="S12" s="409"/>
      <c r="T12" s="410"/>
      <c r="U12" s="411"/>
    </row>
    <row r="13" spans="1:21" ht="15.6" customHeight="1" x14ac:dyDescent="0.3">
      <c r="A13" s="403"/>
      <c r="B13" s="404"/>
      <c r="C13" s="404"/>
      <c r="D13" s="404"/>
      <c r="E13" s="405"/>
      <c r="F13" s="406"/>
      <c r="G13" s="404"/>
      <c r="H13" s="404"/>
      <c r="I13" s="405"/>
      <c r="J13" s="412"/>
      <c r="K13" s="412"/>
      <c r="L13" s="412"/>
      <c r="M13" s="412"/>
      <c r="N13" s="412"/>
      <c r="O13" s="413"/>
      <c r="P13" s="413"/>
      <c r="Q13" s="407"/>
      <c r="R13" s="408"/>
      <c r="S13" s="409"/>
      <c r="T13" s="410"/>
      <c r="U13" s="411"/>
    </row>
    <row r="14" spans="1:21" ht="15.6" customHeight="1" x14ac:dyDescent="0.3">
      <c r="A14" s="403"/>
      <c r="B14" s="404"/>
      <c r="C14" s="404"/>
      <c r="D14" s="404"/>
      <c r="E14" s="405"/>
      <c r="F14" s="406"/>
      <c r="G14" s="404"/>
      <c r="H14" s="404"/>
      <c r="I14" s="405"/>
      <c r="J14" s="412"/>
      <c r="K14" s="412"/>
      <c r="L14" s="412"/>
      <c r="M14" s="412"/>
      <c r="N14" s="412"/>
      <c r="O14" s="413"/>
      <c r="P14" s="413"/>
      <c r="Q14" s="407"/>
      <c r="R14" s="408"/>
      <c r="S14" s="409"/>
      <c r="T14" s="410"/>
      <c r="U14" s="411"/>
    </row>
    <row r="15" spans="1:21" ht="15.6" customHeight="1" thickBot="1" x14ac:dyDescent="0.35">
      <c r="A15" s="392"/>
      <c r="B15" s="393"/>
      <c r="C15" s="393"/>
      <c r="D15" s="393"/>
      <c r="E15" s="394"/>
      <c r="F15" s="395"/>
      <c r="G15" s="393"/>
      <c r="H15" s="393"/>
      <c r="I15" s="394"/>
      <c r="J15" s="401"/>
      <c r="K15" s="401"/>
      <c r="L15" s="401"/>
      <c r="M15" s="401"/>
      <c r="N15" s="401"/>
      <c r="O15" s="402"/>
      <c r="P15" s="402"/>
      <c r="Q15" s="396"/>
      <c r="R15" s="397"/>
      <c r="S15" s="398"/>
      <c r="T15" s="399"/>
      <c r="U15" s="400"/>
    </row>
    <row r="16" spans="1:21" ht="15" customHeight="1" thickTop="1" x14ac:dyDescent="0.3">
      <c r="A16" s="323" t="s">
        <v>2374</v>
      </c>
      <c r="B16" s="324"/>
      <c r="C16" s="324"/>
      <c r="D16" s="324"/>
      <c r="E16" s="325"/>
      <c r="F16" s="332"/>
      <c r="G16" s="333"/>
      <c r="H16" s="333"/>
      <c r="I16" s="333"/>
      <c r="J16" s="333"/>
      <c r="K16" s="333"/>
      <c r="L16" s="333"/>
      <c r="M16" s="333"/>
      <c r="N16" s="333"/>
      <c r="O16" s="333"/>
      <c r="P16" s="333"/>
      <c r="Q16" s="333"/>
      <c r="R16" s="333"/>
      <c r="S16" s="333"/>
      <c r="T16" s="333"/>
      <c r="U16" s="334"/>
    </row>
    <row r="17" spans="1:21" ht="15" customHeight="1" x14ac:dyDescent="0.3">
      <c r="A17" s="326"/>
      <c r="B17" s="327"/>
      <c r="C17" s="327"/>
      <c r="D17" s="327"/>
      <c r="E17" s="328"/>
      <c r="F17" s="335"/>
      <c r="G17" s="336"/>
      <c r="H17" s="336"/>
      <c r="I17" s="336"/>
      <c r="J17" s="336"/>
      <c r="K17" s="336"/>
      <c r="L17" s="336"/>
      <c r="M17" s="336"/>
      <c r="N17" s="336"/>
      <c r="O17" s="336"/>
      <c r="P17" s="336"/>
      <c r="Q17" s="336"/>
      <c r="R17" s="336"/>
      <c r="S17" s="336"/>
      <c r="T17" s="336"/>
      <c r="U17" s="337"/>
    </row>
    <row r="18" spans="1:21" ht="15" customHeight="1" x14ac:dyDescent="0.3">
      <c r="A18" s="326"/>
      <c r="B18" s="327"/>
      <c r="C18" s="327"/>
      <c r="D18" s="327"/>
      <c r="E18" s="328"/>
      <c r="F18" s="335"/>
      <c r="G18" s="336"/>
      <c r="H18" s="336"/>
      <c r="I18" s="336"/>
      <c r="J18" s="336"/>
      <c r="K18" s="336"/>
      <c r="L18" s="336"/>
      <c r="M18" s="336"/>
      <c r="N18" s="336"/>
      <c r="O18" s="336"/>
      <c r="P18" s="336"/>
      <c r="Q18" s="336"/>
      <c r="R18" s="336"/>
      <c r="S18" s="336"/>
      <c r="T18" s="336"/>
      <c r="U18" s="337"/>
    </row>
    <row r="19" spans="1:21" ht="15" customHeight="1" x14ac:dyDescent="0.3">
      <c r="A19" s="329"/>
      <c r="B19" s="330"/>
      <c r="C19" s="330"/>
      <c r="D19" s="330"/>
      <c r="E19" s="331"/>
      <c r="F19" s="338"/>
      <c r="G19" s="339"/>
      <c r="H19" s="339"/>
      <c r="I19" s="339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40"/>
    </row>
    <row r="20" spans="1:21" ht="20.100000000000001" customHeight="1" x14ac:dyDescent="0.3">
      <c r="A20" s="307" t="s">
        <v>86</v>
      </c>
      <c r="B20" s="308"/>
      <c r="C20" s="308"/>
      <c r="D20" s="308"/>
      <c r="E20" s="308"/>
      <c r="F20" s="309"/>
      <c r="G20" s="309"/>
      <c r="H20" s="309"/>
      <c r="I20" s="310"/>
      <c r="J20" s="346">
        <f>SUM(J8:N19)</f>
        <v>1600000</v>
      </c>
      <c r="K20" s="347"/>
      <c r="L20" s="347"/>
      <c r="M20" s="347"/>
      <c r="N20" s="348"/>
      <c r="O20" s="311">
        <f>SUM(O8:P19)</f>
        <v>3</v>
      </c>
      <c r="P20" s="311"/>
      <c r="Q20" s="349">
        <f>SUM(Q8:S19)</f>
        <v>0</v>
      </c>
      <c r="R20" s="309"/>
      <c r="S20" s="310"/>
      <c r="T20" s="309">
        <f>SUM(T8:U15)</f>
        <v>1600000</v>
      </c>
      <c r="U20" s="350"/>
    </row>
    <row r="21" spans="1:21" ht="20.100000000000001" customHeight="1" thickBot="1" x14ac:dyDescent="0.35">
      <c r="A21" s="312" t="s">
        <v>96</v>
      </c>
      <c r="B21" s="313"/>
      <c r="C21" s="313"/>
      <c r="D21" s="313"/>
      <c r="E21" s="313"/>
      <c r="F21" s="314">
        <f>F20+T20+Q20</f>
        <v>1600000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13"/>
      <c r="Q21" s="317" t="str">
        <f>C3</f>
        <v>대륙오토(대구)</v>
      </c>
      <c r="R21" s="317"/>
      <c r="S21" s="317"/>
      <c r="T21" s="317"/>
      <c r="U21" s="369"/>
    </row>
    <row r="22" spans="1:21" ht="20.100000000000001" customHeight="1" x14ac:dyDescent="0.3">
      <c r="A22" s="296" t="s">
        <v>3238</v>
      </c>
      <c r="B22" s="296"/>
      <c r="C22" s="296"/>
      <c r="D22" s="296"/>
      <c r="E22" s="296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6"/>
    </row>
    <row r="23" spans="1:21" ht="20.100000000000001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">
      <c r="A24" s="318"/>
      <c r="B24" s="319"/>
      <c r="C24" s="319"/>
      <c r="D24" s="319"/>
      <c r="E24" s="319"/>
      <c r="F24" s="319"/>
      <c r="G24" s="319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20" t="s">
        <v>1228</v>
      </c>
      <c r="R24" s="320"/>
      <c r="S24" s="321">
        <f>S1</f>
        <v>0</v>
      </c>
      <c r="T24" s="321"/>
      <c r="U24" s="322"/>
    </row>
    <row r="25" spans="1:21" x14ac:dyDescent="0.3">
      <c r="A25" s="298" t="s">
        <v>70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81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45867</v>
      </c>
      <c r="U25" s="306"/>
    </row>
    <row r="26" spans="1:21" ht="24.95" customHeight="1" x14ac:dyDescent="0.3">
      <c r="A26" s="373" t="s">
        <v>1196</v>
      </c>
      <c r="B26" s="37" t="s">
        <v>64</v>
      </c>
      <c r="C26" s="376" t="str">
        <f>C3</f>
        <v>대륙오토(대구)</v>
      </c>
      <c r="D26" s="377"/>
      <c r="E26" s="377"/>
      <c r="F26" s="377"/>
      <c r="G26" s="377"/>
      <c r="H26" s="377"/>
      <c r="I26" s="377"/>
      <c r="J26" s="378"/>
      <c r="K26" s="379" t="s">
        <v>1197</v>
      </c>
      <c r="L26" s="37" t="s">
        <v>64</v>
      </c>
      <c r="M26" s="382" t="s">
        <v>970</v>
      </c>
      <c r="N26" s="383"/>
      <c r="O26" s="383"/>
      <c r="P26" s="383"/>
      <c r="Q26" s="383"/>
      <c r="R26" s="383"/>
      <c r="S26" s="383"/>
      <c r="T26" s="383"/>
      <c r="U26" s="384"/>
    </row>
    <row r="27" spans="1:21" ht="24.95" customHeight="1" x14ac:dyDescent="0.3">
      <c r="A27" s="374"/>
      <c r="B27" s="37" t="s">
        <v>66</v>
      </c>
      <c r="C27" s="385">
        <f>C4</f>
        <v>0</v>
      </c>
      <c r="D27" s="386"/>
      <c r="E27" s="386"/>
      <c r="F27" s="386"/>
      <c r="G27" s="386"/>
      <c r="H27" s="386"/>
      <c r="I27" s="386"/>
      <c r="J27" s="387"/>
      <c r="K27" s="380"/>
      <c r="L27" s="37" t="s">
        <v>66</v>
      </c>
      <c r="M27" s="388" t="s">
        <v>968</v>
      </c>
      <c r="N27" s="389"/>
      <c r="O27" s="389"/>
      <c r="P27" s="389"/>
      <c r="Q27" s="389"/>
      <c r="R27" s="390"/>
      <c r="S27" s="38" t="s">
        <v>67</v>
      </c>
      <c r="T27" s="388" t="s">
        <v>78</v>
      </c>
      <c r="U27" s="391"/>
    </row>
    <row r="28" spans="1:21" ht="24.95" customHeight="1" x14ac:dyDescent="0.3">
      <c r="A28" s="374"/>
      <c r="B28" s="38" t="s">
        <v>10</v>
      </c>
      <c r="C28" s="388" t="str">
        <f>C5</f>
        <v>대구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">
        <v>79</v>
      </c>
      <c r="N28" s="389"/>
      <c r="O28" s="389"/>
      <c r="P28" s="389"/>
      <c r="Q28" s="389"/>
      <c r="R28" s="389"/>
      <c r="S28" s="389"/>
      <c r="T28" s="389"/>
      <c r="U28" s="391"/>
    </row>
    <row r="29" spans="1:21" ht="24.95" customHeight="1" x14ac:dyDescent="0.3">
      <c r="A29" s="375"/>
      <c r="B29" s="38" t="s">
        <v>80</v>
      </c>
      <c r="C29" s="388" t="str">
        <f>C6</f>
        <v>010-2806-9270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">
        <v>71</v>
      </c>
      <c r="N29" s="389"/>
      <c r="O29" s="389"/>
      <c r="P29" s="389"/>
      <c r="Q29" s="389"/>
      <c r="R29" s="390"/>
      <c r="S29" s="38" t="s">
        <v>26</v>
      </c>
      <c r="T29" s="388" t="str">
        <f>T6</f>
        <v/>
      </c>
      <c r="U29" s="391"/>
    </row>
    <row r="30" spans="1:21" ht="15.6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46</v>
      </c>
      <c r="K30" s="308"/>
      <c r="L30" s="308"/>
      <c r="M30" s="308"/>
      <c r="N30" s="370"/>
      <c r="O30" s="308" t="s">
        <v>54</v>
      </c>
      <c r="P30" s="370"/>
      <c r="Q30" s="371" t="s">
        <v>74</v>
      </c>
      <c r="R30" s="308"/>
      <c r="S30" s="370"/>
      <c r="T30" s="371" t="s">
        <v>73</v>
      </c>
      <c r="U30" s="372"/>
    </row>
    <row r="31" spans="1:21" ht="15.6" customHeight="1" x14ac:dyDescent="0.3">
      <c r="A31" s="363" t="str">
        <f>A8</f>
        <v>0CK_TCU</v>
      </c>
      <c r="B31" s="364"/>
      <c r="C31" s="364"/>
      <c r="D31" s="364"/>
      <c r="E31" s="364"/>
      <c r="F31" s="364" t="str">
        <f>F8</f>
        <v>927156AA</v>
      </c>
      <c r="G31" s="364"/>
      <c r="H31" s="364"/>
      <c r="I31" s="364"/>
      <c r="J31" s="368">
        <f>J8</f>
        <v>1500000</v>
      </c>
      <c r="K31" s="368"/>
      <c r="L31" s="368"/>
      <c r="M31" s="368"/>
      <c r="N31" s="368"/>
      <c r="O31" s="368">
        <f>O8</f>
        <v>1</v>
      </c>
      <c r="P31" s="368"/>
      <c r="Q31" s="365">
        <f>Q8</f>
        <v>0</v>
      </c>
      <c r="R31" s="365"/>
      <c r="S31" s="365"/>
      <c r="T31" s="366">
        <f>T8</f>
        <v>1500000</v>
      </c>
      <c r="U31" s="367"/>
    </row>
    <row r="32" spans="1:21" ht="15.6" customHeight="1" x14ac:dyDescent="0.3">
      <c r="A32" s="356" t="str">
        <f t="shared" ref="A32:A38" si="0">A9</f>
        <v>0CK_Filter</v>
      </c>
      <c r="B32" s="357"/>
      <c r="C32" s="357"/>
      <c r="D32" s="357"/>
      <c r="E32" s="357"/>
      <c r="F32" s="357" t="str">
        <f t="shared" ref="F32:F38" si="1">F9</f>
        <v>0DN325421</v>
      </c>
      <c r="G32" s="357"/>
      <c r="H32" s="357"/>
      <c r="I32" s="357"/>
      <c r="J32" s="361">
        <f t="shared" ref="J32:J38" si="2">J9</f>
        <v>50000</v>
      </c>
      <c r="K32" s="361"/>
      <c r="L32" s="361"/>
      <c r="M32" s="361"/>
      <c r="N32" s="361"/>
      <c r="O32" s="361">
        <f t="shared" ref="O32:O38" si="3">O9</f>
        <v>1</v>
      </c>
      <c r="P32" s="361"/>
      <c r="Q32" s="358">
        <f t="shared" ref="Q32:Q38" si="4">Q9</f>
        <v>0</v>
      </c>
      <c r="R32" s="358"/>
      <c r="S32" s="358"/>
      <c r="T32" s="359">
        <f t="shared" ref="T32:T38" si="5">T9</f>
        <v>50000</v>
      </c>
      <c r="U32" s="360"/>
    </row>
    <row r="33" spans="1:21" ht="15.6" customHeight="1" x14ac:dyDescent="0.3">
      <c r="A33" s="356" t="str">
        <f t="shared" si="0"/>
        <v>6HP_Oilpan</v>
      </c>
      <c r="B33" s="357"/>
      <c r="C33" s="357"/>
      <c r="D33" s="357"/>
      <c r="E33" s="357"/>
      <c r="F33" s="357">
        <f t="shared" si="1"/>
        <v>24152333907</v>
      </c>
      <c r="G33" s="357"/>
      <c r="H33" s="357"/>
      <c r="I33" s="357"/>
      <c r="J33" s="361">
        <f t="shared" si="2"/>
        <v>50000</v>
      </c>
      <c r="K33" s="361"/>
      <c r="L33" s="361"/>
      <c r="M33" s="361"/>
      <c r="N33" s="361"/>
      <c r="O33" s="361">
        <f t="shared" si="3"/>
        <v>1</v>
      </c>
      <c r="P33" s="361"/>
      <c r="Q33" s="358">
        <f t="shared" si="4"/>
        <v>0</v>
      </c>
      <c r="R33" s="358"/>
      <c r="S33" s="358"/>
      <c r="T33" s="359">
        <f t="shared" si="5"/>
        <v>50000</v>
      </c>
      <c r="U33" s="360"/>
    </row>
    <row r="34" spans="1:21" ht="15.6" customHeight="1" x14ac:dyDescent="0.3">
      <c r="A34" s="356">
        <f t="shared" si="0"/>
        <v>0</v>
      </c>
      <c r="B34" s="357"/>
      <c r="C34" s="357"/>
      <c r="D34" s="357"/>
      <c r="E34" s="357"/>
      <c r="F34" s="357">
        <f t="shared" si="1"/>
        <v>0</v>
      </c>
      <c r="G34" s="357"/>
      <c r="H34" s="357"/>
      <c r="I34" s="357"/>
      <c r="J34" s="361">
        <f t="shared" si="2"/>
        <v>0</v>
      </c>
      <c r="K34" s="361"/>
      <c r="L34" s="361"/>
      <c r="M34" s="361"/>
      <c r="N34" s="361"/>
      <c r="O34" s="361">
        <f t="shared" si="3"/>
        <v>0</v>
      </c>
      <c r="P34" s="361"/>
      <c r="Q34" s="358">
        <f t="shared" si="4"/>
        <v>0</v>
      </c>
      <c r="R34" s="358"/>
      <c r="S34" s="358"/>
      <c r="T34" s="359">
        <f t="shared" si="5"/>
        <v>0</v>
      </c>
      <c r="U34" s="360"/>
    </row>
    <row r="35" spans="1:21" ht="15.6" customHeight="1" x14ac:dyDescent="0.3">
      <c r="A35" s="356">
        <f t="shared" si="0"/>
        <v>0</v>
      </c>
      <c r="B35" s="357"/>
      <c r="C35" s="357"/>
      <c r="D35" s="357"/>
      <c r="E35" s="357"/>
      <c r="F35" s="357">
        <f t="shared" si="1"/>
        <v>0</v>
      </c>
      <c r="G35" s="357"/>
      <c r="H35" s="357"/>
      <c r="I35" s="357"/>
      <c r="J35" s="361">
        <f t="shared" si="2"/>
        <v>0</v>
      </c>
      <c r="K35" s="361"/>
      <c r="L35" s="361"/>
      <c r="M35" s="361"/>
      <c r="N35" s="361"/>
      <c r="O35" s="361">
        <f t="shared" si="3"/>
        <v>0</v>
      </c>
      <c r="P35" s="361"/>
      <c r="Q35" s="358">
        <f t="shared" si="4"/>
        <v>0</v>
      </c>
      <c r="R35" s="358"/>
      <c r="S35" s="358"/>
      <c r="T35" s="359">
        <f t="shared" si="5"/>
        <v>0</v>
      </c>
      <c r="U35" s="360"/>
    </row>
    <row r="36" spans="1:21" ht="15.6" customHeight="1" x14ac:dyDescent="0.3">
      <c r="A36" s="356">
        <f t="shared" si="0"/>
        <v>0</v>
      </c>
      <c r="B36" s="357"/>
      <c r="C36" s="357"/>
      <c r="D36" s="357"/>
      <c r="E36" s="357"/>
      <c r="F36" s="357">
        <f t="shared" si="1"/>
        <v>0</v>
      </c>
      <c r="G36" s="357"/>
      <c r="H36" s="357"/>
      <c r="I36" s="357"/>
      <c r="J36" s="361">
        <f t="shared" si="2"/>
        <v>0</v>
      </c>
      <c r="K36" s="361"/>
      <c r="L36" s="361"/>
      <c r="M36" s="361"/>
      <c r="N36" s="361"/>
      <c r="O36" s="361">
        <f t="shared" si="3"/>
        <v>0</v>
      </c>
      <c r="P36" s="361"/>
      <c r="Q36" s="358">
        <f t="shared" si="4"/>
        <v>0</v>
      </c>
      <c r="R36" s="358"/>
      <c r="S36" s="358"/>
      <c r="T36" s="359">
        <f t="shared" si="5"/>
        <v>0</v>
      </c>
      <c r="U36" s="360"/>
    </row>
    <row r="37" spans="1:21" ht="15.6" customHeight="1" x14ac:dyDescent="0.3">
      <c r="A37" s="356">
        <f t="shared" si="0"/>
        <v>0</v>
      </c>
      <c r="B37" s="357"/>
      <c r="C37" s="357"/>
      <c r="D37" s="357"/>
      <c r="E37" s="357"/>
      <c r="F37" s="357">
        <f t="shared" si="1"/>
        <v>0</v>
      </c>
      <c r="G37" s="357"/>
      <c r="H37" s="357"/>
      <c r="I37" s="357"/>
      <c r="J37" s="361">
        <f t="shared" si="2"/>
        <v>0</v>
      </c>
      <c r="K37" s="361"/>
      <c r="L37" s="361"/>
      <c r="M37" s="361"/>
      <c r="N37" s="361"/>
      <c r="O37" s="361">
        <f t="shared" si="3"/>
        <v>0</v>
      </c>
      <c r="P37" s="361"/>
      <c r="Q37" s="358">
        <f t="shared" si="4"/>
        <v>0</v>
      </c>
      <c r="R37" s="358"/>
      <c r="S37" s="358"/>
      <c r="T37" s="359">
        <f t="shared" si="5"/>
        <v>0</v>
      </c>
      <c r="U37" s="360"/>
    </row>
    <row r="38" spans="1:21" ht="15.6" customHeight="1" thickBot="1" x14ac:dyDescent="0.35">
      <c r="A38" s="351">
        <f t="shared" si="0"/>
        <v>0</v>
      </c>
      <c r="B38" s="352"/>
      <c r="C38" s="352"/>
      <c r="D38" s="352"/>
      <c r="E38" s="352"/>
      <c r="F38" s="352">
        <f t="shared" si="1"/>
        <v>0</v>
      </c>
      <c r="G38" s="352"/>
      <c r="H38" s="352"/>
      <c r="I38" s="352"/>
      <c r="J38" s="362">
        <f t="shared" si="2"/>
        <v>0</v>
      </c>
      <c r="K38" s="362"/>
      <c r="L38" s="362"/>
      <c r="M38" s="362"/>
      <c r="N38" s="362"/>
      <c r="O38" s="362">
        <f t="shared" si="3"/>
        <v>0</v>
      </c>
      <c r="P38" s="362"/>
      <c r="Q38" s="353">
        <f t="shared" si="4"/>
        <v>0</v>
      </c>
      <c r="R38" s="353"/>
      <c r="S38" s="353"/>
      <c r="T38" s="354">
        <f t="shared" si="5"/>
        <v>0</v>
      </c>
      <c r="U38" s="355"/>
    </row>
    <row r="39" spans="1:21" ht="15" customHeight="1" thickTop="1" x14ac:dyDescent="0.3">
      <c r="A39" s="323" t="s">
        <v>2374</v>
      </c>
      <c r="B39" s="324"/>
      <c r="C39" s="324"/>
      <c r="D39" s="324"/>
      <c r="E39" s="325"/>
      <c r="F39" s="332">
        <f>F16</f>
        <v>0</v>
      </c>
      <c r="G39" s="333"/>
      <c r="H39" s="333"/>
      <c r="I39" s="333"/>
      <c r="J39" s="333"/>
      <c r="K39" s="333"/>
      <c r="L39" s="333"/>
      <c r="M39" s="333"/>
      <c r="N39" s="333"/>
      <c r="O39" s="333"/>
      <c r="P39" s="333"/>
      <c r="Q39" s="333"/>
      <c r="R39" s="333"/>
      <c r="S39" s="333"/>
      <c r="T39" s="333"/>
      <c r="U39" s="334"/>
    </row>
    <row r="40" spans="1:21" ht="15" customHeight="1" x14ac:dyDescent="0.3">
      <c r="A40" s="326"/>
      <c r="B40" s="327"/>
      <c r="C40" s="327"/>
      <c r="D40" s="327"/>
      <c r="E40" s="328"/>
      <c r="F40" s="335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7"/>
    </row>
    <row r="41" spans="1:21" ht="15" customHeight="1" x14ac:dyDescent="0.3">
      <c r="A41" s="326"/>
      <c r="B41" s="327"/>
      <c r="C41" s="327"/>
      <c r="D41" s="327"/>
      <c r="E41" s="328"/>
      <c r="F41" s="335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7"/>
    </row>
    <row r="42" spans="1:21" ht="15" customHeight="1" x14ac:dyDescent="0.3">
      <c r="A42" s="329"/>
      <c r="B42" s="330"/>
      <c r="C42" s="330"/>
      <c r="D42" s="330"/>
      <c r="E42" s="331"/>
      <c r="F42" s="338"/>
      <c r="G42" s="339"/>
      <c r="H42" s="339"/>
      <c r="I42" s="339"/>
      <c r="J42" s="339"/>
      <c r="K42" s="339"/>
      <c r="L42" s="339"/>
      <c r="M42" s="339"/>
      <c r="N42" s="339"/>
      <c r="O42" s="339"/>
      <c r="P42" s="339"/>
      <c r="Q42" s="339"/>
      <c r="R42" s="339"/>
      <c r="S42" s="339"/>
      <c r="T42" s="339"/>
      <c r="U42" s="340"/>
    </row>
    <row r="43" spans="1:21" ht="20.100000000000001" customHeight="1" x14ac:dyDescent="0.3">
      <c r="A43" s="307" t="s">
        <v>86</v>
      </c>
      <c r="B43" s="308"/>
      <c r="C43" s="308"/>
      <c r="D43" s="308"/>
      <c r="E43" s="308"/>
      <c r="F43" s="309">
        <f>F20</f>
        <v>0</v>
      </c>
      <c r="G43" s="309"/>
      <c r="H43" s="309"/>
      <c r="I43" s="310"/>
      <c r="J43" s="346">
        <f>J20</f>
        <v>1600000</v>
      </c>
      <c r="K43" s="347"/>
      <c r="L43" s="347"/>
      <c r="M43" s="347"/>
      <c r="N43" s="348"/>
      <c r="O43" s="311">
        <f>O20</f>
        <v>3</v>
      </c>
      <c r="P43" s="311"/>
      <c r="Q43" s="349">
        <f>Q20</f>
        <v>0</v>
      </c>
      <c r="R43" s="309"/>
      <c r="S43" s="309"/>
      <c r="T43" s="309">
        <f>T20</f>
        <v>1600000</v>
      </c>
      <c r="U43" s="350"/>
    </row>
    <row r="44" spans="1:21" ht="20.100000000000001" customHeight="1" thickBot="1" x14ac:dyDescent="0.35">
      <c r="A44" s="312" t="s">
        <v>96</v>
      </c>
      <c r="B44" s="313"/>
      <c r="C44" s="313"/>
      <c r="D44" s="313"/>
      <c r="E44" s="313"/>
      <c r="F44" s="314">
        <f>F21</f>
        <v>1600000</v>
      </c>
      <c r="G44" s="314"/>
      <c r="H44" s="314"/>
      <c r="I44" s="315"/>
      <c r="J44" s="316" t="s">
        <v>971</v>
      </c>
      <c r="K44" s="313"/>
      <c r="L44" s="341" t="str">
        <f>T27</f>
        <v>장효주</v>
      </c>
      <c r="M44" s="341"/>
      <c r="N44" s="341"/>
      <c r="O44" s="316" t="s">
        <v>69</v>
      </c>
      <c r="P44" s="342"/>
      <c r="Q44" s="343" t="str">
        <f>Q21</f>
        <v>대륙오토(대구)</v>
      </c>
      <c r="R44" s="344"/>
      <c r="S44" s="344"/>
      <c r="T44" s="344"/>
      <c r="U44" s="34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2379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4</v>
      </c>
    </row>
    <row r="2" spans="1:11" x14ac:dyDescent="0.3">
      <c r="A2" s="47">
        <v>1</v>
      </c>
      <c r="B2" s="47" t="s">
        <v>3225</v>
      </c>
      <c r="C2" s="47" t="s">
        <v>1478</v>
      </c>
      <c r="D2" t="s">
        <v>1232</v>
      </c>
      <c r="E2" t="s">
        <v>2234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1" x14ac:dyDescent="0.3">
      <c r="A3" s="47">
        <v>2</v>
      </c>
      <c r="B3" s="47" t="s">
        <v>3225</v>
      </c>
      <c r="C3" s="47" t="s">
        <v>1478</v>
      </c>
      <c r="D3" t="s">
        <v>1842</v>
      </c>
      <c r="E3" t="s">
        <v>2235</v>
      </c>
      <c r="F3" t="s">
        <v>1842</v>
      </c>
      <c r="G3">
        <v>50000</v>
      </c>
      <c r="H3">
        <v>1</v>
      </c>
      <c r="I3" s="233"/>
      <c r="J3" s="233">
        <v>50000</v>
      </c>
    </row>
    <row r="4" spans="1:11" ht="99" x14ac:dyDescent="0.3">
      <c r="A4" s="47">
        <v>3</v>
      </c>
      <c r="B4" s="47" t="s">
        <v>3225</v>
      </c>
      <c r="C4" s="47" t="s">
        <v>1478</v>
      </c>
      <c r="D4">
        <v>24152333907</v>
      </c>
      <c r="E4" t="s">
        <v>1583</v>
      </c>
      <c r="F4">
        <v>24152333907</v>
      </c>
      <c r="G4">
        <v>50000</v>
      </c>
      <c r="H4">
        <v>1</v>
      </c>
      <c r="I4" s="233"/>
      <c r="J4" s="233">
        <v>50000</v>
      </c>
      <c r="K4" s="295" t="s">
        <v>3236</v>
      </c>
    </row>
    <row r="5" spans="1:11" x14ac:dyDescent="0.3"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2021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1592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1593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00"/>
  <sheetViews>
    <sheetView workbookViewId="0">
      <pane xSplit="1" ySplit="1" topLeftCell="B999" activePane="bottomRight" state="frozen"/>
      <selection activeCell="N26" sqref="N26"/>
      <selection pane="topRight" activeCell="N26" sqref="N26"/>
      <selection pane="bottomLeft" activeCell="N26" sqref="N26"/>
      <selection pane="bottomRight" activeCell="E1058" sqref="E1058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1707</v>
      </c>
      <c r="M1" s="101">
        <v>1099</v>
      </c>
    </row>
    <row r="2" spans="1:15" x14ac:dyDescent="0.3">
      <c r="A2" s="282">
        <v>1</v>
      </c>
      <c r="B2" s="272">
        <v>45723</v>
      </c>
      <c r="C2" s="271" t="s">
        <v>2192</v>
      </c>
      <c r="D2" s="273">
        <v>2821402</v>
      </c>
      <c r="E2" s="271" t="s">
        <v>2812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1795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2608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2610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1663</v>
      </c>
      <c r="E122" s="279" t="s">
        <v>1664</v>
      </c>
      <c r="F122" s="279" t="s">
        <v>1663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2610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1663</v>
      </c>
      <c r="E124" s="279" t="s">
        <v>1664</v>
      </c>
      <c r="F124" s="279" t="s">
        <v>1663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1666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1673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1676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1681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1695</v>
      </c>
      <c r="E133" s="279" t="s">
        <v>1698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1700</v>
      </c>
      <c r="E134" s="279" t="s">
        <v>1701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1703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1705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1708</v>
      </c>
      <c r="E137" s="279" t="s">
        <v>1711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1713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1721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1722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1725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1726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1727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1870</v>
      </c>
      <c r="E145" s="279" t="s">
        <v>1868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1732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1759</v>
      </c>
      <c r="D147" s="273">
        <v>2800802</v>
      </c>
      <c r="E147" s="279" t="s">
        <v>1754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1759</v>
      </c>
      <c r="D148" s="273" t="s">
        <v>1752</v>
      </c>
      <c r="E148" s="279" t="s">
        <v>1753</v>
      </c>
      <c r="F148" s="279" t="s">
        <v>1752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1759</v>
      </c>
      <c r="D149" s="273">
        <v>7252703114</v>
      </c>
      <c r="E149" s="279" t="s">
        <v>1740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1759</v>
      </c>
      <c r="D150" s="273" t="s">
        <v>1741</v>
      </c>
      <c r="E150" s="279" t="s">
        <v>1742</v>
      </c>
      <c r="F150" s="279" t="s">
        <v>1741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1759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1782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1784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1785</v>
      </c>
      <c r="E156" s="279" t="s">
        <v>1786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1679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1759</v>
      </c>
      <c r="D159" s="273">
        <v>415090409</v>
      </c>
      <c r="E159" s="279" t="s">
        <v>2610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1829</v>
      </c>
      <c r="E161" s="279" t="s">
        <v>1833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1829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1829</v>
      </c>
      <c r="D163" s="273" t="s">
        <v>1834</v>
      </c>
      <c r="E163" s="279" t="s">
        <v>1835</v>
      </c>
      <c r="F163" s="279" t="s">
        <v>1834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1759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1759</v>
      </c>
      <c r="D165" s="273">
        <v>415090409</v>
      </c>
      <c r="E165" s="279" t="s">
        <v>2610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1790</v>
      </c>
      <c r="E166" s="279" t="s">
        <v>1234</v>
      </c>
      <c r="F166" s="279" t="s">
        <v>1790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1839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1841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1842</v>
      </c>
      <c r="E169" s="279" t="s">
        <v>1612</v>
      </c>
      <c r="F169" s="279" t="s">
        <v>1842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1844</v>
      </c>
      <c r="D170" s="273" t="s">
        <v>1231</v>
      </c>
      <c r="E170" s="279" t="s">
        <v>1680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1754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1848</v>
      </c>
      <c r="D172" s="273" t="s">
        <v>1805</v>
      </c>
      <c r="E172" s="279" t="s">
        <v>1803</v>
      </c>
      <c r="F172" s="279" t="s">
        <v>1805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1848</v>
      </c>
      <c r="D173" s="273" t="s">
        <v>1802</v>
      </c>
      <c r="E173" s="279" t="s">
        <v>1803</v>
      </c>
      <c r="F173" s="279" t="s">
        <v>1802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1851</v>
      </c>
      <c r="E175" s="279" t="s">
        <v>1781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1759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1759</v>
      </c>
      <c r="D177" s="273" t="s">
        <v>1863</v>
      </c>
      <c r="E177" s="279" t="s">
        <v>1864</v>
      </c>
      <c r="F177" s="279" t="s">
        <v>1863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1759</v>
      </c>
      <c r="D178" s="273" t="s">
        <v>1834</v>
      </c>
      <c r="E178" s="279" t="s">
        <v>1835</v>
      </c>
      <c r="F178" s="279" t="s">
        <v>1834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1782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1782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1844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1880</v>
      </c>
      <c r="E183" s="279" t="s">
        <v>1886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1790</v>
      </c>
      <c r="E184" s="279" t="s">
        <v>1234</v>
      </c>
      <c r="F184" s="279" t="s">
        <v>1790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1790</v>
      </c>
      <c r="E186" s="279" t="s">
        <v>1234</v>
      </c>
      <c r="F186" s="279" t="s">
        <v>1790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1741</v>
      </c>
      <c r="E187" s="279" t="s">
        <v>1742</v>
      </c>
      <c r="F187" s="279" t="s">
        <v>1741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1754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1834</v>
      </c>
      <c r="E189" s="279" t="s">
        <v>1835</v>
      </c>
      <c r="F189" s="279" t="s">
        <v>1834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1863</v>
      </c>
      <c r="E190" s="279" t="s">
        <v>1864</v>
      </c>
      <c r="F190" s="279" t="s">
        <v>1863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1892</v>
      </c>
      <c r="D191" s="273" t="s">
        <v>1894</v>
      </c>
      <c r="E191" s="279" t="s">
        <v>1895</v>
      </c>
      <c r="F191" s="279" t="s">
        <v>1894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2610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1679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1848</v>
      </c>
      <c r="D196" s="273">
        <v>2830402</v>
      </c>
      <c r="E196" s="279" t="s">
        <v>1904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1906</v>
      </c>
      <c r="E197" s="279" t="s">
        <v>1907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1912</v>
      </c>
      <c r="E199" s="279" t="s">
        <v>1914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1915</v>
      </c>
      <c r="E201" s="279" t="s">
        <v>1917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1921</v>
      </c>
      <c r="E202" s="279" t="s">
        <v>1781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1759</v>
      </c>
      <c r="D203" s="273" t="s">
        <v>1918</v>
      </c>
      <c r="E203" s="279" t="s">
        <v>1919</v>
      </c>
      <c r="F203" s="279" t="s">
        <v>1918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1708</v>
      </c>
      <c r="D204" s="273" t="s">
        <v>1232</v>
      </c>
      <c r="E204" s="279" t="s">
        <v>1681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1848</v>
      </c>
      <c r="D205" s="273" t="s">
        <v>1805</v>
      </c>
      <c r="E205" s="279" t="s">
        <v>1803</v>
      </c>
      <c r="F205" s="279" t="s">
        <v>1805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1848</v>
      </c>
      <c r="D206" s="273" t="s">
        <v>1802</v>
      </c>
      <c r="E206" s="279" t="s">
        <v>1803</v>
      </c>
      <c r="F206" s="279" t="s">
        <v>1802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1935</v>
      </c>
      <c r="E207" s="279" t="s">
        <v>1938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1939</v>
      </c>
      <c r="D208" s="273" t="s">
        <v>1790</v>
      </c>
      <c r="E208" s="279" t="s">
        <v>1234</v>
      </c>
      <c r="F208" s="279" t="s">
        <v>1790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1790</v>
      </c>
      <c r="E209" s="279" t="s">
        <v>1234</v>
      </c>
      <c r="F209" s="279" t="s">
        <v>1790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1790</v>
      </c>
      <c r="E210" s="279" t="s">
        <v>1234</v>
      </c>
      <c r="F210" s="279" t="s">
        <v>1790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1946</v>
      </c>
      <c r="E212" s="279" t="s">
        <v>1947</v>
      </c>
      <c r="F212" s="279" t="s">
        <v>1946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1708</v>
      </c>
      <c r="D216" s="273" t="s">
        <v>1790</v>
      </c>
      <c r="E216" s="279" t="s">
        <v>1234</v>
      </c>
      <c r="F216" s="279" t="s">
        <v>1790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1708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1759</v>
      </c>
      <c r="E218" s="279" t="s">
        <v>1971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1759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1968</v>
      </c>
      <c r="E220" s="279" t="s">
        <v>1618</v>
      </c>
      <c r="F220" s="279" t="s">
        <v>1968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1976</v>
      </c>
      <c r="D221" s="273" t="s">
        <v>1834</v>
      </c>
      <c r="E221" s="279" t="s">
        <v>1835</v>
      </c>
      <c r="F221" s="279" t="s">
        <v>1834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1976</v>
      </c>
      <c r="D223" s="273" t="s">
        <v>1946</v>
      </c>
      <c r="E223" s="279" t="s">
        <v>1947</v>
      </c>
      <c r="F223" s="279" t="s">
        <v>1946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1987</v>
      </c>
      <c r="D224" s="273" t="s">
        <v>1978</v>
      </c>
      <c r="E224" s="279" t="s">
        <v>1979</v>
      </c>
      <c r="F224" s="279" t="s">
        <v>1978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1987</v>
      </c>
      <c r="D225" s="273" t="s">
        <v>1981</v>
      </c>
      <c r="E225" s="279" t="s">
        <v>1980</v>
      </c>
      <c r="F225" s="279" t="s">
        <v>1981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1782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2610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1681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1842</v>
      </c>
      <c r="E231" s="279" t="s">
        <v>1612</v>
      </c>
      <c r="F231" s="279" t="s">
        <v>1842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1759</v>
      </c>
      <c r="E232" s="279" t="s">
        <v>1998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2001</v>
      </c>
      <c r="E233" s="279" t="s">
        <v>2002</v>
      </c>
      <c r="F233" s="279" t="s">
        <v>2001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1842</v>
      </c>
      <c r="E234" s="279" t="s">
        <v>1612</v>
      </c>
      <c r="F234" s="279" t="s">
        <v>1842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2006</v>
      </c>
      <c r="D236" s="273">
        <v>2830402</v>
      </c>
      <c r="E236" s="279" t="s">
        <v>1904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2006</v>
      </c>
      <c r="E237" s="279" t="s">
        <v>2010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2006</v>
      </c>
      <c r="E238" s="279" t="s">
        <v>2011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2006</v>
      </c>
      <c r="D240" s="273">
        <v>50229</v>
      </c>
      <c r="E240" s="279" t="s">
        <v>1679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2006</v>
      </c>
      <c r="D241" s="273" t="s">
        <v>1834</v>
      </c>
      <c r="E241" s="279" t="s">
        <v>1835</v>
      </c>
      <c r="F241" s="279" t="s">
        <v>1834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1741</v>
      </c>
      <c r="E242" s="279" t="s">
        <v>1742</v>
      </c>
      <c r="F242" s="279" t="s">
        <v>1741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1754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2023</v>
      </c>
      <c r="D247" s="273" t="s">
        <v>1229</v>
      </c>
      <c r="E247" s="279" t="s">
        <v>2024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2026</v>
      </c>
      <c r="D248" s="273" t="s">
        <v>1863</v>
      </c>
      <c r="E248" s="279" t="s">
        <v>1864</v>
      </c>
      <c r="F248" s="279" t="s">
        <v>1863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2026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1829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1848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1707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1754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2038</v>
      </c>
      <c r="E262" s="279" t="s">
        <v>1236</v>
      </c>
      <c r="F262" s="279" t="s">
        <v>2038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1781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2061</v>
      </c>
      <c r="D266" s="273" t="s">
        <v>1834</v>
      </c>
      <c r="E266" s="279" t="s">
        <v>1835</v>
      </c>
      <c r="F266" s="279" t="s">
        <v>1834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2061</v>
      </c>
      <c r="D267" s="273" t="s">
        <v>1863</v>
      </c>
      <c r="E267" s="279" t="s">
        <v>1864</v>
      </c>
      <c r="F267" s="279" t="s">
        <v>1863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2061</v>
      </c>
      <c r="D268" s="273" t="s">
        <v>2058</v>
      </c>
      <c r="E268" s="279" t="s">
        <v>2059</v>
      </c>
      <c r="F268" s="279" t="s">
        <v>2058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2061</v>
      </c>
      <c r="E270" s="279" t="s">
        <v>2060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2061</v>
      </c>
      <c r="D271" s="273">
        <v>50229</v>
      </c>
      <c r="E271" s="279" t="s">
        <v>1679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2061</v>
      </c>
      <c r="D272" s="273" t="s">
        <v>1946</v>
      </c>
      <c r="E272" s="279" t="s">
        <v>1947</v>
      </c>
      <c r="F272" s="279" t="s">
        <v>1946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1848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1759</v>
      </c>
      <c r="D274" s="273" t="s">
        <v>1790</v>
      </c>
      <c r="E274" s="279" t="s">
        <v>1234</v>
      </c>
      <c r="F274" s="279" t="s">
        <v>1790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1759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2070</v>
      </c>
      <c r="D276" s="273" t="s">
        <v>2068</v>
      </c>
      <c r="E276" s="279" t="s">
        <v>2069</v>
      </c>
      <c r="F276" s="279" t="s">
        <v>2068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2026</v>
      </c>
      <c r="D277" s="273" t="s">
        <v>1231</v>
      </c>
      <c r="E277" s="279" t="s">
        <v>1680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1785</v>
      </c>
      <c r="D278" s="273" t="s">
        <v>1249</v>
      </c>
      <c r="E278" s="279" t="s">
        <v>2073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2026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2026</v>
      </c>
      <c r="D280" s="273" t="s">
        <v>1741</v>
      </c>
      <c r="E280" s="279" t="s">
        <v>1742</v>
      </c>
      <c r="F280" s="279" t="s">
        <v>1741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2026</v>
      </c>
      <c r="E281" s="279" t="s">
        <v>2075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2026</v>
      </c>
      <c r="D282" s="273" t="s">
        <v>1834</v>
      </c>
      <c r="E282" s="279" t="s">
        <v>1835</v>
      </c>
      <c r="F282" s="279" t="s">
        <v>1834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2080</v>
      </c>
      <c r="E285" s="279" t="s">
        <v>2083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2085</v>
      </c>
      <c r="D286" s="273" t="s">
        <v>1232</v>
      </c>
      <c r="E286" s="279" t="s">
        <v>1681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2085</v>
      </c>
      <c r="D287" s="273" t="s">
        <v>1842</v>
      </c>
      <c r="E287" s="279" t="s">
        <v>1612</v>
      </c>
      <c r="F287" s="279" t="s">
        <v>1842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2085</v>
      </c>
      <c r="D288" s="273" t="s">
        <v>1757</v>
      </c>
      <c r="E288" s="279" t="s">
        <v>1758</v>
      </c>
      <c r="F288" s="279" t="s">
        <v>1757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1781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2092</v>
      </c>
      <c r="E291" s="279" t="s">
        <v>2095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2099</v>
      </c>
      <c r="E293" s="279" t="s">
        <v>2100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2101</v>
      </c>
      <c r="E294" s="279" t="s">
        <v>2100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2108</v>
      </c>
      <c r="E301" s="279" t="s">
        <v>2105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1681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1842</v>
      </c>
      <c r="E308" s="279" t="s">
        <v>1612</v>
      </c>
      <c r="F308" s="279" t="s">
        <v>1842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1759</v>
      </c>
      <c r="D312" s="273">
        <v>2800802</v>
      </c>
      <c r="E312" s="279" t="s">
        <v>1754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2023</v>
      </c>
      <c r="D314" s="273" t="s">
        <v>1229</v>
      </c>
      <c r="E314" s="279" t="s">
        <v>2024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2610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2023</v>
      </c>
      <c r="E317" s="279" t="s">
        <v>2127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2006</v>
      </c>
      <c r="E319" s="279" t="s">
        <v>2125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1754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1790</v>
      </c>
      <c r="E323" s="279" t="s">
        <v>1234</v>
      </c>
      <c r="F323" s="279" t="s">
        <v>1790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1790</v>
      </c>
      <c r="E325" s="279" t="s">
        <v>2135</v>
      </c>
      <c r="F325" s="279" t="s">
        <v>1790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2140</v>
      </c>
      <c r="D329" s="273" t="s">
        <v>1232</v>
      </c>
      <c r="E329" s="279" t="s">
        <v>1681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2140</v>
      </c>
      <c r="D330" s="273" t="s">
        <v>1842</v>
      </c>
      <c r="E330" s="279" t="s">
        <v>1612</v>
      </c>
      <c r="F330" s="279" t="s">
        <v>1842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2140</v>
      </c>
      <c r="D337" s="273" t="s">
        <v>1232</v>
      </c>
      <c r="E337" s="279" t="s">
        <v>1681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2140</v>
      </c>
      <c r="D338" s="273" t="s">
        <v>1842</v>
      </c>
      <c r="E338" s="279" t="s">
        <v>1612</v>
      </c>
      <c r="F338" s="279" t="s">
        <v>1842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2146</v>
      </c>
      <c r="D339" s="273" t="s">
        <v>1232</v>
      </c>
      <c r="E339" s="279" t="s">
        <v>1681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2146</v>
      </c>
      <c r="D340" s="273" t="s">
        <v>1842</v>
      </c>
      <c r="E340" s="279" t="s">
        <v>1612</v>
      </c>
      <c r="F340" s="279" t="s">
        <v>1842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2146</v>
      </c>
      <c r="D341" s="273" t="s">
        <v>1757</v>
      </c>
      <c r="E341" s="279" t="s">
        <v>1758</v>
      </c>
      <c r="F341" s="279" t="s">
        <v>1757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2265</v>
      </c>
      <c r="E344" s="279" t="s">
        <v>2266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1759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1759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2161</v>
      </c>
      <c r="E351" s="279" t="s">
        <v>2010</v>
      </c>
      <c r="F351" s="279" t="s">
        <v>2161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2061</v>
      </c>
      <c r="D352" s="273">
        <v>36050661</v>
      </c>
      <c r="E352" s="279" t="s">
        <v>2159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2398</v>
      </c>
      <c r="E353" s="279" t="s">
        <v>2399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2398</v>
      </c>
      <c r="D354" s="273" t="s">
        <v>2400</v>
      </c>
      <c r="E354" s="279" t="s">
        <v>2401</v>
      </c>
      <c r="F354" s="279" t="s">
        <v>2400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1829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1784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2061</v>
      </c>
      <c r="E357" s="279" t="s">
        <v>1784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1829</v>
      </c>
      <c r="E358" s="279" t="s">
        <v>1784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2363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2023</v>
      </c>
      <c r="D362" s="273" t="s">
        <v>1790</v>
      </c>
      <c r="E362" s="279" t="s">
        <v>1234</v>
      </c>
      <c r="F362" s="279" t="s">
        <v>1790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2185</v>
      </c>
      <c r="D367" s="273" t="s">
        <v>1232</v>
      </c>
      <c r="E367" s="279" t="s">
        <v>1681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1976</v>
      </c>
      <c r="D373" s="273">
        <v>1068298046</v>
      </c>
      <c r="E373" s="279" t="s">
        <v>2142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1976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2215</v>
      </c>
      <c r="D375" s="273" t="s">
        <v>2216</v>
      </c>
      <c r="E375" s="279" t="s">
        <v>2217</v>
      </c>
      <c r="F375" s="279" t="s">
        <v>2216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1829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2198</v>
      </c>
      <c r="D377" s="273">
        <v>7252703114</v>
      </c>
      <c r="E377" s="279" t="s">
        <v>1740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2202</v>
      </c>
      <c r="D378" s="273">
        <v>2800802</v>
      </c>
      <c r="E378" s="279" t="s">
        <v>1754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1708</v>
      </c>
      <c r="E382" s="279" t="s">
        <v>2211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1759</v>
      </c>
      <c r="E386" s="279" t="s">
        <v>2083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1759</v>
      </c>
      <c r="E387" s="279" t="s">
        <v>2218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2225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2610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1829</v>
      </c>
      <c r="E392" s="279" t="s">
        <v>1781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2140</v>
      </c>
      <c r="D396" s="273" t="s">
        <v>1232</v>
      </c>
      <c r="E396" s="279" t="s">
        <v>2234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2140</v>
      </c>
      <c r="D397" s="273" t="s">
        <v>1842</v>
      </c>
      <c r="E397" s="279" t="s">
        <v>2235</v>
      </c>
      <c r="F397" s="279" t="s">
        <v>1842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1785</v>
      </c>
      <c r="D401" s="273">
        <v>50229</v>
      </c>
      <c r="E401" s="279" t="s">
        <v>2244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2270</v>
      </c>
      <c r="E402" s="279" t="s">
        <v>2268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1915</v>
      </c>
      <c r="D403" s="273" t="s">
        <v>1232</v>
      </c>
      <c r="E403" s="279" t="s">
        <v>2234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1915</v>
      </c>
      <c r="D404" s="273" t="s">
        <v>1842</v>
      </c>
      <c r="E404" s="279" t="s">
        <v>2235</v>
      </c>
      <c r="F404" s="279" t="s">
        <v>1842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1915</v>
      </c>
      <c r="D405" s="273" t="s">
        <v>2272</v>
      </c>
      <c r="E405" s="279" t="s">
        <v>2236</v>
      </c>
      <c r="F405" s="279" t="s">
        <v>2272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2146</v>
      </c>
      <c r="D407" s="273" t="s">
        <v>2272</v>
      </c>
      <c r="E407" s="279" t="s">
        <v>2236</v>
      </c>
      <c r="F407" s="279" t="s">
        <v>2272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1785</v>
      </c>
      <c r="D409" s="273">
        <v>50229</v>
      </c>
      <c r="E409" s="279" t="s">
        <v>2244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1785</v>
      </c>
      <c r="D410" s="273" t="s">
        <v>1292</v>
      </c>
      <c r="E410" s="279" t="s">
        <v>2242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1785</v>
      </c>
      <c r="D411" s="273" t="s">
        <v>1863</v>
      </c>
      <c r="E411" s="279" t="s">
        <v>2246</v>
      </c>
      <c r="F411" s="279" t="s">
        <v>1863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1915</v>
      </c>
      <c r="E412" s="279" t="s">
        <v>2283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1892</v>
      </c>
      <c r="E414" s="279" t="s">
        <v>2285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1785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1785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2299</v>
      </c>
      <c r="D418" s="273">
        <v>1087298388</v>
      </c>
      <c r="E418" s="279" t="s">
        <v>2300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2310</v>
      </c>
      <c r="D419" s="273" t="s">
        <v>2311</v>
      </c>
      <c r="E419" s="279" t="s">
        <v>2312</v>
      </c>
      <c r="F419" s="279" t="s">
        <v>2311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1892</v>
      </c>
      <c r="E420" s="279" t="s">
        <v>1784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1708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1759</v>
      </c>
      <c r="D423" s="273" t="s">
        <v>1232</v>
      </c>
      <c r="E423" s="279" t="s">
        <v>2234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1759</v>
      </c>
      <c r="D424" s="273" t="s">
        <v>1842</v>
      </c>
      <c r="E424" s="279" t="s">
        <v>2235</v>
      </c>
      <c r="F424" s="279" t="s">
        <v>1842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1759</v>
      </c>
      <c r="D425" s="273" t="s">
        <v>1757</v>
      </c>
      <c r="E425" s="279" t="s">
        <v>2237</v>
      </c>
      <c r="F425" s="279" t="s">
        <v>1757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1759</v>
      </c>
      <c r="E426" s="279" t="s">
        <v>2296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1790</v>
      </c>
      <c r="E430" s="279" t="s">
        <v>1234</v>
      </c>
      <c r="F430" s="279" t="s">
        <v>1790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2407</v>
      </c>
      <c r="D433" s="273" t="s">
        <v>2408</v>
      </c>
      <c r="E433" s="279" t="s">
        <v>2409</v>
      </c>
      <c r="F433" s="279" t="s">
        <v>2408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1906</v>
      </c>
      <c r="D434" s="273" t="s">
        <v>1231</v>
      </c>
      <c r="E434" s="279" t="s">
        <v>2240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2315</v>
      </c>
      <c r="D439" s="273" t="s">
        <v>1246</v>
      </c>
      <c r="E439" s="279" t="s">
        <v>2232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1708</v>
      </c>
      <c r="D440" s="273" t="s">
        <v>2001</v>
      </c>
      <c r="E440" s="279" t="s">
        <v>2256</v>
      </c>
      <c r="F440" s="279" t="s">
        <v>2001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1708</v>
      </c>
      <c r="D441" s="273" t="s">
        <v>1842</v>
      </c>
      <c r="E441" s="279" t="s">
        <v>2235</v>
      </c>
      <c r="F441" s="279" t="s">
        <v>1842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1708</v>
      </c>
      <c r="E442" s="279" t="s">
        <v>2257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2318</v>
      </c>
      <c r="D443" s="273" t="s">
        <v>1232</v>
      </c>
      <c r="E443" s="279" t="s">
        <v>2234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2318</v>
      </c>
      <c r="D444" s="273" t="s">
        <v>1842</v>
      </c>
      <c r="E444" s="279" t="s">
        <v>2235</v>
      </c>
      <c r="F444" s="279" t="s">
        <v>1842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1906</v>
      </c>
      <c r="D445" s="273" t="s">
        <v>1232</v>
      </c>
      <c r="E445" s="279" t="s">
        <v>2234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1906</v>
      </c>
      <c r="D446" s="273" t="s">
        <v>1842</v>
      </c>
      <c r="E446" s="279" t="s">
        <v>2235</v>
      </c>
      <c r="F446" s="279" t="s">
        <v>1842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1740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1781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2516</v>
      </c>
      <c r="E459" s="279" t="s">
        <v>1756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1759</v>
      </c>
      <c r="D460" s="273">
        <v>4150862090</v>
      </c>
      <c r="E460" s="279" t="s">
        <v>2610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1782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2610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1863</v>
      </c>
      <c r="E465" s="279" t="s">
        <v>2246</v>
      </c>
      <c r="F465" s="279" t="s">
        <v>1863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1784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2349</v>
      </c>
      <c r="D469" s="273" t="s">
        <v>1229</v>
      </c>
      <c r="E469" s="279" t="s">
        <v>2251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1781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1708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1834</v>
      </c>
      <c r="E478" s="279" t="s">
        <v>2245</v>
      </c>
      <c r="F478" s="279" t="s">
        <v>1834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2363</v>
      </c>
      <c r="D479" s="273" t="s">
        <v>1790</v>
      </c>
      <c r="E479" s="279" t="s">
        <v>2356</v>
      </c>
      <c r="F479" s="279" t="s">
        <v>1790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2363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2242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1708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2232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1708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1798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1759</v>
      </c>
      <c r="E489" s="279" t="s">
        <v>1782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1829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1781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2201</v>
      </c>
      <c r="E496" s="279" t="s">
        <v>1900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1785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1939</v>
      </c>
      <c r="E500" s="279" t="s">
        <v>2377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2376</v>
      </c>
      <c r="E502" s="279" t="s">
        <v>2251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2378</v>
      </c>
      <c r="E504" s="279" t="s">
        <v>1754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1785</v>
      </c>
      <c r="E508" s="279" t="s">
        <v>2356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1785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1785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2610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2073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2415</v>
      </c>
      <c r="E514" s="279" t="s">
        <v>2416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1790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2545</v>
      </c>
      <c r="E516" s="279" t="s">
        <v>2385</v>
      </c>
      <c r="F516" s="279" t="s">
        <v>2384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2152</v>
      </c>
      <c r="E517" s="279" t="s">
        <v>1234</v>
      </c>
      <c r="F517" s="279" t="s">
        <v>1790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2152</v>
      </c>
      <c r="E518" s="279" t="s">
        <v>2395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1785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2232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2413</v>
      </c>
      <c r="E525" s="279" t="s">
        <v>2414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1784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1784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2390</v>
      </c>
      <c r="E528" s="279" t="s">
        <v>1784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1784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1784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2425</v>
      </c>
      <c r="E532" s="279" t="s">
        <v>2426</v>
      </c>
      <c r="F532" s="279" t="s">
        <v>2427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2349</v>
      </c>
      <c r="E534" s="279" t="s">
        <v>2241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2349</v>
      </c>
      <c r="E535" s="279" t="s">
        <v>2244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1754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1790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1740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2315</v>
      </c>
      <c r="E542" s="279" t="s">
        <v>2250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2458</v>
      </c>
      <c r="E544" s="279" t="s">
        <v>2459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2446</v>
      </c>
      <c r="E546" s="279" t="s">
        <v>2442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2450</v>
      </c>
      <c r="E550" s="279" t="s">
        <v>2455</v>
      </c>
      <c r="F550" s="279" t="s">
        <v>2456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1759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1759</v>
      </c>
      <c r="E557" s="279" t="s">
        <v>2461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2242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2246</v>
      </c>
      <c r="F561" s="279" t="s">
        <v>1863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2245</v>
      </c>
      <c r="F562" s="279" t="s">
        <v>1834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1754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2245</v>
      </c>
      <c r="F566" s="279" t="s">
        <v>1834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2477</v>
      </c>
      <c r="E570" s="279" t="s">
        <v>2476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1759</v>
      </c>
      <c r="E571" s="279" t="s">
        <v>2241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2501</v>
      </c>
      <c r="E572" s="279" t="s">
        <v>2502</v>
      </c>
      <c r="F572" s="279" t="s">
        <v>2503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2508</v>
      </c>
      <c r="E573" s="279" t="s">
        <v>2509</v>
      </c>
      <c r="F573" s="279" t="s">
        <v>2510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2508</v>
      </c>
      <c r="E574" s="279" t="s">
        <v>2511</v>
      </c>
      <c r="F574" s="279" t="s">
        <v>2512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1919</v>
      </c>
      <c r="F576" s="279" t="s">
        <v>2486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1759</v>
      </c>
      <c r="E577" s="279" t="s">
        <v>1781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2242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2513</v>
      </c>
      <c r="E583" s="279" t="s">
        <v>2514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2497</v>
      </c>
      <c r="F585" s="279" t="s">
        <v>2496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2499</v>
      </c>
      <c r="F586" s="279" t="s">
        <v>2498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2246</v>
      </c>
      <c r="F587" s="279" t="s">
        <v>1863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2433</v>
      </c>
      <c r="E599" s="279" t="s">
        <v>2532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1785</v>
      </c>
      <c r="E600" s="279" t="s">
        <v>2244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1785</v>
      </c>
      <c r="E601" s="279" t="s">
        <v>2242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2836</v>
      </c>
      <c r="E602" s="279" t="s">
        <v>2837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2259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2376</v>
      </c>
      <c r="E608" s="279" t="s">
        <v>2541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1939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2544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2547</v>
      </c>
      <c r="D612" s="273" t="s">
        <v>1246</v>
      </c>
      <c r="E612" s="279" t="s">
        <v>2548</v>
      </c>
      <c r="F612" s="279" t="s">
        <v>2549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2559</v>
      </c>
      <c r="E615" s="279" t="s">
        <v>1234</v>
      </c>
      <c r="F615" s="279" t="s">
        <v>1790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1773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2550</v>
      </c>
      <c r="E618" s="279" t="s">
        <v>1754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1790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2550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2567</v>
      </c>
      <c r="E624" s="279" t="s">
        <v>2234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2567</v>
      </c>
      <c r="E625" s="279" t="s">
        <v>2235</v>
      </c>
      <c r="F625" s="279" t="s">
        <v>1842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2559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2570</v>
      </c>
      <c r="E630" s="279" t="s">
        <v>1754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2245</v>
      </c>
      <c r="F633" s="279" t="s">
        <v>1834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2246</v>
      </c>
      <c r="F634" s="279" t="s">
        <v>1863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1848</v>
      </c>
      <c r="E635" s="279" t="s">
        <v>2232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2026</v>
      </c>
      <c r="E636" s="279" t="s">
        <v>2240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2580</v>
      </c>
      <c r="E637" s="279" t="s">
        <v>2234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2580</v>
      </c>
      <c r="E638" s="279" t="s">
        <v>2235</v>
      </c>
      <c r="F638" s="279" t="s">
        <v>1842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2797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2584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2580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1781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2570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1781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1807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2597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2809</v>
      </c>
      <c r="E653" s="279" t="s">
        <v>2811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1774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1781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1790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2642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2644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1781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2645</v>
      </c>
      <c r="E665" s="279" t="s">
        <v>2232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2645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2809</v>
      </c>
      <c r="E668" s="279" t="s">
        <v>2810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2655</v>
      </c>
      <c r="F669" s="279" t="s">
        <v>2654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2906</v>
      </c>
    </row>
    <row r="671" spans="1:12" x14ac:dyDescent="0.3">
      <c r="A671" s="282">
        <v>670</v>
      </c>
      <c r="B671" s="272">
        <v>45826</v>
      </c>
      <c r="C671" s="279" t="s">
        <v>2023</v>
      </c>
      <c r="E671" s="279" t="s">
        <v>2251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2023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2023</v>
      </c>
      <c r="E673" s="279" t="s">
        <v>2251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2349</v>
      </c>
      <c r="E674" s="279" t="s">
        <v>2083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1759</v>
      </c>
      <c r="E678" s="279" t="s">
        <v>2387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1790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1895</v>
      </c>
      <c r="F680" s="279" t="s">
        <v>1894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2023</v>
      </c>
      <c r="E681" s="279" t="s">
        <v>2259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1790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2645</v>
      </c>
      <c r="E683" s="279" t="s">
        <v>1234</v>
      </c>
      <c r="F683" s="279" t="s">
        <v>1790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2645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2235</v>
      </c>
      <c r="F686" s="279" t="s">
        <v>1842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2232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2756</v>
      </c>
      <c r="E688" s="279" t="s">
        <v>2757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2482</v>
      </c>
      <c r="E689" s="279" t="s">
        <v>2073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2676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1798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2164</v>
      </c>
      <c r="F692" s="279" t="s">
        <v>2671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2678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1848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2701</v>
      </c>
      <c r="E696" s="279" t="s">
        <v>2702</v>
      </c>
      <c r="F696" s="279" t="s">
        <v>2703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2701</v>
      </c>
      <c r="E697" s="279" t="s">
        <v>2704</v>
      </c>
      <c r="F697" s="279" t="s">
        <v>2705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1790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1742</v>
      </c>
      <c r="F701" s="279" t="s">
        <v>1741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2774</v>
      </c>
      <c r="E702" s="279" t="s">
        <v>2775</v>
      </c>
      <c r="F702" s="279" t="s">
        <v>2776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2774</v>
      </c>
      <c r="E703" s="279" t="s">
        <v>2777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1790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1740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2691</v>
      </c>
      <c r="E707" s="279" t="s">
        <v>1234</v>
      </c>
      <c r="F707" s="279" t="s">
        <v>1790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2691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2699</v>
      </c>
      <c r="E712" s="279" t="s">
        <v>1754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2699</v>
      </c>
      <c r="E713" s="279" t="s">
        <v>1784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2686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1781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2781</v>
      </c>
      <c r="E716" s="279" t="s">
        <v>2782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1759</v>
      </c>
      <c r="E717" s="279" t="s">
        <v>2709</v>
      </c>
      <c r="F717" s="279" t="s">
        <v>2708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1785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2691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2711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2711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2718</v>
      </c>
      <c r="E722" s="279" t="s">
        <v>2717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2752</v>
      </c>
      <c r="E723" s="279" t="s">
        <v>2753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2720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2724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2235</v>
      </c>
      <c r="F728" s="279" t="s">
        <v>1842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2778</v>
      </c>
      <c r="E729" s="279" t="s">
        <v>2775</v>
      </c>
      <c r="F729" s="279" t="s">
        <v>2776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2778</v>
      </c>
      <c r="E730" s="279" t="s">
        <v>2779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2727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1759</v>
      </c>
      <c r="E732" s="279" t="s">
        <v>2240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2235</v>
      </c>
      <c r="F733" s="279" t="s">
        <v>1842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2235</v>
      </c>
      <c r="F735" s="279" t="s">
        <v>1842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1939</v>
      </c>
      <c r="E737" s="279" t="s">
        <v>1234</v>
      </c>
      <c r="F737" s="279" t="s">
        <v>1790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2750</v>
      </c>
      <c r="E738" s="279" t="s">
        <v>2751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2739</v>
      </c>
      <c r="E739" s="279" t="s">
        <v>2356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1781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2739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2727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2769</v>
      </c>
      <c r="E745" s="279" t="s">
        <v>2770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2763</v>
      </c>
      <c r="E746" s="279" t="s">
        <v>2764</v>
      </c>
      <c r="F746" s="279" t="s">
        <v>2765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1759</v>
      </c>
      <c r="E747" s="279" t="s">
        <v>2766</v>
      </c>
      <c r="F747" s="279" t="s">
        <v>1834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2235</v>
      </c>
      <c r="F749" s="279" t="s">
        <v>1842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1740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2772</v>
      </c>
      <c r="E752" s="279" t="s">
        <v>2773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2780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2586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2559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2256</v>
      </c>
      <c r="F757" s="279" t="s">
        <v>2001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2235</v>
      </c>
      <c r="F758" s="279" t="s">
        <v>1842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2789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1754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3045</v>
      </c>
      <c r="E762" s="279" t="s">
        <v>3053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2235</v>
      </c>
      <c r="F764" s="279" t="s">
        <v>1842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1759</v>
      </c>
      <c r="E768" s="279" t="s">
        <v>1595</v>
      </c>
      <c r="F768" s="279" t="s">
        <v>2806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2349</v>
      </c>
      <c r="E771" s="279" t="s">
        <v>1782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2718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2833</v>
      </c>
      <c r="E773" s="279" t="s">
        <v>2834</v>
      </c>
      <c r="F773" s="279" t="s">
        <v>2835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2823</v>
      </c>
      <c r="F774" s="279" t="s">
        <v>2822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2829</v>
      </c>
      <c r="E775" s="279" t="s">
        <v>2830</v>
      </c>
      <c r="F775" s="279" t="s">
        <v>2831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2235</v>
      </c>
      <c r="F777" s="279" t="s">
        <v>1842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1759</v>
      </c>
      <c r="E778" s="279" t="s">
        <v>2242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2026</v>
      </c>
      <c r="E779" s="279" t="s">
        <v>2234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2026</v>
      </c>
      <c r="E780" s="279" t="s">
        <v>2235</v>
      </c>
      <c r="F780" s="279" t="s">
        <v>1842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2232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2814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2839</v>
      </c>
      <c r="E789" s="279" t="s">
        <v>2840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2838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2842</v>
      </c>
      <c r="E792" s="279" t="s">
        <v>2841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1782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1784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2847</v>
      </c>
      <c r="E796" s="279" t="s">
        <v>2849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2850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2851</v>
      </c>
      <c r="E799" s="279" t="s">
        <v>2402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1740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2857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2851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2860</v>
      </c>
      <c r="E804" s="279" t="s">
        <v>2356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2862</v>
      </c>
      <c r="E805" s="279" t="s">
        <v>1234</v>
      </c>
      <c r="F805" s="279" t="s">
        <v>1790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2862</v>
      </c>
      <c r="E806" s="279" t="s">
        <v>2867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2006</v>
      </c>
      <c r="E809" s="279" t="s">
        <v>2234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2006</v>
      </c>
      <c r="E810" s="279" t="s">
        <v>2235</v>
      </c>
      <c r="F810" s="279" t="s">
        <v>1842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2006</v>
      </c>
      <c r="E811" s="279" t="s">
        <v>2236</v>
      </c>
      <c r="F811" s="279" t="s">
        <v>2272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2006</v>
      </c>
      <c r="E812" s="279" t="s">
        <v>2237</v>
      </c>
      <c r="F812" s="279" t="s">
        <v>1757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3062</v>
      </c>
      <c r="E813" s="279" t="s">
        <v>3063</v>
      </c>
      <c r="F813" s="279" t="s">
        <v>3064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2235</v>
      </c>
      <c r="F815" s="279" t="s">
        <v>1842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2842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2883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1848</v>
      </c>
      <c r="E818" s="279" t="s">
        <v>1530</v>
      </c>
      <c r="F818" s="279" t="s">
        <v>2788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2318</v>
      </c>
      <c r="E819" s="279" t="s">
        <v>1234</v>
      </c>
      <c r="F819" s="279" t="s">
        <v>1790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2890</v>
      </c>
      <c r="E820" s="279" t="s">
        <v>2891</v>
      </c>
      <c r="F820" s="279" t="s">
        <v>2892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2883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2893</v>
      </c>
      <c r="E824" s="279" t="s">
        <v>2894</v>
      </c>
      <c r="F824" s="279" t="s">
        <v>2895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2893</v>
      </c>
      <c r="E825" s="279" t="s">
        <v>2896</v>
      </c>
      <c r="F825" s="279" t="s">
        <v>2897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2900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2850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1790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1742</v>
      </c>
      <c r="F830" s="279" t="s">
        <v>1741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3045</v>
      </c>
      <c r="E831" s="279" t="s">
        <v>3046</v>
      </c>
      <c r="F831" s="279" t="s">
        <v>3047</v>
      </c>
      <c r="G831" s="274">
        <v>1500000</v>
      </c>
      <c r="H831" s="279">
        <v>1</v>
      </c>
      <c r="J831" s="275" t="s">
        <v>3048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1790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2860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1848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1759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1790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2788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2490</v>
      </c>
      <c r="F843" s="279" t="s">
        <v>2868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2917</v>
      </c>
      <c r="E844" s="279" t="s">
        <v>2234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2917</v>
      </c>
      <c r="E845" s="279" t="s">
        <v>2235</v>
      </c>
      <c r="F845" s="279" t="s">
        <v>1842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2686</v>
      </c>
      <c r="E846" s="279" t="s">
        <v>2234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2686</v>
      </c>
      <c r="E847" s="279" t="s">
        <v>2235</v>
      </c>
      <c r="F847" s="279" t="s">
        <v>1842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2911</v>
      </c>
      <c r="E848" s="279" t="s">
        <v>2234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2911</v>
      </c>
      <c r="E849" s="279" t="s">
        <v>2235</v>
      </c>
      <c r="F849" s="279" t="s">
        <v>1842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2472</v>
      </c>
      <c r="F850" s="279" t="s">
        <v>2471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1915</v>
      </c>
      <c r="E852" s="279" t="s">
        <v>2240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1759</v>
      </c>
      <c r="E855" s="279" t="s">
        <v>2927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2911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2917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1759</v>
      </c>
      <c r="E859" s="279" t="s">
        <v>2929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1781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2242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2246</v>
      </c>
      <c r="F864" s="279" t="s">
        <v>1863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2245</v>
      </c>
      <c r="F865" s="279" t="s">
        <v>1834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2917</v>
      </c>
      <c r="E866" s="279" t="s">
        <v>2933</v>
      </c>
      <c r="F866" s="279" t="s">
        <v>2932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2917</v>
      </c>
      <c r="E867" s="279" t="s">
        <v>2237</v>
      </c>
      <c r="F867" s="279" t="s">
        <v>1757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1790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2788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1848</v>
      </c>
      <c r="E870" s="279" t="s">
        <v>1803</v>
      </c>
      <c r="F870" s="279" t="s">
        <v>1805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1848</v>
      </c>
      <c r="E871" s="279" t="s">
        <v>1803</v>
      </c>
      <c r="F871" s="279" t="s">
        <v>1802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2937</v>
      </c>
      <c r="E872" s="279" t="s">
        <v>1773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2942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1790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2245</v>
      </c>
      <c r="F877" s="279" t="s">
        <v>1834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1790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2686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2917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1781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2482</v>
      </c>
      <c r="E884" s="279" t="s">
        <v>2073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2315</v>
      </c>
      <c r="E885" s="279" t="s">
        <v>2237</v>
      </c>
      <c r="F885" s="279" t="s">
        <v>1757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2235</v>
      </c>
      <c r="F887" s="279" t="s">
        <v>1842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1759</v>
      </c>
      <c r="E888" s="279" t="s">
        <v>2387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1785</v>
      </c>
      <c r="E889" s="279" t="s">
        <v>2356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1785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2937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2842</v>
      </c>
      <c r="E895" s="279" t="s">
        <v>2241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2842</v>
      </c>
      <c r="E896" s="279" t="s">
        <v>2244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2842</v>
      </c>
      <c r="E897" s="279" t="s">
        <v>1947</v>
      </c>
      <c r="F897" s="279" t="s">
        <v>1946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2376</v>
      </c>
      <c r="E898" s="279" t="s">
        <v>2964</v>
      </c>
      <c r="F898" s="279" t="s">
        <v>2038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1790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2968</v>
      </c>
      <c r="F902" s="279" t="s">
        <v>2870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2976</v>
      </c>
      <c r="F905" s="279" t="s">
        <v>2975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2978</v>
      </c>
      <c r="F906" s="279" t="s">
        <v>2974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2235</v>
      </c>
      <c r="F908" s="279" t="s">
        <v>1842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1781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2869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1790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2788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1774</v>
      </c>
      <c r="F914" s="279" t="s">
        <v>2962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2961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2989</v>
      </c>
      <c r="E916" s="279" t="s">
        <v>2990</v>
      </c>
      <c r="F916" s="279" t="s">
        <v>2991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2989</v>
      </c>
      <c r="E917" s="279" t="s">
        <v>2992</v>
      </c>
      <c r="F917" s="279" t="s">
        <v>2993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2996</v>
      </c>
      <c r="E918" s="279" t="s">
        <v>2997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2987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2994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2842</v>
      </c>
      <c r="E924" s="279" t="s">
        <v>2240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3000</v>
      </c>
      <c r="E925" s="279" t="s">
        <v>3001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3049</v>
      </c>
      <c r="E927" s="279" t="s">
        <v>3050</v>
      </c>
      <c r="G927" s="274">
        <v>1750000</v>
      </c>
      <c r="H927" s="279">
        <v>1</v>
      </c>
      <c r="J927" s="275" t="s">
        <v>3051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3010</v>
      </c>
      <c r="E928" s="279" t="s">
        <v>2453</v>
      </c>
      <c r="F928" s="279" t="s">
        <v>3013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1781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2482</v>
      </c>
      <c r="E930" s="279" t="s">
        <v>2073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3054</v>
      </c>
    </row>
    <row r="931" spans="1:13" x14ac:dyDescent="0.3">
      <c r="A931" s="282">
        <v>930</v>
      </c>
      <c r="B931" s="272">
        <v>45852</v>
      </c>
      <c r="C931" s="279" t="s">
        <v>2376</v>
      </c>
      <c r="E931" s="279" t="s">
        <v>2964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2235</v>
      </c>
      <c r="F934" s="279" t="s">
        <v>1842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3049</v>
      </c>
      <c r="E937" s="279" t="s">
        <v>3052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2482</v>
      </c>
      <c r="E938" s="279" t="s">
        <v>2234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2482</v>
      </c>
      <c r="E939" s="279" t="s">
        <v>2235</v>
      </c>
      <c r="F939" s="279" t="s">
        <v>1842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3034</v>
      </c>
      <c r="E941" s="279" t="s">
        <v>2234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3034</v>
      </c>
      <c r="E942" s="279" t="s">
        <v>2235</v>
      </c>
      <c r="F942" s="279" t="s">
        <v>1842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3034</v>
      </c>
      <c r="E943" s="279" t="s">
        <v>2236</v>
      </c>
      <c r="F943" s="279" t="s">
        <v>2272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2376</v>
      </c>
      <c r="E944" s="279" t="s">
        <v>2232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3095</v>
      </c>
      <c r="E945" s="279" t="s">
        <v>3096</v>
      </c>
      <c r="F945" s="279" t="s">
        <v>3097</v>
      </c>
      <c r="G945" s="274">
        <v>1500000</v>
      </c>
      <c r="H945" s="279">
        <v>1</v>
      </c>
      <c r="J945" s="275" t="s">
        <v>3048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1754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1754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3028</v>
      </c>
      <c r="E948" s="279" t="s">
        <v>2250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3028</v>
      </c>
      <c r="E949" s="279" t="s">
        <v>3042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1759</v>
      </c>
      <c r="E950" s="279" t="s">
        <v>2823</v>
      </c>
      <c r="F950" s="279" t="s">
        <v>2822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3034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2349</v>
      </c>
      <c r="E954" s="279" t="s">
        <v>2241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2349</v>
      </c>
      <c r="E955" s="279" t="s">
        <v>2244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1844</v>
      </c>
      <c r="E956" s="279" t="s">
        <v>3056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1708</v>
      </c>
      <c r="E957" s="279" t="s">
        <v>2234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1708</v>
      </c>
      <c r="E958" s="279" t="s">
        <v>2235</v>
      </c>
      <c r="F958" s="279" t="s">
        <v>1842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3059</v>
      </c>
      <c r="E959" s="279" t="s">
        <v>2234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3059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3028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3010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2718</v>
      </c>
      <c r="E971" s="279" t="s">
        <v>2347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3138</v>
      </c>
      <c r="E973" s="279" t="s">
        <v>3139</v>
      </c>
      <c r="F973" s="279" t="s">
        <v>3140</v>
      </c>
      <c r="G973" s="274">
        <v>510000</v>
      </c>
      <c r="H973" s="279">
        <v>1</v>
      </c>
      <c r="J973" s="275" t="s">
        <v>3141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3138</v>
      </c>
      <c r="E974" s="279" t="s">
        <v>3142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3081</v>
      </c>
      <c r="E975" s="279" t="s">
        <v>2234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3081</v>
      </c>
      <c r="E976" s="279" t="s">
        <v>3084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3088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3088</v>
      </c>
      <c r="E979" s="279" t="s">
        <v>3089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1892</v>
      </c>
      <c r="E980" s="279" t="s">
        <v>2241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2026</v>
      </c>
      <c r="E981" s="279" t="s">
        <v>1234</v>
      </c>
      <c r="F981" s="279" t="s">
        <v>1790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2026</v>
      </c>
      <c r="E982" s="279" t="s">
        <v>1234</v>
      </c>
      <c r="F982" s="279" t="s">
        <v>1790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3088</v>
      </c>
      <c r="E983" s="279" t="s">
        <v>3093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3081</v>
      </c>
      <c r="E984" s="279" t="s">
        <v>3093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2376</v>
      </c>
      <c r="E985" s="279" t="s">
        <v>2234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1848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2718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2699</v>
      </c>
      <c r="E988" s="279" t="s">
        <v>3102</v>
      </c>
      <c r="F988" s="279" t="s">
        <v>1790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2315</v>
      </c>
      <c r="E989" s="279" t="s">
        <v>3105</v>
      </c>
      <c r="F989" s="279" t="s">
        <v>3104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2699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2315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2476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2241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2242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2245</v>
      </c>
      <c r="F999" s="279" t="s">
        <v>1834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2246</v>
      </c>
      <c r="F1000" s="279" t="s">
        <v>1863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1851</v>
      </c>
      <c r="E1001" s="279" t="s">
        <v>1781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1851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2142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3114</v>
      </c>
      <c r="E1004" s="279" t="s">
        <v>2241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1759</v>
      </c>
      <c r="E1005" s="279" t="s">
        <v>1754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3121</v>
      </c>
      <c r="E1006" s="279" t="s">
        <v>3122</v>
      </c>
      <c r="F1006" s="279" t="s">
        <v>3123</v>
      </c>
      <c r="G1006" s="274">
        <v>1200000</v>
      </c>
      <c r="H1006" s="279">
        <v>1</v>
      </c>
      <c r="J1006" s="275" t="s">
        <v>3124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3028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3114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2142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1785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1848</v>
      </c>
      <c r="E1012" s="279" t="s">
        <v>1530</v>
      </c>
      <c r="F1012" s="279" t="s">
        <v>2788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1892</v>
      </c>
      <c r="E1013" s="279" t="s">
        <v>2243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2234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2235</v>
      </c>
      <c r="F1015" s="279" t="s">
        <v>1842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2234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2235</v>
      </c>
      <c r="F1017" s="279" t="s">
        <v>1842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2237</v>
      </c>
      <c r="F1018" s="279" t="s">
        <v>1757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2376</v>
      </c>
      <c r="E1019" s="279" t="s">
        <v>2234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2376</v>
      </c>
      <c r="E1020" s="279" t="s">
        <v>3136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1892</v>
      </c>
      <c r="E1021" s="279" t="s">
        <v>3137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1848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2234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2235</v>
      </c>
      <c r="F1026" s="279" t="s">
        <v>1842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3156</v>
      </c>
      <c r="E1028" s="279" t="s">
        <v>3157</v>
      </c>
      <c r="G1028" s="274">
        <v>1600000</v>
      </c>
      <c r="H1028" s="279">
        <v>1</v>
      </c>
      <c r="J1028" s="275" t="s">
        <v>3158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2234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2235</v>
      </c>
      <c r="F1030" s="279" t="s">
        <v>1842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2241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2244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1617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3150</v>
      </c>
      <c r="F1034" s="279" t="s">
        <v>3151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3239</v>
      </c>
      <c r="E1035" s="279" t="s">
        <v>3240</v>
      </c>
      <c r="G1035" s="274">
        <v>1500000</v>
      </c>
      <c r="H1035" s="279">
        <v>1</v>
      </c>
      <c r="K1035" s="274">
        <v>1500000</v>
      </c>
    </row>
    <row r="1036" spans="1:12" x14ac:dyDescent="0.3">
      <c r="A1036" s="58">
        <v>1034</v>
      </c>
      <c r="B1036" s="272">
        <v>45862</v>
      </c>
      <c r="C1036" s="279" t="s">
        <v>3241</v>
      </c>
      <c r="E1036" s="279" t="s">
        <v>3242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3171</v>
      </c>
      <c r="E1037" s="279" t="s">
        <v>3172</v>
      </c>
      <c r="F1037" s="279" t="s">
        <v>3173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3171</v>
      </c>
      <c r="E1038" s="279" t="s">
        <v>3174</v>
      </c>
      <c r="F1038" s="279" t="s">
        <v>3175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1851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2457</v>
      </c>
      <c r="E1041" s="279" t="s">
        <v>3162</v>
      </c>
      <c r="F1041" s="279" t="s">
        <v>3163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2026</v>
      </c>
      <c r="E1042" s="279" t="s">
        <v>1753</v>
      </c>
      <c r="F1042" s="279" t="s">
        <v>1752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1635</v>
      </c>
      <c r="E1043" s="279" t="s">
        <v>1234</v>
      </c>
      <c r="F1043" s="279" t="s">
        <v>1790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3168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2234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2235</v>
      </c>
      <c r="F1046" s="279" t="s">
        <v>1842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1915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2457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2387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1784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2232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1635</v>
      </c>
      <c r="E1054" s="279" t="s">
        <v>1784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3154</v>
      </c>
      <c r="E1055" s="279" t="s">
        <v>1154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1102</v>
      </c>
      <c r="E1056" s="279" t="s">
        <v>1154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1785</v>
      </c>
      <c r="E1057" s="279" t="s">
        <v>1154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1066</v>
      </c>
      <c r="E1058" s="279" t="s">
        <v>2155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1433</v>
      </c>
      <c r="E1059" s="279" t="s">
        <v>1774</v>
      </c>
      <c r="F1059" s="279" t="s">
        <v>2962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1433</v>
      </c>
      <c r="E1060" s="279" t="s">
        <v>3065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1785</v>
      </c>
      <c r="E1061" s="279" t="s">
        <v>1773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1892</v>
      </c>
      <c r="E1062" s="279" t="s">
        <v>2243</v>
      </c>
      <c r="F1062" s="279" t="s">
        <v>1231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1708</v>
      </c>
      <c r="E1063" s="279" t="s">
        <v>1871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1507</v>
      </c>
      <c r="E1064" s="279" t="s">
        <v>2241</v>
      </c>
      <c r="F1064" s="279" t="s">
        <v>1238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3186</v>
      </c>
      <c r="E1065" s="279" t="s">
        <v>1904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1578</v>
      </c>
      <c r="E1066" s="279" t="s">
        <v>2240</v>
      </c>
      <c r="F1066" s="279" t="s">
        <v>1231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1906</v>
      </c>
      <c r="E1067" s="279" t="s">
        <v>2234</v>
      </c>
      <c r="F1067" s="279" t="s">
        <v>1232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1906</v>
      </c>
      <c r="E1068" s="279" t="s">
        <v>2235</v>
      </c>
      <c r="F1068" s="279" t="s">
        <v>1842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1785</v>
      </c>
      <c r="E1069" s="279" t="s">
        <v>2490</v>
      </c>
      <c r="F1069" s="279" t="s">
        <v>2868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1785</v>
      </c>
      <c r="E1070" s="279" t="s">
        <v>1553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1483</v>
      </c>
      <c r="E1071" s="279" t="s">
        <v>1234</v>
      </c>
      <c r="F1071" s="279" t="s">
        <v>1790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3186</v>
      </c>
      <c r="E1072" s="279" t="s">
        <v>1784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3194</v>
      </c>
      <c r="E1073" s="279" t="s">
        <v>2234</v>
      </c>
      <c r="F1073" s="279" t="s">
        <v>1232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3194</v>
      </c>
      <c r="E1074" s="279" t="s">
        <v>2235</v>
      </c>
      <c r="F1074" s="279" t="s">
        <v>1842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3194</v>
      </c>
      <c r="E1075" s="279" t="s">
        <v>1784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1483</v>
      </c>
      <c r="E1076" s="279" t="s">
        <v>1784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1708</v>
      </c>
      <c r="E1077" s="279" t="s">
        <v>1784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1578</v>
      </c>
      <c r="E1078" s="279" t="s">
        <v>1784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1492</v>
      </c>
      <c r="E1079" s="279" t="s">
        <v>1784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1892</v>
      </c>
      <c r="E1080" s="279" t="s">
        <v>1784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2026</v>
      </c>
      <c r="E1081" s="279" t="s">
        <v>1784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1066</v>
      </c>
      <c r="E1082" s="279" t="s">
        <v>1784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1784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1617</v>
      </c>
      <c r="E1084" s="279" t="s">
        <v>3137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1478</v>
      </c>
      <c r="E1085" s="279" t="s">
        <v>3227</v>
      </c>
      <c r="F1085" s="279" t="s">
        <v>3226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1829</v>
      </c>
      <c r="E1086" s="279" t="s">
        <v>2234</v>
      </c>
      <c r="F1086" s="279" t="s">
        <v>1232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1829</v>
      </c>
      <c r="E1087" s="279" t="s">
        <v>2235</v>
      </c>
      <c r="F1087" s="279" t="s">
        <v>1842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1102</v>
      </c>
      <c r="E1088" s="279" t="s">
        <v>2240</v>
      </c>
      <c r="F1088" s="279" t="s">
        <v>1231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1339</v>
      </c>
      <c r="E1089" s="279" t="s">
        <v>2241</v>
      </c>
      <c r="F1089" s="279" t="s">
        <v>1238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1339</v>
      </c>
      <c r="E1090" s="279" t="s">
        <v>2244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1339</v>
      </c>
      <c r="E1091" s="279" t="s">
        <v>2245</v>
      </c>
      <c r="F1091" s="279" t="s">
        <v>1834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1339</v>
      </c>
      <c r="E1092" s="279" t="s">
        <v>3243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1844</v>
      </c>
      <c r="E1093" s="279" t="s">
        <v>2709</v>
      </c>
      <c r="F1093" s="279" t="s">
        <v>2708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3059</v>
      </c>
      <c r="E1094" s="279" t="s">
        <v>1234</v>
      </c>
      <c r="F1094" s="279" t="s">
        <v>1790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1759</v>
      </c>
      <c r="E1095" s="279" t="s">
        <v>3245</v>
      </c>
      <c r="F1095" s="279" t="s">
        <v>2384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1478</v>
      </c>
      <c r="E1096" s="279" t="s">
        <v>2234</v>
      </c>
      <c r="F1096" s="279" t="s">
        <v>1232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1478</v>
      </c>
      <c r="E1097" s="279" t="s">
        <v>2235</v>
      </c>
      <c r="F1097" s="279" t="s">
        <v>1842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1478</v>
      </c>
      <c r="E1098" s="279" t="s">
        <v>1583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1844</v>
      </c>
      <c r="E1099" s="279" t="s">
        <v>1154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3059</v>
      </c>
      <c r="E1100" s="279" t="s">
        <v>1154</v>
      </c>
      <c r="L1100" s="274">
        <v>-1000000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9"/>
  <sheetViews>
    <sheetView tabSelected="1" workbookViewId="0">
      <selection activeCell="M16" sqref="M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0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2556000</v>
      </c>
      <c r="H3" s="246"/>
      <c r="I3" s="247"/>
      <c r="J3" s="72"/>
      <c r="K3" s="70"/>
    </row>
    <row r="4" spans="1:16" ht="15.95" customHeight="1" x14ac:dyDescent="0.3">
      <c r="A4" s="248">
        <f>MONTH(A3)</f>
        <v>1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1900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1720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2842</v>
      </c>
      <c r="D11" s="119" t="s">
        <v>2841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1782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1784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2848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2850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2851</v>
      </c>
      <c r="D18" s="119" t="s">
        <v>2402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1740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2876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2851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2860</v>
      </c>
      <c r="D23" s="119" t="s">
        <v>2356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2862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2862</v>
      </c>
      <c r="D25" s="119" t="s">
        <v>2867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2006</v>
      </c>
      <c r="D28" s="119" t="s">
        <v>2234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2006</v>
      </c>
      <c r="D29" s="119" t="s">
        <v>2235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2006</v>
      </c>
      <c r="D30" s="119" t="s">
        <v>2236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2006</v>
      </c>
      <c r="D31" s="119" t="s">
        <v>2237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2842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2883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1848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2883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2900</v>
      </c>
      <c r="D43" s="119" t="s">
        <v>2234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2900</v>
      </c>
      <c r="D44" s="119" t="s">
        <v>2235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2900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2850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1742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2903</v>
      </c>
      <c r="F50" s="127">
        <v>1500000</v>
      </c>
      <c r="G50" s="88">
        <v>1</v>
      </c>
      <c r="H50" s="133" t="s">
        <v>3048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2860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1848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1759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2917</v>
      </c>
      <c r="D63" s="120" t="s">
        <v>2234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2917</v>
      </c>
      <c r="D64" s="120" t="s">
        <v>2235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2686</v>
      </c>
      <c r="D65" s="120" t="s">
        <v>2234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2686</v>
      </c>
      <c r="D66" s="120" t="s">
        <v>2235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2911</v>
      </c>
      <c r="D67" s="120" t="s">
        <v>2234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2911</v>
      </c>
      <c r="D68" s="120" t="s">
        <v>2235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1915</v>
      </c>
      <c r="D71" s="120" t="s">
        <v>2240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1759</v>
      </c>
      <c r="D74" s="120" t="s">
        <v>2927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2911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2917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1915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1759</v>
      </c>
      <c r="D78" s="120" t="s">
        <v>2929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1781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2917</v>
      </c>
      <c r="D85" s="120" t="s">
        <v>2933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2917</v>
      </c>
      <c r="D86" s="120" t="s">
        <v>2237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1848</v>
      </c>
      <c r="D89" s="120" t="s">
        <v>1803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1848</v>
      </c>
      <c r="D90" s="120" t="s">
        <v>1803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2937</v>
      </c>
      <c r="D91" s="120" t="s">
        <v>1773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2942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2686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2917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1781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2482</v>
      </c>
      <c r="D103" s="120" t="s">
        <v>2073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2315</v>
      </c>
      <c r="D104" s="120" t="s">
        <v>2237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1759</v>
      </c>
      <c r="D107" s="120" t="s">
        <v>2387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1785</v>
      </c>
      <c r="D108" s="120" t="s">
        <v>2356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1785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2937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2842</v>
      </c>
      <c r="D114" s="120" t="s">
        <v>2241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2842</v>
      </c>
      <c r="D115" s="120" t="s">
        <v>2244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2842</v>
      </c>
      <c r="D116" s="120" t="s">
        <v>1947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2376</v>
      </c>
      <c r="D117" s="120" t="s">
        <v>2964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2968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2976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2978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1781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2869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1774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2961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2987</v>
      </c>
      <c r="D135" s="120" t="s">
        <v>2234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2987</v>
      </c>
      <c r="D136" s="120" t="s">
        <v>2235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2987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2994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2376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2842</v>
      </c>
      <c r="D143" s="120" t="s">
        <v>2240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3006</v>
      </c>
      <c r="D146" s="120" t="s">
        <v>2747</v>
      </c>
      <c r="F146" s="127">
        <v>1750000</v>
      </c>
      <c r="G146" s="88">
        <v>1</v>
      </c>
      <c r="H146" s="133" t="s">
        <v>3051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3010</v>
      </c>
      <c r="D147" s="120" t="s">
        <v>2453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1781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2482</v>
      </c>
      <c r="D149" s="120" t="s">
        <v>2073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2376</v>
      </c>
      <c r="D150" s="120" t="s">
        <v>2964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2376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3006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2482</v>
      </c>
      <c r="D157" s="120" t="s">
        <v>2234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2482</v>
      </c>
      <c r="D158" s="120" t="s">
        <v>2235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3034</v>
      </c>
      <c r="D160" s="120" t="s">
        <v>2234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3034</v>
      </c>
      <c r="D161" s="120" t="s">
        <v>2235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3034</v>
      </c>
      <c r="D162" s="120" t="s">
        <v>2236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2376</v>
      </c>
      <c r="D163" s="120" t="s">
        <v>2232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2903</v>
      </c>
      <c r="F164" s="127">
        <v>1500000</v>
      </c>
      <c r="G164" s="88">
        <v>1</v>
      </c>
      <c r="H164" s="133" t="s">
        <v>3048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1754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1754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3028</v>
      </c>
      <c r="D167" s="120" t="s">
        <v>2250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3028</v>
      </c>
      <c r="D168" s="120" t="s">
        <v>3042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1759</v>
      </c>
      <c r="D169" s="120" t="s">
        <v>2823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3034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2376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2482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2349</v>
      </c>
      <c r="D173" s="120" t="s">
        <v>2241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2349</v>
      </c>
      <c r="D174" s="120" t="s">
        <v>2244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1844</v>
      </c>
      <c r="D175" s="120" t="s">
        <v>3056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1708</v>
      </c>
      <c r="D176" s="120" t="s">
        <v>2234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1708</v>
      </c>
      <c r="D177" s="120" t="s">
        <v>2235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3059</v>
      </c>
      <c r="D178" s="120" t="s">
        <v>2234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2349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3059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3028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3010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2152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3065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3066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3070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3072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2718</v>
      </c>
      <c r="D190" s="120" t="s">
        <v>2347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2241</v>
      </c>
      <c r="F192" s="127">
        <v>510000</v>
      </c>
      <c r="G192" s="88">
        <v>1</v>
      </c>
      <c r="H192" s="133" t="s">
        <v>3141</v>
      </c>
      <c r="I192" s="83">
        <v>561000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2244</v>
      </c>
      <c r="F193" s="127">
        <v>70000</v>
      </c>
      <c r="G193" s="88">
        <v>1</v>
      </c>
      <c r="H193" s="133">
        <v>7000</v>
      </c>
      <c r="I193" s="83">
        <v>77000</v>
      </c>
    </row>
    <row r="194" spans="1:10" ht="18" customHeight="1" x14ac:dyDescent="0.3">
      <c r="A194" s="85">
        <v>974</v>
      </c>
      <c r="B194" s="97">
        <v>45856</v>
      </c>
      <c r="C194" s="86" t="s">
        <v>3081</v>
      </c>
      <c r="D194" s="120" t="s">
        <v>2234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3081</v>
      </c>
      <c r="D195" s="120" t="s">
        <v>3084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3086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3088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3088</v>
      </c>
      <c r="D198" s="120" t="s">
        <v>3089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1892</v>
      </c>
      <c r="D199" s="120" t="s">
        <v>2241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2026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3088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3081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2376</v>
      </c>
      <c r="D204" s="120" t="s">
        <v>2234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1848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2718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2699</v>
      </c>
      <c r="D207" s="120" t="s">
        <v>3102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2315</v>
      </c>
      <c r="D208" s="120" t="s">
        <v>3105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3108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2699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2315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2476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2241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2242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2245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2246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1851</v>
      </c>
      <c r="D220" s="120" t="s">
        <v>1781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1851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2142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3114</v>
      </c>
      <c r="D223" s="120" t="s">
        <v>2241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1759</v>
      </c>
      <c r="D224" s="120" t="s">
        <v>1754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3028</v>
      </c>
      <c r="D225" s="120" t="s">
        <v>1234</v>
      </c>
      <c r="F225" s="127">
        <v>1200000</v>
      </c>
      <c r="G225" s="88">
        <v>1</v>
      </c>
      <c r="H225" s="133" t="s">
        <v>3124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3028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3114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2142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3127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1785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1848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1892</v>
      </c>
      <c r="D232" s="120" t="s">
        <v>2243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2234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2235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2234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2235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2237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2376</v>
      </c>
      <c r="D238" s="120" t="s">
        <v>2234</v>
      </c>
      <c r="F238" s="127">
        <v>1500000</v>
      </c>
      <c r="G238" s="88">
        <v>1</v>
      </c>
      <c r="H238" s="133">
        <v>150000</v>
      </c>
      <c r="I238" s="83">
        <v>1650000</v>
      </c>
    </row>
    <row r="239" spans="1:10" ht="18" customHeight="1" x14ac:dyDescent="0.3">
      <c r="A239" s="85">
        <v>1018</v>
      </c>
      <c r="B239" s="97">
        <v>45861</v>
      </c>
      <c r="C239" s="86" t="s">
        <v>2376</v>
      </c>
      <c r="D239" s="120" t="s">
        <v>3136</v>
      </c>
      <c r="J239" s="83">
        <v>-3150000</v>
      </c>
    </row>
    <row r="240" spans="1:10" ht="18" customHeight="1" x14ac:dyDescent="0.3">
      <c r="A240" s="85">
        <v>1019</v>
      </c>
      <c r="B240" s="97">
        <v>45861</v>
      </c>
      <c r="C240" s="86" t="s">
        <v>1892</v>
      </c>
      <c r="D240" s="120" t="s">
        <v>3137</v>
      </c>
      <c r="J240" s="83">
        <v>-100000</v>
      </c>
    </row>
    <row r="241" spans="1:10" ht="18" customHeight="1" x14ac:dyDescent="0.3">
      <c r="A241" s="85">
        <v>1020</v>
      </c>
      <c r="B241" s="97">
        <v>45862</v>
      </c>
      <c r="C241" s="86" t="s">
        <v>1848</v>
      </c>
      <c r="D241" s="120" t="s">
        <v>1154</v>
      </c>
      <c r="J241" s="83">
        <v>-350000</v>
      </c>
    </row>
    <row r="242" spans="1:10" ht="18" customHeight="1" x14ac:dyDescent="0.3">
      <c r="A242" s="85">
        <v>1021</v>
      </c>
      <c r="B242" s="97">
        <v>45862</v>
      </c>
      <c r="C242" s="86" t="s">
        <v>1066</v>
      </c>
      <c r="D242" s="120" t="s">
        <v>1154</v>
      </c>
      <c r="J242" s="83">
        <v>-1620000</v>
      </c>
    </row>
    <row r="243" spans="1:10" ht="18" customHeight="1" x14ac:dyDescent="0.3">
      <c r="A243" s="85">
        <v>1022</v>
      </c>
      <c r="B243" s="97">
        <v>45862</v>
      </c>
      <c r="C243" s="86" t="s">
        <v>1483</v>
      </c>
      <c r="D243" s="120" t="s">
        <v>1154</v>
      </c>
      <c r="J243" s="83">
        <v>-638000</v>
      </c>
    </row>
    <row r="244" spans="1:10" ht="18" customHeight="1" x14ac:dyDescent="0.3">
      <c r="A244" s="85">
        <v>1023</v>
      </c>
      <c r="B244" s="97">
        <v>45862</v>
      </c>
      <c r="C244" s="86" t="s">
        <v>1433</v>
      </c>
      <c r="D244" s="120" t="s">
        <v>2234</v>
      </c>
      <c r="F244" s="127">
        <v>1500000</v>
      </c>
      <c r="G244" s="88">
        <v>1</v>
      </c>
      <c r="I244" s="83">
        <v>1500000</v>
      </c>
    </row>
    <row r="245" spans="1:10" ht="18" customHeight="1" x14ac:dyDescent="0.3">
      <c r="A245" s="85">
        <v>1024</v>
      </c>
      <c r="B245" s="97">
        <v>45862</v>
      </c>
      <c r="C245" s="86" t="s">
        <v>1433</v>
      </c>
      <c r="D245" s="120" t="s">
        <v>2235</v>
      </c>
      <c r="F245" s="127">
        <v>50000</v>
      </c>
      <c r="G245" s="88">
        <v>1</v>
      </c>
      <c r="I245" s="83">
        <v>50000</v>
      </c>
    </row>
    <row r="246" spans="1:10" ht="18" customHeight="1" x14ac:dyDescent="0.3">
      <c r="A246" s="85">
        <v>1025</v>
      </c>
      <c r="B246" s="97">
        <v>45862</v>
      </c>
      <c r="C246" s="86" t="s">
        <v>1433</v>
      </c>
      <c r="D246" s="120" t="s">
        <v>1583</v>
      </c>
      <c r="F246" s="127">
        <v>50000</v>
      </c>
      <c r="G246" s="88">
        <v>1</v>
      </c>
      <c r="I246" s="83">
        <v>50000</v>
      </c>
    </row>
    <row r="247" spans="1:10" ht="18" customHeight="1" x14ac:dyDescent="0.3">
      <c r="A247" s="85">
        <v>1026</v>
      </c>
      <c r="B247" s="97">
        <v>45862</v>
      </c>
      <c r="C247" s="86" t="s">
        <v>1915</v>
      </c>
      <c r="D247" s="120" t="s">
        <v>2347</v>
      </c>
      <c r="F247" s="127">
        <v>1600000</v>
      </c>
      <c r="G247" s="88">
        <v>1</v>
      </c>
      <c r="H247" s="133" t="s">
        <v>3158</v>
      </c>
      <c r="I247" s="83">
        <v>1760000</v>
      </c>
    </row>
    <row r="248" spans="1:10" ht="18" customHeight="1" x14ac:dyDescent="0.3">
      <c r="A248" s="85">
        <v>1027</v>
      </c>
      <c r="B248" s="97">
        <v>45862</v>
      </c>
      <c r="C248" s="86" t="s">
        <v>1492</v>
      </c>
      <c r="D248" s="120" t="s">
        <v>2234</v>
      </c>
      <c r="F248" s="127">
        <v>1500000</v>
      </c>
      <c r="G248" s="88">
        <v>1</v>
      </c>
      <c r="I248" s="83">
        <v>1500000</v>
      </c>
    </row>
    <row r="249" spans="1:10" ht="18" customHeight="1" x14ac:dyDescent="0.3">
      <c r="A249" s="85">
        <v>1028</v>
      </c>
      <c r="B249" s="97">
        <v>45862</v>
      </c>
      <c r="C249" s="86" t="s">
        <v>1492</v>
      </c>
      <c r="D249" s="120" t="s">
        <v>2235</v>
      </c>
      <c r="F249" s="127">
        <v>50000</v>
      </c>
      <c r="G249" s="88">
        <v>1</v>
      </c>
      <c r="I249" s="83">
        <v>50000</v>
      </c>
    </row>
    <row r="250" spans="1:10" ht="18" customHeight="1" x14ac:dyDescent="0.3">
      <c r="A250" s="85">
        <v>1029</v>
      </c>
      <c r="B250" s="97">
        <v>45862</v>
      </c>
      <c r="C250" s="86" t="s">
        <v>1483</v>
      </c>
      <c r="D250" s="120" t="s">
        <v>2241</v>
      </c>
      <c r="F250" s="127">
        <v>510000</v>
      </c>
      <c r="G250" s="88">
        <v>1</v>
      </c>
      <c r="H250" s="133">
        <v>51000</v>
      </c>
      <c r="I250" s="83">
        <v>561000</v>
      </c>
    </row>
    <row r="251" spans="1:10" ht="18" customHeight="1" x14ac:dyDescent="0.3">
      <c r="A251" s="85">
        <v>1030</v>
      </c>
      <c r="B251" s="97">
        <v>45862</v>
      </c>
      <c r="C251" s="86" t="s">
        <v>1483</v>
      </c>
      <c r="D251" s="120" t="s">
        <v>2244</v>
      </c>
      <c r="F251" s="127">
        <v>70000</v>
      </c>
      <c r="G251" s="88">
        <v>1</v>
      </c>
      <c r="H251" s="133">
        <v>7000</v>
      </c>
      <c r="I251" s="83">
        <v>77000</v>
      </c>
    </row>
    <row r="252" spans="1:10" ht="18" customHeight="1" x14ac:dyDescent="0.3">
      <c r="A252" s="85">
        <v>1031</v>
      </c>
      <c r="B252" s="97">
        <v>45862</v>
      </c>
      <c r="C252" s="86" t="s">
        <v>1617</v>
      </c>
      <c r="D252" s="120" t="s">
        <v>1299</v>
      </c>
      <c r="F252" s="127">
        <v>50000</v>
      </c>
      <c r="G252" s="88">
        <v>1</v>
      </c>
      <c r="H252" s="133">
        <v>5000</v>
      </c>
      <c r="I252" s="83">
        <v>55000</v>
      </c>
    </row>
    <row r="253" spans="1:10" ht="18" customHeight="1" x14ac:dyDescent="0.3">
      <c r="A253" s="85">
        <v>1032</v>
      </c>
      <c r="B253" s="97">
        <v>45862</v>
      </c>
      <c r="C253" s="86" t="s">
        <v>1478</v>
      </c>
      <c r="D253" s="120" t="s">
        <v>3150</v>
      </c>
      <c r="F253" s="127">
        <v>-230000</v>
      </c>
      <c r="G253" s="88">
        <v>1</v>
      </c>
      <c r="I253" s="83">
        <v>-230000</v>
      </c>
    </row>
    <row r="254" spans="1:10" ht="18" customHeight="1" x14ac:dyDescent="0.3">
      <c r="A254" s="85">
        <v>1033</v>
      </c>
      <c r="B254" s="97">
        <v>45862</v>
      </c>
      <c r="C254" s="86" t="s">
        <v>2376</v>
      </c>
      <c r="D254" s="120" t="s">
        <v>2347</v>
      </c>
      <c r="F254" s="127">
        <v>1500000</v>
      </c>
      <c r="G254" s="88">
        <v>1</v>
      </c>
      <c r="I254" s="83">
        <v>1500000</v>
      </c>
    </row>
    <row r="255" spans="1:10" ht="18" customHeight="1" x14ac:dyDescent="0.3">
      <c r="A255" s="85">
        <v>1034</v>
      </c>
      <c r="B255" s="97">
        <v>45862</v>
      </c>
      <c r="C255" s="86" t="s">
        <v>1486</v>
      </c>
      <c r="D255" s="120" t="s">
        <v>3042</v>
      </c>
      <c r="F255" s="127">
        <v>50000</v>
      </c>
      <c r="G255" s="88">
        <v>1</v>
      </c>
      <c r="I255" s="83">
        <v>50000</v>
      </c>
    </row>
    <row r="256" spans="1:10" ht="18" customHeight="1" x14ac:dyDescent="0.3">
      <c r="A256" s="85">
        <v>1035</v>
      </c>
      <c r="B256" s="97">
        <v>45862</v>
      </c>
      <c r="C256" s="86" t="s">
        <v>3154</v>
      </c>
      <c r="D256" s="120" t="s">
        <v>2234</v>
      </c>
      <c r="F256" s="127">
        <v>1500000</v>
      </c>
      <c r="G256" s="88">
        <v>1</v>
      </c>
      <c r="I256" s="83">
        <v>1500000</v>
      </c>
    </row>
    <row r="257" spans="1:10" ht="18" customHeight="1" x14ac:dyDescent="0.3">
      <c r="A257" s="85">
        <v>1036</v>
      </c>
      <c r="B257" s="97">
        <v>45862</v>
      </c>
      <c r="C257" s="86" t="s">
        <v>3154</v>
      </c>
      <c r="D257" s="120" t="s">
        <v>2235</v>
      </c>
      <c r="F257" s="127">
        <v>50000</v>
      </c>
      <c r="G257" s="88">
        <v>1</v>
      </c>
      <c r="I257" s="83">
        <v>50000</v>
      </c>
    </row>
    <row r="258" spans="1:10" ht="18" customHeight="1" x14ac:dyDescent="0.3">
      <c r="A258" s="85">
        <v>1037</v>
      </c>
      <c r="B258" s="97">
        <v>45862</v>
      </c>
      <c r="C258" s="86" t="s">
        <v>1492</v>
      </c>
      <c r="D258" s="120" t="s">
        <v>3159</v>
      </c>
      <c r="F258" s="127">
        <v>40000</v>
      </c>
      <c r="G258" s="88">
        <v>1</v>
      </c>
      <c r="I258" s="83">
        <v>40000</v>
      </c>
    </row>
    <row r="259" spans="1:10" ht="18" customHeight="1" x14ac:dyDescent="0.3">
      <c r="A259" s="85">
        <v>1038</v>
      </c>
      <c r="B259" s="97">
        <v>45862</v>
      </c>
      <c r="C259" s="86" t="s">
        <v>1851</v>
      </c>
      <c r="D259" s="120" t="s">
        <v>1154</v>
      </c>
      <c r="J259" s="83">
        <v>-726000</v>
      </c>
    </row>
    <row r="260" spans="1:10" ht="18" customHeight="1" x14ac:dyDescent="0.3">
      <c r="A260" s="85">
        <v>1039</v>
      </c>
      <c r="B260" s="97">
        <v>45863</v>
      </c>
      <c r="C260" s="86" t="s">
        <v>2457</v>
      </c>
      <c r="D260" s="120" t="s">
        <v>3162</v>
      </c>
      <c r="F260" s="127">
        <v>2000000</v>
      </c>
      <c r="G260" s="88">
        <v>1</v>
      </c>
      <c r="I260" s="83">
        <v>2000000</v>
      </c>
    </row>
    <row r="261" spans="1:10" ht="18" customHeight="1" x14ac:dyDescent="0.3">
      <c r="A261" s="85">
        <v>1040</v>
      </c>
      <c r="B261" s="97">
        <v>45863</v>
      </c>
      <c r="C261" s="86" t="s">
        <v>2026</v>
      </c>
      <c r="D261" s="120" t="s">
        <v>1753</v>
      </c>
      <c r="F261" s="127">
        <v>23000</v>
      </c>
      <c r="G261" s="88">
        <v>10</v>
      </c>
      <c r="I261" s="83">
        <v>230000</v>
      </c>
    </row>
    <row r="262" spans="1:10" ht="18" customHeight="1" x14ac:dyDescent="0.3">
      <c r="A262" s="85">
        <v>1041</v>
      </c>
      <c r="B262" s="97">
        <v>45863</v>
      </c>
      <c r="C262" s="86" t="s">
        <v>1635</v>
      </c>
      <c r="D262" s="120" t="s">
        <v>1234</v>
      </c>
      <c r="F262" s="127">
        <v>1000000</v>
      </c>
      <c r="G262" s="88">
        <v>1</v>
      </c>
      <c r="I262" s="83">
        <v>1000000</v>
      </c>
    </row>
    <row r="263" spans="1:10" ht="18" customHeight="1" x14ac:dyDescent="0.3">
      <c r="A263" s="85">
        <v>1042</v>
      </c>
      <c r="B263" s="97">
        <v>45863</v>
      </c>
      <c r="C263" s="86" t="s">
        <v>986</v>
      </c>
      <c r="D263" s="120" t="s">
        <v>3168</v>
      </c>
      <c r="F263" s="127">
        <v>1100000</v>
      </c>
      <c r="G263" s="88">
        <v>1</v>
      </c>
      <c r="H263" s="133">
        <v>110000</v>
      </c>
      <c r="I263" s="83">
        <v>1210000</v>
      </c>
    </row>
    <row r="264" spans="1:10" ht="18" customHeight="1" x14ac:dyDescent="0.3">
      <c r="A264" s="85">
        <v>1043</v>
      </c>
      <c r="B264" s="97">
        <v>45863</v>
      </c>
      <c r="C264" s="86" t="s">
        <v>1102</v>
      </c>
      <c r="D264" s="120" t="s">
        <v>2234</v>
      </c>
      <c r="F264" s="127">
        <v>1500000</v>
      </c>
      <c r="G264" s="88">
        <v>1</v>
      </c>
      <c r="I264" s="83">
        <v>1500000</v>
      </c>
    </row>
    <row r="265" spans="1:10" ht="18" customHeight="1" x14ac:dyDescent="0.3">
      <c r="A265" s="85">
        <v>1044</v>
      </c>
      <c r="B265" s="97">
        <v>45863</v>
      </c>
      <c r="C265" s="86" t="s">
        <v>1102</v>
      </c>
      <c r="D265" s="120" t="s">
        <v>2235</v>
      </c>
      <c r="F265" s="127">
        <v>50000</v>
      </c>
      <c r="G265" s="88">
        <v>1</v>
      </c>
      <c r="I265" s="83">
        <v>50000</v>
      </c>
    </row>
    <row r="266" spans="1:10" ht="18" customHeight="1" x14ac:dyDescent="0.3">
      <c r="A266" s="85">
        <v>1045</v>
      </c>
      <c r="B266" s="97">
        <v>45863</v>
      </c>
      <c r="C266" s="86" t="s">
        <v>986</v>
      </c>
      <c r="D266" s="120" t="s">
        <v>1154</v>
      </c>
      <c r="J266" s="83">
        <v>-1210000</v>
      </c>
    </row>
    <row r="267" spans="1:10" ht="18" customHeight="1" x14ac:dyDescent="0.3">
      <c r="A267" s="85">
        <v>1046</v>
      </c>
      <c r="B267" s="97">
        <v>45863</v>
      </c>
      <c r="C267" s="86" t="s">
        <v>1915</v>
      </c>
      <c r="D267" s="120" t="s">
        <v>1154</v>
      </c>
      <c r="J267" s="83">
        <v>-1760000</v>
      </c>
    </row>
    <row r="268" spans="1:10" ht="18" customHeight="1" x14ac:dyDescent="0.3">
      <c r="A268" s="85">
        <v>1047</v>
      </c>
      <c r="B268" s="97">
        <v>45863</v>
      </c>
      <c r="C268" s="86" t="s">
        <v>2457</v>
      </c>
      <c r="D268" s="120" t="s">
        <v>1154</v>
      </c>
      <c r="J268" s="83">
        <v>-2000000</v>
      </c>
    </row>
    <row r="269" spans="1:10" ht="18" customHeight="1" x14ac:dyDescent="0.3">
      <c r="A269" s="85">
        <v>1048</v>
      </c>
      <c r="B269" s="97">
        <v>45863</v>
      </c>
      <c r="C269" s="86" t="s">
        <v>1513</v>
      </c>
      <c r="D269" s="120" t="s">
        <v>2387</v>
      </c>
      <c r="F269" s="127">
        <v>1500000</v>
      </c>
      <c r="G269" s="88">
        <v>1</v>
      </c>
      <c r="I269" s="83">
        <v>1500000</v>
      </c>
    </row>
    <row r="270" spans="1:10" ht="18" customHeight="1" x14ac:dyDescent="0.3">
      <c r="A270" s="85">
        <v>1049</v>
      </c>
      <c r="B270" s="97">
        <v>45863</v>
      </c>
      <c r="C270" s="86" t="s">
        <v>1503</v>
      </c>
      <c r="D270" s="120" t="s">
        <v>1234</v>
      </c>
      <c r="F270" s="127">
        <v>1300000</v>
      </c>
      <c r="G270" s="88">
        <v>1</v>
      </c>
      <c r="I270" s="83">
        <v>1300000</v>
      </c>
    </row>
    <row r="271" spans="1:10" ht="18" customHeight="1" x14ac:dyDescent="0.3">
      <c r="A271" s="85">
        <v>1050</v>
      </c>
      <c r="B271" s="97">
        <v>45864</v>
      </c>
      <c r="C271" s="86" t="s">
        <v>1483</v>
      </c>
      <c r="D271" s="120" t="s">
        <v>1784</v>
      </c>
      <c r="J271" s="83">
        <v>-638000</v>
      </c>
    </row>
    <row r="272" spans="1:10" ht="18" customHeight="1" x14ac:dyDescent="0.3">
      <c r="A272" s="85">
        <v>1051</v>
      </c>
      <c r="B272" s="97">
        <v>45864</v>
      </c>
      <c r="C272" s="86" t="s">
        <v>1478</v>
      </c>
      <c r="D272" s="120" t="s">
        <v>2232</v>
      </c>
      <c r="F272" s="127">
        <v>1500000</v>
      </c>
      <c r="G272" s="88">
        <v>1</v>
      </c>
      <c r="I272" s="83">
        <v>1500000</v>
      </c>
    </row>
    <row r="273" spans="1:10" ht="18" customHeight="1" x14ac:dyDescent="0.3">
      <c r="A273" s="85">
        <v>1052</v>
      </c>
      <c r="B273" s="97">
        <v>45864</v>
      </c>
      <c r="C273" s="86" t="s">
        <v>1635</v>
      </c>
      <c r="D273" s="120" t="s">
        <v>1784</v>
      </c>
      <c r="J273" s="83">
        <v>-1000000</v>
      </c>
    </row>
    <row r="274" spans="1:10" ht="18" customHeight="1" x14ac:dyDescent="0.3">
      <c r="A274" s="85">
        <v>1053</v>
      </c>
      <c r="B274" s="97">
        <v>45866</v>
      </c>
      <c r="C274" s="86" t="s">
        <v>3154</v>
      </c>
      <c r="D274" s="120" t="s">
        <v>1154</v>
      </c>
      <c r="J274" s="83">
        <v>-1550000</v>
      </c>
    </row>
    <row r="275" spans="1:10" ht="18" customHeight="1" x14ac:dyDescent="0.3">
      <c r="A275" s="85">
        <v>1054</v>
      </c>
      <c r="B275" s="97">
        <v>45866</v>
      </c>
      <c r="C275" s="86" t="s">
        <v>1102</v>
      </c>
      <c r="D275" s="120" t="s">
        <v>1154</v>
      </c>
      <c r="J275" s="83">
        <v>-1550000</v>
      </c>
    </row>
    <row r="276" spans="1:10" ht="18" customHeight="1" x14ac:dyDescent="0.3">
      <c r="A276" s="85">
        <v>1055</v>
      </c>
      <c r="B276" s="97">
        <v>45866</v>
      </c>
      <c r="C276" s="86" t="s">
        <v>1785</v>
      </c>
      <c r="D276" s="120" t="s">
        <v>1154</v>
      </c>
      <c r="J276" s="83">
        <v>-1452000</v>
      </c>
    </row>
    <row r="277" spans="1:10" ht="18" customHeight="1" x14ac:dyDescent="0.3">
      <c r="A277" s="85">
        <v>1056</v>
      </c>
      <c r="B277" s="97">
        <v>45866</v>
      </c>
      <c r="C277" s="86" t="s">
        <v>1066</v>
      </c>
      <c r="D277" s="120" t="s">
        <v>2155</v>
      </c>
      <c r="F277" s="127">
        <v>1000000</v>
      </c>
      <c r="G277" s="88">
        <v>1</v>
      </c>
      <c r="I277" s="83">
        <v>1000000</v>
      </c>
    </row>
    <row r="278" spans="1:10" ht="18" customHeight="1" x14ac:dyDescent="0.3">
      <c r="A278" s="85">
        <v>1057</v>
      </c>
      <c r="B278" s="97">
        <v>45866</v>
      </c>
      <c r="C278" s="86" t="s">
        <v>1433</v>
      </c>
      <c r="D278" s="120" t="s">
        <v>1774</v>
      </c>
      <c r="F278" s="127">
        <v>500000</v>
      </c>
      <c r="G278" s="88">
        <v>1</v>
      </c>
      <c r="I278" s="83">
        <v>500000</v>
      </c>
    </row>
    <row r="279" spans="1:10" ht="18" customHeight="1" x14ac:dyDescent="0.3">
      <c r="A279" s="85">
        <v>1058</v>
      </c>
      <c r="B279" s="97">
        <v>45866</v>
      </c>
      <c r="C279" s="86" t="s">
        <v>1433</v>
      </c>
      <c r="D279" s="120" t="s">
        <v>3065</v>
      </c>
      <c r="F279" s="127">
        <v>430000</v>
      </c>
      <c r="G279" s="88">
        <v>1</v>
      </c>
      <c r="I279" s="83">
        <v>430000</v>
      </c>
    </row>
    <row r="280" spans="1:10" ht="18" customHeight="1" x14ac:dyDescent="0.3">
      <c r="A280" s="85">
        <v>1059</v>
      </c>
      <c r="B280" s="97">
        <v>45866</v>
      </c>
      <c r="C280" s="86" t="s">
        <v>1785</v>
      </c>
      <c r="D280" s="120" t="s">
        <v>1773</v>
      </c>
      <c r="F280" s="127">
        <v>600000</v>
      </c>
      <c r="G280" s="88">
        <v>1</v>
      </c>
      <c r="H280" s="133">
        <v>60000</v>
      </c>
      <c r="I280" s="83">
        <v>660000</v>
      </c>
    </row>
    <row r="281" spans="1:10" ht="18" customHeight="1" x14ac:dyDescent="0.3">
      <c r="A281" s="85">
        <v>1060</v>
      </c>
      <c r="B281" s="97">
        <v>45866</v>
      </c>
      <c r="C281" s="86" t="s">
        <v>1892</v>
      </c>
      <c r="D281" s="120" t="s">
        <v>2243</v>
      </c>
      <c r="F281" s="127">
        <v>200000</v>
      </c>
      <c r="G281" s="88">
        <v>1</v>
      </c>
      <c r="I281" s="83">
        <v>200000</v>
      </c>
    </row>
    <row r="282" spans="1:10" ht="18" customHeight="1" x14ac:dyDescent="0.3">
      <c r="A282" s="85">
        <v>1061</v>
      </c>
      <c r="B282" s="97">
        <v>45866</v>
      </c>
      <c r="C282" s="86" t="s">
        <v>1708</v>
      </c>
      <c r="D282" s="120" t="s">
        <v>1871</v>
      </c>
      <c r="F282" s="127">
        <v>2500000</v>
      </c>
      <c r="G282" s="88">
        <v>1</v>
      </c>
      <c r="H282" s="133">
        <v>250000</v>
      </c>
      <c r="I282" s="83">
        <v>2750000</v>
      </c>
    </row>
    <row r="283" spans="1:10" ht="18" customHeight="1" x14ac:dyDescent="0.3">
      <c r="A283" s="85">
        <v>1062</v>
      </c>
      <c r="B283" s="97">
        <v>45866</v>
      </c>
      <c r="C283" s="86" t="s">
        <v>1507</v>
      </c>
      <c r="D283" s="120" t="s">
        <v>2241</v>
      </c>
      <c r="F283" s="127">
        <v>500000</v>
      </c>
      <c r="G283" s="88">
        <v>1</v>
      </c>
      <c r="I283" s="83">
        <v>500000</v>
      </c>
    </row>
    <row r="284" spans="1:10" ht="18" customHeight="1" x14ac:dyDescent="0.3">
      <c r="A284" s="85">
        <v>1063</v>
      </c>
      <c r="B284" s="97">
        <v>45866</v>
      </c>
      <c r="C284" s="86" t="s">
        <v>3186</v>
      </c>
      <c r="D284" s="120" t="s">
        <v>1904</v>
      </c>
      <c r="F284" s="127">
        <v>1100000</v>
      </c>
      <c r="G284" s="88">
        <v>1</v>
      </c>
      <c r="I284" s="83">
        <v>1100000</v>
      </c>
    </row>
    <row r="285" spans="1:10" ht="18" customHeight="1" x14ac:dyDescent="0.3">
      <c r="A285" s="85">
        <v>1064</v>
      </c>
      <c r="B285" s="97">
        <v>45866</v>
      </c>
      <c r="C285" s="86" t="s">
        <v>1578</v>
      </c>
      <c r="D285" s="120" t="s">
        <v>2240</v>
      </c>
      <c r="F285" s="127">
        <v>1400000</v>
      </c>
      <c r="G285" s="88">
        <v>1</v>
      </c>
      <c r="I285" s="83">
        <v>1400000</v>
      </c>
    </row>
    <row r="286" spans="1:10" ht="18" customHeight="1" x14ac:dyDescent="0.3">
      <c r="A286" s="85">
        <v>1065</v>
      </c>
      <c r="B286" s="97">
        <v>45866</v>
      </c>
      <c r="C286" s="86" t="s">
        <v>1906</v>
      </c>
      <c r="D286" s="120" t="s">
        <v>2234</v>
      </c>
      <c r="F286" s="127">
        <v>1500000</v>
      </c>
      <c r="G286" s="88">
        <v>1</v>
      </c>
      <c r="I286" s="83">
        <v>1500000</v>
      </c>
    </row>
    <row r="287" spans="1:10" ht="18" customHeight="1" x14ac:dyDescent="0.3">
      <c r="A287" s="85">
        <v>1066</v>
      </c>
      <c r="B287" s="97">
        <v>45866</v>
      </c>
      <c r="C287" s="86" t="s">
        <v>1906</v>
      </c>
      <c r="D287" s="120" t="s">
        <v>2235</v>
      </c>
      <c r="F287" s="127">
        <v>50000</v>
      </c>
      <c r="G287" s="88">
        <v>1</v>
      </c>
      <c r="I287" s="83">
        <v>50000</v>
      </c>
    </row>
    <row r="288" spans="1:10" ht="18" customHeight="1" x14ac:dyDescent="0.3">
      <c r="A288" s="85">
        <v>1067</v>
      </c>
      <c r="B288" s="97">
        <v>45866</v>
      </c>
      <c r="C288" s="86" t="s">
        <v>1785</v>
      </c>
      <c r="D288" s="120" t="s">
        <v>2490</v>
      </c>
      <c r="F288" s="127">
        <v>1100000</v>
      </c>
      <c r="G288" s="88">
        <v>1</v>
      </c>
      <c r="H288" s="133">
        <v>110000</v>
      </c>
      <c r="I288" s="83">
        <v>1210000</v>
      </c>
    </row>
    <row r="289" spans="1:10" ht="18" customHeight="1" x14ac:dyDescent="0.3">
      <c r="A289" s="85">
        <v>1068</v>
      </c>
      <c r="B289" s="97">
        <v>45866</v>
      </c>
      <c r="C289" s="86" t="s">
        <v>1785</v>
      </c>
      <c r="D289" s="120" t="s">
        <v>1553</v>
      </c>
      <c r="F289" s="127">
        <v>20000</v>
      </c>
      <c r="G289" s="88">
        <v>1</v>
      </c>
      <c r="H289" s="133">
        <v>2000</v>
      </c>
      <c r="I289" s="83">
        <v>22000</v>
      </c>
    </row>
    <row r="290" spans="1:10" ht="18" customHeight="1" x14ac:dyDescent="0.3">
      <c r="A290" s="85">
        <v>1069</v>
      </c>
      <c r="B290" s="97">
        <v>45866</v>
      </c>
      <c r="C290" s="86" t="s">
        <v>1483</v>
      </c>
      <c r="D290" s="120" t="s">
        <v>1234</v>
      </c>
      <c r="F290" s="127">
        <v>1200000</v>
      </c>
      <c r="G290" s="88">
        <v>1</v>
      </c>
      <c r="H290" s="133">
        <v>120000</v>
      </c>
      <c r="I290" s="83">
        <v>1320000</v>
      </c>
    </row>
    <row r="291" spans="1:10" ht="18" customHeight="1" x14ac:dyDescent="0.3">
      <c r="A291" s="85">
        <v>1070</v>
      </c>
      <c r="B291" s="97">
        <v>45866</v>
      </c>
      <c r="C291" s="86" t="s">
        <v>3186</v>
      </c>
      <c r="D291" s="120" t="s">
        <v>1784</v>
      </c>
      <c r="J291" s="83">
        <v>-1100000</v>
      </c>
    </row>
    <row r="292" spans="1:10" ht="18" customHeight="1" x14ac:dyDescent="0.3">
      <c r="A292" s="85">
        <v>1071</v>
      </c>
      <c r="B292" s="97">
        <v>45866</v>
      </c>
      <c r="C292" s="86" t="s">
        <v>3194</v>
      </c>
      <c r="D292" s="120" t="s">
        <v>2234</v>
      </c>
      <c r="F292" s="127">
        <v>1500000</v>
      </c>
      <c r="G292" s="88">
        <v>1</v>
      </c>
      <c r="H292" s="133">
        <v>150000</v>
      </c>
      <c r="I292" s="83">
        <v>1650000</v>
      </c>
    </row>
    <row r="293" spans="1:10" ht="18" customHeight="1" x14ac:dyDescent="0.3">
      <c r="A293" s="85">
        <v>1072</v>
      </c>
      <c r="B293" s="97">
        <v>45866</v>
      </c>
      <c r="C293" s="86" t="s">
        <v>3194</v>
      </c>
      <c r="D293" s="120" t="s">
        <v>2235</v>
      </c>
      <c r="F293" s="127">
        <v>50000</v>
      </c>
      <c r="G293" s="88">
        <v>1</v>
      </c>
      <c r="H293" s="133">
        <v>5000</v>
      </c>
      <c r="I293" s="83">
        <v>55000</v>
      </c>
    </row>
    <row r="294" spans="1:10" ht="18" customHeight="1" x14ac:dyDescent="0.3">
      <c r="A294" s="85">
        <v>1073</v>
      </c>
      <c r="B294" s="97">
        <v>45866</v>
      </c>
      <c r="C294" s="86" t="s">
        <v>3194</v>
      </c>
      <c r="D294" s="120" t="s">
        <v>1784</v>
      </c>
      <c r="J294" s="83">
        <v>-1705000</v>
      </c>
    </row>
    <row r="295" spans="1:10" ht="18" customHeight="1" x14ac:dyDescent="0.3">
      <c r="A295" s="85">
        <v>1074</v>
      </c>
      <c r="B295" s="97">
        <v>45866</v>
      </c>
      <c r="C295" s="86" t="s">
        <v>1483</v>
      </c>
      <c r="D295" s="120" t="s">
        <v>1784</v>
      </c>
      <c r="J295" s="83">
        <v>-1320000</v>
      </c>
    </row>
    <row r="296" spans="1:10" ht="18" customHeight="1" x14ac:dyDescent="0.3">
      <c r="A296" s="85">
        <v>1075</v>
      </c>
      <c r="B296" s="97">
        <v>45866</v>
      </c>
      <c r="C296" s="86" t="s">
        <v>1708</v>
      </c>
      <c r="D296" s="120" t="s">
        <v>1784</v>
      </c>
      <c r="J296" s="83">
        <v>-1705000</v>
      </c>
    </row>
    <row r="297" spans="1:10" ht="18" customHeight="1" x14ac:dyDescent="0.3">
      <c r="A297" s="85">
        <v>1076</v>
      </c>
      <c r="B297" s="97">
        <v>45866</v>
      </c>
      <c r="C297" s="86" t="s">
        <v>1578</v>
      </c>
      <c r="D297" s="120" t="s">
        <v>1784</v>
      </c>
      <c r="J297" s="83">
        <v>-1400000</v>
      </c>
    </row>
    <row r="298" spans="1:10" ht="18" customHeight="1" x14ac:dyDescent="0.3">
      <c r="A298" s="85">
        <v>1077</v>
      </c>
      <c r="B298" s="97">
        <v>45866</v>
      </c>
      <c r="C298" s="86" t="s">
        <v>1492</v>
      </c>
      <c r="D298" s="120" t="s">
        <v>1784</v>
      </c>
      <c r="J298" s="83">
        <v>-1789000</v>
      </c>
    </row>
    <row r="299" spans="1:10" ht="18" customHeight="1" x14ac:dyDescent="0.3">
      <c r="A299" s="85">
        <v>1078</v>
      </c>
      <c r="B299" s="97">
        <v>45866</v>
      </c>
      <c r="C299" s="86" t="s">
        <v>1892</v>
      </c>
      <c r="D299" s="120" t="s">
        <v>1784</v>
      </c>
      <c r="J299" s="83">
        <v>-710000</v>
      </c>
    </row>
    <row r="300" spans="1:10" ht="18" customHeight="1" x14ac:dyDescent="0.3">
      <c r="A300" s="85">
        <v>1079</v>
      </c>
      <c r="B300" s="97">
        <v>45866</v>
      </c>
      <c r="C300" s="86" t="s">
        <v>2026</v>
      </c>
      <c r="D300" s="120" t="s">
        <v>1784</v>
      </c>
      <c r="J300" s="83">
        <v>-230000</v>
      </c>
    </row>
    <row r="301" spans="1:10" ht="18" customHeight="1" x14ac:dyDescent="0.3">
      <c r="A301" s="85">
        <v>1080</v>
      </c>
      <c r="B301" s="97">
        <v>45867</v>
      </c>
      <c r="C301" s="86" t="s">
        <v>1066</v>
      </c>
      <c r="D301" s="120" t="s">
        <v>1784</v>
      </c>
      <c r="J301" s="83">
        <v>-1000000</v>
      </c>
    </row>
    <row r="302" spans="1:10" ht="18" customHeight="1" x14ac:dyDescent="0.3">
      <c r="A302" s="85">
        <v>1081</v>
      </c>
      <c r="B302" s="97">
        <v>45867</v>
      </c>
      <c r="C302" s="86" t="s">
        <v>1024</v>
      </c>
      <c r="D302" s="120" t="s">
        <v>1784</v>
      </c>
      <c r="J302" s="83">
        <v>-1320000</v>
      </c>
    </row>
    <row r="303" spans="1:10" ht="18" customHeight="1" x14ac:dyDescent="0.3">
      <c r="A303" s="85">
        <v>1082</v>
      </c>
      <c r="B303" s="97">
        <v>45867</v>
      </c>
      <c r="C303" s="86" t="s">
        <v>1617</v>
      </c>
      <c r="D303" s="120" t="s">
        <v>3137</v>
      </c>
      <c r="J303" s="83">
        <v>-500000</v>
      </c>
    </row>
    <row r="304" spans="1:10" ht="18" customHeight="1" x14ac:dyDescent="0.3">
      <c r="A304" s="85">
        <v>1083</v>
      </c>
      <c r="B304" s="97">
        <v>45867</v>
      </c>
      <c r="C304" s="86" t="s">
        <v>1478</v>
      </c>
      <c r="D304" s="120" t="s">
        <v>3227</v>
      </c>
      <c r="F304" s="127">
        <v>250000</v>
      </c>
      <c r="G304" s="88">
        <v>1</v>
      </c>
      <c r="I304" s="83">
        <v>250000</v>
      </c>
    </row>
    <row r="305" spans="1:10" ht="18" customHeight="1" x14ac:dyDescent="0.3">
      <c r="A305" s="85">
        <v>1084</v>
      </c>
      <c r="B305" s="97">
        <v>45867</v>
      </c>
      <c r="C305" s="86" t="s">
        <v>1829</v>
      </c>
      <c r="D305" s="120" t="s">
        <v>2234</v>
      </c>
      <c r="F305" s="127">
        <v>1500000</v>
      </c>
      <c r="G305" s="88">
        <v>1</v>
      </c>
      <c r="I305" s="83">
        <v>1500000</v>
      </c>
    </row>
    <row r="306" spans="1:10" ht="18" customHeight="1" x14ac:dyDescent="0.3">
      <c r="A306" s="85">
        <v>1085</v>
      </c>
      <c r="B306" s="97">
        <v>45867</v>
      </c>
      <c r="C306" s="86" t="s">
        <v>1829</v>
      </c>
      <c r="D306" s="120" t="s">
        <v>2235</v>
      </c>
      <c r="F306" s="127">
        <v>50000</v>
      </c>
      <c r="G306" s="88">
        <v>1</v>
      </c>
      <c r="I306" s="83">
        <v>50000</v>
      </c>
    </row>
    <row r="307" spans="1:10" ht="18" customHeight="1" x14ac:dyDescent="0.3">
      <c r="A307" s="85">
        <v>1086</v>
      </c>
      <c r="B307" s="97">
        <v>45867</v>
      </c>
      <c r="C307" s="86" t="s">
        <v>1102</v>
      </c>
      <c r="D307" s="120" t="s">
        <v>2240</v>
      </c>
      <c r="F307" s="127">
        <v>900000</v>
      </c>
      <c r="G307" s="88">
        <v>1</v>
      </c>
      <c r="I307" s="83">
        <v>900000</v>
      </c>
    </row>
    <row r="308" spans="1:10" ht="18" customHeight="1" x14ac:dyDescent="0.3">
      <c r="A308" s="85">
        <v>1087</v>
      </c>
      <c r="B308" s="97">
        <v>45867</v>
      </c>
      <c r="C308" s="86" t="s">
        <v>1339</v>
      </c>
      <c r="D308" s="120" t="s">
        <v>2241</v>
      </c>
      <c r="F308" s="127">
        <v>520000</v>
      </c>
      <c r="G308" s="88">
        <v>1</v>
      </c>
      <c r="I308" s="83">
        <v>520000</v>
      </c>
    </row>
    <row r="309" spans="1:10" ht="18" customHeight="1" x14ac:dyDescent="0.3">
      <c r="A309" s="85">
        <v>1088</v>
      </c>
      <c r="B309" s="97">
        <v>45867</v>
      </c>
      <c r="C309" s="86" t="s">
        <v>1339</v>
      </c>
      <c r="D309" s="120" t="s">
        <v>2244</v>
      </c>
      <c r="F309" s="127">
        <v>70000</v>
      </c>
      <c r="G309" s="88">
        <v>1</v>
      </c>
      <c r="I309" s="83">
        <v>70000</v>
      </c>
    </row>
    <row r="310" spans="1:10" ht="18" customHeight="1" x14ac:dyDescent="0.3">
      <c r="A310" s="85">
        <v>1089</v>
      </c>
      <c r="B310" s="97">
        <v>45867</v>
      </c>
      <c r="C310" s="86" t="s">
        <v>1339</v>
      </c>
      <c r="D310" s="120" t="s">
        <v>2245</v>
      </c>
      <c r="F310" s="127">
        <v>35000</v>
      </c>
      <c r="G310" s="88">
        <v>1</v>
      </c>
      <c r="I310" s="83">
        <v>35000</v>
      </c>
    </row>
    <row r="311" spans="1:10" ht="18" customHeight="1" x14ac:dyDescent="0.3">
      <c r="A311" s="85">
        <v>1090</v>
      </c>
      <c r="B311" s="97">
        <v>45867</v>
      </c>
      <c r="C311" s="86" t="s">
        <v>1339</v>
      </c>
      <c r="D311" s="120" t="s">
        <v>3065</v>
      </c>
      <c r="F311" s="127">
        <v>450000</v>
      </c>
      <c r="G311" s="88">
        <v>1</v>
      </c>
      <c r="I311" s="83">
        <v>450000</v>
      </c>
    </row>
    <row r="312" spans="1:10" ht="18" customHeight="1" x14ac:dyDescent="0.3">
      <c r="A312" s="85">
        <v>1091</v>
      </c>
      <c r="B312" s="97">
        <v>45867</v>
      </c>
      <c r="C312" s="86" t="s">
        <v>1844</v>
      </c>
      <c r="D312" s="120" t="s">
        <v>2709</v>
      </c>
      <c r="F312" s="127">
        <v>1600000</v>
      </c>
      <c r="G312" s="88">
        <v>1</v>
      </c>
      <c r="H312" s="133">
        <v>160000</v>
      </c>
      <c r="I312" s="83">
        <v>1760000</v>
      </c>
    </row>
    <row r="313" spans="1:10" ht="18" customHeight="1" x14ac:dyDescent="0.3">
      <c r="A313" s="85">
        <v>1092</v>
      </c>
      <c r="B313" s="97">
        <v>45867</v>
      </c>
      <c r="C313" s="86" t="s">
        <v>3059</v>
      </c>
      <c r="D313" s="120" t="s">
        <v>1234</v>
      </c>
      <c r="F313" s="127">
        <v>1000000</v>
      </c>
      <c r="G313" s="88">
        <v>1</v>
      </c>
      <c r="I313" s="83">
        <v>1000000</v>
      </c>
    </row>
    <row r="314" spans="1:10" ht="18" customHeight="1" x14ac:dyDescent="0.3">
      <c r="A314" s="85">
        <v>1093</v>
      </c>
      <c r="B314" s="97">
        <v>45867</v>
      </c>
      <c r="C314" s="86" t="s">
        <v>1759</v>
      </c>
      <c r="D314" s="120" t="s">
        <v>3244</v>
      </c>
      <c r="F314" s="127">
        <v>900000</v>
      </c>
      <c r="G314" s="88">
        <v>1</v>
      </c>
      <c r="I314" s="83">
        <v>900000</v>
      </c>
    </row>
    <row r="315" spans="1:10" ht="18" customHeight="1" x14ac:dyDescent="0.3">
      <c r="A315" s="85">
        <v>1094</v>
      </c>
      <c r="B315" s="97">
        <v>45867</v>
      </c>
      <c r="C315" s="86" t="s">
        <v>1478</v>
      </c>
      <c r="D315" s="120" t="s">
        <v>2234</v>
      </c>
      <c r="F315" s="127">
        <v>1500000</v>
      </c>
      <c r="G315" s="88">
        <v>1</v>
      </c>
      <c r="I315" s="83">
        <v>1500000</v>
      </c>
    </row>
    <row r="316" spans="1:10" ht="18" customHeight="1" x14ac:dyDescent="0.3">
      <c r="A316" s="85">
        <v>1095</v>
      </c>
      <c r="B316" s="97">
        <v>45867</v>
      </c>
      <c r="C316" s="86" t="s">
        <v>1478</v>
      </c>
      <c r="D316" s="120" t="s">
        <v>2235</v>
      </c>
      <c r="F316" s="127">
        <v>50000</v>
      </c>
      <c r="G316" s="88">
        <v>1</v>
      </c>
      <c r="I316" s="83">
        <v>50000</v>
      </c>
    </row>
    <row r="317" spans="1:10" ht="18" customHeight="1" x14ac:dyDescent="0.3">
      <c r="A317" s="85">
        <v>1096</v>
      </c>
      <c r="B317" s="97">
        <v>45867</v>
      </c>
      <c r="C317" s="86" t="s">
        <v>1478</v>
      </c>
      <c r="D317" s="120" t="s">
        <v>1583</v>
      </c>
      <c r="F317" s="127">
        <v>50000</v>
      </c>
      <c r="G317" s="88">
        <v>1</v>
      </c>
      <c r="I317" s="83">
        <v>50000</v>
      </c>
    </row>
    <row r="318" spans="1:10" ht="18" customHeight="1" x14ac:dyDescent="0.3">
      <c r="A318" s="85">
        <v>1097</v>
      </c>
      <c r="B318" s="97">
        <v>45867</v>
      </c>
      <c r="C318" s="86" t="s">
        <v>1844</v>
      </c>
      <c r="D318" s="120" t="s">
        <v>1154</v>
      </c>
      <c r="J318" s="83">
        <v>-132000</v>
      </c>
    </row>
    <row r="319" spans="1:10" ht="18" customHeight="1" x14ac:dyDescent="0.3">
      <c r="A319" s="85">
        <v>1098</v>
      </c>
      <c r="B319" s="97">
        <v>45867</v>
      </c>
      <c r="C319" s="86" t="s">
        <v>3059</v>
      </c>
      <c r="D319" s="120" t="s">
        <v>1154</v>
      </c>
      <c r="J319" s="83">
        <v>-1000000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2960</v>
      </c>
      <c r="D1" s="294" t="s">
        <v>2959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8637000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6</v>
      </c>
    </row>
    <row r="4" spans="1:6" x14ac:dyDescent="0.3">
      <c r="B4" t="s">
        <v>1335</v>
      </c>
      <c r="C4" s="52">
        <f>SUMIF(BTS_매출관리!C:C,B4,BTS_매출관리!I:I)</f>
        <v>9010000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4510000</v>
      </c>
      <c r="D5">
        <f t="shared" si="0"/>
        <v>9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11</v>
      </c>
    </row>
    <row r="7" spans="1:6" x14ac:dyDescent="0.3">
      <c r="B7" t="s">
        <v>2270</v>
      </c>
      <c r="C7" s="52">
        <f>SUMIF(BTS_매출관리!C:C,B7,BTS_매출관리!I:I)</f>
        <v>3954500</v>
      </c>
      <c r="D7">
        <f t="shared" si="0"/>
        <v>13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7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4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14</v>
      </c>
    </row>
    <row r="11" spans="1:6" x14ac:dyDescent="0.3">
      <c r="B11" t="s">
        <v>1369</v>
      </c>
      <c r="C11" s="52">
        <f>SUMIF(BTS_매출관리!C:C,B11,BTS_매출관리!I:I)</f>
        <v>4000000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5150000</v>
      </c>
      <c r="D12">
        <f t="shared" si="0"/>
        <v>5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19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3370000</v>
      </c>
      <c r="D14">
        <f t="shared" si="0"/>
        <v>15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21</v>
      </c>
    </row>
    <row r="16" spans="1:6" x14ac:dyDescent="0.3">
      <c r="B16" t="s">
        <v>2917</v>
      </c>
      <c r="C16" s="52">
        <f>SUMIF(BTS_매출관리!C:C,B16,BTS_매출관리!I:I)</f>
        <v>2020000</v>
      </c>
      <c r="D16">
        <f t="shared" si="0"/>
        <v>22</v>
      </c>
    </row>
    <row r="17" spans="2:4" x14ac:dyDescent="0.3">
      <c r="B17" t="s">
        <v>2555</v>
      </c>
      <c r="C17" s="52">
        <f>SUMIF(BTS_매출관리!C:C,B17,BTS_매출관리!I:I)</f>
        <v>6600000</v>
      </c>
      <c r="D17">
        <f t="shared" si="0"/>
        <v>3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25</v>
      </c>
    </row>
    <row r="19" spans="2:4" x14ac:dyDescent="0.3">
      <c r="B19" t="s">
        <v>2893</v>
      </c>
      <c r="C19" s="52">
        <f>SUMIF(BTS_매출관리!C:C,B19,BTS_매출관리!I:I)</f>
        <v>1815000</v>
      </c>
      <c r="D19">
        <f t="shared" si="0"/>
        <v>27</v>
      </c>
    </row>
    <row r="20" spans="2:4" x14ac:dyDescent="0.3">
      <c r="B20" t="s">
        <v>2883</v>
      </c>
      <c r="C20" s="52">
        <f>SUMIF(BTS_매출관리!C:C,B20,BTS_매출관리!I:I)</f>
        <v>1600000</v>
      </c>
      <c r="D20">
        <f t="shared" si="0"/>
        <v>29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30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30</v>
      </c>
    </row>
    <row r="23" spans="2:4" x14ac:dyDescent="0.3">
      <c r="B23" t="s">
        <v>2912</v>
      </c>
      <c r="C23" s="52">
        <f>SUMIF(BTS_매출관리!C:C,B23,BTS_매출관리!I:I)</f>
        <v>1550000</v>
      </c>
      <c r="D23">
        <f t="shared" si="0"/>
        <v>30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36</v>
      </c>
    </row>
    <row r="25" spans="2:4" x14ac:dyDescent="0.3">
      <c r="B25" t="s">
        <v>1386</v>
      </c>
      <c r="C25" s="52">
        <f>SUMIF(BTS_매출관리!C:C,B25,BTS_매출관리!I:I)</f>
        <v>4664000</v>
      </c>
      <c r="D25">
        <f t="shared" si="0"/>
        <v>8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41</v>
      </c>
    </row>
    <row r="27" spans="2:4" x14ac:dyDescent="0.3">
      <c r="B27" t="s">
        <v>2878</v>
      </c>
      <c r="C27" s="52">
        <f>SUMIF(BTS_매출관리!C:C,B27,BTS_매출관리!I:I)</f>
        <v>1200000</v>
      </c>
      <c r="D27">
        <f t="shared" si="0"/>
        <v>41</v>
      </c>
    </row>
    <row r="28" spans="2:4" x14ac:dyDescent="0.3">
      <c r="B28" t="s">
        <v>2862</v>
      </c>
      <c r="C28" s="52">
        <f>SUMIF(BTS_매출관리!C:C,B28,BTS_매출관리!I:I)</f>
        <v>1200000</v>
      </c>
      <c r="D28">
        <f t="shared" si="0"/>
        <v>41</v>
      </c>
    </row>
    <row r="29" spans="2:4" x14ac:dyDescent="0.3">
      <c r="B29" t="s">
        <v>1188</v>
      </c>
      <c r="C29" s="52">
        <f>SUMIF(BTS_매출관리!C:C,B29,BTS_매출관리!I:I)</f>
        <v>2660000</v>
      </c>
      <c r="D29">
        <f t="shared" si="0"/>
        <v>17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49</v>
      </c>
    </row>
    <row r="31" spans="2:4" x14ac:dyDescent="0.3">
      <c r="B31" t="s">
        <v>1367</v>
      </c>
      <c r="C31" s="52">
        <f>SUMIF(BTS_매출관리!C:C,B31,BTS_매출관리!I:I)</f>
        <v>3046000</v>
      </c>
      <c r="D31">
        <f t="shared" si="0"/>
        <v>16</v>
      </c>
    </row>
    <row r="32" spans="2:4" x14ac:dyDescent="0.3">
      <c r="B32" t="s">
        <v>2937</v>
      </c>
      <c r="C32" s="52">
        <f>SUMIF(BTS_매출관리!C:C,B32,BTS_매출관리!I:I)</f>
        <v>450000</v>
      </c>
      <c r="D32">
        <f t="shared" si="0"/>
        <v>54</v>
      </c>
    </row>
    <row r="33" spans="2:4" x14ac:dyDescent="0.3">
      <c r="B33" t="s">
        <v>1317</v>
      </c>
      <c r="C33" s="52">
        <f>SUMIF(BTS_매출관리!C:C,B33,BTS_매출관리!I:I)</f>
        <v>790000</v>
      </c>
      <c r="D33">
        <f t="shared" si="0"/>
        <v>47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55</v>
      </c>
    </row>
    <row r="35" spans="2:4" x14ac:dyDescent="0.3">
      <c r="B35" t="s">
        <v>1389</v>
      </c>
      <c r="C35" s="52">
        <f>SUMIF(BTS_매출관리!C:C,B35,BTS_매출관리!I:I)</f>
        <v>1789000</v>
      </c>
      <c r="D35">
        <f t="shared" si="0"/>
        <v>28</v>
      </c>
    </row>
    <row r="36" spans="2:4" x14ac:dyDescent="0.3">
      <c r="B36" t="s">
        <v>2851</v>
      </c>
      <c r="C36" s="52">
        <f>SUMIF(BTS_매출관리!C:C,B36,BTS_매출관리!I:I)</f>
        <v>150000</v>
      </c>
      <c r="D36">
        <f t="shared" si="0"/>
        <v>57</v>
      </c>
    </row>
    <row r="37" spans="2:4" x14ac:dyDescent="0.3">
      <c r="B37" t="s">
        <v>2315</v>
      </c>
      <c r="C37" s="52">
        <f>SUMIF(BTS_매출관리!C:C,B37,BTS_매출관리!I:I)</f>
        <v>570000</v>
      </c>
      <c r="D37">
        <f t="shared" si="0"/>
        <v>52</v>
      </c>
    </row>
    <row r="38" spans="2:4" x14ac:dyDescent="0.3">
      <c r="B38" t="s">
        <v>1823</v>
      </c>
      <c r="C38" s="52">
        <f>SUMIF(BTS_매출관리!C:C,B38,BTS_매출관리!I:I)</f>
        <v>2620000</v>
      </c>
      <c r="D38">
        <f t="shared" si="0"/>
        <v>18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44</v>
      </c>
    </row>
    <row r="40" spans="2:4" x14ac:dyDescent="0.3">
      <c r="B40" t="s">
        <v>1340</v>
      </c>
      <c r="C40" s="52">
        <f>SUMIF(BTS_매출관리!C:C,B40,BTS_매출관리!I:I)</f>
        <v>1075000</v>
      </c>
      <c r="D40">
        <f t="shared" si="0"/>
        <v>45</v>
      </c>
    </row>
    <row r="41" spans="2:4" x14ac:dyDescent="0.3">
      <c r="B41" t="s">
        <v>1708</v>
      </c>
      <c r="C41" s="52">
        <f>SUMIF(BTS_매출관리!C:C,B41,BTS_매출관리!I:I)</f>
        <v>4455000</v>
      </c>
      <c r="D41">
        <f t="shared" si="0"/>
        <v>10</v>
      </c>
    </row>
    <row r="42" spans="2:4" x14ac:dyDescent="0.3">
      <c r="B42" t="s">
        <v>1379</v>
      </c>
      <c r="C42" s="52">
        <f>SUMIF(BTS_매출관리!C:C,B42,BTS_매출관리!I:I)</f>
        <v>1430000</v>
      </c>
      <c r="D42">
        <f t="shared" si="0"/>
        <v>38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59</v>
      </c>
    </row>
    <row r="44" spans="2:4" x14ac:dyDescent="0.3">
      <c r="B44" t="s">
        <v>1304</v>
      </c>
      <c r="C44" s="52">
        <f>SUMIF(BTS_매출관리!C:C,B44,BTS_매출관리!I:I)</f>
        <v>1550000</v>
      </c>
      <c r="D44">
        <f t="shared" si="0"/>
        <v>30</v>
      </c>
    </row>
    <row r="45" spans="2:4" x14ac:dyDescent="0.3">
      <c r="B45" t="s">
        <v>1321</v>
      </c>
      <c r="C45" s="52">
        <f>SUMIF(BTS_매출관리!C:C,B45,BTS_매출관리!I:I)</f>
        <v>50000</v>
      </c>
      <c r="D45">
        <f t="shared" si="0"/>
        <v>58</v>
      </c>
    </row>
    <row r="46" spans="2:4" x14ac:dyDescent="0.3">
      <c r="B46" t="s">
        <v>2425</v>
      </c>
      <c r="C46" s="52">
        <f>SUMIF(BTS_매출관리!C:C,B46,BTS_매출관리!I:I)</f>
        <v>0</v>
      </c>
      <c r="D46">
        <f t="shared" si="0"/>
        <v>59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56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59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51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59</v>
      </c>
    </row>
    <row r="51" spans="2:4" x14ac:dyDescent="0.3">
      <c r="B51" t="s">
        <v>1374</v>
      </c>
      <c r="C51" s="52">
        <f>SUMIF(BTS_매출관리!C:C,B51,BTS_매출관리!I:I)</f>
        <v>500000</v>
      </c>
      <c r="D51">
        <f t="shared" si="0"/>
        <v>53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59</v>
      </c>
    </row>
    <row r="53" spans="2:4" x14ac:dyDescent="0.3">
      <c r="B53" t="s">
        <v>1949</v>
      </c>
      <c r="C53" s="52">
        <f>SUMIF(BTS_매출관리!C:C,B53,BTS_매출관리!I:I)</f>
        <v>0</v>
      </c>
      <c r="D53">
        <f t="shared" si="0"/>
        <v>59</v>
      </c>
    </row>
    <row r="54" spans="2:4" x14ac:dyDescent="0.3">
      <c r="B54" t="s">
        <v>2340</v>
      </c>
      <c r="C54" s="52">
        <f>SUMIF(BTS_매출관리!C:C,B54,BTS_매출관리!I:I)</f>
        <v>1400000</v>
      </c>
      <c r="D54">
        <f t="shared" si="0"/>
        <v>39</v>
      </c>
    </row>
    <row r="55" spans="2:4" x14ac:dyDescent="0.3">
      <c r="B55" t="s">
        <v>1363</v>
      </c>
      <c r="C55" s="52">
        <f>SUMIF(BTS_매출관리!C:C,B55,BTS_매출관리!I:I)</f>
        <v>1450000</v>
      </c>
      <c r="D55">
        <f t="shared" si="0"/>
        <v>37</v>
      </c>
    </row>
    <row r="56" spans="2:4" x14ac:dyDescent="0.3">
      <c r="B56" t="s">
        <v>2433</v>
      </c>
      <c r="C56" s="52">
        <f>SUMIF(BTS_매출관리!C:C,B56,BTS_매출관리!I:I)</f>
        <v>0</v>
      </c>
      <c r="D56">
        <f t="shared" si="0"/>
        <v>59</v>
      </c>
    </row>
    <row r="57" spans="2:4" x14ac:dyDescent="0.3">
      <c r="B57" t="s">
        <v>1654</v>
      </c>
      <c r="C57" s="52">
        <f>SUMIF(BTS_매출관리!C:C,B57,BTS_매출관리!I:I)</f>
        <v>2450000</v>
      </c>
      <c r="D57">
        <f t="shared" si="0"/>
        <v>20</v>
      </c>
    </row>
    <row r="58" spans="2:4" x14ac:dyDescent="0.3">
      <c r="B58" t="s">
        <v>1312</v>
      </c>
      <c r="C58" s="52">
        <f>SUMIF(BTS_매출관리!C:C,B58,BTS_매출관리!I:I)</f>
        <v>1550000</v>
      </c>
      <c r="D58">
        <f t="shared" si="0"/>
        <v>30</v>
      </c>
    </row>
    <row r="59" spans="2:4" x14ac:dyDescent="0.3">
      <c r="B59" t="s">
        <v>2648</v>
      </c>
      <c r="C59" s="52">
        <f>SUMIF(BTS_매출관리!C:C,B59,BTS_매출관리!I:I)</f>
        <v>0</v>
      </c>
      <c r="D59">
        <f t="shared" si="0"/>
        <v>59</v>
      </c>
    </row>
    <row r="60" spans="2:4" x14ac:dyDescent="0.3">
      <c r="B60" t="s">
        <v>1648</v>
      </c>
      <c r="C60" s="52">
        <f>SUMIF(BTS_매출관리!C:C,B60,BTS_매출관리!I:I)</f>
        <v>1210000</v>
      </c>
      <c r="D60">
        <f t="shared" si="0"/>
        <v>40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59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59</v>
      </c>
    </row>
    <row r="63" spans="2:4" x14ac:dyDescent="0.3">
      <c r="B63" t="s">
        <v>2063</v>
      </c>
      <c r="C63" s="52">
        <f>SUMIF(BTS_매출관리!C:C,B63,BTS_매출관리!I:I)</f>
        <v>0</v>
      </c>
      <c r="D63">
        <f t="shared" si="0"/>
        <v>59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59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59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59</v>
      </c>
    </row>
    <row r="67" spans="2:4" x14ac:dyDescent="0.3">
      <c r="B67" t="s">
        <v>1382</v>
      </c>
      <c r="C67" s="52">
        <f>SUMIF(BTS_매출관리!C:C,B67,BTS_매출관리!I:I)</f>
        <v>1892000</v>
      </c>
      <c r="D67">
        <f t="shared" si="1"/>
        <v>24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59</v>
      </c>
    </row>
    <row r="69" spans="2:4" x14ac:dyDescent="0.3">
      <c r="B69" t="s">
        <v>2443</v>
      </c>
      <c r="C69" s="52">
        <f>SUMIF(BTS_매출관리!C:C,B69,BTS_매출관리!I:I)</f>
        <v>2000000</v>
      </c>
      <c r="D69">
        <f t="shared" si="1"/>
        <v>23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59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59</v>
      </c>
    </row>
    <row r="72" spans="2:4" x14ac:dyDescent="0.3">
      <c r="B72" t="s">
        <v>2146</v>
      </c>
      <c r="C72" s="52">
        <f>SUMIF(BTS_매출관리!C:C,B72,BTS_매출관리!I:I)</f>
        <v>0</v>
      </c>
      <c r="D72">
        <f t="shared" si="1"/>
        <v>59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59</v>
      </c>
    </row>
    <row r="74" spans="2:4" x14ac:dyDescent="0.3">
      <c r="B74" t="s">
        <v>2364</v>
      </c>
      <c r="C74" s="52">
        <f>SUMIF(BTS_매출관리!C:C,B74,BTS_매출관리!I:I)</f>
        <v>0</v>
      </c>
      <c r="D74">
        <f t="shared" si="1"/>
        <v>59</v>
      </c>
    </row>
    <row r="75" spans="2:4" x14ac:dyDescent="0.3">
      <c r="B75" t="s">
        <v>2185</v>
      </c>
      <c r="C75" s="52">
        <f>SUMIF(BTS_매출관리!C:C,B75,BTS_매출관리!I:I)</f>
        <v>0</v>
      </c>
      <c r="D75">
        <f t="shared" si="1"/>
        <v>59</v>
      </c>
    </row>
    <row r="76" spans="2:4" x14ac:dyDescent="0.3">
      <c r="B76" t="s">
        <v>2085</v>
      </c>
      <c r="C76" s="52">
        <f>SUMIF(BTS_매출관리!C:C,B76,BTS_매출관리!I:I)</f>
        <v>0</v>
      </c>
      <c r="D76">
        <f t="shared" si="1"/>
        <v>59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59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59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59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59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59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59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59</v>
      </c>
    </row>
    <row r="84" spans="2:4" x14ac:dyDescent="0.3">
      <c r="B84" t="s">
        <v>2681</v>
      </c>
      <c r="C84" s="52">
        <f>SUMIF(BTS_매출관리!C:C,B84,BTS_매출관리!I:I)</f>
        <v>0</v>
      </c>
      <c r="D84">
        <f t="shared" si="1"/>
        <v>59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25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59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59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59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59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59</v>
      </c>
    </row>
    <row r="91" spans="2:4" x14ac:dyDescent="0.3">
      <c r="B91" t="s">
        <v>2080</v>
      </c>
      <c r="C91" s="52">
        <f>SUMIF(BTS_매출관리!C:C,B91,BTS_매출관리!I:I)</f>
        <v>0</v>
      </c>
      <c r="D91">
        <f t="shared" si="1"/>
        <v>59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59</v>
      </c>
    </row>
    <row r="93" spans="2:4" x14ac:dyDescent="0.3">
      <c r="B93" t="s">
        <v>2201</v>
      </c>
      <c r="C93" s="52">
        <f>SUMIF(BTS_매출관리!C:C,B93,BTS_매출관리!I:I)</f>
        <v>0</v>
      </c>
      <c r="D93">
        <f t="shared" si="1"/>
        <v>59</v>
      </c>
    </row>
    <row r="94" spans="2:4" x14ac:dyDescent="0.3">
      <c r="B94" t="s">
        <v>2450</v>
      </c>
      <c r="C94" s="52">
        <f>SUMIF(BTS_매출관리!C:C,B94,BTS_매출관리!I:I)</f>
        <v>0</v>
      </c>
      <c r="D94">
        <f t="shared" si="1"/>
        <v>59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48</v>
      </c>
    </row>
    <row r="96" spans="2:4" x14ac:dyDescent="0.3">
      <c r="B96" t="s">
        <v>2575</v>
      </c>
      <c r="C96" s="52">
        <f>SUMIF(BTS_매출관리!C:C,B96,BTS_매출관리!I:I)</f>
        <v>0</v>
      </c>
      <c r="D96">
        <f t="shared" si="1"/>
        <v>59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59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59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59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59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59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59</v>
      </c>
    </row>
    <row r="103" spans="2:4" x14ac:dyDescent="0.3">
      <c r="B103" t="s">
        <v>2101</v>
      </c>
      <c r="C103" s="52">
        <f>SUMIF(BTS_매출관리!C:C,B103,BTS_매출관리!I:I)</f>
        <v>0</v>
      </c>
      <c r="D103">
        <f t="shared" si="1"/>
        <v>59</v>
      </c>
    </row>
    <row r="104" spans="2:4" x14ac:dyDescent="0.3">
      <c r="B104" t="s">
        <v>2728</v>
      </c>
      <c r="C104" s="52">
        <f>SUMIF(BTS_매출관리!C:C,B104,BTS_매출관리!I:I)</f>
        <v>0</v>
      </c>
      <c r="D104">
        <f t="shared" si="1"/>
        <v>59</v>
      </c>
    </row>
    <row r="105" spans="2:4" x14ac:dyDescent="0.3">
      <c r="B105" t="s">
        <v>2814</v>
      </c>
      <c r="C105" s="52">
        <f>SUMIF(BTS_매출관리!C:C,B105,BTS_매출관리!I:I)</f>
        <v>0</v>
      </c>
      <c r="D105">
        <f t="shared" si="1"/>
        <v>59</v>
      </c>
    </row>
    <row r="106" spans="2:4" x14ac:dyDescent="0.3">
      <c r="B106" t="s">
        <v>1328</v>
      </c>
      <c r="C106" s="52">
        <f>SUMIF(BTS_매출관리!C:C,B106,BTS_매출관리!I:I)</f>
        <v>810000</v>
      </c>
      <c r="D106">
        <f t="shared" si="1"/>
        <v>46</v>
      </c>
    </row>
    <row r="107" spans="2:4" x14ac:dyDescent="0.3">
      <c r="B107" t="s">
        <v>2334</v>
      </c>
      <c r="C107" s="52">
        <f>SUMIF(BTS_매출관리!C:C,B107,BTS_매출관리!I:I)</f>
        <v>0</v>
      </c>
      <c r="D107">
        <f t="shared" si="1"/>
        <v>59</v>
      </c>
    </row>
    <row r="108" spans="2:4" x14ac:dyDescent="0.3">
      <c r="B108" t="s">
        <v>1695</v>
      </c>
      <c r="C108" s="52">
        <f>SUMIF(BTS_매출관리!C:C,B108,BTS_매출관리!I:I)</f>
        <v>0</v>
      </c>
      <c r="D108">
        <f t="shared" si="1"/>
        <v>59</v>
      </c>
    </row>
    <row r="109" spans="2:4" x14ac:dyDescent="0.3">
      <c r="B109" t="s">
        <v>1935</v>
      </c>
      <c r="C109" s="52">
        <f>SUMIF(BTS_매출관리!C:C,B109,BTS_매출관리!I:I)</f>
        <v>0</v>
      </c>
      <c r="D109">
        <f t="shared" si="1"/>
        <v>59</v>
      </c>
    </row>
    <row r="110" spans="2:4" x14ac:dyDescent="0.3">
      <c r="B110" t="s">
        <v>2551</v>
      </c>
      <c r="C110" s="52">
        <f>SUMIF(BTS_매출관리!C:C,B110,BTS_매출관리!I:I)</f>
        <v>0</v>
      </c>
      <c r="D110">
        <f t="shared" si="1"/>
        <v>59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59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49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59</v>
      </c>
    </row>
    <row r="114" spans="2:4" x14ac:dyDescent="0.3">
      <c r="B114" t="s">
        <v>2571</v>
      </c>
      <c r="C114" s="52">
        <f>SUMIF(BTS_매출관리!C:C,B114,BTS_매출관리!I:I)</f>
        <v>0</v>
      </c>
      <c r="D114">
        <f t="shared" si="1"/>
        <v>59</v>
      </c>
    </row>
    <row r="115" spans="2:4" x14ac:dyDescent="0.3">
      <c r="B115" t="s">
        <v>1880</v>
      </c>
      <c r="C115" s="52">
        <f>SUMIF(BTS_매출관리!C:C,B115,BTS_매출관리!I:I)</f>
        <v>0</v>
      </c>
      <c r="D115">
        <f t="shared" si="1"/>
        <v>59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59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59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59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59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59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59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59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59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59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59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59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59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59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59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59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59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59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59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59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59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59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59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59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59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59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59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59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59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59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59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59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59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59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59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59</v>
      </c>
    </row>
    <row r="151" spans="2:4" x14ac:dyDescent="0.3">
      <c r="B151" t="s">
        <v>1032</v>
      </c>
      <c r="C151" s="52">
        <f>SUMIF(BTS_매출관리!C:C,B151,BTS_매출관리!I:I)</f>
        <v>1550000</v>
      </c>
      <c r="D151">
        <f t="shared" si="2"/>
        <v>30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59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59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59</v>
      </c>
    </row>
    <row r="155" spans="2:4" x14ac:dyDescent="0.3">
      <c r="B155" t="s">
        <v>2439</v>
      </c>
      <c r="C155" s="52">
        <f>SUMIF(BTS_매출관리!C:C,B155,BTS_매출관리!I:I)</f>
        <v>0</v>
      </c>
      <c r="D155">
        <f t="shared" si="2"/>
        <v>59</v>
      </c>
    </row>
    <row r="156" spans="2:4" x14ac:dyDescent="0.3">
      <c r="B156" t="s">
        <v>2786</v>
      </c>
      <c r="C156" s="52">
        <f>SUMIF(BTS_매출관리!C:C,B156,BTS_매출관리!I:I)</f>
        <v>0</v>
      </c>
      <c r="D156">
        <f t="shared" si="2"/>
        <v>59</v>
      </c>
    </row>
    <row r="157" spans="2:4" x14ac:dyDescent="0.3">
      <c r="C157" s="52">
        <f>SUMIF(BTS_매출관리!C:C,B157,BTS_매출관리!I:I)</f>
        <v>0</v>
      </c>
      <c r="D157">
        <f t="shared" si="2"/>
        <v>59</v>
      </c>
    </row>
    <row r="158" spans="2:4" x14ac:dyDescent="0.3">
      <c r="C158" s="52">
        <f>SUMIF(BTS_매출관리!C:C,B158,BTS_매출관리!I:I)</f>
        <v>0</v>
      </c>
      <c r="D158">
        <f t="shared" si="2"/>
        <v>59</v>
      </c>
    </row>
    <row r="159" spans="2:4" x14ac:dyDescent="0.3">
      <c r="C159" s="52">
        <f>SUMIF(BTS_매출관리!C:C,B159,BTS_매출관리!I:I)</f>
        <v>0</v>
      </c>
      <c r="D159">
        <f t="shared" si="2"/>
        <v>59</v>
      </c>
    </row>
    <row r="160" spans="2:4" x14ac:dyDescent="0.3">
      <c r="C160" s="52">
        <f>SUMIF(BTS_매출관리!C:C,B160,BTS_매출관리!I:I)</f>
        <v>0</v>
      </c>
      <c r="D160">
        <f t="shared" si="2"/>
        <v>59</v>
      </c>
    </row>
    <row r="161" spans="3:4" x14ac:dyDescent="0.3">
      <c r="C161" s="52">
        <f>SUMIF(BTS_매출관리!C:C,B161,BTS_매출관리!I:I)</f>
        <v>0</v>
      </c>
      <c r="D161">
        <f t="shared" si="2"/>
        <v>59</v>
      </c>
    </row>
    <row r="162" spans="3:4" x14ac:dyDescent="0.3">
      <c r="C162" s="52">
        <f>SUMIF(BTS_매출관리!C:C,B162,BTS_매출관리!I:I)</f>
        <v>0</v>
      </c>
      <c r="D162">
        <f t="shared" si="2"/>
        <v>59</v>
      </c>
    </row>
    <row r="163" spans="3:4" x14ac:dyDescent="0.3">
      <c r="C163" s="52">
        <f>SUMIF(BTS_매출관리!C:C,B163,BTS_매출관리!I:I)</f>
        <v>0</v>
      </c>
      <c r="D163">
        <f t="shared" si="2"/>
        <v>59</v>
      </c>
    </row>
    <row r="164" spans="3:4" x14ac:dyDescent="0.3">
      <c r="C164" s="52">
        <f>SUMIF(BTS_매출관리!C:C,B164,BTS_매출관리!I:I)</f>
        <v>0</v>
      </c>
      <c r="D164">
        <f t="shared" si="2"/>
        <v>59</v>
      </c>
    </row>
    <row r="165" spans="3:4" x14ac:dyDescent="0.3">
      <c r="C165" s="52">
        <f>SUMIF(BTS_매출관리!C:C,B165,BTS_매출관리!I:I)</f>
        <v>0</v>
      </c>
      <c r="D165">
        <f t="shared" si="2"/>
        <v>59</v>
      </c>
    </row>
    <row r="166" spans="3:4" x14ac:dyDescent="0.3">
      <c r="C166" s="52">
        <f>SUMIF(BTS_매출관리!C:C,B166,BTS_매출관리!I:I)</f>
        <v>0</v>
      </c>
      <c r="D166">
        <f t="shared" si="2"/>
        <v>59</v>
      </c>
    </row>
    <row r="167" spans="3:4" x14ac:dyDescent="0.3">
      <c r="C167" s="52">
        <f>SUMIF(BTS_매출관리!C:C,B167,BTS_매출관리!I:I)</f>
        <v>0</v>
      </c>
      <c r="D167">
        <f t="shared" si="2"/>
        <v>59</v>
      </c>
    </row>
    <row r="168" spans="3:4" x14ac:dyDescent="0.3">
      <c r="C168" s="52">
        <f>SUMIF(BTS_매출관리!C:C,B168,BTS_매출관리!I:I)</f>
        <v>0</v>
      </c>
      <c r="D168">
        <f t="shared" si="2"/>
        <v>59</v>
      </c>
    </row>
    <row r="169" spans="3:4" x14ac:dyDescent="0.3">
      <c r="C169" s="52">
        <f>SUMIF(BTS_매출관리!C:C,B169,BTS_매출관리!I:I)</f>
        <v>0</v>
      </c>
      <c r="D169">
        <f t="shared" si="2"/>
        <v>59</v>
      </c>
    </row>
    <row r="170" spans="3:4" x14ac:dyDescent="0.3">
      <c r="C170" s="52">
        <f>SUMIF(BTS_매출관리!C:C,B170,BTS_매출관리!I:I)</f>
        <v>0</v>
      </c>
      <c r="D170">
        <f t="shared" si="2"/>
        <v>59</v>
      </c>
    </row>
    <row r="171" spans="3:4" x14ac:dyDescent="0.3">
      <c r="C171" s="52">
        <f>SUMIF(BTS_매출관리!C:C,B171,BTS_매출관리!I:I)</f>
        <v>0</v>
      </c>
      <c r="D171">
        <f t="shared" si="2"/>
        <v>59</v>
      </c>
    </row>
    <row r="172" spans="3:4" x14ac:dyDescent="0.3">
      <c r="C172" s="52">
        <f>SUMIF(BTS_매출관리!C:C,B172,BTS_매출관리!I:I)</f>
        <v>0</v>
      </c>
      <c r="D172">
        <f t="shared" si="2"/>
        <v>59</v>
      </c>
    </row>
    <row r="173" spans="3:4" x14ac:dyDescent="0.3">
      <c r="C173" s="52">
        <f>SUMIF(BTS_매출관리!C:C,B173,BTS_매출관리!I:I)</f>
        <v>0</v>
      </c>
      <c r="D173">
        <f t="shared" si="2"/>
        <v>59</v>
      </c>
    </row>
    <row r="174" spans="3:4" x14ac:dyDescent="0.3">
      <c r="C174" s="52">
        <f>SUMIF(BTS_매출관리!C:C,B174,BTS_매출관리!I:I)</f>
        <v>0</v>
      </c>
      <c r="D174">
        <f t="shared" si="2"/>
        <v>59</v>
      </c>
    </row>
    <row r="175" spans="3:4" x14ac:dyDescent="0.3">
      <c r="C175" s="52">
        <f>SUMIF(BTS_매출관리!C:C,B175,BTS_매출관리!I:I)</f>
        <v>0</v>
      </c>
      <c r="D175">
        <f t="shared" si="2"/>
        <v>59</v>
      </c>
    </row>
    <row r="176" spans="3:4" x14ac:dyDescent="0.3">
      <c r="C176" s="52">
        <f>SUMIF(BTS_매출관리!C:C,B176,BTS_매출관리!I:I)</f>
        <v>0</v>
      </c>
      <c r="D176">
        <f t="shared" si="2"/>
        <v>59</v>
      </c>
    </row>
    <row r="177" spans="3:4" x14ac:dyDescent="0.3">
      <c r="C177" s="52">
        <f>SUMIF(BTS_매출관리!C:C,B177,BTS_매출관리!I:I)</f>
        <v>0</v>
      </c>
      <c r="D177">
        <f t="shared" si="2"/>
        <v>59</v>
      </c>
    </row>
    <row r="178" spans="3:4" x14ac:dyDescent="0.3">
      <c r="C178" s="52">
        <f>SUMIF(BTS_매출관리!C:C,B178,BTS_매출관리!I:I)</f>
        <v>0</v>
      </c>
      <c r="D178">
        <f t="shared" si="2"/>
        <v>59</v>
      </c>
    </row>
    <row r="179" spans="3:4" x14ac:dyDescent="0.3">
      <c r="C179" s="52">
        <f>SUMIF(BTS_매출관리!C:C,B179,BTS_매출관리!I:I)</f>
        <v>0</v>
      </c>
      <c r="D179">
        <f t="shared" si="2"/>
        <v>59</v>
      </c>
    </row>
    <row r="180" spans="3:4" x14ac:dyDescent="0.3">
      <c r="C180" s="52">
        <f>SUMIF(BTS_매출관리!C:C,B180,BTS_매출관리!I:I)</f>
        <v>0</v>
      </c>
      <c r="D180">
        <f t="shared" si="2"/>
        <v>59</v>
      </c>
    </row>
    <row r="181" spans="3:4" x14ac:dyDescent="0.3">
      <c r="C181" s="52">
        <f>SUMIF(BTS_매출관리!C:C,B181,BTS_매출관리!I:I)</f>
        <v>0</v>
      </c>
      <c r="D181">
        <f t="shared" si="2"/>
        <v>59</v>
      </c>
    </row>
    <row r="182" spans="3:4" x14ac:dyDescent="0.3">
      <c r="C182" s="52">
        <f>SUMIF(BTS_매출관리!C:C,B182,BTS_매출관리!I:I)</f>
        <v>0</v>
      </c>
      <c r="D182">
        <f t="shared" si="2"/>
        <v>59</v>
      </c>
    </row>
    <row r="183" spans="3:4" x14ac:dyDescent="0.3">
      <c r="C183" s="52">
        <f>SUMIF(BTS_매출관리!C:C,B183,BTS_매출관리!I:I)</f>
        <v>0</v>
      </c>
      <c r="D183">
        <f t="shared" si="2"/>
        <v>59</v>
      </c>
    </row>
    <row r="184" spans="3:4" x14ac:dyDescent="0.3">
      <c r="C184" s="52">
        <f>SUMIF(BTS_매출관리!C:C,B184,BTS_매출관리!I:I)</f>
        <v>0</v>
      </c>
      <c r="D184">
        <f t="shared" si="2"/>
        <v>59</v>
      </c>
    </row>
    <row r="185" spans="3:4" x14ac:dyDescent="0.3">
      <c r="C185" s="52">
        <f>SUMIF(BTS_매출관리!C:C,B185,BTS_매출관리!I:I)</f>
        <v>0</v>
      </c>
      <c r="D185">
        <f t="shared" si="2"/>
        <v>59</v>
      </c>
    </row>
    <row r="186" spans="3:4" x14ac:dyDescent="0.3">
      <c r="C186" s="52">
        <f>SUMIF(BTS_매출관리!C:C,B186,BTS_매출관리!I:I)</f>
        <v>0</v>
      </c>
      <c r="D186">
        <f t="shared" si="2"/>
        <v>59</v>
      </c>
    </row>
    <row r="187" spans="3:4" x14ac:dyDescent="0.3">
      <c r="C187" s="52">
        <f>SUMIF(BTS_매출관리!C:C,B187,BTS_매출관리!I:I)</f>
        <v>0</v>
      </c>
      <c r="D187">
        <f t="shared" si="2"/>
        <v>59</v>
      </c>
    </row>
    <row r="188" spans="3:4" x14ac:dyDescent="0.3">
      <c r="C188" s="52">
        <f>SUMIF(BTS_매출관리!C:C,B188,BTS_매출관리!I:I)</f>
        <v>0</v>
      </c>
      <c r="D188">
        <f t="shared" si="2"/>
        <v>59</v>
      </c>
    </row>
    <row r="189" spans="3:4" x14ac:dyDescent="0.3">
      <c r="C189" s="52">
        <f>SUMIF(BTS_매출관리!C:C,B189,BTS_매출관리!I:I)</f>
        <v>0</v>
      </c>
      <c r="D189">
        <f t="shared" si="2"/>
        <v>59</v>
      </c>
    </row>
    <row r="190" spans="3:4" x14ac:dyDescent="0.3">
      <c r="C190" s="52">
        <f>SUMIF(BTS_매출관리!C:C,B190,BTS_매출관리!I:I)</f>
        <v>0</v>
      </c>
      <c r="D190">
        <f t="shared" si="2"/>
        <v>59</v>
      </c>
    </row>
    <row r="191" spans="3:4" x14ac:dyDescent="0.3">
      <c r="C191" s="52">
        <f>SUMIF(BTS_매출관리!C:C,B191,BTS_매출관리!I:I)</f>
        <v>0</v>
      </c>
      <c r="D191">
        <f t="shared" si="2"/>
        <v>59</v>
      </c>
    </row>
    <row r="192" spans="3:4" x14ac:dyDescent="0.3">
      <c r="C192" s="52">
        <f>SUMIF(BTS_매출관리!C:C,B192,BTS_매출관리!I:I)</f>
        <v>0</v>
      </c>
      <c r="D192">
        <f t="shared" si="2"/>
        <v>59</v>
      </c>
    </row>
    <row r="193" spans="3:4" x14ac:dyDescent="0.3">
      <c r="C193" s="52">
        <f>SUMIF(BTS_매출관리!C:C,B193,BTS_매출관리!I:I)</f>
        <v>0</v>
      </c>
      <c r="D193">
        <f t="shared" si="2"/>
        <v>59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59</v>
      </c>
    </row>
    <row r="195" spans="3:4" x14ac:dyDescent="0.3">
      <c r="C195" s="52">
        <f>SUMIF(BTS_매출관리!C:C,B195,BTS_매출관리!I:I)</f>
        <v>0</v>
      </c>
      <c r="D195">
        <f t="shared" si="3"/>
        <v>59</v>
      </c>
    </row>
    <row r="196" spans="3:4" x14ac:dyDescent="0.3">
      <c r="C196" s="52">
        <f>SUMIF(BTS_매출관리!C:C,B196,BTS_매출관리!I:I)</f>
        <v>0</v>
      </c>
      <c r="D196">
        <f t="shared" si="3"/>
        <v>59</v>
      </c>
    </row>
    <row r="197" spans="3:4" x14ac:dyDescent="0.3">
      <c r="C197" s="52">
        <f>SUMIF(BTS_매출관리!C:C,B197,BTS_매출관리!I:I)</f>
        <v>0</v>
      </c>
      <c r="D197">
        <f t="shared" si="3"/>
        <v>59</v>
      </c>
    </row>
    <row r="198" spans="3:4" x14ac:dyDescent="0.3">
      <c r="C198" s="52">
        <f>SUMIF(BTS_매출관리!C:C,B198,BTS_매출관리!I:I)</f>
        <v>0</v>
      </c>
      <c r="D198">
        <f t="shared" si="3"/>
        <v>59</v>
      </c>
    </row>
    <row r="199" spans="3:4" x14ac:dyDescent="0.3">
      <c r="C199" s="52">
        <f>SUMIF(BTS_매출관리!C:C,B199,BTS_매출관리!I:I)</f>
        <v>0</v>
      </c>
      <c r="D199">
        <f t="shared" si="3"/>
        <v>59</v>
      </c>
    </row>
    <row r="200" spans="3:4" x14ac:dyDescent="0.3">
      <c r="C200" s="52">
        <f>SUMIF(BTS_매출관리!C:C,B200,BTS_매출관리!I:I)</f>
        <v>0</v>
      </c>
      <c r="D200">
        <f t="shared" si="3"/>
        <v>59</v>
      </c>
    </row>
    <row r="201" spans="3:4" x14ac:dyDescent="0.3">
      <c r="C201" s="52">
        <f>SUMIF(BTS_매출관리!C:C,B201,BTS_매출관리!I:I)</f>
        <v>0</v>
      </c>
      <c r="D201">
        <f t="shared" si="3"/>
        <v>59</v>
      </c>
    </row>
    <row r="202" spans="3:4" x14ac:dyDescent="0.3">
      <c r="C202" s="52">
        <f>SUMIF(BTS_매출관리!C:C,B202,BTS_매출관리!I:I)</f>
        <v>0</v>
      </c>
      <c r="D202">
        <f t="shared" si="3"/>
        <v>59</v>
      </c>
    </row>
    <row r="203" spans="3:4" x14ac:dyDescent="0.3">
      <c r="C203" s="52">
        <f>SUMIF(BTS_매출관리!C:C,B203,BTS_매출관리!I:I)</f>
        <v>0</v>
      </c>
      <c r="D203">
        <f t="shared" si="3"/>
        <v>59</v>
      </c>
    </row>
    <row r="204" spans="3:4" x14ac:dyDescent="0.3">
      <c r="C204" s="52">
        <f>SUMIF(BTS_매출관리!C:C,B204,BTS_매출관리!I:I)</f>
        <v>0</v>
      </c>
      <c r="D204">
        <f t="shared" si="3"/>
        <v>59</v>
      </c>
    </row>
    <row r="205" spans="3:4" x14ac:dyDescent="0.3">
      <c r="C205" s="52">
        <f>SUMIF(BTS_매출관리!C:C,B205,BTS_매출관리!I:I)</f>
        <v>0</v>
      </c>
      <c r="D205">
        <f t="shared" si="3"/>
        <v>59</v>
      </c>
    </row>
    <row r="206" spans="3:4" x14ac:dyDescent="0.3">
      <c r="C206" s="52">
        <f>SUMIF(BTS_매출관리!C:C,B206,BTS_매출관리!I:I)</f>
        <v>0</v>
      </c>
      <c r="D206">
        <f t="shared" si="3"/>
        <v>59</v>
      </c>
    </row>
    <row r="207" spans="3:4" x14ac:dyDescent="0.3">
      <c r="C207" s="52">
        <f>SUMIF(BTS_매출관리!C:C,B207,BTS_매출관리!I:I)</f>
        <v>0</v>
      </c>
      <c r="D207">
        <f t="shared" si="3"/>
        <v>59</v>
      </c>
    </row>
    <row r="208" spans="3:4" x14ac:dyDescent="0.3">
      <c r="C208" s="52">
        <f>SUMIF(BTS_매출관리!C:C,B208,BTS_매출관리!I:I)</f>
        <v>0</v>
      </c>
      <c r="D208">
        <f t="shared" si="3"/>
        <v>59</v>
      </c>
    </row>
    <row r="209" spans="3:4" x14ac:dyDescent="0.3">
      <c r="C209" s="52">
        <f>SUMIF(BTS_매출관리!C:C,B209,BTS_매출관리!I:I)</f>
        <v>0</v>
      </c>
      <c r="D209">
        <f t="shared" si="3"/>
        <v>59</v>
      </c>
    </row>
    <row r="210" spans="3:4" x14ac:dyDescent="0.3">
      <c r="C210" s="52">
        <f>SUMIF(BTS_매출관리!C:C,B210,BTS_매출관리!I:I)</f>
        <v>0</v>
      </c>
      <c r="D210">
        <f t="shared" si="3"/>
        <v>59</v>
      </c>
    </row>
    <row r="211" spans="3:4" x14ac:dyDescent="0.3">
      <c r="C211" s="52">
        <f>SUMIF(BTS_매출관리!C:C,B211,BTS_매출관리!I:I)</f>
        <v>0</v>
      </c>
      <c r="D211">
        <f t="shared" si="3"/>
        <v>59</v>
      </c>
    </row>
    <row r="212" spans="3:4" x14ac:dyDescent="0.3">
      <c r="C212" s="52">
        <f>SUMIF(BTS_매출관리!C:C,B212,BTS_매출관리!I:I)</f>
        <v>0</v>
      </c>
      <c r="D212">
        <f t="shared" si="3"/>
        <v>59</v>
      </c>
    </row>
    <row r="213" spans="3:4" x14ac:dyDescent="0.3">
      <c r="C213" s="52">
        <f>SUMIF(BTS_매출관리!C:C,B213,BTS_매출관리!I:I)</f>
        <v>0</v>
      </c>
      <c r="D213">
        <f t="shared" si="3"/>
        <v>59</v>
      </c>
    </row>
    <row r="214" spans="3:4" x14ac:dyDescent="0.3">
      <c r="C214" s="52">
        <f>SUMIF(BTS_매출관리!C:C,B214,BTS_매출관리!I:I)</f>
        <v>0</v>
      </c>
      <c r="D214">
        <f t="shared" si="3"/>
        <v>59</v>
      </c>
    </row>
    <row r="215" spans="3:4" x14ac:dyDescent="0.3">
      <c r="C215" s="52">
        <f>SUMIF(BTS_매출관리!C:C,B215,BTS_매출관리!I:I)</f>
        <v>0</v>
      </c>
      <c r="D215">
        <f t="shared" si="3"/>
        <v>59</v>
      </c>
    </row>
    <row r="216" spans="3:4" x14ac:dyDescent="0.3">
      <c r="C216" s="52">
        <f>SUMIF(BTS_매출관리!C:C,B216,BTS_매출관리!I:I)</f>
        <v>0</v>
      </c>
      <c r="D216">
        <f t="shared" si="3"/>
        <v>59</v>
      </c>
    </row>
    <row r="217" spans="3:4" x14ac:dyDescent="0.3">
      <c r="C217" s="52">
        <f>SUMIF(BTS_매출관리!C:C,B217,BTS_매출관리!I:I)</f>
        <v>0</v>
      </c>
      <c r="D217">
        <f t="shared" si="3"/>
        <v>59</v>
      </c>
    </row>
    <row r="218" spans="3:4" x14ac:dyDescent="0.3">
      <c r="C218" s="52">
        <f>SUMIF(BTS_매출관리!C:C,B218,BTS_매출관리!I:I)</f>
        <v>0</v>
      </c>
      <c r="D218">
        <f t="shared" si="3"/>
        <v>59</v>
      </c>
    </row>
    <row r="219" spans="3:4" x14ac:dyDescent="0.3">
      <c r="C219" s="52">
        <f>SUMIF(BTS_매출관리!C:C,B219,BTS_매출관리!I:I)</f>
        <v>0</v>
      </c>
      <c r="D219">
        <f t="shared" si="3"/>
        <v>59</v>
      </c>
    </row>
    <row r="220" spans="3:4" x14ac:dyDescent="0.3">
      <c r="C220" s="52">
        <f>SUMIF(BTS_매출관리!C:C,B220,BTS_매출관리!I:I)</f>
        <v>0</v>
      </c>
      <c r="D220">
        <f t="shared" si="3"/>
        <v>59</v>
      </c>
    </row>
    <row r="221" spans="3:4" x14ac:dyDescent="0.3">
      <c r="C221" s="52">
        <f>SUMIF(BTS_매출관리!C:C,B221,BTS_매출관리!I:I)</f>
        <v>0</v>
      </c>
      <c r="D221">
        <f t="shared" si="3"/>
        <v>59</v>
      </c>
    </row>
    <row r="222" spans="3:4" x14ac:dyDescent="0.3">
      <c r="C222" s="52">
        <f>SUMIF(BTS_매출관리!C:C,B222,BTS_매출관리!I:I)</f>
        <v>0</v>
      </c>
      <c r="D222">
        <f t="shared" si="3"/>
        <v>59</v>
      </c>
    </row>
    <row r="223" spans="3:4" x14ac:dyDescent="0.3">
      <c r="C223" s="52">
        <f>SUMIF(BTS_매출관리!C:C,B223,BTS_매출관리!I:I)</f>
        <v>0</v>
      </c>
      <c r="D223">
        <f t="shared" si="3"/>
        <v>59</v>
      </c>
    </row>
    <row r="224" spans="3:4" x14ac:dyDescent="0.3">
      <c r="C224" s="52">
        <f>SUMIF(BTS_매출관리!C:C,B224,BTS_매출관리!I:I)</f>
        <v>0</v>
      </c>
      <c r="D224">
        <f t="shared" si="3"/>
        <v>59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H53" sqref="H53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2379</v>
      </c>
      <c r="C1" s="442" t="s">
        <v>2611</v>
      </c>
      <c r="D1" s="439" t="s">
        <v>2640</v>
      </c>
      <c r="E1" s="439" t="s">
        <v>40</v>
      </c>
      <c r="F1" s="439" t="s">
        <v>2818</v>
      </c>
      <c r="G1" s="439"/>
      <c r="H1" s="439" t="s">
        <v>2819</v>
      </c>
      <c r="I1" s="439"/>
      <c r="J1" s="439" t="s">
        <v>2820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2612</v>
      </c>
      <c r="G2" s="292" t="s">
        <v>2613</v>
      </c>
      <c r="H2" s="292" t="s">
        <v>2614</v>
      </c>
      <c r="I2" s="292" t="s">
        <v>2615</v>
      </c>
      <c r="J2" s="292" t="s">
        <v>2614</v>
      </c>
      <c r="K2" s="292" t="s">
        <v>2615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2616</v>
      </c>
      <c r="D3" s="288" t="s">
        <v>2617</v>
      </c>
      <c r="E3" s="288" t="s">
        <v>2618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2619</v>
      </c>
      <c r="D4" s="259" t="s">
        <v>2620</v>
      </c>
      <c r="E4" s="259" t="s">
        <v>2618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2616</v>
      </c>
      <c r="D5" s="259" t="s">
        <v>2617</v>
      </c>
      <c r="E5" s="259" t="s">
        <v>2618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2616</v>
      </c>
      <c r="D6" s="259" t="s">
        <v>2617</v>
      </c>
      <c r="E6" s="259" t="s">
        <v>2618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2616</v>
      </c>
      <c r="D7" s="259" t="s">
        <v>2617</v>
      </c>
      <c r="E7" s="259" t="s">
        <v>2621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2622</v>
      </c>
      <c r="D8" s="259" t="s">
        <v>2623</v>
      </c>
      <c r="E8" s="259" t="s">
        <v>2618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2624</v>
      </c>
      <c r="D9" s="259" t="s">
        <v>2625</v>
      </c>
      <c r="E9" s="259" t="s">
        <v>2618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2626</v>
      </c>
      <c r="D10" s="259" t="s">
        <v>2617</v>
      </c>
      <c r="E10" s="259" t="s">
        <v>2621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2627</v>
      </c>
      <c r="D11" s="259" t="s">
        <v>2617</v>
      </c>
      <c r="E11" s="259" t="s">
        <v>2621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2616</v>
      </c>
      <c r="D12" s="259" t="s">
        <v>2617</v>
      </c>
      <c r="E12" s="259" t="s">
        <v>2618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2616</v>
      </c>
      <c r="D13" s="259" t="s">
        <v>2617</v>
      </c>
      <c r="E13" s="259" t="s">
        <v>2618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2619</v>
      </c>
      <c r="D14" s="259" t="s">
        <v>2620</v>
      </c>
      <c r="E14" s="259" t="s">
        <v>2621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2616</v>
      </c>
      <c r="D15" s="259" t="s">
        <v>2617</v>
      </c>
      <c r="E15" s="259" t="s">
        <v>2621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2628</v>
      </c>
      <c r="D16" s="259" t="s">
        <v>2629</v>
      </c>
      <c r="E16" s="259" t="s">
        <v>2621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2616</v>
      </c>
      <c r="D17" s="259" t="s">
        <v>2617</v>
      </c>
      <c r="E17" s="259" t="s">
        <v>2621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2627</v>
      </c>
      <c r="D18" s="259" t="s">
        <v>2617</v>
      </c>
      <c r="E18" s="259" t="s">
        <v>2618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2630</v>
      </c>
      <c r="D19" s="259" t="s">
        <v>2631</v>
      </c>
      <c r="E19" s="259" t="s">
        <v>2621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2626</v>
      </c>
      <c r="D20" s="259" t="s">
        <v>2617</v>
      </c>
      <c r="E20" s="259" t="s">
        <v>2621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2632</v>
      </c>
      <c r="D21" s="259" t="s">
        <v>2629</v>
      </c>
      <c r="E21" s="259" t="s">
        <v>2621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2633</v>
      </c>
      <c r="D22" s="259" t="s">
        <v>2634</v>
      </c>
      <c r="E22" s="259" t="s">
        <v>2621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2635</v>
      </c>
      <c r="D23" s="259" t="s">
        <v>2636</v>
      </c>
      <c r="E23" s="259" t="s">
        <v>2621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2619</v>
      </c>
      <c r="D24" s="259" t="s">
        <v>2620</v>
      </c>
      <c r="E24" s="259" t="s">
        <v>2621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2616</v>
      </c>
      <c r="D25" s="259" t="s">
        <v>2617</v>
      </c>
      <c r="E25" s="259" t="s">
        <v>2621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2616</v>
      </c>
      <c r="D26" s="259" t="s">
        <v>2637</v>
      </c>
      <c r="E26" s="259" t="s">
        <v>2621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2638</v>
      </c>
      <c r="D27" s="259" t="s">
        <v>2617</v>
      </c>
      <c r="E27" s="259" t="s">
        <v>2621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2616</v>
      </c>
      <c r="D28" s="259" t="s">
        <v>2617</v>
      </c>
      <c r="E28" s="259" t="s">
        <v>2621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2616</v>
      </c>
      <c r="D29" s="259" t="s">
        <v>2617</v>
      </c>
      <c r="E29" s="259" t="s">
        <v>2621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2626</v>
      </c>
      <c r="D30" s="259" t="s">
        <v>2617</v>
      </c>
      <c r="E30" s="259" t="s">
        <v>2621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2630</v>
      </c>
      <c r="D31" s="259" t="s">
        <v>2631</v>
      </c>
      <c r="E31" s="259" t="s">
        <v>2621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2628</v>
      </c>
      <c r="D32" s="259" t="s">
        <v>2629</v>
      </c>
      <c r="E32" s="259" t="s">
        <v>2621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2627</v>
      </c>
      <c r="D33" s="259" t="s">
        <v>2617</v>
      </c>
      <c r="E33" s="259" t="s">
        <v>2621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2632</v>
      </c>
      <c r="D34" s="259" t="s">
        <v>2629</v>
      </c>
      <c r="E34" s="259" t="s">
        <v>2621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2619</v>
      </c>
      <c r="D35" s="259" t="s">
        <v>2620</v>
      </c>
      <c r="E35" s="259" t="s">
        <v>2621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2616</v>
      </c>
      <c r="D36" s="259" t="s">
        <v>2617</v>
      </c>
      <c r="E36" s="259" t="s">
        <v>2621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2619</v>
      </c>
      <c r="D37" s="259" t="s">
        <v>2620</v>
      </c>
      <c r="E37" s="259" t="s">
        <v>2621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2635</v>
      </c>
      <c r="D38" s="259" t="s">
        <v>2636</v>
      </c>
      <c r="E38" s="259" t="s">
        <v>2621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2616</v>
      </c>
      <c r="D39" s="259" t="s">
        <v>2617</v>
      </c>
      <c r="E39" s="259" t="s">
        <v>2621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2619</v>
      </c>
      <c r="D40" s="259" t="s">
        <v>2620</v>
      </c>
      <c r="E40" s="259" t="s">
        <v>2621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2633</v>
      </c>
      <c r="D41" s="259" t="s">
        <v>2634</v>
      </c>
      <c r="E41" s="259" t="s">
        <v>2621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2635</v>
      </c>
      <c r="D42" s="259" t="s">
        <v>2636</v>
      </c>
      <c r="E42" s="259" t="s">
        <v>2621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2616</v>
      </c>
      <c r="D43" s="259" t="s">
        <v>2617</v>
      </c>
      <c r="E43" s="259" t="s">
        <v>2621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2626</v>
      </c>
      <c r="D44" s="259" t="s">
        <v>2617</v>
      </c>
      <c r="E44" s="259" t="s">
        <v>2621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2632</v>
      </c>
      <c r="D45" s="259" t="s">
        <v>2629</v>
      </c>
      <c r="E45" s="259" t="s">
        <v>2621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2627</v>
      </c>
      <c r="D46" s="259" t="s">
        <v>2617</v>
      </c>
      <c r="E46" s="259" t="s">
        <v>2621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2628</v>
      </c>
      <c r="D47" s="259" t="s">
        <v>2629</v>
      </c>
      <c r="E47" s="259" t="s">
        <v>2621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3125</v>
      </c>
      <c r="D48" s="259" t="s">
        <v>3126</v>
      </c>
      <c r="E48" s="259" t="s">
        <v>2621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3218</v>
      </c>
      <c r="D49" s="259" t="s">
        <v>3219</v>
      </c>
      <c r="E49" s="259" t="s">
        <v>2621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2616</v>
      </c>
      <c r="D50" s="259" t="s">
        <v>3126</v>
      </c>
      <c r="E50" s="259" t="s">
        <v>2621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2635</v>
      </c>
      <c r="D51" s="259" t="s">
        <v>3222</v>
      </c>
      <c r="E51" s="259" t="s">
        <v>2621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3220</v>
      </c>
      <c r="D52" s="259" t="s">
        <v>3221</v>
      </c>
      <c r="E52" s="259" t="s">
        <v>2621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2635</v>
      </c>
      <c r="D53" s="259" t="s">
        <v>3222</v>
      </c>
      <c r="E53" s="259" t="s">
        <v>2621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3223</v>
      </c>
      <c r="D54" s="259" t="s">
        <v>3224</v>
      </c>
      <c r="E54" s="259" t="s">
        <v>2621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2621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2621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2621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2621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2621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2621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2621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2621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2621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2621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2621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2621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2621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2621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2621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2621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2621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2621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2621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2621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2621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2621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2621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2621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2621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2621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2621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2621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2621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2621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2621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2621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2621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2621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2618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2621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2621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2621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2621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2621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2621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2621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2621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2621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2621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2621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2621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2621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2621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2621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2621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2621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2621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2621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2621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2621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2621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2621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2621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2621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2621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2621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2621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2621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2621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2621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2621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2621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2621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2621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2621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2621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2621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2621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2621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2621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2621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2621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2621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2621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2639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2640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1662</v>
      </c>
      <c r="J8" s="126" t="s">
        <v>2641</v>
      </c>
      <c r="K8" s="80" t="s">
        <v>1662</v>
      </c>
      <c r="L8" s="80" t="s">
        <v>2641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2045</v>
      </c>
    </row>
    <row r="3" spans="1:2" x14ac:dyDescent="0.3">
      <c r="A3" t="s">
        <v>2047</v>
      </c>
    </row>
    <row r="4" spans="1:2" x14ac:dyDescent="0.3">
      <c r="A4" t="s">
        <v>2048</v>
      </c>
    </row>
    <row r="5" spans="1:2" x14ac:dyDescent="0.3">
      <c r="A5" t="s">
        <v>2049</v>
      </c>
    </row>
    <row r="6" spans="1:2" x14ac:dyDescent="0.3">
      <c r="A6" t="s">
        <v>2051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8"/>
      <c r="B1" s="319"/>
      <c r="C1" s="319"/>
      <c r="D1" s="319"/>
      <c r="E1" s="319"/>
      <c r="F1" s="319"/>
      <c r="G1" s="319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0" t="s">
        <v>1228</v>
      </c>
      <c r="R1" s="320"/>
      <c r="S1" s="428"/>
      <c r="T1" s="428"/>
      <c r="U1" s="429"/>
    </row>
    <row r="2" spans="1:21" x14ac:dyDescent="0.3">
      <c r="A2" s="298" t="s">
        <v>70</v>
      </c>
      <c r="B2" s="299"/>
      <c r="C2" s="300" t="s">
        <v>2278</v>
      </c>
      <c r="D2" s="301"/>
      <c r="E2" s="301"/>
      <c r="F2" s="301"/>
      <c r="G2" s="302"/>
      <c r="H2" s="300" t="s">
        <v>81</v>
      </c>
      <c r="I2" s="301"/>
      <c r="J2" s="301"/>
      <c r="K2" s="301"/>
      <c r="L2" s="301"/>
      <c r="M2" s="301"/>
      <c r="N2" s="301"/>
      <c r="O2" s="302"/>
      <c r="P2" s="303" t="s">
        <v>68</v>
      </c>
      <c r="Q2" s="304"/>
      <c r="R2" s="304"/>
      <c r="S2" s="299"/>
      <c r="T2" s="305">
        <v>45804</v>
      </c>
      <c r="U2" s="306"/>
    </row>
    <row r="3" spans="1:21" ht="24" customHeight="1" x14ac:dyDescent="0.3">
      <c r="A3" s="373" t="s">
        <v>1196</v>
      </c>
      <c r="B3" s="37" t="s">
        <v>64</v>
      </c>
      <c r="C3" s="495" t="s">
        <v>1575</v>
      </c>
      <c r="D3" s="496"/>
      <c r="E3" s="496"/>
      <c r="F3" s="496"/>
      <c r="G3" s="496"/>
      <c r="H3" s="496"/>
      <c r="I3" s="496"/>
      <c r="J3" s="497"/>
      <c r="K3" s="379" t="s">
        <v>1197</v>
      </c>
      <c r="L3" s="37" t="s">
        <v>64</v>
      </c>
      <c r="M3" s="481" t="s">
        <v>970</v>
      </c>
      <c r="N3" s="482"/>
      <c r="O3" s="482"/>
      <c r="P3" s="482"/>
      <c r="Q3" s="482"/>
      <c r="R3" s="482"/>
      <c r="S3" s="482"/>
      <c r="T3" s="482"/>
      <c r="U3" s="483"/>
    </row>
    <row r="4" spans="1:21" ht="24.95" customHeight="1" x14ac:dyDescent="0.3">
      <c r="A4" s="374"/>
      <c r="B4" s="37" t="s">
        <v>66</v>
      </c>
      <c r="C4" s="425"/>
      <c r="D4" s="426"/>
      <c r="E4" s="426"/>
      <c r="F4" s="426"/>
      <c r="G4" s="426"/>
      <c r="H4" s="426"/>
      <c r="I4" s="426"/>
      <c r="J4" s="427"/>
      <c r="K4" s="380"/>
      <c r="L4" s="37" t="s">
        <v>66</v>
      </c>
      <c r="M4" s="388" t="s">
        <v>968</v>
      </c>
      <c r="N4" s="389"/>
      <c r="O4" s="389"/>
      <c r="P4" s="389"/>
      <c r="Q4" s="389"/>
      <c r="R4" s="390"/>
      <c r="S4" s="38" t="s">
        <v>67</v>
      </c>
      <c r="T4" s="461" t="s">
        <v>78</v>
      </c>
      <c r="U4" s="462"/>
    </row>
    <row r="5" spans="1:21" ht="15.75" customHeight="1" x14ac:dyDescent="0.3">
      <c r="A5" s="374"/>
      <c r="B5" s="38" t="s">
        <v>65</v>
      </c>
      <c r="C5" s="388" t="s">
        <v>1113</v>
      </c>
      <c r="D5" s="389"/>
      <c r="E5" s="389"/>
      <c r="F5" s="389"/>
      <c r="G5" s="389"/>
      <c r="H5" s="389"/>
      <c r="I5" s="389"/>
      <c r="J5" s="390"/>
      <c r="K5" s="380"/>
      <c r="L5" s="38" t="s">
        <v>65</v>
      </c>
      <c r="M5" s="388" t="s">
        <v>79</v>
      </c>
      <c r="N5" s="389"/>
      <c r="O5" s="389"/>
      <c r="P5" s="389"/>
      <c r="Q5" s="389"/>
      <c r="R5" s="389"/>
      <c r="S5" s="389"/>
      <c r="T5" s="389"/>
      <c r="U5" s="391"/>
    </row>
    <row r="6" spans="1:21" ht="15.75" customHeight="1" x14ac:dyDescent="0.3">
      <c r="A6" s="375"/>
      <c r="B6" s="38" t="s">
        <v>80</v>
      </c>
      <c r="C6" s="388" t="s">
        <v>1112</v>
      </c>
      <c r="D6" s="389"/>
      <c r="E6" s="389"/>
      <c r="F6" s="389"/>
      <c r="G6" s="389"/>
      <c r="H6" s="389"/>
      <c r="I6" s="389"/>
      <c r="J6" s="390"/>
      <c r="K6" s="381"/>
      <c r="L6" s="38" t="s">
        <v>80</v>
      </c>
      <c r="M6" s="388" t="s">
        <v>71</v>
      </c>
      <c r="N6" s="389"/>
      <c r="O6" s="389"/>
      <c r="P6" s="389"/>
      <c r="Q6" s="389"/>
      <c r="R6" s="390"/>
      <c r="S6" s="38" t="s">
        <v>26</v>
      </c>
      <c r="T6" s="388" t="s">
        <v>980</v>
      </c>
      <c r="U6" s="391"/>
    </row>
    <row r="7" spans="1:21" ht="15.75" customHeight="1" x14ac:dyDescent="0.3">
      <c r="A7" s="307" t="s">
        <v>75</v>
      </c>
      <c r="B7" s="308"/>
      <c r="C7" s="308"/>
      <c r="D7" s="308"/>
      <c r="E7" s="370"/>
      <c r="F7" s="371" t="s">
        <v>83</v>
      </c>
      <c r="G7" s="308"/>
      <c r="H7" s="308"/>
      <c r="I7" s="370"/>
      <c r="J7" s="371" t="s">
        <v>72</v>
      </c>
      <c r="K7" s="370"/>
      <c r="L7" s="371" t="s">
        <v>46</v>
      </c>
      <c r="M7" s="308"/>
      <c r="N7" s="308"/>
      <c r="O7" s="308"/>
      <c r="P7" s="370"/>
      <c r="Q7" s="371" t="s">
        <v>73</v>
      </c>
      <c r="R7" s="308"/>
      <c r="S7" s="370"/>
      <c r="T7" s="371" t="s">
        <v>74</v>
      </c>
      <c r="U7" s="372"/>
    </row>
    <row r="8" spans="1:21" ht="15" customHeight="1" x14ac:dyDescent="0.3">
      <c r="A8" s="498" t="s">
        <v>1160</v>
      </c>
      <c r="B8" s="499"/>
      <c r="C8" s="499"/>
      <c r="D8" s="499"/>
      <c r="E8" s="500"/>
      <c r="F8" s="501"/>
      <c r="G8" s="499"/>
      <c r="H8" s="499"/>
      <c r="I8" s="500"/>
      <c r="J8" s="417">
        <v>1</v>
      </c>
      <c r="K8" s="416"/>
      <c r="L8" s="502">
        <v>1000000</v>
      </c>
      <c r="M8" s="503"/>
      <c r="N8" s="503"/>
      <c r="O8" s="503"/>
      <c r="P8" s="504"/>
      <c r="Q8" s="502">
        <v>1000000</v>
      </c>
      <c r="R8" s="503"/>
      <c r="S8" s="504"/>
      <c r="T8" s="421"/>
      <c r="U8" s="422"/>
    </row>
    <row r="9" spans="1:21" ht="15" customHeight="1" x14ac:dyDescent="0.3">
      <c r="A9" s="488"/>
      <c r="B9" s="489"/>
      <c r="C9" s="489"/>
      <c r="D9" s="489"/>
      <c r="E9" s="490"/>
      <c r="F9" s="491"/>
      <c r="G9" s="489"/>
      <c r="H9" s="489"/>
      <c r="I9" s="490"/>
      <c r="J9" s="406"/>
      <c r="K9" s="405"/>
      <c r="L9" s="485"/>
      <c r="M9" s="486"/>
      <c r="N9" s="486"/>
      <c r="O9" s="486"/>
      <c r="P9" s="487"/>
      <c r="Q9" s="485"/>
      <c r="R9" s="486"/>
      <c r="S9" s="487"/>
      <c r="T9" s="410"/>
      <c r="U9" s="411"/>
    </row>
    <row r="10" spans="1:21" ht="15" customHeight="1" x14ac:dyDescent="0.3">
      <c r="A10" s="488"/>
      <c r="B10" s="489"/>
      <c r="C10" s="489"/>
      <c r="D10" s="489"/>
      <c r="E10" s="490"/>
      <c r="F10" s="491"/>
      <c r="G10" s="489"/>
      <c r="H10" s="489"/>
      <c r="I10" s="490"/>
      <c r="J10" s="406"/>
      <c r="K10" s="405"/>
      <c r="L10" s="485"/>
      <c r="M10" s="486"/>
      <c r="N10" s="486"/>
      <c r="O10" s="486"/>
      <c r="P10" s="487"/>
      <c r="Q10" s="485"/>
      <c r="R10" s="486"/>
      <c r="S10" s="487"/>
      <c r="T10" s="410"/>
      <c r="U10" s="411"/>
    </row>
    <row r="11" spans="1:21" ht="15" customHeight="1" x14ac:dyDescent="0.3">
      <c r="A11" s="488"/>
      <c r="B11" s="489"/>
      <c r="C11" s="489"/>
      <c r="D11" s="489"/>
      <c r="E11" s="490"/>
      <c r="F11" s="491"/>
      <c r="G11" s="489"/>
      <c r="H11" s="489"/>
      <c r="I11" s="490"/>
      <c r="J11" s="406"/>
      <c r="K11" s="405"/>
      <c r="L11" s="485"/>
      <c r="M11" s="486"/>
      <c r="N11" s="486"/>
      <c r="O11" s="486"/>
      <c r="P11" s="487"/>
      <c r="Q11" s="485"/>
      <c r="R11" s="486"/>
      <c r="S11" s="487"/>
      <c r="T11" s="410"/>
      <c r="U11" s="411"/>
    </row>
    <row r="12" spans="1:21" ht="15" customHeight="1" x14ac:dyDescent="0.3">
      <c r="A12" s="488"/>
      <c r="B12" s="489"/>
      <c r="C12" s="489"/>
      <c r="D12" s="489"/>
      <c r="E12" s="490"/>
      <c r="F12" s="491"/>
      <c r="G12" s="489"/>
      <c r="H12" s="489"/>
      <c r="I12" s="490"/>
      <c r="J12" s="406"/>
      <c r="K12" s="405"/>
      <c r="L12" s="485"/>
      <c r="M12" s="486"/>
      <c r="N12" s="486"/>
      <c r="O12" s="486"/>
      <c r="P12" s="487"/>
      <c r="Q12" s="485"/>
      <c r="R12" s="486"/>
      <c r="S12" s="487"/>
      <c r="T12" s="410"/>
      <c r="U12" s="411"/>
    </row>
    <row r="13" spans="1:21" ht="15" customHeight="1" x14ac:dyDescent="0.3">
      <c r="A13" s="488"/>
      <c r="B13" s="489"/>
      <c r="C13" s="489"/>
      <c r="D13" s="489"/>
      <c r="E13" s="490"/>
      <c r="F13" s="492"/>
      <c r="G13" s="493"/>
      <c r="H13" s="493"/>
      <c r="I13" s="494"/>
      <c r="J13" s="406"/>
      <c r="K13" s="405"/>
      <c r="L13" s="485"/>
      <c r="M13" s="486"/>
      <c r="N13" s="486"/>
      <c r="O13" s="486"/>
      <c r="P13" s="487"/>
      <c r="Q13" s="485"/>
      <c r="R13" s="486"/>
      <c r="S13" s="487"/>
      <c r="T13" s="410"/>
      <c r="U13" s="411"/>
    </row>
    <row r="14" spans="1:21" ht="15" customHeight="1" x14ac:dyDescent="0.3">
      <c r="A14" s="488"/>
      <c r="B14" s="489"/>
      <c r="C14" s="489"/>
      <c r="D14" s="489"/>
      <c r="E14" s="490"/>
      <c r="F14" s="491"/>
      <c r="G14" s="489"/>
      <c r="H14" s="489"/>
      <c r="I14" s="490"/>
      <c r="J14" s="406"/>
      <c r="K14" s="405"/>
      <c r="L14" s="485"/>
      <c r="M14" s="486"/>
      <c r="N14" s="486"/>
      <c r="O14" s="486"/>
      <c r="P14" s="487"/>
      <c r="Q14" s="485"/>
      <c r="R14" s="486"/>
      <c r="S14" s="487"/>
      <c r="T14" s="410"/>
      <c r="U14" s="411"/>
    </row>
    <row r="15" spans="1:21" ht="15" customHeight="1" x14ac:dyDescent="0.3">
      <c r="A15" s="403"/>
      <c r="B15" s="404"/>
      <c r="C15" s="404"/>
      <c r="D15" s="404"/>
      <c r="E15" s="405"/>
      <c r="F15" s="406"/>
      <c r="G15" s="404"/>
      <c r="H15" s="404"/>
      <c r="I15" s="405"/>
      <c r="J15" s="406"/>
      <c r="K15" s="405"/>
      <c r="L15" s="475"/>
      <c r="M15" s="476"/>
      <c r="N15" s="476"/>
      <c r="O15" s="476"/>
      <c r="P15" s="477"/>
      <c r="Q15" s="475"/>
      <c r="R15" s="476"/>
      <c r="S15" s="477"/>
      <c r="T15" s="410"/>
      <c r="U15" s="411"/>
    </row>
    <row r="16" spans="1:21" ht="15" customHeight="1" x14ac:dyDescent="0.3">
      <c r="A16" s="403"/>
      <c r="B16" s="404"/>
      <c r="C16" s="404"/>
      <c r="D16" s="404"/>
      <c r="E16" s="405"/>
      <c r="F16" s="406"/>
      <c r="G16" s="404"/>
      <c r="H16" s="404"/>
      <c r="I16" s="405"/>
      <c r="J16" s="406"/>
      <c r="K16" s="405"/>
      <c r="L16" s="475"/>
      <c r="M16" s="476"/>
      <c r="N16" s="476"/>
      <c r="O16" s="476"/>
      <c r="P16" s="477"/>
      <c r="Q16" s="475"/>
      <c r="R16" s="476"/>
      <c r="S16" s="477"/>
      <c r="T16" s="410"/>
      <c r="U16" s="411"/>
    </row>
    <row r="17" spans="1:21" ht="15" customHeight="1" x14ac:dyDescent="0.3">
      <c r="A17" s="403"/>
      <c r="B17" s="404"/>
      <c r="C17" s="404"/>
      <c r="D17" s="404"/>
      <c r="E17" s="405"/>
      <c r="F17" s="406"/>
      <c r="G17" s="404"/>
      <c r="H17" s="404"/>
      <c r="I17" s="405"/>
      <c r="J17" s="406"/>
      <c r="K17" s="405"/>
      <c r="L17" s="475"/>
      <c r="M17" s="476"/>
      <c r="N17" s="476"/>
      <c r="O17" s="476"/>
      <c r="P17" s="477"/>
      <c r="Q17" s="475"/>
      <c r="R17" s="476"/>
      <c r="S17" s="477"/>
      <c r="T17" s="410"/>
      <c r="U17" s="411"/>
    </row>
    <row r="18" spans="1:21" ht="15" customHeight="1" x14ac:dyDescent="0.3">
      <c r="A18" s="403"/>
      <c r="B18" s="404"/>
      <c r="C18" s="404"/>
      <c r="D18" s="404"/>
      <c r="E18" s="405"/>
      <c r="F18" s="406"/>
      <c r="G18" s="404"/>
      <c r="H18" s="404"/>
      <c r="I18" s="405"/>
      <c r="J18" s="406"/>
      <c r="K18" s="405"/>
      <c r="L18" s="475"/>
      <c r="M18" s="476"/>
      <c r="N18" s="476"/>
      <c r="O18" s="476"/>
      <c r="P18" s="477"/>
      <c r="Q18" s="475"/>
      <c r="R18" s="476"/>
      <c r="S18" s="477"/>
      <c r="T18" s="410"/>
      <c r="U18" s="411"/>
    </row>
    <row r="19" spans="1:21" ht="15" customHeight="1" x14ac:dyDescent="0.3">
      <c r="A19" s="446"/>
      <c r="B19" s="447"/>
      <c r="C19" s="447"/>
      <c r="D19" s="447"/>
      <c r="E19" s="448"/>
      <c r="F19" s="449"/>
      <c r="G19" s="447"/>
      <c r="H19" s="447"/>
      <c r="I19" s="448"/>
      <c r="J19" s="449"/>
      <c r="K19" s="448"/>
      <c r="L19" s="463"/>
      <c r="M19" s="464"/>
      <c r="N19" s="464"/>
      <c r="O19" s="464"/>
      <c r="P19" s="465"/>
      <c r="Q19" s="463"/>
      <c r="R19" s="464"/>
      <c r="S19" s="465"/>
      <c r="T19" s="466"/>
      <c r="U19" s="467"/>
    </row>
    <row r="20" spans="1:21" x14ac:dyDescent="0.3">
      <c r="A20" s="307" t="s">
        <v>86</v>
      </c>
      <c r="B20" s="308"/>
      <c r="C20" s="308"/>
      <c r="D20" s="308"/>
      <c r="E20" s="308"/>
      <c r="F20" s="309">
        <v>2450000</v>
      </c>
      <c r="G20" s="309"/>
      <c r="H20" s="309"/>
      <c r="I20" s="310"/>
      <c r="J20" s="454">
        <f>SUM(J8:K19)</f>
        <v>1</v>
      </c>
      <c r="K20" s="454"/>
      <c r="L20" s="508" t="s">
        <v>965</v>
      </c>
      <c r="M20" s="509"/>
      <c r="N20" s="509"/>
      <c r="O20" s="509"/>
      <c r="P20" s="510"/>
      <c r="Q20" s="349">
        <f>SUM(Q8:S19)</f>
        <v>1000000</v>
      </c>
      <c r="R20" s="309"/>
      <c r="S20" s="309"/>
      <c r="T20" s="309"/>
      <c r="U20" s="350"/>
    </row>
    <row r="21" spans="1:21" ht="17.25" thickBot="1" x14ac:dyDescent="0.35">
      <c r="A21" s="312" t="s">
        <v>96</v>
      </c>
      <c r="B21" s="313"/>
      <c r="C21" s="313"/>
      <c r="D21" s="313"/>
      <c r="E21" s="313"/>
      <c r="F21" s="314">
        <f>F20+Q20</f>
        <v>3450000</v>
      </c>
      <c r="G21" s="314"/>
      <c r="H21" s="314"/>
      <c r="I21" s="315"/>
      <c r="J21" s="316" t="s">
        <v>971</v>
      </c>
      <c r="K21" s="313"/>
      <c r="L21" s="317" t="str">
        <f>T4</f>
        <v>장효주</v>
      </c>
      <c r="M21" s="317"/>
      <c r="N21" s="317"/>
      <c r="O21" s="316" t="s">
        <v>69</v>
      </c>
      <c r="P21" s="342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297"/>
      <c r="B23" s="297"/>
      <c r="C23" s="297"/>
      <c r="D23" s="297"/>
      <c r="E23" s="297"/>
      <c r="F23" s="297"/>
      <c r="G23" s="297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7"/>
      <c r="U23" s="297"/>
    </row>
    <row r="24" spans="1:21" ht="24" customHeight="1" thickBot="1" x14ac:dyDescent="0.35">
      <c r="A24" s="458" t="s">
        <v>76</v>
      </c>
      <c r="B24" s="459"/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60"/>
    </row>
    <row r="25" spans="1:21" x14ac:dyDescent="0.3">
      <c r="A25" s="298" t="s">
        <v>70</v>
      </c>
      <c r="B25" s="299"/>
      <c r="C25" s="300" t="str">
        <f>C2</f>
        <v>카카오뱅크 3333181865047</v>
      </c>
      <c r="D25" s="301"/>
      <c r="E25" s="301"/>
      <c r="F25" s="301"/>
      <c r="G25" s="302"/>
      <c r="H25" s="300" t="s">
        <v>82</v>
      </c>
      <c r="I25" s="301"/>
      <c r="J25" s="301"/>
      <c r="K25" s="301"/>
      <c r="L25" s="301"/>
      <c r="M25" s="301"/>
      <c r="N25" s="301"/>
      <c r="O25" s="302"/>
      <c r="P25" s="303" t="s">
        <v>68</v>
      </c>
      <c r="Q25" s="304"/>
      <c r="R25" s="304"/>
      <c r="S25" s="299"/>
      <c r="T25" s="305">
        <f>T2</f>
        <v>45804</v>
      </c>
      <c r="U25" s="306"/>
    </row>
    <row r="26" spans="1:21" ht="27" customHeight="1" x14ac:dyDescent="0.3">
      <c r="A26" s="373" t="s">
        <v>1196</v>
      </c>
      <c r="B26" s="37" t="s">
        <v>64</v>
      </c>
      <c r="C26" s="478" t="str">
        <f>C3</f>
        <v>제이오토(대구)</v>
      </c>
      <c r="D26" s="479"/>
      <c r="E26" s="479"/>
      <c r="F26" s="479"/>
      <c r="G26" s="479"/>
      <c r="H26" s="479"/>
      <c r="I26" s="479"/>
      <c r="J26" s="480"/>
      <c r="K26" s="379" t="s">
        <v>1197</v>
      </c>
      <c r="L26" s="37" t="s">
        <v>64</v>
      </c>
      <c r="M26" s="481" t="str">
        <f>M3</f>
        <v>BTS&amp;P</v>
      </c>
      <c r="N26" s="482"/>
      <c r="O26" s="482"/>
      <c r="P26" s="482"/>
      <c r="Q26" s="482"/>
      <c r="R26" s="482"/>
      <c r="S26" s="482"/>
      <c r="T26" s="482"/>
      <c r="U26" s="483"/>
    </row>
    <row r="27" spans="1:21" ht="24.95" customHeight="1" x14ac:dyDescent="0.3">
      <c r="A27" s="374"/>
      <c r="B27" s="37" t="s">
        <v>66</v>
      </c>
      <c r="C27" s="505">
        <f>C4</f>
        <v>0</v>
      </c>
      <c r="D27" s="506"/>
      <c r="E27" s="506"/>
      <c r="F27" s="506"/>
      <c r="G27" s="506"/>
      <c r="H27" s="506"/>
      <c r="I27" s="506"/>
      <c r="J27" s="507"/>
      <c r="K27" s="380"/>
      <c r="L27" s="37" t="s">
        <v>66</v>
      </c>
      <c r="M27" s="388" t="str">
        <f>M4</f>
        <v>259-12-01768</v>
      </c>
      <c r="N27" s="389"/>
      <c r="O27" s="389"/>
      <c r="P27" s="389"/>
      <c r="Q27" s="389"/>
      <c r="R27" s="390"/>
      <c r="S27" s="38" t="s">
        <v>67</v>
      </c>
      <c r="T27" s="461" t="str">
        <f>T4</f>
        <v>장효주</v>
      </c>
      <c r="U27" s="462"/>
    </row>
    <row r="28" spans="1:21" ht="15.75" customHeight="1" x14ac:dyDescent="0.3">
      <c r="A28" s="374"/>
      <c r="B28" s="38" t="s">
        <v>10</v>
      </c>
      <c r="C28" s="388" t="str">
        <f>C5</f>
        <v>대구광역시 서구 가르뱅이로 53</v>
      </c>
      <c r="D28" s="389"/>
      <c r="E28" s="389"/>
      <c r="F28" s="389"/>
      <c r="G28" s="389"/>
      <c r="H28" s="389"/>
      <c r="I28" s="389"/>
      <c r="J28" s="390"/>
      <c r="K28" s="380"/>
      <c r="L28" s="38" t="s">
        <v>10</v>
      </c>
      <c r="M28" s="388" t="str">
        <f>M5</f>
        <v>대구 달서구 용산로 28(본리동)</v>
      </c>
      <c r="N28" s="389"/>
      <c r="O28" s="389"/>
      <c r="P28" s="389"/>
      <c r="Q28" s="389"/>
      <c r="R28" s="389"/>
      <c r="S28" s="389"/>
      <c r="T28" s="389"/>
      <c r="U28" s="391"/>
    </row>
    <row r="29" spans="1:21" ht="15.75" customHeight="1" x14ac:dyDescent="0.3">
      <c r="A29" s="375"/>
      <c r="B29" s="38" t="s">
        <v>80</v>
      </c>
      <c r="C29" s="388" t="str">
        <f>C6</f>
        <v>010-5102-8176</v>
      </c>
      <c r="D29" s="389"/>
      <c r="E29" s="389"/>
      <c r="F29" s="389"/>
      <c r="G29" s="389"/>
      <c r="H29" s="389"/>
      <c r="I29" s="389"/>
      <c r="J29" s="390"/>
      <c r="K29" s="381"/>
      <c r="L29" s="38" t="s">
        <v>80</v>
      </c>
      <c r="M29" s="388" t="str">
        <f>M6</f>
        <v>010-5168-3542</v>
      </c>
      <c r="N29" s="389"/>
      <c r="O29" s="389"/>
      <c r="P29" s="389"/>
      <c r="Q29" s="389"/>
      <c r="R29" s="390"/>
      <c r="S29" s="38" t="s">
        <v>26</v>
      </c>
      <c r="T29" s="388"/>
      <c r="U29" s="391"/>
    </row>
    <row r="30" spans="1:21" ht="15.75" customHeight="1" x14ac:dyDescent="0.3">
      <c r="A30" s="307" t="s">
        <v>75</v>
      </c>
      <c r="B30" s="308"/>
      <c r="C30" s="308"/>
      <c r="D30" s="308"/>
      <c r="E30" s="370"/>
      <c r="F30" s="371" t="s">
        <v>48</v>
      </c>
      <c r="G30" s="308"/>
      <c r="H30" s="308"/>
      <c r="I30" s="370"/>
      <c r="J30" s="371" t="s">
        <v>72</v>
      </c>
      <c r="K30" s="370"/>
      <c r="L30" s="371" t="s">
        <v>46</v>
      </c>
      <c r="M30" s="308"/>
      <c r="N30" s="308"/>
      <c r="O30" s="308"/>
      <c r="P30" s="370"/>
      <c r="Q30" s="371" t="s">
        <v>73</v>
      </c>
      <c r="R30" s="308"/>
      <c r="S30" s="370"/>
      <c r="T30" s="371" t="s">
        <v>74</v>
      </c>
      <c r="U30" s="372"/>
    </row>
    <row r="31" spans="1:21" ht="15" customHeight="1" x14ac:dyDescent="0.3">
      <c r="A31" s="472" t="str">
        <f>A8</f>
        <v>8HP70 VALBEBODY</v>
      </c>
      <c r="B31" s="473"/>
      <c r="C31" s="473"/>
      <c r="D31" s="473"/>
      <c r="E31" s="473"/>
      <c r="F31" s="473">
        <f>F8</f>
        <v>0</v>
      </c>
      <c r="G31" s="473"/>
      <c r="H31" s="473"/>
      <c r="I31" s="473"/>
      <c r="J31" s="473">
        <f>J8</f>
        <v>1</v>
      </c>
      <c r="K31" s="473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473">
        <f>T8</f>
        <v>0</v>
      </c>
      <c r="U31" s="484"/>
    </row>
    <row r="32" spans="1:21" ht="15" customHeight="1" x14ac:dyDescent="0.3">
      <c r="A32" s="453">
        <f t="shared" ref="A32:A42" si="0">A9</f>
        <v>0</v>
      </c>
      <c r="B32" s="450"/>
      <c r="C32" s="450"/>
      <c r="D32" s="450"/>
      <c r="E32" s="450"/>
      <c r="F32" s="450">
        <f t="shared" ref="F32:F42" si="1">F9</f>
        <v>0</v>
      </c>
      <c r="G32" s="450"/>
      <c r="H32" s="450"/>
      <c r="I32" s="450"/>
      <c r="J32" s="450">
        <f t="shared" ref="J32:J42" si="2">J9</f>
        <v>0</v>
      </c>
      <c r="K32" s="450"/>
      <c r="L32" s="452">
        <f t="shared" ref="L32:L42" si="3">L9</f>
        <v>0</v>
      </c>
      <c r="M32" s="452"/>
      <c r="N32" s="452"/>
      <c r="O32" s="452"/>
      <c r="P32" s="452"/>
      <c r="Q32" s="452">
        <f t="shared" ref="Q32:Q42" si="4">Q9</f>
        <v>0</v>
      </c>
      <c r="R32" s="452"/>
      <c r="S32" s="452"/>
      <c r="T32" s="450">
        <f t="shared" ref="T32:T42" si="5">T9</f>
        <v>0</v>
      </c>
      <c r="U32" s="451"/>
    </row>
    <row r="33" spans="1:21" ht="15" customHeight="1" x14ac:dyDescent="0.3">
      <c r="A33" s="453">
        <f t="shared" si="0"/>
        <v>0</v>
      </c>
      <c r="B33" s="450"/>
      <c r="C33" s="450"/>
      <c r="D33" s="450"/>
      <c r="E33" s="450"/>
      <c r="F33" s="450">
        <f t="shared" si="1"/>
        <v>0</v>
      </c>
      <c r="G33" s="450"/>
      <c r="H33" s="450"/>
      <c r="I33" s="450"/>
      <c r="J33" s="450">
        <f t="shared" si="2"/>
        <v>0</v>
      </c>
      <c r="K33" s="450"/>
      <c r="L33" s="452">
        <f t="shared" si="3"/>
        <v>0</v>
      </c>
      <c r="M33" s="452"/>
      <c r="N33" s="452"/>
      <c r="O33" s="452"/>
      <c r="P33" s="452"/>
      <c r="Q33" s="452">
        <f t="shared" si="4"/>
        <v>0</v>
      </c>
      <c r="R33" s="452"/>
      <c r="S33" s="452"/>
      <c r="T33" s="450">
        <f t="shared" si="5"/>
        <v>0</v>
      </c>
      <c r="U33" s="451"/>
    </row>
    <row r="34" spans="1:21" ht="15" customHeight="1" x14ac:dyDescent="0.3">
      <c r="A34" s="453">
        <f t="shared" si="0"/>
        <v>0</v>
      </c>
      <c r="B34" s="450"/>
      <c r="C34" s="450"/>
      <c r="D34" s="450"/>
      <c r="E34" s="450"/>
      <c r="F34" s="450">
        <f t="shared" si="1"/>
        <v>0</v>
      </c>
      <c r="G34" s="450"/>
      <c r="H34" s="450"/>
      <c r="I34" s="450"/>
      <c r="J34" s="450">
        <v>1</v>
      </c>
      <c r="K34" s="450"/>
      <c r="L34" s="452">
        <f t="shared" si="3"/>
        <v>0</v>
      </c>
      <c r="M34" s="452"/>
      <c r="N34" s="452"/>
      <c r="O34" s="452"/>
      <c r="P34" s="452"/>
      <c r="Q34" s="452">
        <f t="shared" si="4"/>
        <v>0</v>
      </c>
      <c r="R34" s="452"/>
      <c r="S34" s="452"/>
      <c r="T34" s="450">
        <f t="shared" si="5"/>
        <v>0</v>
      </c>
      <c r="U34" s="451"/>
    </row>
    <row r="35" spans="1:21" ht="15" customHeight="1" x14ac:dyDescent="0.3">
      <c r="A35" s="453">
        <f t="shared" si="0"/>
        <v>0</v>
      </c>
      <c r="B35" s="450"/>
      <c r="C35" s="450"/>
      <c r="D35" s="450"/>
      <c r="E35" s="450"/>
      <c r="F35" s="450">
        <f t="shared" si="1"/>
        <v>0</v>
      </c>
      <c r="G35" s="450"/>
      <c r="H35" s="450"/>
      <c r="I35" s="450"/>
      <c r="J35" s="450">
        <f t="shared" si="2"/>
        <v>0</v>
      </c>
      <c r="K35" s="450"/>
      <c r="L35" s="452">
        <f t="shared" si="3"/>
        <v>0</v>
      </c>
      <c r="M35" s="452"/>
      <c r="N35" s="452"/>
      <c r="O35" s="452"/>
      <c r="P35" s="452"/>
      <c r="Q35" s="452">
        <f t="shared" si="4"/>
        <v>0</v>
      </c>
      <c r="R35" s="452"/>
      <c r="S35" s="452"/>
      <c r="T35" s="450">
        <f t="shared" si="5"/>
        <v>0</v>
      </c>
      <c r="U35" s="451"/>
    </row>
    <row r="36" spans="1:21" ht="15" customHeight="1" x14ac:dyDescent="0.3">
      <c r="A36" s="453">
        <f t="shared" si="0"/>
        <v>0</v>
      </c>
      <c r="B36" s="450"/>
      <c r="C36" s="450"/>
      <c r="D36" s="450"/>
      <c r="E36" s="450"/>
      <c r="F36" s="450">
        <f t="shared" si="1"/>
        <v>0</v>
      </c>
      <c r="G36" s="450"/>
      <c r="H36" s="450"/>
      <c r="I36" s="450"/>
      <c r="J36" s="450">
        <f t="shared" si="2"/>
        <v>0</v>
      </c>
      <c r="K36" s="450"/>
      <c r="L36" s="452">
        <f t="shared" si="3"/>
        <v>0</v>
      </c>
      <c r="M36" s="452"/>
      <c r="N36" s="452"/>
      <c r="O36" s="452"/>
      <c r="P36" s="452"/>
      <c r="Q36" s="452">
        <f t="shared" si="4"/>
        <v>0</v>
      </c>
      <c r="R36" s="452"/>
      <c r="S36" s="452"/>
      <c r="T36" s="450">
        <f t="shared" si="5"/>
        <v>0</v>
      </c>
      <c r="U36" s="451"/>
    </row>
    <row r="37" spans="1:21" ht="15" customHeight="1" x14ac:dyDescent="0.3">
      <c r="A37" s="453">
        <f t="shared" si="0"/>
        <v>0</v>
      </c>
      <c r="B37" s="450"/>
      <c r="C37" s="450"/>
      <c r="D37" s="450"/>
      <c r="E37" s="450"/>
      <c r="F37" s="450">
        <f t="shared" si="1"/>
        <v>0</v>
      </c>
      <c r="G37" s="450"/>
      <c r="H37" s="450"/>
      <c r="I37" s="450"/>
      <c r="J37" s="450">
        <f t="shared" si="2"/>
        <v>0</v>
      </c>
      <c r="K37" s="450"/>
      <c r="L37" s="452">
        <f t="shared" si="3"/>
        <v>0</v>
      </c>
      <c r="M37" s="452"/>
      <c r="N37" s="452"/>
      <c r="O37" s="452"/>
      <c r="P37" s="452"/>
      <c r="Q37" s="452">
        <f t="shared" si="4"/>
        <v>0</v>
      </c>
      <c r="R37" s="452"/>
      <c r="S37" s="452"/>
      <c r="T37" s="450">
        <f t="shared" si="5"/>
        <v>0</v>
      </c>
      <c r="U37" s="451"/>
    </row>
    <row r="38" spans="1:21" ht="15" customHeight="1" x14ac:dyDescent="0.3">
      <c r="A38" s="453">
        <f t="shared" si="0"/>
        <v>0</v>
      </c>
      <c r="B38" s="450"/>
      <c r="C38" s="450"/>
      <c r="D38" s="450"/>
      <c r="E38" s="450"/>
      <c r="F38" s="450">
        <f t="shared" si="1"/>
        <v>0</v>
      </c>
      <c r="G38" s="450"/>
      <c r="H38" s="450"/>
      <c r="I38" s="450"/>
      <c r="J38" s="450">
        <f t="shared" si="2"/>
        <v>0</v>
      </c>
      <c r="K38" s="450"/>
      <c r="L38" s="452">
        <f t="shared" si="3"/>
        <v>0</v>
      </c>
      <c r="M38" s="452"/>
      <c r="N38" s="452"/>
      <c r="O38" s="452"/>
      <c r="P38" s="452"/>
      <c r="Q38" s="452">
        <f t="shared" si="4"/>
        <v>0</v>
      </c>
      <c r="R38" s="452"/>
      <c r="S38" s="452"/>
      <c r="T38" s="450">
        <f t="shared" si="5"/>
        <v>0</v>
      </c>
      <c r="U38" s="451"/>
    </row>
    <row r="39" spans="1:21" ht="15" customHeight="1" x14ac:dyDescent="0.3">
      <c r="A39" s="453">
        <f t="shared" si="0"/>
        <v>0</v>
      </c>
      <c r="B39" s="450"/>
      <c r="C39" s="450"/>
      <c r="D39" s="450"/>
      <c r="E39" s="450"/>
      <c r="F39" s="450">
        <f t="shared" si="1"/>
        <v>0</v>
      </c>
      <c r="G39" s="450"/>
      <c r="H39" s="450"/>
      <c r="I39" s="450"/>
      <c r="J39" s="450">
        <f t="shared" si="2"/>
        <v>0</v>
      </c>
      <c r="K39" s="450"/>
      <c r="L39" s="452">
        <f t="shared" si="3"/>
        <v>0</v>
      </c>
      <c r="M39" s="452"/>
      <c r="N39" s="452"/>
      <c r="O39" s="452"/>
      <c r="P39" s="452"/>
      <c r="Q39" s="452">
        <f t="shared" si="4"/>
        <v>0</v>
      </c>
      <c r="R39" s="452"/>
      <c r="S39" s="452"/>
      <c r="T39" s="450">
        <f t="shared" si="5"/>
        <v>0</v>
      </c>
      <c r="U39" s="451"/>
    </row>
    <row r="40" spans="1:21" ht="15" customHeight="1" x14ac:dyDescent="0.3">
      <c r="A40" s="453">
        <f t="shared" si="0"/>
        <v>0</v>
      </c>
      <c r="B40" s="450"/>
      <c r="C40" s="450"/>
      <c r="D40" s="450"/>
      <c r="E40" s="450"/>
      <c r="F40" s="450">
        <f t="shared" si="1"/>
        <v>0</v>
      </c>
      <c r="G40" s="450"/>
      <c r="H40" s="450"/>
      <c r="I40" s="450"/>
      <c r="J40" s="450">
        <f t="shared" si="2"/>
        <v>0</v>
      </c>
      <c r="K40" s="450"/>
      <c r="L40" s="452">
        <f t="shared" si="3"/>
        <v>0</v>
      </c>
      <c r="M40" s="452"/>
      <c r="N40" s="452"/>
      <c r="O40" s="452"/>
      <c r="P40" s="452"/>
      <c r="Q40" s="452">
        <f t="shared" si="4"/>
        <v>0</v>
      </c>
      <c r="R40" s="452"/>
      <c r="S40" s="452"/>
      <c r="T40" s="450">
        <f t="shared" si="5"/>
        <v>0</v>
      </c>
      <c r="U40" s="451"/>
    </row>
    <row r="41" spans="1:21" ht="15" customHeight="1" x14ac:dyDescent="0.3">
      <c r="A41" s="453">
        <f t="shared" si="0"/>
        <v>0</v>
      </c>
      <c r="B41" s="450"/>
      <c r="C41" s="450"/>
      <c r="D41" s="450"/>
      <c r="E41" s="450"/>
      <c r="F41" s="450">
        <f t="shared" si="1"/>
        <v>0</v>
      </c>
      <c r="G41" s="450"/>
      <c r="H41" s="450"/>
      <c r="I41" s="450"/>
      <c r="J41" s="450">
        <f t="shared" si="2"/>
        <v>0</v>
      </c>
      <c r="K41" s="450"/>
      <c r="L41" s="452">
        <f t="shared" si="3"/>
        <v>0</v>
      </c>
      <c r="M41" s="452"/>
      <c r="N41" s="452"/>
      <c r="O41" s="452"/>
      <c r="P41" s="452"/>
      <c r="Q41" s="452">
        <f t="shared" si="4"/>
        <v>0</v>
      </c>
      <c r="R41" s="452"/>
      <c r="S41" s="452"/>
      <c r="T41" s="450">
        <f t="shared" si="5"/>
        <v>0</v>
      </c>
      <c r="U41" s="451"/>
    </row>
    <row r="42" spans="1:21" ht="15" customHeight="1" x14ac:dyDescent="0.3">
      <c r="A42" s="468">
        <f t="shared" si="0"/>
        <v>0</v>
      </c>
      <c r="B42" s="469"/>
      <c r="C42" s="469"/>
      <c r="D42" s="469"/>
      <c r="E42" s="469"/>
      <c r="F42" s="469">
        <f t="shared" si="1"/>
        <v>0</v>
      </c>
      <c r="G42" s="469"/>
      <c r="H42" s="469"/>
      <c r="I42" s="469"/>
      <c r="J42" s="469">
        <f t="shared" si="2"/>
        <v>0</v>
      </c>
      <c r="K42" s="469"/>
      <c r="L42" s="470">
        <f t="shared" si="3"/>
        <v>0</v>
      </c>
      <c r="M42" s="470"/>
      <c r="N42" s="470"/>
      <c r="O42" s="470"/>
      <c r="P42" s="470"/>
      <c r="Q42" s="470">
        <f t="shared" si="4"/>
        <v>0</v>
      </c>
      <c r="R42" s="470"/>
      <c r="S42" s="470"/>
      <c r="T42" s="469">
        <f t="shared" si="5"/>
        <v>0</v>
      </c>
      <c r="U42" s="471"/>
    </row>
    <row r="43" spans="1:21" x14ac:dyDescent="0.3">
      <c r="A43" s="307" t="s">
        <v>86</v>
      </c>
      <c r="B43" s="308"/>
      <c r="C43" s="308"/>
      <c r="D43" s="308"/>
      <c r="E43" s="308"/>
      <c r="F43" s="309">
        <f>F20</f>
        <v>2450000</v>
      </c>
      <c r="G43" s="309"/>
      <c r="H43" s="309"/>
      <c r="I43" s="310"/>
      <c r="J43" s="454">
        <f>J20</f>
        <v>1</v>
      </c>
      <c r="K43" s="454"/>
      <c r="L43" s="508" t="s">
        <v>965</v>
      </c>
      <c r="M43" s="509"/>
      <c r="N43" s="509"/>
      <c r="O43" s="509"/>
      <c r="P43" s="510"/>
      <c r="Q43" s="511">
        <f>Q20</f>
        <v>1000000</v>
      </c>
      <c r="R43" s="512"/>
      <c r="S43" s="512"/>
      <c r="T43" s="512"/>
      <c r="U43" s="513"/>
    </row>
    <row r="44" spans="1:21" ht="17.25" thickBot="1" x14ac:dyDescent="0.35">
      <c r="A44" s="312" t="s">
        <v>96</v>
      </c>
      <c r="B44" s="313"/>
      <c r="C44" s="313"/>
      <c r="D44" s="313"/>
      <c r="E44" s="313"/>
      <c r="F44" s="314">
        <f>F21</f>
        <v>3450000</v>
      </c>
      <c r="G44" s="314"/>
      <c r="H44" s="314"/>
      <c r="I44" s="315"/>
      <c r="J44" s="316" t="s">
        <v>971</v>
      </c>
      <c r="K44" s="313"/>
      <c r="L44" s="317" t="str">
        <f>L21</f>
        <v>장효주</v>
      </c>
      <c r="M44" s="317"/>
      <c r="N44" s="317"/>
      <c r="O44" s="316" t="s">
        <v>69</v>
      </c>
      <c r="P44" s="342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0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633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1658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1665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1667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1674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1692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1693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1694</v>
      </c>
    </row>
    <row r="107" spans="1:4" x14ac:dyDescent="0.3">
      <c r="A107">
        <v>104</v>
      </c>
      <c r="B107" s="13">
        <v>45749</v>
      </c>
      <c r="C107" t="s">
        <v>1695</v>
      </c>
      <c r="D107" t="s">
        <v>1699</v>
      </c>
    </row>
    <row r="108" spans="1:4" x14ac:dyDescent="0.3">
      <c r="A108">
        <v>105</v>
      </c>
      <c r="B108" s="13">
        <v>45749</v>
      </c>
      <c r="C108" t="s">
        <v>1700</v>
      </c>
      <c r="D108" t="s">
        <v>1702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1704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1706</v>
      </c>
    </row>
    <row r="111" spans="1:4" x14ac:dyDescent="0.3">
      <c r="A111">
        <v>108</v>
      </c>
      <c r="B111" s="13">
        <v>45750</v>
      </c>
      <c r="C111" t="s">
        <v>1708</v>
      </c>
      <c r="D111" t="s">
        <v>1712</v>
      </c>
    </row>
    <row r="112" spans="1:4" x14ac:dyDescent="0.3">
      <c r="A112">
        <v>109</v>
      </c>
      <c r="B112" s="13">
        <v>45750</v>
      </c>
      <c r="C112" t="s">
        <v>1713</v>
      </c>
      <c r="D112" t="s">
        <v>1714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1723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1729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1733</v>
      </c>
    </row>
    <row r="116" spans="1:4" x14ac:dyDescent="0.3">
      <c r="A116">
        <v>113</v>
      </c>
      <c r="B116" s="13">
        <v>45751</v>
      </c>
      <c r="C116" t="s">
        <v>1759</v>
      </c>
      <c r="D116" t="s">
        <v>1762</v>
      </c>
    </row>
    <row r="117" spans="1:4" x14ac:dyDescent="0.3">
      <c r="A117">
        <v>114</v>
      </c>
      <c r="B117" s="13">
        <v>45751</v>
      </c>
      <c r="C117" t="s">
        <v>1759</v>
      </c>
      <c r="D117" t="s">
        <v>1763</v>
      </c>
    </row>
    <row r="118" spans="1:4" x14ac:dyDescent="0.3">
      <c r="A118">
        <v>115</v>
      </c>
      <c r="B118" s="13">
        <v>45751</v>
      </c>
      <c r="C118" t="s">
        <v>1759</v>
      </c>
      <c r="D118" t="s">
        <v>1766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1783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1787</v>
      </c>
    </row>
    <row r="121" spans="1:4" x14ac:dyDescent="0.3">
      <c r="A121">
        <v>118</v>
      </c>
      <c r="B121" s="13">
        <v>45754</v>
      </c>
      <c r="C121" t="s">
        <v>1785</v>
      </c>
      <c r="D121" t="s">
        <v>1788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1800</v>
      </c>
    </row>
    <row r="123" spans="1:4" x14ac:dyDescent="0.3">
      <c r="A123">
        <v>119</v>
      </c>
      <c r="B123" s="13">
        <v>45754</v>
      </c>
      <c r="C123" t="s">
        <v>1759</v>
      </c>
      <c r="D123" t="s">
        <v>1811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1832</v>
      </c>
    </row>
    <row r="125" spans="1:4" x14ac:dyDescent="0.3">
      <c r="A125">
        <v>121</v>
      </c>
      <c r="B125" s="13">
        <v>45754</v>
      </c>
      <c r="C125" t="s">
        <v>1829</v>
      </c>
      <c r="D125" t="s">
        <v>1836</v>
      </c>
    </row>
    <row r="126" spans="1:4" x14ac:dyDescent="0.3">
      <c r="A126">
        <v>122</v>
      </c>
      <c r="B126" s="13">
        <v>45754</v>
      </c>
      <c r="C126" t="s">
        <v>1759</v>
      </c>
      <c r="D126" t="s">
        <v>1837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1838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1843</v>
      </c>
    </row>
    <row r="129" spans="1:5" x14ac:dyDescent="0.3">
      <c r="A129">
        <v>125</v>
      </c>
      <c r="B129" s="13">
        <v>45755</v>
      </c>
      <c r="C129" t="s">
        <v>1844</v>
      </c>
      <c r="D129" t="s">
        <v>1846</v>
      </c>
      <c r="E129" t="s">
        <v>1845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1847</v>
      </c>
    </row>
    <row r="131" spans="1:5" x14ac:dyDescent="0.3">
      <c r="A131">
        <v>127</v>
      </c>
      <c r="B131" s="13">
        <v>45755</v>
      </c>
      <c r="C131" t="s">
        <v>1848</v>
      </c>
      <c r="D131" t="s">
        <v>1849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1850</v>
      </c>
    </row>
    <row r="133" spans="1:5" x14ac:dyDescent="0.3">
      <c r="A133">
        <v>129</v>
      </c>
      <c r="B133" s="13">
        <v>45755</v>
      </c>
      <c r="C133" t="s">
        <v>1851</v>
      </c>
      <c r="D133" t="s">
        <v>1855</v>
      </c>
    </row>
    <row r="134" spans="1:5" x14ac:dyDescent="0.3">
      <c r="A134">
        <v>130</v>
      </c>
      <c r="B134" s="13">
        <v>45756</v>
      </c>
      <c r="C134" t="s">
        <v>1759</v>
      </c>
      <c r="D134" t="s">
        <v>1865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1867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1869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1873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1874</v>
      </c>
    </row>
    <row r="139" spans="1:5" x14ac:dyDescent="0.3">
      <c r="A139">
        <v>135</v>
      </c>
      <c r="B139" s="13">
        <v>45757</v>
      </c>
      <c r="C139" t="s">
        <v>1844</v>
      </c>
      <c r="D139" t="s">
        <v>1875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1885</v>
      </c>
    </row>
    <row r="141" spans="1:5" x14ac:dyDescent="0.3">
      <c r="A141">
        <v>137</v>
      </c>
      <c r="B141" s="13">
        <v>45758</v>
      </c>
      <c r="C141" t="s">
        <v>1880</v>
      </c>
      <c r="D141" t="s">
        <v>1887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1888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1890</v>
      </c>
      <c r="E143" t="s">
        <v>1889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1893</v>
      </c>
    </row>
    <row r="146" spans="1:4" x14ac:dyDescent="0.3">
      <c r="A146">
        <v>142</v>
      </c>
      <c r="B146" s="13">
        <v>45759</v>
      </c>
      <c r="C146" t="s">
        <v>1892</v>
      </c>
      <c r="D146" t="s">
        <v>1898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1903</v>
      </c>
    </row>
    <row r="150" spans="1:4" x14ac:dyDescent="0.3">
      <c r="A150">
        <v>146</v>
      </c>
      <c r="B150" s="13">
        <v>45761</v>
      </c>
      <c r="C150" t="s">
        <v>1848</v>
      </c>
      <c r="D150" t="s">
        <v>1905</v>
      </c>
    </row>
    <row r="151" spans="1:4" x14ac:dyDescent="0.3">
      <c r="A151">
        <v>147</v>
      </c>
      <c r="B151" s="13">
        <v>45761</v>
      </c>
      <c r="C151" t="s">
        <v>1906</v>
      </c>
      <c r="D151" t="s">
        <v>1908</v>
      </c>
    </row>
    <row r="152" spans="1:4" x14ac:dyDescent="0.3">
      <c r="A152">
        <v>148</v>
      </c>
      <c r="B152" s="13">
        <v>45691</v>
      </c>
      <c r="C152" t="s">
        <v>1759</v>
      </c>
      <c r="D152" t="s">
        <v>1910</v>
      </c>
    </row>
    <row r="153" spans="1:4" x14ac:dyDescent="0.3">
      <c r="A153">
        <v>149</v>
      </c>
      <c r="B153" s="13">
        <v>45761</v>
      </c>
      <c r="C153" t="s">
        <v>1759</v>
      </c>
      <c r="D153" t="s">
        <v>1911</v>
      </c>
    </row>
    <row r="154" spans="1:4" x14ac:dyDescent="0.3">
      <c r="A154">
        <v>150</v>
      </c>
      <c r="B154" s="13">
        <v>45761</v>
      </c>
      <c r="C154" t="s">
        <v>1912</v>
      </c>
      <c r="D154" t="s">
        <v>1913</v>
      </c>
    </row>
    <row r="155" spans="1:4" x14ac:dyDescent="0.3">
      <c r="A155">
        <v>151</v>
      </c>
      <c r="B155" s="13">
        <v>45761</v>
      </c>
      <c r="C155" t="s">
        <v>1915</v>
      </c>
      <c r="D155" t="s">
        <v>1916</v>
      </c>
    </row>
    <row r="156" spans="1:4" x14ac:dyDescent="0.3">
      <c r="A156">
        <v>152</v>
      </c>
      <c r="B156" s="13">
        <v>45762</v>
      </c>
      <c r="C156" t="s">
        <v>1921</v>
      </c>
      <c r="D156" t="s">
        <v>1922</v>
      </c>
    </row>
    <row r="157" spans="1:4" x14ac:dyDescent="0.3">
      <c r="A157">
        <v>153</v>
      </c>
      <c r="B157" s="13">
        <v>45762</v>
      </c>
      <c r="C157" t="s">
        <v>1759</v>
      </c>
      <c r="D157" t="s">
        <v>1923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1925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1931</v>
      </c>
    </row>
    <row r="161" spans="1:5" x14ac:dyDescent="0.3">
      <c r="A161">
        <v>157</v>
      </c>
      <c r="B161" s="13">
        <v>45762</v>
      </c>
      <c r="C161" t="s">
        <v>1708</v>
      </c>
      <c r="D161" t="s">
        <v>1932</v>
      </c>
    </row>
    <row r="162" spans="1:5" x14ac:dyDescent="0.3">
      <c r="A162">
        <v>158</v>
      </c>
      <c r="B162" s="13">
        <v>45762</v>
      </c>
      <c r="C162" t="s">
        <v>1848</v>
      </c>
      <c r="D162" t="s">
        <v>1933</v>
      </c>
    </row>
    <row r="163" spans="1:5" x14ac:dyDescent="0.3">
      <c r="A163">
        <v>159</v>
      </c>
      <c r="B163" s="13">
        <v>45763</v>
      </c>
      <c r="C163" t="s">
        <v>1935</v>
      </c>
      <c r="D163" t="s">
        <v>2169</v>
      </c>
    </row>
    <row r="164" spans="1:5" x14ac:dyDescent="0.3">
      <c r="A164">
        <v>160</v>
      </c>
      <c r="B164" s="13">
        <v>45763</v>
      </c>
      <c r="C164" t="s">
        <v>1939</v>
      </c>
      <c r="D164" t="s">
        <v>1940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1943</v>
      </c>
      <c r="E166" t="s">
        <v>1942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1945</v>
      </c>
      <c r="E167" t="s">
        <v>1942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1948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1962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1965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1967</v>
      </c>
      <c r="E171" t="s">
        <v>1966</v>
      </c>
    </row>
    <row r="172" spans="1:5" x14ac:dyDescent="0.3">
      <c r="A172">
        <v>168</v>
      </c>
      <c r="B172" s="13">
        <v>45765</v>
      </c>
      <c r="C172" t="s">
        <v>1708</v>
      </c>
      <c r="D172" t="s">
        <v>1970</v>
      </c>
    </row>
    <row r="173" spans="1:5" x14ac:dyDescent="0.3">
      <c r="A173">
        <v>169</v>
      </c>
      <c r="B173" s="13">
        <v>45765</v>
      </c>
      <c r="C173" t="s">
        <v>1759</v>
      </c>
      <c r="D173" t="s">
        <v>1972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1973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1974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1975</v>
      </c>
    </row>
    <row r="177" spans="1:5" x14ac:dyDescent="0.3">
      <c r="A177">
        <v>173</v>
      </c>
      <c r="B177" s="13">
        <v>45768</v>
      </c>
      <c r="C177" t="s">
        <v>1976</v>
      </c>
      <c r="D177" t="s">
        <v>1977</v>
      </c>
    </row>
    <row r="178" spans="1:5" x14ac:dyDescent="0.3">
      <c r="A178">
        <v>174</v>
      </c>
      <c r="B178" s="13">
        <v>45768</v>
      </c>
      <c r="C178" t="s">
        <v>1987</v>
      </c>
      <c r="D178" t="s">
        <v>1988</v>
      </c>
    </row>
    <row r="179" spans="1:5" x14ac:dyDescent="0.3">
      <c r="A179">
        <v>175</v>
      </c>
      <c r="B179" s="13">
        <v>45768</v>
      </c>
      <c r="C179" t="s">
        <v>1987</v>
      </c>
      <c r="D179" t="s">
        <v>1989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1991</v>
      </c>
      <c r="E180" t="s">
        <v>1990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1992</v>
      </c>
      <c r="E181" t="s">
        <v>1990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1993</v>
      </c>
    </row>
    <row r="183" spans="1:5" x14ac:dyDescent="0.3">
      <c r="A183">
        <v>179</v>
      </c>
      <c r="B183" s="13">
        <v>45768</v>
      </c>
      <c r="C183" t="s">
        <v>1759</v>
      </c>
      <c r="D183" t="s">
        <v>1999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2003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2005</v>
      </c>
    </row>
    <row r="186" spans="1:5" x14ac:dyDescent="0.3">
      <c r="A186">
        <v>182</v>
      </c>
      <c r="B186" s="13">
        <v>45770</v>
      </c>
      <c r="C186" t="s">
        <v>2006</v>
      </c>
      <c r="D186" t="s">
        <v>2009</v>
      </c>
    </row>
    <row r="187" spans="1:5" x14ac:dyDescent="0.3">
      <c r="A187">
        <v>183</v>
      </c>
      <c r="B187" s="13">
        <v>45770</v>
      </c>
      <c r="C187" t="s">
        <v>2006</v>
      </c>
      <c r="D187" t="s">
        <v>2012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2014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2017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2022</v>
      </c>
    </row>
    <row r="191" spans="1:5" x14ac:dyDescent="0.3">
      <c r="A191">
        <v>187</v>
      </c>
      <c r="B191" s="13">
        <v>45772</v>
      </c>
      <c r="C191" t="s">
        <v>2023</v>
      </c>
      <c r="D191" t="s">
        <v>2025</v>
      </c>
    </row>
    <row r="192" spans="1:5" x14ac:dyDescent="0.3">
      <c r="A192">
        <v>188</v>
      </c>
      <c r="B192" s="13">
        <v>45772</v>
      </c>
      <c r="C192" t="s">
        <v>2026</v>
      </c>
      <c r="D192" t="s">
        <v>2027</v>
      </c>
    </row>
    <row r="193" spans="1:4" x14ac:dyDescent="0.3">
      <c r="A193">
        <v>189</v>
      </c>
      <c r="B193" s="13">
        <v>45772</v>
      </c>
      <c r="C193" t="s">
        <v>1829</v>
      </c>
      <c r="D193" t="s">
        <v>2028</v>
      </c>
    </row>
    <row r="194" spans="1:4" x14ac:dyDescent="0.3">
      <c r="A194">
        <v>190</v>
      </c>
      <c r="B194" s="13">
        <v>45772</v>
      </c>
      <c r="C194" t="s">
        <v>1829</v>
      </c>
      <c r="D194" t="s">
        <v>2030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2032</v>
      </c>
    </row>
    <row r="196" spans="1:4" x14ac:dyDescent="0.3">
      <c r="A196">
        <v>192</v>
      </c>
      <c r="B196" s="13">
        <v>45772</v>
      </c>
      <c r="C196" t="s">
        <v>1848</v>
      </c>
      <c r="D196" t="s">
        <v>2033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2035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2039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2041</v>
      </c>
    </row>
    <row r="202" spans="1:4" x14ac:dyDescent="0.3">
      <c r="A202">
        <v>198</v>
      </c>
      <c r="B202" s="13">
        <v>45775</v>
      </c>
      <c r="C202" t="s">
        <v>2026</v>
      </c>
      <c r="D202" t="s">
        <v>2043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2057</v>
      </c>
    </row>
    <row r="204" spans="1:4" x14ac:dyDescent="0.3">
      <c r="A204">
        <v>200</v>
      </c>
      <c r="B204" s="13">
        <v>45776</v>
      </c>
      <c r="C204" t="s">
        <v>2061</v>
      </c>
      <c r="D204" t="s">
        <v>2062</v>
      </c>
    </row>
    <row r="205" spans="1:4" x14ac:dyDescent="0.3">
      <c r="A205">
        <v>201</v>
      </c>
      <c r="B205" s="13">
        <v>45776</v>
      </c>
      <c r="C205" t="s">
        <v>1759</v>
      </c>
      <c r="D205" t="s">
        <v>2067</v>
      </c>
    </row>
    <row r="206" spans="1:4" x14ac:dyDescent="0.3">
      <c r="A206">
        <v>202</v>
      </c>
      <c r="B206" s="13">
        <v>45776</v>
      </c>
      <c r="C206" t="s">
        <v>2070</v>
      </c>
      <c r="D206" t="s">
        <v>2071</v>
      </c>
    </row>
    <row r="207" spans="1:4" x14ac:dyDescent="0.3">
      <c r="A207">
        <v>203</v>
      </c>
      <c r="B207" s="13">
        <v>45776</v>
      </c>
      <c r="C207" t="s">
        <v>2026</v>
      </c>
      <c r="D207" t="s">
        <v>2072</v>
      </c>
    </row>
    <row r="208" spans="1:4" x14ac:dyDescent="0.3">
      <c r="A208">
        <v>204</v>
      </c>
      <c r="B208" s="13">
        <v>45776</v>
      </c>
      <c r="C208" t="s">
        <v>1785</v>
      </c>
      <c r="D208" t="s">
        <v>2074</v>
      </c>
    </row>
    <row r="209" spans="1:4" x14ac:dyDescent="0.3">
      <c r="A209">
        <v>205</v>
      </c>
      <c r="B209" s="13">
        <v>45776</v>
      </c>
      <c r="C209" t="s">
        <v>2026</v>
      </c>
      <c r="D209" t="s">
        <v>2076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2077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2079</v>
      </c>
    </row>
    <row r="212" spans="1:4" x14ac:dyDescent="0.3">
      <c r="A212">
        <v>208</v>
      </c>
      <c r="B212" s="13">
        <v>45777</v>
      </c>
      <c r="C212" t="s">
        <v>2080</v>
      </c>
      <c r="D212" t="s">
        <v>2084</v>
      </c>
    </row>
    <row r="213" spans="1:4" x14ac:dyDescent="0.3">
      <c r="A213">
        <v>209</v>
      </c>
      <c r="B213" s="13">
        <v>45777</v>
      </c>
      <c r="C213" t="s">
        <v>2085</v>
      </c>
      <c r="D213" t="s">
        <v>2088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2090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2091</v>
      </c>
    </row>
    <row r="216" spans="1:4" x14ac:dyDescent="0.3">
      <c r="A216">
        <v>212</v>
      </c>
      <c r="B216" s="13">
        <v>45777</v>
      </c>
      <c r="C216" t="s">
        <v>2092</v>
      </c>
      <c r="D216" t="s">
        <v>2096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2097</v>
      </c>
    </row>
    <row r="218" spans="1:4" x14ac:dyDescent="0.3">
      <c r="A218">
        <v>214</v>
      </c>
      <c r="B218" s="13">
        <v>45775</v>
      </c>
      <c r="C218" t="s">
        <v>2026</v>
      </c>
      <c r="D218" t="s">
        <v>2098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2111</v>
      </c>
    </row>
    <row r="220" spans="1:4" x14ac:dyDescent="0.3">
      <c r="A220">
        <v>216</v>
      </c>
      <c r="B220" s="13">
        <v>45777</v>
      </c>
      <c r="C220" t="s">
        <v>1759</v>
      </c>
      <c r="D220" t="s">
        <v>2113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2114</v>
      </c>
    </row>
    <row r="222" spans="1:4" x14ac:dyDescent="0.3">
      <c r="A222">
        <v>218</v>
      </c>
      <c r="B222" s="13">
        <v>45779</v>
      </c>
      <c r="C222" t="s">
        <v>2023</v>
      </c>
      <c r="D222" t="s">
        <v>2115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2116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2117</v>
      </c>
    </row>
    <row r="225" spans="1:4" x14ac:dyDescent="0.3">
      <c r="A225">
        <v>221</v>
      </c>
      <c r="B225" s="13">
        <v>45780</v>
      </c>
      <c r="C225" t="s">
        <v>2006</v>
      </c>
      <c r="D225" t="s">
        <v>2126</v>
      </c>
    </row>
    <row r="226" spans="1:4" x14ac:dyDescent="0.3">
      <c r="A226">
        <v>222</v>
      </c>
      <c r="B226" s="13">
        <v>45782</v>
      </c>
      <c r="C226" t="s">
        <v>2129</v>
      </c>
      <c r="D226" t="s">
        <v>2130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2131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2132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2133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2134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2136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2137</v>
      </c>
    </row>
    <row r="233" spans="1:4" x14ac:dyDescent="0.3">
      <c r="A233">
        <v>229</v>
      </c>
      <c r="B233" s="13">
        <v>45784</v>
      </c>
      <c r="C233" t="s">
        <v>2140</v>
      </c>
      <c r="D233" t="s">
        <v>2141</v>
      </c>
    </row>
    <row r="234" spans="1:4" x14ac:dyDescent="0.3">
      <c r="A234">
        <v>230</v>
      </c>
      <c r="B234" s="13">
        <v>45784</v>
      </c>
      <c r="C234" t="s">
        <v>2140</v>
      </c>
      <c r="D234" t="s">
        <v>2143</v>
      </c>
    </row>
    <row r="235" spans="1:4" x14ac:dyDescent="0.3">
      <c r="A235">
        <v>231</v>
      </c>
      <c r="B235" s="13">
        <v>45784</v>
      </c>
      <c r="C235" t="s">
        <v>2140</v>
      </c>
      <c r="D235" t="s">
        <v>2144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2145</v>
      </c>
    </row>
    <row r="237" spans="1:4" x14ac:dyDescent="0.3">
      <c r="A237">
        <v>233</v>
      </c>
      <c r="B237" s="13">
        <v>45784</v>
      </c>
      <c r="C237" t="s">
        <v>2140</v>
      </c>
      <c r="D237" t="s">
        <v>2150</v>
      </c>
    </row>
    <row r="238" spans="1:4" x14ac:dyDescent="0.3">
      <c r="A238">
        <v>234</v>
      </c>
      <c r="B238" s="13">
        <v>45784</v>
      </c>
      <c r="C238" t="s">
        <v>2146</v>
      </c>
      <c r="D238" t="s">
        <v>2151</v>
      </c>
    </row>
    <row r="239" spans="1:4" x14ac:dyDescent="0.3">
      <c r="A239">
        <v>235</v>
      </c>
      <c r="B239" s="13">
        <v>45785</v>
      </c>
      <c r="C239" t="s">
        <v>2152</v>
      </c>
      <c r="D239" t="s">
        <v>2156</v>
      </c>
    </row>
    <row r="240" spans="1:4" x14ac:dyDescent="0.3">
      <c r="A240">
        <v>236</v>
      </c>
      <c r="B240" s="13">
        <v>45785</v>
      </c>
      <c r="C240" t="s">
        <v>1759</v>
      </c>
      <c r="D240" t="s">
        <v>2157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2162</v>
      </c>
    </row>
    <row r="242" spans="1:4" x14ac:dyDescent="0.3">
      <c r="A242">
        <v>238</v>
      </c>
      <c r="B242" s="13">
        <v>45786</v>
      </c>
      <c r="C242" t="s">
        <v>2061</v>
      </c>
      <c r="D242" t="s">
        <v>2163</v>
      </c>
    </row>
    <row r="243" spans="1:4" x14ac:dyDescent="0.3">
      <c r="A243">
        <v>239</v>
      </c>
      <c r="B243" s="13">
        <v>45786</v>
      </c>
      <c r="C243" t="s">
        <v>2165</v>
      </c>
      <c r="D243" t="s">
        <v>2166</v>
      </c>
    </row>
    <row r="244" spans="1:4" x14ac:dyDescent="0.3">
      <c r="A244">
        <v>240</v>
      </c>
      <c r="B244" s="13">
        <v>45786</v>
      </c>
      <c r="C244" t="s">
        <v>2165</v>
      </c>
      <c r="D244" t="s">
        <v>2167</v>
      </c>
    </row>
    <row r="245" spans="1:4" x14ac:dyDescent="0.3">
      <c r="A245">
        <v>241</v>
      </c>
      <c r="B245" s="13">
        <v>45789</v>
      </c>
      <c r="C245" t="s">
        <v>2171</v>
      </c>
      <c r="D245" t="s">
        <v>2174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2175</v>
      </c>
    </row>
    <row r="247" spans="1:4" x14ac:dyDescent="0.3">
      <c r="A247">
        <v>243</v>
      </c>
      <c r="B247" s="13">
        <v>45789</v>
      </c>
      <c r="C247" t="s">
        <v>2023</v>
      </c>
      <c r="D247" t="s">
        <v>2176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2177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2182</v>
      </c>
    </row>
    <row r="251" spans="1:4" x14ac:dyDescent="0.3">
      <c r="A251">
        <v>247</v>
      </c>
      <c r="B251" s="13">
        <v>45789</v>
      </c>
      <c r="C251" t="s">
        <v>2185</v>
      </c>
      <c r="D251" t="s">
        <v>2188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2190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2191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2194</v>
      </c>
    </row>
    <row r="255" spans="1:4" x14ac:dyDescent="0.3">
      <c r="A255">
        <v>251</v>
      </c>
      <c r="B255" s="13">
        <v>45790</v>
      </c>
      <c r="C255" t="s">
        <v>1976</v>
      </c>
      <c r="D255" t="s">
        <v>2195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2196</v>
      </c>
    </row>
    <row r="257" spans="1:4" x14ac:dyDescent="0.3">
      <c r="A257">
        <v>253</v>
      </c>
      <c r="B257" s="13">
        <v>45790</v>
      </c>
      <c r="C257" t="s">
        <v>1829</v>
      </c>
      <c r="D257" t="s">
        <v>2197</v>
      </c>
    </row>
    <row r="258" spans="1:4" x14ac:dyDescent="0.3">
      <c r="A258">
        <v>254</v>
      </c>
      <c r="B258" s="13">
        <v>45790</v>
      </c>
      <c r="C258" t="s">
        <v>2198</v>
      </c>
      <c r="D258" t="s">
        <v>2199</v>
      </c>
    </row>
    <row r="259" spans="1:4" x14ac:dyDescent="0.3">
      <c r="A259">
        <v>255</v>
      </c>
      <c r="B259" s="13">
        <v>45790</v>
      </c>
      <c r="C259" t="s">
        <v>1921</v>
      </c>
      <c r="D259" t="s">
        <v>2200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2207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2210</v>
      </c>
    </row>
    <row r="262" spans="1:4" x14ac:dyDescent="0.3">
      <c r="A262">
        <v>258</v>
      </c>
      <c r="B262" s="13">
        <v>45790</v>
      </c>
      <c r="C262" t="s">
        <v>1708</v>
      </c>
      <c r="D262" t="s">
        <v>2212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2214</v>
      </c>
    </row>
    <row r="264" spans="1:4" x14ac:dyDescent="0.3">
      <c r="A264">
        <v>260</v>
      </c>
      <c r="B264" s="13">
        <v>45791</v>
      </c>
      <c r="C264" t="s">
        <v>1759</v>
      </c>
      <c r="D264" t="s">
        <v>2219</v>
      </c>
    </row>
    <row r="265" spans="1:4" x14ac:dyDescent="0.3">
      <c r="A265">
        <v>261</v>
      </c>
      <c r="B265" s="13">
        <v>45791</v>
      </c>
      <c r="C265" t="s">
        <v>2225</v>
      </c>
      <c r="D265" t="s">
        <v>2227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2228</v>
      </c>
    </row>
    <row r="267" spans="1:4" x14ac:dyDescent="0.3">
      <c r="A267">
        <v>263</v>
      </c>
      <c r="B267" s="13">
        <v>45791</v>
      </c>
      <c r="C267" t="s">
        <v>1829</v>
      </c>
      <c r="D267" t="s">
        <v>2230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2231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2262</v>
      </c>
    </row>
    <row r="270" spans="1:4" x14ac:dyDescent="0.3">
      <c r="A270">
        <v>266</v>
      </c>
      <c r="B270" s="13">
        <v>45792</v>
      </c>
      <c r="C270" t="s">
        <v>2140</v>
      </c>
      <c r="D270" t="s">
        <v>2263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2264</v>
      </c>
    </row>
    <row r="272" spans="1:4" x14ac:dyDescent="0.3">
      <c r="A272">
        <v>268</v>
      </c>
      <c r="B272" s="13">
        <v>45792</v>
      </c>
      <c r="C272" t="s">
        <v>1785</v>
      </c>
      <c r="D272" t="s">
        <v>2267</v>
      </c>
    </row>
    <row r="273" spans="1:5" x14ac:dyDescent="0.3">
      <c r="A273">
        <v>269</v>
      </c>
      <c r="B273" s="13">
        <v>45792</v>
      </c>
      <c r="C273" t="s">
        <v>1785</v>
      </c>
      <c r="D273" t="s">
        <v>2269</v>
      </c>
    </row>
    <row r="274" spans="1:5" x14ac:dyDescent="0.3">
      <c r="A274">
        <v>270</v>
      </c>
      <c r="B274" s="13">
        <v>45792</v>
      </c>
      <c r="C274" t="s">
        <v>1915</v>
      </c>
      <c r="D274" t="s">
        <v>2273</v>
      </c>
    </row>
    <row r="275" spans="1:5" x14ac:dyDescent="0.3">
      <c r="A275">
        <v>271</v>
      </c>
      <c r="B275" s="13">
        <v>45793</v>
      </c>
      <c r="C275" t="s">
        <v>2146</v>
      </c>
      <c r="D275" t="s">
        <v>2281</v>
      </c>
    </row>
    <row r="276" spans="1:5" x14ac:dyDescent="0.3">
      <c r="A276">
        <v>272</v>
      </c>
      <c r="B276" s="13">
        <v>45793</v>
      </c>
      <c r="C276" t="s">
        <v>1785</v>
      </c>
      <c r="D276" t="s">
        <v>2282</v>
      </c>
    </row>
    <row r="277" spans="1:5" x14ac:dyDescent="0.3">
      <c r="A277">
        <v>273</v>
      </c>
      <c r="B277" s="13">
        <v>45793</v>
      </c>
      <c r="C277" t="s">
        <v>1915</v>
      </c>
      <c r="D277" t="s">
        <v>2284</v>
      </c>
    </row>
    <row r="278" spans="1:5" x14ac:dyDescent="0.3">
      <c r="A278">
        <v>274</v>
      </c>
      <c r="B278" s="13">
        <v>45794</v>
      </c>
      <c r="C278" t="s">
        <v>1892</v>
      </c>
      <c r="D278" t="s">
        <v>2286</v>
      </c>
    </row>
    <row r="279" spans="1:5" x14ac:dyDescent="0.3">
      <c r="A279">
        <v>275</v>
      </c>
      <c r="B279" s="13">
        <v>45794</v>
      </c>
      <c r="C279" t="s">
        <v>1785</v>
      </c>
      <c r="D279" t="s">
        <v>2287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2288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2292</v>
      </c>
    </row>
    <row r="282" spans="1:5" x14ac:dyDescent="0.3">
      <c r="A282">
        <v>278</v>
      </c>
      <c r="B282" s="13">
        <v>45794</v>
      </c>
      <c r="C282" t="s">
        <v>2294</v>
      </c>
      <c r="D282" t="s">
        <v>2295</v>
      </c>
    </row>
    <row r="283" spans="1:5" x14ac:dyDescent="0.3">
      <c r="A283">
        <v>279</v>
      </c>
      <c r="B283" s="13">
        <v>45794</v>
      </c>
      <c r="C283" t="s">
        <v>1759</v>
      </c>
      <c r="D283" t="s">
        <v>2297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2306</v>
      </c>
      <c r="E286" t="s">
        <v>2305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2307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2308</v>
      </c>
    </row>
    <row r="289" spans="1:4" x14ac:dyDescent="0.3">
      <c r="A289">
        <v>285</v>
      </c>
      <c r="B289" s="13">
        <v>45797</v>
      </c>
      <c r="C289" t="s">
        <v>1906</v>
      </c>
      <c r="D289" t="s">
        <v>2309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2314</v>
      </c>
    </row>
    <row r="291" spans="1:4" x14ac:dyDescent="0.3">
      <c r="A291">
        <v>287</v>
      </c>
      <c r="B291" s="13">
        <v>45798</v>
      </c>
      <c r="C291" t="s">
        <v>2315</v>
      </c>
      <c r="D291" t="s">
        <v>2316</v>
      </c>
    </row>
    <row r="292" spans="1:4" x14ac:dyDescent="0.3">
      <c r="A292">
        <v>288</v>
      </c>
      <c r="B292" s="13">
        <v>45798</v>
      </c>
      <c r="C292" t="s">
        <v>1708</v>
      </c>
      <c r="D292" t="s">
        <v>2317</v>
      </c>
    </row>
    <row r="293" spans="1:4" x14ac:dyDescent="0.3">
      <c r="A293">
        <v>289</v>
      </c>
      <c r="B293" s="13">
        <v>45798</v>
      </c>
      <c r="C293" t="s">
        <v>2318</v>
      </c>
      <c r="D293" t="s">
        <v>2319</v>
      </c>
    </row>
    <row r="294" spans="1:4" x14ac:dyDescent="0.3">
      <c r="A294">
        <v>290</v>
      </c>
      <c r="B294" s="13">
        <v>45798</v>
      </c>
      <c r="C294" t="s">
        <v>1906</v>
      </c>
      <c r="D294" t="s">
        <v>2320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2322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2323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2325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2332</v>
      </c>
    </row>
    <row r="301" spans="1:4" x14ac:dyDescent="0.3">
      <c r="A301">
        <v>297</v>
      </c>
      <c r="B301" s="13">
        <v>45800</v>
      </c>
      <c r="C301" t="s">
        <v>2333</v>
      </c>
      <c r="D301" t="s">
        <v>2337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2338</v>
      </c>
    </row>
    <row r="303" spans="1:4" x14ac:dyDescent="0.3">
      <c r="A303">
        <v>299</v>
      </c>
      <c r="B303" s="13">
        <v>45800</v>
      </c>
      <c r="C303" t="s">
        <v>1759</v>
      </c>
      <c r="D303" t="s">
        <v>2339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2346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2348</v>
      </c>
    </row>
    <row r="307" spans="1:4" x14ac:dyDescent="0.3">
      <c r="A307">
        <v>303</v>
      </c>
      <c r="B307" s="13">
        <v>45803</v>
      </c>
      <c r="C307" t="s">
        <v>2349</v>
      </c>
      <c r="D307" t="s">
        <v>2353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2354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2355</v>
      </c>
    </row>
    <row r="310" spans="1:4" x14ac:dyDescent="0.3">
      <c r="A310">
        <v>306</v>
      </c>
      <c r="B310" s="13">
        <v>45803</v>
      </c>
      <c r="C310" t="s">
        <v>2171</v>
      </c>
      <c r="D310" t="s">
        <v>2357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2358</v>
      </c>
    </row>
    <row r="312" spans="1:4" x14ac:dyDescent="0.3">
      <c r="A312">
        <v>308</v>
      </c>
      <c r="B312" s="13">
        <v>45803</v>
      </c>
      <c r="C312" t="s">
        <v>1708</v>
      </c>
      <c r="D312" t="s">
        <v>2359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2362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2365</v>
      </c>
    </row>
    <row r="315" spans="1:4" x14ac:dyDescent="0.3">
      <c r="A315">
        <v>311</v>
      </c>
      <c r="B315" s="13">
        <v>45804</v>
      </c>
      <c r="C315" t="s">
        <v>1759</v>
      </c>
      <c r="D315" t="s">
        <v>2366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2367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2368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2371</v>
      </c>
    </row>
    <row r="319" spans="1:4" x14ac:dyDescent="0.3">
      <c r="A319">
        <v>343</v>
      </c>
      <c r="B319" s="13">
        <v>45806</v>
      </c>
      <c r="C319" t="s">
        <v>2318</v>
      </c>
      <c r="D319" t="s">
        <v>2380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2381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2382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2383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2389</v>
      </c>
    </row>
    <row r="324" spans="1:4" x14ac:dyDescent="0.3">
      <c r="A324">
        <v>348</v>
      </c>
      <c r="B324" s="13">
        <v>45807</v>
      </c>
      <c r="C324" t="s">
        <v>2390</v>
      </c>
      <c r="D324" t="s">
        <v>2391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2392</v>
      </c>
    </row>
    <row r="326" spans="1:4" x14ac:dyDescent="0.3">
      <c r="A326">
        <v>350</v>
      </c>
      <c r="B326" s="13">
        <v>45807</v>
      </c>
      <c r="C326" t="s">
        <v>2376</v>
      </c>
      <c r="D326" t="s">
        <v>2393</v>
      </c>
    </row>
    <row r="327" spans="1:4" x14ac:dyDescent="0.3">
      <c r="A327">
        <v>351</v>
      </c>
      <c r="B327" s="13">
        <v>45807</v>
      </c>
      <c r="C327" t="s">
        <v>2152</v>
      </c>
      <c r="D327" t="s">
        <v>2394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2396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2403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2404</v>
      </c>
    </row>
    <row r="331" spans="1:4" x14ac:dyDescent="0.3">
      <c r="A331">
        <v>355</v>
      </c>
      <c r="B331" s="13">
        <v>45808</v>
      </c>
      <c r="C331" t="s">
        <v>1759</v>
      </c>
      <c r="D331" t="s">
        <v>2412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2417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2418</v>
      </c>
    </row>
    <row r="334" spans="1:4" x14ac:dyDescent="0.3">
      <c r="A334">
        <v>358</v>
      </c>
      <c r="B334" s="13">
        <v>45810</v>
      </c>
      <c r="C334" t="s">
        <v>2349</v>
      </c>
      <c r="D334" t="s">
        <v>2419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2420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2421</v>
      </c>
    </row>
    <row r="337" spans="1:4" x14ac:dyDescent="0.3">
      <c r="A337">
        <v>361</v>
      </c>
      <c r="B337" s="13">
        <v>45810</v>
      </c>
      <c r="C337" t="s">
        <v>2315</v>
      </c>
      <c r="D337" t="s">
        <v>2424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2430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2432</v>
      </c>
    </row>
    <row r="340" spans="1:4" x14ac:dyDescent="0.3">
      <c r="A340">
        <v>364</v>
      </c>
      <c r="B340" s="13">
        <v>45811</v>
      </c>
      <c r="C340" t="s">
        <v>2433</v>
      </c>
      <c r="D340" t="s">
        <v>2436</v>
      </c>
    </row>
    <row r="341" spans="1:4" x14ac:dyDescent="0.3">
      <c r="A341">
        <v>365</v>
      </c>
      <c r="B341" s="13">
        <v>45811</v>
      </c>
      <c r="C341" t="s">
        <v>2433</v>
      </c>
      <c r="D341" t="s">
        <v>2437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2447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2448</v>
      </c>
    </row>
    <row r="344" spans="1:4" x14ac:dyDescent="0.3">
      <c r="A344">
        <v>368</v>
      </c>
      <c r="B344" s="13">
        <v>45812</v>
      </c>
      <c r="C344" t="s">
        <v>2449</v>
      </c>
      <c r="D344" t="s">
        <v>2454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2460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2465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2466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2470</v>
      </c>
    </row>
    <row r="350" spans="1:4" x14ac:dyDescent="0.3">
      <c r="A350">
        <v>374</v>
      </c>
      <c r="B350" s="13">
        <v>45813</v>
      </c>
      <c r="C350" t="s">
        <v>2477</v>
      </c>
      <c r="D350" t="s">
        <v>2478</v>
      </c>
    </row>
    <row r="351" spans="1:4" x14ac:dyDescent="0.3">
      <c r="A351">
        <v>375</v>
      </c>
      <c r="B351" s="13">
        <v>45814</v>
      </c>
      <c r="C351" t="s">
        <v>1759</v>
      </c>
      <c r="D351" t="s">
        <v>2479</v>
      </c>
    </row>
    <row r="352" spans="1:4" x14ac:dyDescent="0.3">
      <c r="A352">
        <v>376</v>
      </c>
      <c r="B352" s="13">
        <v>45815</v>
      </c>
      <c r="C352" t="s">
        <v>1759</v>
      </c>
      <c r="D352" t="s">
        <v>2480</v>
      </c>
    </row>
    <row r="353" spans="1:4" x14ac:dyDescent="0.3">
      <c r="A353">
        <v>377</v>
      </c>
      <c r="B353" s="13">
        <v>45817</v>
      </c>
      <c r="C353" t="s">
        <v>2482</v>
      </c>
      <c r="D353" t="s">
        <v>2483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2487</v>
      </c>
    </row>
    <row r="356" spans="1:4" x14ac:dyDescent="0.3">
      <c r="A356">
        <v>380</v>
      </c>
      <c r="B356" s="13">
        <v>45817</v>
      </c>
      <c r="C356" t="s">
        <v>1759</v>
      </c>
      <c r="D356" t="s">
        <v>2488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2491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2492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2493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2494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2500</v>
      </c>
    </row>
    <row r="362" spans="1:4" x14ac:dyDescent="0.3">
      <c r="A362">
        <v>386</v>
      </c>
      <c r="B362" s="13">
        <v>45817</v>
      </c>
      <c r="C362" t="s">
        <v>1759</v>
      </c>
      <c r="D362" t="s">
        <v>2515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2517</v>
      </c>
    </row>
    <row r="364" spans="1:4" x14ac:dyDescent="0.3">
      <c r="A364">
        <v>388</v>
      </c>
      <c r="B364" s="13">
        <v>45818</v>
      </c>
      <c r="C364" t="s">
        <v>2433</v>
      </c>
      <c r="D364" t="s">
        <v>2533</v>
      </c>
    </row>
    <row r="365" spans="1:4" x14ac:dyDescent="0.3">
      <c r="A365">
        <v>389</v>
      </c>
      <c r="B365" s="13">
        <v>45818</v>
      </c>
      <c r="C365" t="s">
        <v>1785</v>
      </c>
      <c r="D365" t="s">
        <v>2534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2535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2537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2538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2540</v>
      </c>
    </row>
    <row r="370" spans="1:4" x14ac:dyDescent="0.3">
      <c r="A370">
        <v>394</v>
      </c>
      <c r="B370" s="13">
        <v>45818</v>
      </c>
      <c r="C370" t="s">
        <v>2376</v>
      </c>
      <c r="D370" t="s">
        <v>2542</v>
      </c>
    </row>
    <row r="371" spans="1:4" x14ac:dyDescent="0.3">
      <c r="A371">
        <v>395</v>
      </c>
      <c r="B371" s="13">
        <v>45818</v>
      </c>
      <c r="C371" t="s">
        <v>1939</v>
      </c>
      <c r="D371" t="s">
        <v>2543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2546</v>
      </c>
    </row>
    <row r="373" spans="1:4" x14ac:dyDescent="0.3">
      <c r="A373">
        <v>397</v>
      </c>
      <c r="B373" s="13">
        <v>45819</v>
      </c>
      <c r="C373" t="s">
        <v>2439</v>
      </c>
      <c r="D373" t="s">
        <v>2558</v>
      </c>
    </row>
    <row r="374" spans="1:4" x14ac:dyDescent="0.3">
      <c r="A374">
        <v>398</v>
      </c>
      <c r="B374" s="13">
        <v>45819</v>
      </c>
      <c r="C374" t="s">
        <v>2559</v>
      </c>
      <c r="D374" t="s">
        <v>2560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2562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2563</v>
      </c>
    </row>
    <row r="377" spans="1:4" x14ac:dyDescent="0.3">
      <c r="A377">
        <v>401</v>
      </c>
      <c r="B377" s="13">
        <v>45819</v>
      </c>
      <c r="C377" t="s">
        <v>2550</v>
      </c>
      <c r="D377" t="s">
        <v>2564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2565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2566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2568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2569</v>
      </c>
    </row>
    <row r="382" spans="1:4" x14ac:dyDescent="0.3">
      <c r="A382">
        <v>406</v>
      </c>
      <c r="B382" s="13">
        <v>45821</v>
      </c>
      <c r="C382" t="s">
        <v>2570</v>
      </c>
      <c r="D382" t="s">
        <v>2576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2577</v>
      </c>
    </row>
    <row r="384" spans="1:4" x14ac:dyDescent="0.3">
      <c r="A384">
        <v>408</v>
      </c>
      <c r="B384" s="13">
        <v>45821</v>
      </c>
      <c r="C384" t="s">
        <v>1848</v>
      </c>
      <c r="D384" t="s">
        <v>2578</v>
      </c>
    </row>
    <row r="385" spans="1:4" x14ac:dyDescent="0.3">
      <c r="A385">
        <v>409</v>
      </c>
      <c r="B385" s="13">
        <v>45821</v>
      </c>
      <c r="C385" t="s">
        <v>2026</v>
      </c>
      <c r="D385" t="s">
        <v>2579</v>
      </c>
    </row>
    <row r="386" spans="1:4" x14ac:dyDescent="0.3">
      <c r="A386">
        <v>410</v>
      </c>
      <c r="B386" s="13">
        <v>45821</v>
      </c>
      <c r="C386" t="s">
        <v>2580</v>
      </c>
      <c r="D386" t="s">
        <v>2581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2585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2592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2593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2594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2595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2600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2601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2602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2643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2646</v>
      </c>
    </row>
    <row r="397" spans="1:4" x14ac:dyDescent="0.3">
      <c r="A397">
        <v>421</v>
      </c>
      <c r="B397" s="13">
        <v>45825</v>
      </c>
      <c r="C397" t="s">
        <v>2645</v>
      </c>
      <c r="D397" t="s">
        <v>2647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2653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2656</v>
      </c>
    </row>
    <row r="400" spans="1:4" x14ac:dyDescent="0.3">
      <c r="A400">
        <v>424</v>
      </c>
      <c r="B400" s="13">
        <v>45826</v>
      </c>
      <c r="C400" t="s">
        <v>2559</v>
      </c>
      <c r="D400" t="s">
        <v>2657</v>
      </c>
    </row>
    <row r="401" spans="1:4" x14ac:dyDescent="0.3">
      <c r="A401">
        <v>425</v>
      </c>
      <c r="B401" s="13">
        <v>45826</v>
      </c>
      <c r="C401" t="s">
        <v>2023</v>
      </c>
      <c r="D401" t="s">
        <v>2658</v>
      </c>
    </row>
    <row r="402" spans="1:4" x14ac:dyDescent="0.3">
      <c r="A402">
        <v>426</v>
      </c>
      <c r="B402" s="13">
        <v>45826</v>
      </c>
      <c r="C402" t="s">
        <v>2349</v>
      </c>
      <c r="D402" t="s">
        <v>2659</v>
      </c>
    </row>
    <row r="403" spans="1:4" x14ac:dyDescent="0.3">
      <c r="A403">
        <v>427</v>
      </c>
      <c r="B403" s="13">
        <v>45826</v>
      </c>
      <c r="C403" t="s">
        <v>1759</v>
      </c>
      <c r="D403" t="s">
        <v>2660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2661</v>
      </c>
    </row>
    <row r="405" spans="1:4" x14ac:dyDescent="0.3">
      <c r="A405">
        <v>429</v>
      </c>
      <c r="B405" s="13">
        <v>45827</v>
      </c>
      <c r="C405" t="s">
        <v>2023</v>
      </c>
      <c r="D405" t="s">
        <v>2663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2664</v>
      </c>
    </row>
    <row r="407" spans="1:4" x14ac:dyDescent="0.3">
      <c r="A407">
        <v>431</v>
      </c>
      <c r="B407" s="13">
        <v>45827</v>
      </c>
      <c r="C407" t="s">
        <v>2645</v>
      </c>
      <c r="D407" t="s">
        <v>2669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2672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2673</v>
      </c>
    </row>
    <row r="410" spans="1:4" x14ac:dyDescent="0.3">
      <c r="A410">
        <v>434</v>
      </c>
      <c r="B410" s="13">
        <v>45827</v>
      </c>
      <c r="C410" t="s">
        <v>1759</v>
      </c>
      <c r="D410" t="s">
        <v>2674</v>
      </c>
    </row>
    <row r="411" spans="1:4" x14ac:dyDescent="0.3">
      <c r="A411">
        <v>435</v>
      </c>
      <c r="B411" s="13">
        <v>45827</v>
      </c>
      <c r="C411" t="s">
        <v>2482</v>
      </c>
      <c r="D411" t="s">
        <v>2675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2677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2679</v>
      </c>
    </row>
    <row r="414" spans="1:4" x14ac:dyDescent="0.3">
      <c r="A414">
        <v>438</v>
      </c>
      <c r="B414" s="13">
        <v>45828</v>
      </c>
      <c r="C414" t="s">
        <v>2686</v>
      </c>
      <c r="D414" t="s">
        <v>2687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2688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2689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2690</v>
      </c>
    </row>
    <row r="418" spans="1:4" x14ac:dyDescent="0.3">
      <c r="A418">
        <v>442</v>
      </c>
      <c r="B418" s="13">
        <v>45828</v>
      </c>
      <c r="C418" t="s">
        <v>2691</v>
      </c>
      <c r="D418" t="s">
        <v>2692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2693</v>
      </c>
    </row>
    <row r="420" spans="1:4" x14ac:dyDescent="0.3">
      <c r="A420">
        <v>444</v>
      </c>
      <c r="B420" s="13">
        <v>45828</v>
      </c>
      <c r="C420" t="s">
        <v>2699</v>
      </c>
      <c r="D420" t="s">
        <v>2700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2706</v>
      </c>
    </row>
    <row r="422" spans="1:4" x14ac:dyDescent="0.3">
      <c r="A422">
        <v>446</v>
      </c>
      <c r="B422" s="13">
        <v>45829</v>
      </c>
      <c r="C422" t="s">
        <v>2586</v>
      </c>
      <c r="D422" t="s">
        <v>2707</v>
      </c>
    </row>
    <row r="423" spans="1:4" x14ac:dyDescent="0.3">
      <c r="A423">
        <v>447</v>
      </c>
      <c r="B423" s="13">
        <v>45829</v>
      </c>
      <c r="C423" t="s">
        <v>1759</v>
      </c>
      <c r="D423" t="s">
        <v>2710</v>
      </c>
    </row>
    <row r="424" spans="1:4" x14ac:dyDescent="0.3">
      <c r="A424">
        <v>448</v>
      </c>
      <c r="B424" s="13">
        <v>45831</v>
      </c>
      <c r="C424" t="s">
        <v>2711</v>
      </c>
      <c r="D424" t="s">
        <v>2712</v>
      </c>
    </row>
    <row r="425" spans="1:4" x14ac:dyDescent="0.3">
      <c r="A425">
        <v>449</v>
      </c>
      <c r="B425" s="13">
        <v>45831</v>
      </c>
      <c r="C425" t="s">
        <v>2718</v>
      </c>
      <c r="D425" t="s">
        <v>2719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2725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2726</v>
      </c>
    </row>
    <row r="428" spans="1:4" x14ac:dyDescent="0.3">
      <c r="A428">
        <v>452</v>
      </c>
      <c r="B428" s="13">
        <v>45832</v>
      </c>
      <c r="C428" t="s">
        <v>2559</v>
      </c>
      <c r="D428" t="s">
        <v>2734</v>
      </c>
    </row>
    <row r="429" spans="1:4" x14ac:dyDescent="0.3">
      <c r="A429">
        <v>453</v>
      </c>
      <c r="B429" s="13">
        <v>45832</v>
      </c>
      <c r="C429" t="s">
        <v>2727</v>
      </c>
      <c r="D429" t="s">
        <v>2735</v>
      </c>
    </row>
    <row r="430" spans="1:4" x14ac:dyDescent="0.3">
      <c r="A430">
        <v>454</v>
      </c>
      <c r="B430" s="13">
        <v>45832</v>
      </c>
      <c r="C430" t="s">
        <v>1759</v>
      </c>
      <c r="D430" t="s">
        <v>2736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2737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2744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2745</v>
      </c>
    </row>
    <row r="434" spans="1:4" x14ac:dyDescent="0.3">
      <c r="A434">
        <v>458</v>
      </c>
      <c r="B434" s="13">
        <v>45833</v>
      </c>
      <c r="C434" t="s">
        <v>1939</v>
      </c>
      <c r="D434" t="s">
        <v>2746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2748</v>
      </c>
    </row>
    <row r="436" spans="1:4" x14ac:dyDescent="0.3">
      <c r="A436">
        <v>460</v>
      </c>
      <c r="B436" s="13">
        <v>45833</v>
      </c>
      <c r="C436" t="s">
        <v>2739</v>
      </c>
      <c r="D436" t="s">
        <v>2749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2754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2755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2761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2762</v>
      </c>
    </row>
    <row r="441" spans="1:4" x14ac:dyDescent="0.3">
      <c r="A441">
        <v>465</v>
      </c>
      <c r="B441" s="13">
        <v>45834</v>
      </c>
      <c r="C441" t="s">
        <v>1759</v>
      </c>
      <c r="D441" t="s">
        <v>2767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2768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2771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2787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2790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2801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2802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2804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2805</v>
      </c>
    </row>
    <row r="450" spans="1:4" x14ac:dyDescent="0.3">
      <c r="A450">
        <v>474</v>
      </c>
      <c r="B450" s="13">
        <v>45835</v>
      </c>
      <c r="C450" t="s">
        <v>1759</v>
      </c>
      <c r="D450" t="s">
        <v>2807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2808</v>
      </c>
    </row>
    <row r="452" spans="1:4" x14ac:dyDescent="0.3">
      <c r="A452">
        <v>476</v>
      </c>
      <c r="B452" s="13">
        <v>45838</v>
      </c>
      <c r="C452" t="s">
        <v>2349</v>
      </c>
      <c r="D452" t="s">
        <v>2813</v>
      </c>
    </row>
    <row r="453" spans="1:4" x14ac:dyDescent="0.3">
      <c r="A453">
        <v>477</v>
      </c>
      <c r="B453" s="13">
        <v>45838</v>
      </c>
      <c r="C453" t="s">
        <v>1759</v>
      </c>
      <c r="D453" t="s">
        <v>2821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2824</v>
      </c>
    </row>
    <row r="455" spans="1:4" x14ac:dyDescent="0.3">
      <c r="A455">
        <v>479</v>
      </c>
      <c r="B455" s="13">
        <v>45838</v>
      </c>
      <c r="C455" t="s">
        <v>2814</v>
      </c>
      <c r="D455" t="s">
        <v>2825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2826</v>
      </c>
    </row>
    <row r="457" spans="1:4" x14ac:dyDescent="0.3">
      <c r="A457">
        <v>481</v>
      </c>
      <c r="B457" s="13">
        <v>45838</v>
      </c>
      <c r="C457" t="s">
        <v>1759</v>
      </c>
      <c r="D457" t="s">
        <v>2827</v>
      </c>
    </row>
    <row r="458" spans="1:4" x14ac:dyDescent="0.3">
      <c r="A458">
        <v>482</v>
      </c>
      <c r="B458" s="13">
        <v>45838</v>
      </c>
      <c r="C458" t="s">
        <v>2026</v>
      </c>
      <c r="D458" t="s">
        <v>2828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2832</v>
      </c>
    </row>
    <row r="460" spans="1:4" x14ac:dyDescent="0.3">
      <c r="A460">
        <v>484</v>
      </c>
      <c r="B460" s="13">
        <v>45839</v>
      </c>
      <c r="C460" t="s">
        <v>2842</v>
      </c>
      <c r="D460" t="s">
        <v>2843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2844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2846</v>
      </c>
    </row>
    <row r="463" spans="1:4" x14ac:dyDescent="0.3">
      <c r="A463">
        <v>487</v>
      </c>
      <c r="B463" s="13">
        <v>45839</v>
      </c>
      <c r="C463" t="s">
        <v>2851</v>
      </c>
      <c r="D463" t="s">
        <v>2854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2855</v>
      </c>
    </row>
    <row r="465" spans="1:4" x14ac:dyDescent="0.3">
      <c r="A465">
        <v>489</v>
      </c>
      <c r="B465" s="13">
        <v>45840</v>
      </c>
      <c r="C465" t="s">
        <v>2860</v>
      </c>
      <c r="D465" t="s">
        <v>2861</v>
      </c>
    </row>
    <row r="466" spans="1:4" x14ac:dyDescent="0.3">
      <c r="A466">
        <v>490</v>
      </c>
      <c r="B466" s="13">
        <v>45840</v>
      </c>
      <c r="C466" t="s">
        <v>2862</v>
      </c>
      <c r="D466" t="s">
        <v>2866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2873</v>
      </c>
    </row>
    <row r="468" spans="1:4" x14ac:dyDescent="0.3">
      <c r="A468">
        <v>492</v>
      </c>
      <c r="B468" s="13">
        <v>45840</v>
      </c>
      <c r="C468" t="s">
        <v>2006</v>
      </c>
      <c r="D468" t="s">
        <v>2874</v>
      </c>
    </row>
    <row r="469" spans="1:4" x14ac:dyDescent="0.3">
      <c r="A469">
        <v>493</v>
      </c>
      <c r="B469" s="13">
        <v>45840</v>
      </c>
      <c r="C469" t="s">
        <v>2152</v>
      </c>
      <c r="D469" t="s">
        <v>2875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2877</v>
      </c>
    </row>
    <row r="471" spans="1:4" x14ac:dyDescent="0.3">
      <c r="A471">
        <v>495</v>
      </c>
      <c r="B471" s="13">
        <v>45841</v>
      </c>
      <c r="C471" t="s">
        <v>2883</v>
      </c>
      <c r="D471" t="s">
        <v>2886</v>
      </c>
    </row>
    <row r="472" spans="1:4" x14ac:dyDescent="0.3">
      <c r="A472">
        <v>496</v>
      </c>
      <c r="B472" s="13">
        <v>45841</v>
      </c>
      <c r="C472" t="s">
        <v>1848</v>
      </c>
      <c r="D472" t="s">
        <v>2887</v>
      </c>
    </row>
    <row r="473" spans="1:4" x14ac:dyDescent="0.3">
      <c r="A473">
        <v>497</v>
      </c>
      <c r="B473" s="13">
        <v>45841</v>
      </c>
      <c r="C473" t="s">
        <v>2318</v>
      </c>
      <c r="D473" t="s">
        <v>2888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2889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2901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2902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2904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2905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2907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2908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2909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2910</v>
      </c>
    </row>
    <row r="483" spans="1:4" x14ac:dyDescent="0.3">
      <c r="A483">
        <v>507</v>
      </c>
      <c r="B483" s="13">
        <v>45845</v>
      </c>
      <c r="C483" t="s">
        <v>2917</v>
      </c>
      <c r="D483" t="s">
        <v>2921</v>
      </c>
    </row>
    <row r="484" spans="1:4" x14ac:dyDescent="0.3">
      <c r="A484">
        <v>508</v>
      </c>
      <c r="B484" s="13">
        <v>45845</v>
      </c>
      <c r="C484" t="s">
        <v>2686</v>
      </c>
      <c r="D484" t="s">
        <v>2922</v>
      </c>
    </row>
    <row r="485" spans="1:4" x14ac:dyDescent="0.3">
      <c r="A485">
        <v>509</v>
      </c>
      <c r="B485" s="13">
        <v>45845</v>
      </c>
      <c r="C485" t="s">
        <v>2911</v>
      </c>
      <c r="D485" t="s">
        <v>2923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2924</v>
      </c>
    </row>
    <row r="487" spans="1:4" x14ac:dyDescent="0.3">
      <c r="A487">
        <v>511</v>
      </c>
      <c r="B487" s="13">
        <v>45845</v>
      </c>
      <c r="C487" t="s">
        <v>1915</v>
      </c>
      <c r="D487" t="s">
        <v>2925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2926</v>
      </c>
    </row>
    <row r="489" spans="1:4" x14ac:dyDescent="0.3">
      <c r="A489">
        <v>513</v>
      </c>
      <c r="B489" s="13">
        <v>45845</v>
      </c>
      <c r="C489" t="s">
        <v>1759</v>
      </c>
      <c r="D489" t="s">
        <v>2928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2931</v>
      </c>
    </row>
    <row r="491" spans="1:4" x14ac:dyDescent="0.3">
      <c r="A491">
        <v>515</v>
      </c>
      <c r="B491" s="13">
        <v>45846</v>
      </c>
      <c r="C491" t="s">
        <v>2917</v>
      </c>
      <c r="D491" t="s">
        <v>2934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2935</v>
      </c>
    </row>
    <row r="493" spans="1:4" x14ac:dyDescent="0.3">
      <c r="A493">
        <v>517</v>
      </c>
      <c r="B493" s="13">
        <v>45846</v>
      </c>
      <c r="C493" t="s">
        <v>1848</v>
      </c>
      <c r="D493" t="s">
        <v>2936</v>
      </c>
    </row>
    <row r="494" spans="1:4" x14ac:dyDescent="0.3">
      <c r="A494">
        <v>518</v>
      </c>
      <c r="B494" s="13">
        <v>45846</v>
      </c>
      <c r="C494" t="s">
        <v>2937</v>
      </c>
      <c r="D494" t="s">
        <v>2941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2943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2944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2945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2946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2947</v>
      </c>
    </row>
    <row r="500" spans="1:4" x14ac:dyDescent="0.3">
      <c r="A500">
        <v>524</v>
      </c>
      <c r="B500" s="13">
        <v>45847</v>
      </c>
      <c r="C500" t="s">
        <v>2482</v>
      </c>
      <c r="D500" t="s">
        <v>2949</v>
      </c>
    </row>
    <row r="501" spans="1:4" x14ac:dyDescent="0.3">
      <c r="A501">
        <v>525</v>
      </c>
      <c r="B501" s="13">
        <v>45847</v>
      </c>
      <c r="C501" t="s">
        <v>2315</v>
      </c>
      <c r="D501" t="s">
        <v>2953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2954</v>
      </c>
    </row>
    <row r="503" spans="1:4" x14ac:dyDescent="0.3">
      <c r="A503">
        <v>527</v>
      </c>
      <c r="B503" s="13">
        <v>45847</v>
      </c>
      <c r="C503" t="s">
        <v>1759</v>
      </c>
      <c r="D503" t="s">
        <v>2955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2956</v>
      </c>
    </row>
    <row r="505" spans="1:4" x14ac:dyDescent="0.3">
      <c r="A505">
        <v>529</v>
      </c>
      <c r="B505" s="13">
        <v>45847</v>
      </c>
      <c r="C505" t="s">
        <v>1785</v>
      </c>
      <c r="D505" t="s">
        <v>2957</v>
      </c>
    </row>
    <row r="506" spans="1:4" x14ac:dyDescent="0.3">
      <c r="A506">
        <v>530</v>
      </c>
      <c r="B506" s="13">
        <v>45847</v>
      </c>
      <c r="C506" t="s">
        <v>2482</v>
      </c>
      <c r="D506" t="s">
        <v>2958</v>
      </c>
    </row>
    <row r="507" spans="1:4" x14ac:dyDescent="0.3">
      <c r="A507">
        <v>531</v>
      </c>
      <c r="B507" s="13">
        <v>45848</v>
      </c>
      <c r="C507" t="s">
        <v>2842</v>
      </c>
      <c r="D507" t="s">
        <v>2963</v>
      </c>
    </row>
    <row r="508" spans="1:4" x14ac:dyDescent="0.3">
      <c r="A508">
        <v>532</v>
      </c>
      <c r="B508" s="13">
        <v>45848</v>
      </c>
      <c r="C508" t="s">
        <v>2376</v>
      </c>
      <c r="D508" t="s">
        <v>2965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2966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2967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2969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2980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2981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2982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2983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2984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2985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2986</v>
      </c>
    </row>
    <row r="519" spans="1:4" x14ac:dyDescent="0.3">
      <c r="A519">
        <v>543</v>
      </c>
      <c r="B519" s="13">
        <v>45849</v>
      </c>
      <c r="C519" t="s">
        <v>2987</v>
      </c>
      <c r="D519" t="s">
        <v>2988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2995</v>
      </c>
    </row>
    <row r="521" spans="1:4" x14ac:dyDescent="0.3">
      <c r="A521">
        <v>545</v>
      </c>
      <c r="B521" s="13">
        <v>45850</v>
      </c>
      <c r="C521" t="s">
        <v>2842</v>
      </c>
      <c r="D521" t="s">
        <v>2999</v>
      </c>
    </row>
    <row r="522" spans="1:4" x14ac:dyDescent="0.3">
      <c r="A522">
        <v>546</v>
      </c>
      <c r="B522" s="13">
        <v>45852</v>
      </c>
      <c r="C522" t="s">
        <v>3006</v>
      </c>
      <c r="D522" t="s">
        <v>3009</v>
      </c>
    </row>
    <row r="523" spans="1:4" x14ac:dyDescent="0.3">
      <c r="A523">
        <v>547</v>
      </c>
      <c r="B523" s="13">
        <v>45852</v>
      </c>
      <c r="C523" t="s">
        <v>3010</v>
      </c>
      <c r="D523" t="s">
        <v>3014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3015</v>
      </c>
    </row>
    <row r="525" spans="1:4" x14ac:dyDescent="0.3">
      <c r="A525">
        <v>549</v>
      </c>
      <c r="B525" s="13">
        <v>45852</v>
      </c>
      <c r="C525" t="s">
        <v>2482</v>
      </c>
      <c r="D525" t="s">
        <v>3016</v>
      </c>
    </row>
    <row r="526" spans="1:4" x14ac:dyDescent="0.3">
      <c r="A526">
        <v>550</v>
      </c>
      <c r="B526" s="13">
        <v>45852</v>
      </c>
      <c r="C526" t="s">
        <v>2376</v>
      </c>
      <c r="D526" t="s">
        <v>3018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3019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3020</v>
      </c>
    </row>
    <row r="529" spans="1:4" x14ac:dyDescent="0.3">
      <c r="A529">
        <v>553</v>
      </c>
      <c r="B529" s="13">
        <v>45853</v>
      </c>
      <c r="C529" t="s">
        <v>2482</v>
      </c>
      <c r="D529" t="s">
        <v>3032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3033</v>
      </c>
    </row>
    <row r="531" spans="1:4" x14ac:dyDescent="0.3">
      <c r="A531">
        <v>555</v>
      </c>
      <c r="B531" s="13">
        <v>45853</v>
      </c>
      <c r="C531" t="s">
        <v>3034</v>
      </c>
      <c r="D531" t="s">
        <v>3037</v>
      </c>
    </row>
    <row r="532" spans="1:4" x14ac:dyDescent="0.3">
      <c r="A532">
        <v>556</v>
      </c>
      <c r="B532" s="13">
        <v>45853</v>
      </c>
      <c r="C532" t="s">
        <v>2376</v>
      </c>
      <c r="D532" t="s">
        <v>3038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3039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3040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3041</v>
      </c>
    </row>
    <row r="536" spans="1:4" x14ac:dyDescent="0.3">
      <c r="A536">
        <v>560</v>
      </c>
      <c r="B536" s="13">
        <v>45853</v>
      </c>
      <c r="C536" t="s">
        <v>3028</v>
      </c>
      <c r="D536" t="s">
        <v>3043</v>
      </c>
    </row>
    <row r="537" spans="1:4" x14ac:dyDescent="0.3">
      <c r="A537">
        <v>561</v>
      </c>
      <c r="B537" s="13">
        <v>45853</v>
      </c>
      <c r="C537" t="s">
        <v>1759</v>
      </c>
      <c r="D537" t="s">
        <v>3044</v>
      </c>
    </row>
    <row r="538" spans="1:4" x14ac:dyDescent="0.3">
      <c r="A538">
        <v>562</v>
      </c>
      <c r="B538" s="13">
        <v>45854</v>
      </c>
      <c r="C538" t="s">
        <v>2349</v>
      </c>
      <c r="D538" t="s">
        <v>3055</v>
      </c>
    </row>
    <row r="539" spans="1:4" x14ac:dyDescent="0.3">
      <c r="A539">
        <v>563</v>
      </c>
      <c r="B539" s="13">
        <v>45854</v>
      </c>
      <c r="C539" t="s">
        <v>1844</v>
      </c>
      <c r="D539" t="s">
        <v>3057</v>
      </c>
    </row>
    <row r="540" spans="1:4" x14ac:dyDescent="0.3">
      <c r="A540">
        <v>564</v>
      </c>
      <c r="B540" s="13">
        <v>45854</v>
      </c>
      <c r="C540" t="s">
        <v>1708</v>
      </c>
      <c r="D540" t="s">
        <v>3058</v>
      </c>
    </row>
    <row r="541" spans="1:4" x14ac:dyDescent="0.3">
      <c r="A541">
        <v>565</v>
      </c>
      <c r="B541" s="13">
        <v>45854</v>
      </c>
      <c r="C541" t="s">
        <v>3059</v>
      </c>
      <c r="D541" t="s">
        <v>3061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3071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3073</v>
      </c>
    </row>
    <row r="544" spans="1:4" x14ac:dyDescent="0.3">
      <c r="A544">
        <v>568</v>
      </c>
      <c r="B544" s="13">
        <v>45855</v>
      </c>
      <c r="C544" t="s">
        <v>2718</v>
      </c>
      <c r="D544" t="s">
        <v>3074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3075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3080</v>
      </c>
    </row>
    <row r="547" spans="1:4" x14ac:dyDescent="0.3">
      <c r="A547">
        <v>571</v>
      </c>
      <c r="B547" s="13">
        <v>45856</v>
      </c>
      <c r="C547" t="s">
        <v>3081</v>
      </c>
      <c r="D547" t="s">
        <v>3085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3087</v>
      </c>
    </row>
    <row r="549" spans="1:4" x14ac:dyDescent="0.3">
      <c r="A549">
        <v>573</v>
      </c>
      <c r="B549" s="13">
        <v>45856</v>
      </c>
      <c r="C549" t="s">
        <v>3088</v>
      </c>
      <c r="D549" t="s">
        <v>3090</v>
      </c>
    </row>
    <row r="550" spans="1:4" x14ac:dyDescent="0.3">
      <c r="A550">
        <v>574</v>
      </c>
      <c r="B550" s="13">
        <v>45856</v>
      </c>
      <c r="C550" t="s">
        <v>1892</v>
      </c>
      <c r="D550" t="s">
        <v>3091</v>
      </c>
    </row>
    <row r="551" spans="1:4" x14ac:dyDescent="0.3">
      <c r="A551">
        <v>575</v>
      </c>
      <c r="B551" s="13">
        <v>45856</v>
      </c>
      <c r="C551" t="s">
        <v>2026</v>
      </c>
      <c r="D551" t="s">
        <v>3092</v>
      </c>
    </row>
    <row r="552" spans="1:4" x14ac:dyDescent="0.3">
      <c r="A552">
        <v>576</v>
      </c>
      <c r="B552" s="13">
        <v>45857</v>
      </c>
      <c r="C552" t="s">
        <v>2376</v>
      </c>
      <c r="D552" t="s">
        <v>3101</v>
      </c>
    </row>
    <row r="553" spans="1:4" x14ac:dyDescent="0.3">
      <c r="A553">
        <v>577</v>
      </c>
      <c r="B553" s="13">
        <v>45859</v>
      </c>
      <c r="C553" t="s">
        <v>2699</v>
      </c>
      <c r="D553" t="s">
        <v>3103</v>
      </c>
    </row>
    <row r="554" spans="1:4" x14ac:dyDescent="0.3">
      <c r="A554">
        <v>578</v>
      </c>
      <c r="B554" s="13">
        <v>45859</v>
      </c>
      <c r="C554" t="s">
        <v>2315</v>
      </c>
      <c r="D554" t="s">
        <v>3106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3107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3109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3110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3111</v>
      </c>
    </row>
    <row r="559" spans="1:4" x14ac:dyDescent="0.3">
      <c r="A559">
        <v>583</v>
      </c>
      <c r="B559" s="13">
        <v>45860</v>
      </c>
      <c r="C559" t="s">
        <v>1851</v>
      </c>
      <c r="D559" t="s">
        <v>3112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3113</v>
      </c>
    </row>
    <row r="561" spans="1:4" x14ac:dyDescent="0.3">
      <c r="A561">
        <v>585</v>
      </c>
      <c r="B561" s="13">
        <v>45860</v>
      </c>
      <c r="C561" t="s">
        <v>3114</v>
      </c>
      <c r="D561" t="s">
        <v>3118</v>
      </c>
    </row>
    <row r="562" spans="1:4" x14ac:dyDescent="0.3">
      <c r="A562">
        <v>586</v>
      </c>
      <c r="B562" s="13">
        <v>45860</v>
      </c>
      <c r="C562" t="s">
        <v>1759</v>
      </c>
      <c r="D562" t="s">
        <v>3119</v>
      </c>
    </row>
    <row r="563" spans="1:4" x14ac:dyDescent="0.3">
      <c r="A563">
        <v>587</v>
      </c>
      <c r="B563" s="13">
        <v>45860</v>
      </c>
      <c r="C563" t="s">
        <v>3028</v>
      </c>
      <c r="D563" t="s">
        <v>3120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3128</v>
      </c>
    </row>
    <row r="565" spans="1:4" x14ac:dyDescent="0.3">
      <c r="A565">
        <v>589</v>
      </c>
      <c r="B565" s="13">
        <v>45861</v>
      </c>
      <c r="C565" t="s">
        <v>1785</v>
      </c>
      <c r="D565" t="s">
        <v>3129</v>
      </c>
    </row>
    <row r="566" spans="1:4" x14ac:dyDescent="0.3">
      <c r="A566">
        <v>590</v>
      </c>
      <c r="B566" s="13">
        <v>45861</v>
      </c>
      <c r="C566" t="s">
        <v>1848</v>
      </c>
      <c r="D566" t="s">
        <v>3130</v>
      </c>
    </row>
    <row r="567" spans="1:4" x14ac:dyDescent="0.3">
      <c r="A567">
        <v>591</v>
      </c>
      <c r="B567" s="13">
        <v>45861</v>
      </c>
      <c r="C567" t="s">
        <v>1892</v>
      </c>
      <c r="D567" t="s">
        <v>3131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3132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3133</v>
      </c>
    </row>
    <row r="570" spans="1:4" x14ac:dyDescent="0.3">
      <c r="A570">
        <v>594</v>
      </c>
      <c r="B570" s="13">
        <v>45861</v>
      </c>
      <c r="C570" t="s">
        <v>2376</v>
      </c>
      <c r="D570" t="s">
        <v>3134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3145</v>
      </c>
    </row>
    <row r="572" spans="1:4" x14ac:dyDescent="0.3">
      <c r="A572">
        <v>596</v>
      </c>
      <c r="B572" s="13">
        <v>45862</v>
      </c>
      <c r="C572" t="s">
        <v>1915</v>
      </c>
      <c r="D572" t="s">
        <v>3146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3147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3148</v>
      </c>
    </row>
    <row r="575" spans="1:4" x14ac:dyDescent="0.3">
      <c r="A575">
        <v>599</v>
      </c>
      <c r="B575" s="13">
        <v>45862</v>
      </c>
      <c r="C575" t="s">
        <v>1617</v>
      </c>
      <c r="D575" t="s">
        <v>3149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3152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3153</v>
      </c>
    </row>
    <row r="578" spans="1:4" x14ac:dyDescent="0.3">
      <c r="A578">
        <v>602</v>
      </c>
      <c r="B578" s="13">
        <v>45862</v>
      </c>
      <c r="C578" t="s">
        <v>3154</v>
      </c>
      <c r="D578" t="s">
        <v>3155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3160</v>
      </c>
    </row>
    <row r="580" spans="1:4" x14ac:dyDescent="0.3">
      <c r="A580">
        <v>604</v>
      </c>
      <c r="B580" s="13">
        <v>45863</v>
      </c>
      <c r="C580" t="s">
        <v>2457</v>
      </c>
      <c r="D580" t="s">
        <v>3164</v>
      </c>
    </row>
    <row r="581" spans="1:4" x14ac:dyDescent="0.3">
      <c r="A581">
        <v>605</v>
      </c>
      <c r="B581" s="13">
        <v>45863</v>
      </c>
      <c r="C581" t="s">
        <v>2026</v>
      </c>
      <c r="D581" t="s">
        <v>3165</v>
      </c>
    </row>
    <row r="582" spans="1:4" x14ac:dyDescent="0.3">
      <c r="A582">
        <v>606</v>
      </c>
      <c r="B582" s="13">
        <v>45863</v>
      </c>
      <c r="C582" t="s">
        <v>2026</v>
      </c>
      <c r="D582" t="s">
        <v>3166</v>
      </c>
    </row>
    <row r="583" spans="1:4" x14ac:dyDescent="0.3">
      <c r="A583">
        <v>607</v>
      </c>
      <c r="B583" s="13">
        <v>45863</v>
      </c>
      <c r="C583" t="s">
        <v>1635</v>
      </c>
      <c r="D583" t="s">
        <v>3167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3169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3170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3177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3178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3179</v>
      </c>
    </row>
    <row r="589" spans="1:4" x14ac:dyDescent="0.3">
      <c r="A589">
        <v>613</v>
      </c>
      <c r="B589" s="13">
        <v>45866</v>
      </c>
      <c r="C589" t="s">
        <v>1066</v>
      </c>
      <c r="D589" t="s">
        <v>3180</v>
      </c>
    </row>
    <row r="590" spans="1:4" x14ac:dyDescent="0.3">
      <c r="A590">
        <v>614</v>
      </c>
      <c r="B590" s="13">
        <v>45866</v>
      </c>
      <c r="C590" t="s">
        <v>1433</v>
      </c>
      <c r="D590" t="s">
        <v>3181</v>
      </c>
    </row>
    <row r="591" spans="1:4" x14ac:dyDescent="0.3">
      <c r="A591">
        <v>615</v>
      </c>
      <c r="B591" s="13">
        <v>45866</v>
      </c>
      <c r="C591" t="s">
        <v>1785</v>
      </c>
      <c r="D591" t="s">
        <v>3182</v>
      </c>
    </row>
    <row r="592" spans="1:4" x14ac:dyDescent="0.3">
      <c r="A592">
        <v>616</v>
      </c>
      <c r="B592" s="13">
        <v>45866</v>
      </c>
      <c r="C592" t="s">
        <v>1892</v>
      </c>
      <c r="D592" t="s">
        <v>3183</v>
      </c>
    </row>
    <row r="593" spans="1:4" x14ac:dyDescent="0.3">
      <c r="A593">
        <v>617</v>
      </c>
      <c r="B593" s="13">
        <v>45866</v>
      </c>
      <c r="C593" t="s">
        <v>1708</v>
      </c>
      <c r="D593" t="s">
        <v>3184</v>
      </c>
    </row>
    <row r="594" spans="1:4" x14ac:dyDescent="0.3">
      <c r="A594">
        <v>618</v>
      </c>
      <c r="B594" s="13">
        <v>45866</v>
      </c>
      <c r="C594" t="s">
        <v>1507</v>
      </c>
      <c r="D594" t="s">
        <v>3185</v>
      </c>
    </row>
    <row r="595" spans="1:4" x14ac:dyDescent="0.3">
      <c r="A595">
        <v>619</v>
      </c>
      <c r="B595" s="13">
        <v>45866</v>
      </c>
      <c r="C595" t="s">
        <v>3186</v>
      </c>
      <c r="D595" t="s">
        <v>3189</v>
      </c>
    </row>
    <row r="596" spans="1:4" x14ac:dyDescent="0.3">
      <c r="A596">
        <v>620</v>
      </c>
      <c r="B596" s="13">
        <v>45866</v>
      </c>
      <c r="C596" t="s">
        <v>1578</v>
      </c>
      <c r="D596" t="s">
        <v>3190</v>
      </c>
    </row>
    <row r="597" spans="1:4" x14ac:dyDescent="0.3">
      <c r="A597">
        <v>621</v>
      </c>
      <c r="B597" s="13">
        <v>45866</v>
      </c>
      <c r="C597" t="s">
        <v>1906</v>
      </c>
      <c r="D597" t="s">
        <v>3191</v>
      </c>
    </row>
    <row r="598" spans="1:4" x14ac:dyDescent="0.3">
      <c r="A598">
        <v>622</v>
      </c>
      <c r="B598" s="13">
        <v>45866</v>
      </c>
      <c r="C598" t="s">
        <v>1785</v>
      </c>
      <c r="D598" t="s">
        <v>3192</v>
      </c>
    </row>
    <row r="599" spans="1:4" x14ac:dyDescent="0.3">
      <c r="A599">
        <v>623</v>
      </c>
      <c r="B599" s="13">
        <v>45866</v>
      </c>
      <c r="C599" t="s">
        <v>1483</v>
      </c>
      <c r="D599" t="s">
        <v>3193</v>
      </c>
    </row>
    <row r="600" spans="1:4" x14ac:dyDescent="0.3">
      <c r="A600">
        <v>624</v>
      </c>
      <c r="B600" s="13">
        <v>45866</v>
      </c>
      <c r="C600" t="s">
        <v>3194</v>
      </c>
      <c r="D600" t="s">
        <v>3199</v>
      </c>
    </row>
    <row r="601" spans="1:4" x14ac:dyDescent="0.3">
      <c r="A601">
        <v>625</v>
      </c>
      <c r="B601" s="13">
        <v>45867</v>
      </c>
      <c r="C601" t="s">
        <v>1478</v>
      </c>
      <c r="D601" t="s">
        <v>3229</v>
      </c>
    </row>
    <row r="602" spans="1:4" x14ac:dyDescent="0.3">
      <c r="A602">
        <v>626</v>
      </c>
      <c r="B602" s="13">
        <v>45867</v>
      </c>
      <c r="C602" t="s">
        <v>1829</v>
      </c>
      <c r="D602" t="s">
        <v>3230</v>
      </c>
    </row>
    <row r="603" spans="1:4" x14ac:dyDescent="0.3">
      <c r="A603">
        <v>627</v>
      </c>
      <c r="B603" s="13">
        <v>45867</v>
      </c>
      <c r="C603" t="s">
        <v>1102</v>
      </c>
      <c r="D603" t="s">
        <v>3231</v>
      </c>
    </row>
    <row r="604" spans="1:4" x14ac:dyDescent="0.3">
      <c r="A604">
        <v>628</v>
      </c>
      <c r="B604" s="13">
        <v>45867</v>
      </c>
      <c r="C604" t="s">
        <v>1339</v>
      </c>
      <c r="D604" t="s">
        <v>3232</v>
      </c>
    </row>
    <row r="605" spans="1:4" x14ac:dyDescent="0.3">
      <c r="A605">
        <v>629</v>
      </c>
      <c r="B605" s="13">
        <v>45867</v>
      </c>
      <c r="C605" t="s">
        <v>1844</v>
      </c>
      <c r="D605" t="s">
        <v>3233</v>
      </c>
    </row>
    <row r="606" spans="1:4" x14ac:dyDescent="0.3">
      <c r="A606">
        <v>630</v>
      </c>
      <c r="B606" s="13">
        <v>45867</v>
      </c>
      <c r="C606" t="s">
        <v>3059</v>
      </c>
      <c r="D606" t="s">
        <v>3234</v>
      </c>
    </row>
    <row r="607" spans="1:4" x14ac:dyDescent="0.3">
      <c r="A607">
        <v>631</v>
      </c>
      <c r="B607" s="13">
        <v>45867</v>
      </c>
      <c r="C607" t="s">
        <v>1759</v>
      </c>
      <c r="D607" t="s">
        <v>3235</v>
      </c>
    </row>
    <row r="608" spans="1:4" x14ac:dyDescent="0.3">
      <c r="A608">
        <v>632</v>
      </c>
      <c r="B608" s="13">
        <v>45867</v>
      </c>
      <c r="C608" t="s">
        <v>1478</v>
      </c>
      <c r="D608" t="s">
        <v>3237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38" sqref="H38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168</v>
      </c>
      <c r="J1" s="294"/>
      <c r="K1" s="293"/>
    </row>
    <row r="2" spans="1:11" x14ac:dyDescent="0.3">
      <c r="A2">
        <v>1</v>
      </c>
      <c r="B2" t="s">
        <v>1307</v>
      </c>
      <c r="C2" t="s">
        <v>1668</v>
      </c>
      <c r="E2" t="s">
        <v>1669</v>
      </c>
      <c r="F2" t="s">
        <v>1670</v>
      </c>
      <c r="G2" t="s">
        <v>1671</v>
      </c>
      <c r="H2" s="201">
        <f>SUMIF(주문_리스트!C:C,거래처!$B2,주문_리스트!K:K)+SUMIF(주문_리스트!C:C,거래처!B2,주문_리스트!L:L)-1543201</f>
        <v>2339999.5999999996</v>
      </c>
      <c r="I2" s="201"/>
    </row>
    <row r="3" spans="1:11" hidden="1" x14ac:dyDescent="0.3">
      <c r="A3">
        <v>2</v>
      </c>
      <c r="B3" t="s">
        <v>2681</v>
      </c>
      <c r="C3" t="s">
        <v>2682</v>
      </c>
      <c r="E3" t="s">
        <v>2683</v>
      </c>
      <c r="H3" s="201">
        <f>SUMIF(주문_리스트!C:C,거래처!B3,주문_리스트!K:K)+SUMIF(주문_리스트!C:C,거래처!B3,주문_리스트!L:L)</f>
        <v>0</v>
      </c>
    </row>
    <row r="4" spans="1:11" hidden="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hidden="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hidden="1" x14ac:dyDescent="0.3">
      <c r="A6">
        <v>5</v>
      </c>
      <c r="B6" t="s">
        <v>1309</v>
      </c>
      <c r="C6" t="s">
        <v>2684</v>
      </c>
      <c r="E6" t="s">
        <v>2685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hidden="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hidden="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hidden="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1830</v>
      </c>
      <c r="E10" t="s">
        <v>1313</v>
      </c>
      <c r="F10" t="s">
        <v>1826</v>
      </c>
      <c r="G10" t="s">
        <v>1831</v>
      </c>
      <c r="H10" s="201">
        <f>SUMIF(주문_리스트!C:C,거래처!B10,주문_리스트!K:K)+SUMIF(주문_리스트!C:C,거래처!B10,주문_리스트!L:L)</f>
        <v>1550000</v>
      </c>
    </row>
    <row r="11" spans="1:11" hidden="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3161</v>
      </c>
      <c r="H11" s="201">
        <f>SUMIF(주문_리스트!C:C,거래처!B11,주문_리스트!K:K)+SUMIF(주문_리스트!C:C,거래처!B11,주문_리스트!L:L)+60000</f>
        <v>0</v>
      </c>
    </row>
    <row r="12" spans="1:11" hidden="1" x14ac:dyDescent="0.3">
      <c r="A12">
        <v>11</v>
      </c>
      <c r="B12" t="s">
        <v>1315</v>
      </c>
      <c r="C12" t="s">
        <v>2183</v>
      </c>
      <c r="E12" t="s">
        <v>2184</v>
      </c>
      <c r="H12" s="201">
        <f>SUMIF(주문_리스트!C:C,거래처!B12,주문_리스트!K:K)+SUMIF(주문_리스트!C:C,거래처!B12,주문_리스트!L:L)</f>
        <v>0</v>
      </c>
    </row>
    <row r="13" spans="1:11" hidden="1" x14ac:dyDescent="0.3">
      <c r="A13">
        <v>12</v>
      </c>
      <c r="B13" t="s">
        <v>1316</v>
      </c>
      <c r="C13" t="s">
        <v>1242</v>
      </c>
      <c r="E13" t="s">
        <v>1243</v>
      </c>
      <c r="F13" t="s">
        <v>2428</v>
      </c>
      <c r="G13" t="s">
        <v>2429</v>
      </c>
      <c r="H13" s="201">
        <f>SUMIF(주문_리스트!C:C,거래처!B13,주문_리스트!K:K)+SUMIF(주문_리스트!C:C,거래처!B13,주문_리스트!L:L)-1320000</f>
        <v>0</v>
      </c>
    </row>
    <row r="14" spans="1:11" hidden="1" x14ac:dyDescent="0.3">
      <c r="A14">
        <v>13</v>
      </c>
      <c r="B14" t="s">
        <v>1317</v>
      </c>
      <c r="C14" t="s">
        <v>2587</v>
      </c>
      <c r="E14" t="s">
        <v>2588</v>
      </c>
      <c r="F14" t="s">
        <v>969</v>
      </c>
      <c r="G14" t="s">
        <v>2589</v>
      </c>
      <c r="H14" s="201">
        <f>SUMIF(주문_리스트!C:C,거래처!B14,주문_리스트!K:K)+SUMIF(주문_리스트!C:C,거래처!B14,주문_리스트!L:L)-1280000</f>
        <v>0</v>
      </c>
      <c r="I14" s="52" t="s">
        <v>3135</v>
      </c>
    </row>
    <row r="15" spans="1:11" hidden="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hidden="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14111000.199999999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50000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10657000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</row>
    <row r="21" spans="1:13" hidden="1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</row>
    <row r="23" spans="1:13" hidden="1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hidden="1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hidden="1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hidden="1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hidden="1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hidden="1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hidden="1" x14ac:dyDescent="0.3">
      <c r="A29">
        <v>28</v>
      </c>
      <c r="B29" t="s">
        <v>1949</v>
      </c>
      <c r="C29" t="s">
        <v>1950</v>
      </c>
      <c r="E29" t="s">
        <v>1951</v>
      </c>
      <c r="F29" t="s">
        <v>1944</v>
      </c>
      <c r="G29" t="s">
        <v>1952</v>
      </c>
      <c r="H29" s="201">
        <f>SUMIF(주문_리스트!C:C,거래처!B29,주문_리스트!K:K)+SUMIF(주문_리스트!C:C,거래처!B29,주문_리스트!L:L)-3710000</f>
        <v>0</v>
      </c>
    </row>
    <row r="30" spans="1:13" hidden="1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hidden="1" x14ac:dyDescent="0.3">
      <c r="A31">
        <v>30</v>
      </c>
      <c r="B31" t="s">
        <v>1331</v>
      </c>
      <c r="C31" t="s">
        <v>1749</v>
      </c>
      <c r="E31" t="s">
        <v>1750</v>
      </c>
      <c r="F31" t="s">
        <v>969</v>
      </c>
      <c r="G31" t="s">
        <v>1751</v>
      </c>
      <c r="H31" s="201">
        <f>SUMIF(주문_리스트!C:C,거래처!B31,주문_리스트!K:K)+SUMIF(주문_리스트!C:C,거래처!B31,주문_리스트!L:L)-1200000</f>
        <v>0</v>
      </c>
    </row>
    <row r="32" spans="1:13" hidden="1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3094</v>
      </c>
    </row>
    <row r="33" spans="1:8" hidden="1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8" hidden="1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8" hidden="1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8" hidden="1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9010000</v>
      </c>
    </row>
    <row r="38" spans="1:8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</row>
    <row r="39" spans="1:8" hidden="1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8" hidden="1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8" hidden="1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8" hidden="1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1340</v>
      </c>
      <c r="C43" t="s">
        <v>1397</v>
      </c>
      <c r="E43" t="s">
        <v>1398</v>
      </c>
      <c r="F43" t="s">
        <v>2410</v>
      </c>
      <c r="G43" t="s">
        <v>2411</v>
      </c>
      <c r="H43" s="201">
        <f>SUMIF(주문_리스트!C:C,거래처!B43,주문_리스트!K:K)+SUMIF(주문_리스트!C:C,거래처!B43,주문_리스트!L:L)-1600000</f>
        <v>1075000</v>
      </c>
    </row>
    <row r="44" spans="1:8" hidden="1" x14ac:dyDescent="0.3">
      <c r="A44">
        <v>43</v>
      </c>
      <c r="B44" t="s">
        <v>1341</v>
      </c>
      <c r="C44" t="s">
        <v>2740</v>
      </c>
      <c r="E44" t="s">
        <v>2741</v>
      </c>
      <c r="F44" t="s">
        <v>969</v>
      </c>
      <c r="G44" t="s">
        <v>2742</v>
      </c>
      <c r="H44" s="201">
        <f>SUMIF(주문_리스트!C:C,거래처!B44,주문_리스트!K:K)+SUMIF(주문_리스트!C:C,거래처!B44,주문_리스트!L:L)</f>
        <v>0</v>
      </c>
    </row>
    <row r="45" spans="1:8" hidden="1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8" hidden="1" x14ac:dyDescent="0.3">
      <c r="A46">
        <v>45</v>
      </c>
      <c r="B46" t="s">
        <v>1343</v>
      </c>
      <c r="C46" t="s">
        <v>2523</v>
      </c>
      <c r="E46" t="s">
        <v>2525</v>
      </c>
      <c r="F46" t="s">
        <v>1211</v>
      </c>
      <c r="G46" t="s">
        <v>2524</v>
      </c>
      <c r="H46" s="201">
        <f>SUMIF(주문_리스트!C:C,거래처!B46,주문_리스트!K:K)+SUMIF(주문_리스트!C:C,거래처!B46,주문_리스트!L:L)-200000</f>
        <v>0</v>
      </c>
    </row>
    <row r="47" spans="1:8" hidden="1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8" hidden="1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8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8" hidden="1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8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1909</v>
      </c>
      <c r="H51" s="201">
        <f>SUMIF(주문_리스트!C:C,거래처!B51,주문_리스트!K:K)+SUMIF(주문_리스트!C:C,거래처!B51,주문_리스트!L:L)-3500000</f>
        <v>1550000</v>
      </c>
    </row>
    <row r="52" spans="1:8" hidden="1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8" hidden="1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8" x14ac:dyDescent="0.3">
      <c r="A54">
        <v>53</v>
      </c>
      <c r="B54" t="s">
        <v>1177</v>
      </c>
      <c r="C54" t="s">
        <v>1828</v>
      </c>
      <c r="E54" t="s">
        <v>2721</v>
      </c>
      <c r="F54" t="s">
        <v>36</v>
      </c>
      <c r="G54" t="s">
        <v>2722</v>
      </c>
      <c r="H54" s="201">
        <f>SUMIF(주문_리스트!C:C,거래처!B54,주문_리스트!K:K)+SUMIF(주문_리스트!C:C,거래처!B54,주문_리스트!L:L)-4015000</f>
        <v>4750000</v>
      </c>
    </row>
    <row r="55" spans="1:8" hidden="1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8" hidden="1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8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</row>
    <row r="58" spans="1:8" hidden="1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8" hidden="1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8" hidden="1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8" hidden="1" x14ac:dyDescent="0.3">
      <c r="A61">
        <v>60</v>
      </c>
      <c r="B61" t="s">
        <v>1353</v>
      </c>
      <c r="C61" t="s">
        <v>1054</v>
      </c>
      <c r="E61" t="s">
        <v>1659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8" hidden="1" x14ac:dyDescent="0.3">
      <c r="A62">
        <v>61</v>
      </c>
      <c r="B62" t="s">
        <v>1354</v>
      </c>
      <c r="C62" t="s">
        <v>2694</v>
      </c>
      <c r="E62" t="s">
        <v>2695</v>
      </c>
      <c r="F62" t="s">
        <v>2696</v>
      </c>
      <c r="G62" t="s">
        <v>2697</v>
      </c>
      <c r="H62" s="201">
        <f>SUMIF(주문_리스트!C:C,거래처!B62,주문_리스트!K:K)+SUMIF(주문_리스트!C:C,거래처!B62,주문_리스트!L:L)</f>
        <v>0</v>
      </c>
    </row>
    <row r="63" spans="1:8" hidden="1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8" hidden="1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8" hidden="1" x14ac:dyDescent="0.3">
      <c r="A65">
        <v>64</v>
      </c>
      <c r="B65" t="s">
        <v>1357</v>
      </c>
      <c r="C65" t="s">
        <v>2713</v>
      </c>
      <c r="E65" t="s">
        <v>2714</v>
      </c>
      <c r="F65" t="s">
        <v>2715</v>
      </c>
      <c r="G65" t="s">
        <v>2716</v>
      </c>
      <c r="H65" s="201">
        <f>SUMIF(주문_리스트!C:C,거래처!B65,주문_리스트!K:K)+SUMIF(주문_리스트!C:C,거래처!B65,주문_리스트!L:L)</f>
        <v>0</v>
      </c>
    </row>
    <row r="66" spans="1:8" hidden="1" x14ac:dyDescent="0.3">
      <c r="A66">
        <v>65</v>
      </c>
      <c r="B66" t="s">
        <v>1218</v>
      </c>
      <c r="C66" t="s">
        <v>1219</v>
      </c>
      <c r="E66" t="s">
        <v>1220</v>
      </c>
      <c r="F66" t="s">
        <v>2093</v>
      </c>
      <c r="G66" t="s">
        <v>2094</v>
      </c>
      <c r="H66" s="201">
        <f>SUMIF(주문_리스트!C:C,거래처!B66,주문_리스트!K:K)+SUMIF(주문_리스트!C:C,거래처!B66,주문_리스트!L:L)</f>
        <v>0</v>
      </c>
    </row>
    <row r="67" spans="1:8" hidden="1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8" hidden="1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8" hidden="1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8" hidden="1" x14ac:dyDescent="0.3">
      <c r="A70">
        <v>69</v>
      </c>
      <c r="B70" t="s">
        <v>1361</v>
      </c>
      <c r="C70" t="s">
        <v>2153</v>
      </c>
      <c r="E70" t="s">
        <v>2154</v>
      </c>
      <c r="F70" t="s">
        <v>36</v>
      </c>
      <c r="G70" t="s">
        <v>2526</v>
      </c>
      <c r="H70" s="201">
        <f>SUMIF(주문_리스트!C:C,거래처!B70,주문_리스트!K:K)+SUMIF(주문_리스트!C:C,거래처!B70,주문_리스트!L:L)</f>
        <v>0</v>
      </c>
    </row>
    <row r="71" spans="1:8" hidden="1" x14ac:dyDescent="0.3">
      <c r="A71">
        <v>70</v>
      </c>
      <c r="B71" t="s">
        <v>1362</v>
      </c>
      <c r="C71" t="s">
        <v>2590</v>
      </c>
      <c r="E71" t="s">
        <v>2591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8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1450000</v>
      </c>
    </row>
    <row r="73" spans="1:8" hidden="1" x14ac:dyDescent="0.3">
      <c r="A73">
        <v>72</v>
      </c>
      <c r="B73" t="s">
        <v>1522</v>
      </c>
      <c r="C73" t="s">
        <v>1523</v>
      </c>
      <c r="E73" t="s">
        <v>2020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8" hidden="1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8" hidden="1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8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</row>
    <row r="77" spans="1:8" hidden="1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8" hidden="1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8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4000000</v>
      </c>
    </row>
    <row r="80" spans="1:8" hidden="1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hidden="1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hidden="1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hidden="1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500000</v>
      </c>
    </row>
    <row r="85" spans="1:9" hidden="1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hidden="1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hidden="1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hidden="1" x14ac:dyDescent="0.3">
      <c r="A88">
        <v>87</v>
      </c>
      <c r="B88" t="s">
        <v>1378</v>
      </c>
      <c r="C88" t="s">
        <v>2008</v>
      </c>
      <c r="E88" t="s">
        <v>2007</v>
      </c>
      <c r="F88" t="s">
        <v>969</v>
      </c>
      <c r="G88" t="s">
        <v>2013</v>
      </c>
      <c r="H88" s="201">
        <f>SUMIF(주문_리스트!C:C,거래처!B88,주문_리스트!K:K)+SUMIF(주문_리스트!C:C,거래처!B88,주문_리스트!L:L)-3130000</f>
        <v>0</v>
      </c>
    </row>
    <row r="89" spans="1:9" hidden="1" x14ac:dyDescent="0.3">
      <c r="A89">
        <v>88</v>
      </c>
      <c r="B89" t="s">
        <v>1379</v>
      </c>
      <c r="C89" t="s">
        <v>1953</v>
      </c>
      <c r="E89" t="s">
        <v>1954</v>
      </c>
      <c r="F89" t="s">
        <v>969</v>
      </c>
      <c r="G89" t="s">
        <v>1955</v>
      </c>
      <c r="H89" s="201">
        <f>SUMIF(주문_리스트!C:C,거래처!B89,주문_리스트!K:K)+SUMIF(주문_리스트!C:C,거래처!B89,주문_리스트!L:L)</f>
        <v>0</v>
      </c>
    </row>
    <row r="90" spans="1:9" hidden="1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hidden="1" x14ac:dyDescent="0.3">
      <c r="A91">
        <v>90</v>
      </c>
      <c r="B91" t="s">
        <v>1381</v>
      </c>
      <c r="C91" t="s">
        <v>2462</v>
      </c>
      <c r="E91" t="s">
        <v>2463</v>
      </c>
      <c r="F91" t="s">
        <v>2464</v>
      </c>
      <c r="H91" s="201">
        <f>SUMIF(주문_리스트!C:C,거래처!B91,주문_리스트!K:K)+SUMIF(주문_리스트!C:C,거래처!B91,주문_리스트!L:L)-700000</f>
        <v>0</v>
      </c>
      <c r="I91" s="52" t="s">
        <v>3094</v>
      </c>
    </row>
    <row r="92" spans="1:9" x14ac:dyDescent="0.3">
      <c r="A92">
        <v>91</v>
      </c>
      <c r="B92" t="s">
        <v>1382</v>
      </c>
      <c r="C92" t="s">
        <v>1876</v>
      </c>
      <c r="E92" t="s">
        <v>1877</v>
      </c>
      <c r="F92" t="s">
        <v>1878</v>
      </c>
      <c r="G92" t="s">
        <v>1879</v>
      </c>
      <c r="H92" s="201">
        <f>SUMIF(주문_리스트!C:C,거래처!B92,주문_리스트!K:K)+SUMIF(주문_리스트!C:C,거래처!B92,주문_리스트!L:L)-2089000</f>
        <v>1760000.1</v>
      </c>
    </row>
    <row r="93" spans="1:9" hidden="1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hidden="1" x14ac:dyDescent="0.3">
      <c r="A94">
        <v>93</v>
      </c>
      <c r="B94" t="s">
        <v>2274</v>
      </c>
      <c r="C94" t="s">
        <v>2275</v>
      </c>
      <c r="E94" t="s">
        <v>2276</v>
      </c>
      <c r="F94" t="s">
        <v>2277</v>
      </c>
      <c r="H94" s="201">
        <f>SUMIF(주문_리스트!C:C,거래처!B94,주문_리스트!K:K)+SUMIF(주문_리스트!C:C,거래처!B94,주문_리스트!L:L)-1320000</f>
        <v>0</v>
      </c>
      <c r="I94" s="52" t="s">
        <v>3200</v>
      </c>
    </row>
    <row r="95" spans="1:9" hidden="1" x14ac:dyDescent="0.3">
      <c r="A95">
        <v>94</v>
      </c>
      <c r="B95" t="s">
        <v>1384</v>
      </c>
      <c r="C95" t="s">
        <v>1852</v>
      </c>
      <c r="E95" t="s">
        <v>1853</v>
      </c>
      <c r="F95" t="s">
        <v>969</v>
      </c>
      <c r="G95" t="s">
        <v>1854</v>
      </c>
      <c r="H95" s="201">
        <f>SUMIF(주문_리스트!C:C,거래처!B95,주문_리스트!K:K)+SUMIF(주문_리스트!C:C,거래처!B95,주문_리스트!L:L)-715000</f>
        <v>0</v>
      </c>
      <c r="I95" s="52" t="s">
        <v>3135</v>
      </c>
    </row>
    <row r="96" spans="1:9" hidden="1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3212000</v>
      </c>
    </row>
    <row r="98" spans="1:14" hidden="1" x14ac:dyDescent="0.3">
      <c r="A98">
        <v>97</v>
      </c>
      <c r="B98" t="s">
        <v>1387</v>
      </c>
      <c r="C98" t="s">
        <v>1928</v>
      </c>
      <c r="E98" t="s">
        <v>1929</v>
      </c>
      <c r="F98" t="s">
        <v>969</v>
      </c>
      <c r="G98" t="s">
        <v>1930</v>
      </c>
      <c r="H98" s="201">
        <f>SUMIF(주문_리스트!C:C,거래처!B98,주문_리스트!K:K)+SUMIF(주문_리스트!C:C,거래처!B98,주문_리스트!L:L)-650000</f>
        <v>0</v>
      </c>
    </row>
    <row r="99" spans="1:14" hidden="1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2522</v>
      </c>
      <c r="H99" s="201">
        <f>SUMIF(주문_리스트!C:C,거래처!B99,주문_리스트!K:K)+SUMIF(주문_리스트!C:C,거래처!B99,주문_리스트!L:L)</f>
        <v>0</v>
      </c>
      <c r="I99" s="52" t="s">
        <v>3021</v>
      </c>
    </row>
    <row r="100" spans="1:14" hidden="1" x14ac:dyDescent="0.3">
      <c r="A100">
        <v>99</v>
      </c>
      <c r="B100" t="s">
        <v>2518</v>
      </c>
      <c r="C100" t="s">
        <v>2519</v>
      </c>
      <c r="E100" t="s">
        <v>2520</v>
      </c>
      <c r="F100" t="s">
        <v>2521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hidden="1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2998</v>
      </c>
    </row>
    <row r="102" spans="1:14" hidden="1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hidden="1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hidden="1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hidden="1" x14ac:dyDescent="0.3">
      <c r="A105">
        <v>104</v>
      </c>
      <c r="B105" t="s">
        <v>1390</v>
      </c>
      <c r="C105" t="s">
        <v>2350</v>
      </c>
      <c r="E105" t="s">
        <v>2351</v>
      </c>
      <c r="F105" t="s">
        <v>2352</v>
      </c>
      <c r="H105" s="201">
        <f>SUMIF(주문_리스트!C:C,거래처!B105,주문_리스트!K:K)+SUMIF(주문_리스트!C:C,거래처!B105,주문_리스트!L:L)</f>
        <v>0</v>
      </c>
    </row>
    <row r="106" spans="1:14" hidden="1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hidden="1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2998</v>
      </c>
    </row>
    <row r="108" spans="1:14" hidden="1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3176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</row>
    <row r="110" spans="1:14" hidden="1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2158</v>
      </c>
    </row>
    <row r="111" spans="1:14" hidden="1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1654</v>
      </c>
      <c r="C112" t="s">
        <v>1655</v>
      </c>
      <c r="E112" t="s">
        <v>1656</v>
      </c>
      <c r="F112" t="s">
        <v>1651</v>
      </c>
      <c r="G112" t="s">
        <v>1657</v>
      </c>
      <c r="H112" s="201">
        <f>SUMIF(주문_리스트!C:C,거래처!B112,주문_리스트!K:K)+SUMIF(주문_리스트!C:C,거래처!B112,주문_리스트!L:L)</f>
        <v>900000</v>
      </c>
    </row>
    <row r="113" spans="1:9" hidden="1" x14ac:dyDescent="0.3">
      <c r="A113">
        <v>112</v>
      </c>
      <c r="B113" t="s">
        <v>1823</v>
      </c>
      <c r="C113" t="s">
        <v>1824</v>
      </c>
      <c r="E113" t="s">
        <v>1825</v>
      </c>
      <c r="F113" t="s">
        <v>36</v>
      </c>
      <c r="G113" t="s">
        <v>1827</v>
      </c>
      <c r="H113" s="201">
        <f>SUMIF(주문_리스트!C:C,거래처!B113,주문_리스트!K:K)+SUMIF(주문_리스트!C:C,거래처!B113,주문_리스트!L:L)-5100000</f>
        <v>0</v>
      </c>
      <c r="I113" s="52" t="s">
        <v>3200</v>
      </c>
    </row>
    <row r="114" spans="1:9" hidden="1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hidden="1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hidden="1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hidden="1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hidden="1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hidden="1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hidden="1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hidden="1" x14ac:dyDescent="0.3">
      <c r="A121">
        <v>120</v>
      </c>
      <c r="B121" t="s">
        <v>2575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hidden="1" x14ac:dyDescent="0.3">
      <c r="A122">
        <v>121</v>
      </c>
      <c r="B122" t="s">
        <v>2340</v>
      </c>
      <c r="C122" t="s">
        <v>2341</v>
      </c>
      <c r="E122" t="s">
        <v>2342</v>
      </c>
      <c r="F122" t="s">
        <v>2343</v>
      </c>
      <c r="G122" t="s">
        <v>2344</v>
      </c>
      <c r="H122" s="201">
        <f>SUMIF(주문_리스트!C:C,거래처!B122,주문_리스트!K:K)+SUMIF(주문_리스트!C:C,거래처!B122,주문_리스트!L:L)-1500000</f>
        <v>0</v>
      </c>
    </row>
    <row r="123" spans="1:9" hidden="1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hidden="1" x14ac:dyDescent="0.3">
      <c r="A124">
        <v>123</v>
      </c>
      <c r="B124" t="s">
        <v>1695</v>
      </c>
      <c r="C124" t="s">
        <v>1696</v>
      </c>
      <c r="E124" t="s">
        <v>1697</v>
      </c>
      <c r="F124" t="s">
        <v>1211</v>
      </c>
      <c r="G124" t="s">
        <v>1697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1708</v>
      </c>
      <c r="C125" t="s">
        <v>1709</v>
      </c>
      <c r="E125" t="s">
        <v>1710</v>
      </c>
      <c r="H125" s="201">
        <f>SUMIF(주문_리스트!C:C,거래처!B125,주문_리스트!K:K)+SUMIF(주문_리스트!C:C,거래처!B125,주문_리스트!L:L)-4755000</f>
        <v>2750000</v>
      </c>
    </row>
    <row r="126" spans="1:9" hidden="1" x14ac:dyDescent="0.3">
      <c r="A126">
        <v>125</v>
      </c>
      <c r="B126" t="s">
        <v>1880</v>
      </c>
      <c r="C126" t="s">
        <v>1881</v>
      </c>
      <c r="E126" t="s">
        <v>1882</v>
      </c>
      <c r="F126" t="s">
        <v>969</v>
      </c>
      <c r="G126" t="s">
        <v>1883</v>
      </c>
      <c r="H126" s="201">
        <f>SUMIF(주문_리스트!C:C,거래처!B126,주문_리스트!K:K)+SUMIF(주문_리스트!C:C,거래처!B126,주문_리스트!L:L)-150000</f>
        <v>0</v>
      </c>
    </row>
    <row r="127" spans="1:9" hidden="1" x14ac:dyDescent="0.3">
      <c r="A127">
        <v>126</v>
      </c>
      <c r="B127" t="s">
        <v>1935</v>
      </c>
      <c r="C127" t="s">
        <v>1936</v>
      </c>
      <c r="E127" t="s">
        <v>1937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hidden="1" x14ac:dyDescent="0.3">
      <c r="A128">
        <v>127</v>
      </c>
      <c r="B128" t="s">
        <v>2063</v>
      </c>
      <c r="C128" t="s">
        <v>2064</v>
      </c>
      <c r="E128" t="s">
        <v>2065</v>
      </c>
      <c r="F128" t="s">
        <v>969</v>
      </c>
      <c r="G128" t="s">
        <v>2066</v>
      </c>
      <c r="H128" s="201">
        <f>SUMIF(주문_리스트!C:C,거래처!B128,주문_리스트!K:K)+SUMIF(주문_리스트!C:C,거래처!B128,주문_리스트!L:L)</f>
        <v>0</v>
      </c>
    </row>
    <row r="129" spans="1:8" hidden="1" x14ac:dyDescent="0.3">
      <c r="A129">
        <v>128</v>
      </c>
      <c r="B129" t="s">
        <v>2118</v>
      </c>
      <c r="C129" t="s">
        <v>2119</v>
      </c>
      <c r="E129" t="s">
        <v>2120</v>
      </c>
      <c r="F129" t="s">
        <v>969</v>
      </c>
      <c r="G129" t="s">
        <v>1955</v>
      </c>
      <c r="H129" s="201">
        <f>SUMIF(주문_리스트!C:C,거래처!B129,주문_리스트!K:K)+SUMIF(주문_리스트!C:C,거래처!B129,주문_리스트!L:L)</f>
        <v>0</v>
      </c>
    </row>
    <row r="130" spans="1:8" hidden="1" x14ac:dyDescent="0.3">
      <c r="A130">
        <v>129</v>
      </c>
      <c r="B130" t="s">
        <v>2080</v>
      </c>
      <c r="C130" t="s">
        <v>2081</v>
      </c>
      <c r="E130" t="s">
        <v>2082</v>
      </c>
      <c r="H130" s="201">
        <f>SUMIF(주문_리스트!C:C,거래처!B130,주문_리스트!K:K)+SUMIF(주문_리스트!C:C,거래처!B130,주문_리스트!L:L)</f>
        <v>0</v>
      </c>
    </row>
    <row r="131" spans="1:8" hidden="1" x14ac:dyDescent="0.3">
      <c r="A131">
        <v>130</v>
      </c>
      <c r="B131" t="s">
        <v>2085</v>
      </c>
      <c r="C131" t="s">
        <v>2086</v>
      </c>
      <c r="E131" t="s">
        <v>2087</v>
      </c>
      <c r="H131" s="201">
        <f>SUMIF(주문_리스트!C:C,거래처!B131,주문_리스트!K:K)+SUMIF(주문_리스트!C:C,거래처!B131,주문_리스트!L:L)</f>
        <v>0</v>
      </c>
    </row>
    <row r="132" spans="1:8" hidden="1" x14ac:dyDescent="0.3">
      <c r="A132">
        <v>131</v>
      </c>
      <c r="B132" t="s">
        <v>2912</v>
      </c>
      <c r="C132" t="s">
        <v>2913</v>
      </c>
      <c r="E132" t="s">
        <v>2914</v>
      </c>
      <c r="F132" t="s">
        <v>2915</v>
      </c>
      <c r="G132" t="s">
        <v>2916</v>
      </c>
      <c r="H132" s="201">
        <f>SUMIF(주문_리스트!C:C,거래처!B132,주문_리스트!K:K)+SUMIF(주문_리스트!C:C,거래처!B132,주문_리스트!L:L)</f>
        <v>0</v>
      </c>
    </row>
    <row r="133" spans="1:8" hidden="1" x14ac:dyDescent="0.3">
      <c r="A133">
        <v>132</v>
      </c>
      <c r="B133" t="s">
        <v>2146</v>
      </c>
      <c r="C133" t="s">
        <v>2147</v>
      </c>
      <c r="E133" t="s">
        <v>2148</v>
      </c>
      <c r="F133" t="s">
        <v>983</v>
      </c>
      <c r="G133" t="s">
        <v>2149</v>
      </c>
      <c r="H133" s="201">
        <f>SUMIF(주문_리스트!C:C,거래처!B133,주문_리스트!K:K)+SUMIF(주문_리스트!C:C,거래처!B133,주문_리스트!L:L)</f>
        <v>0</v>
      </c>
    </row>
    <row r="134" spans="1:8" hidden="1" x14ac:dyDescent="0.3">
      <c r="A134">
        <v>133</v>
      </c>
      <c r="B134" t="s">
        <v>2364</v>
      </c>
      <c r="C134" t="s">
        <v>2172</v>
      </c>
      <c r="E134" t="s">
        <v>2173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hidden="1" x14ac:dyDescent="0.3">
      <c r="A135">
        <v>134</v>
      </c>
      <c r="B135" t="s">
        <v>2185</v>
      </c>
      <c r="C135" t="s">
        <v>2186</v>
      </c>
      <c r="E135" t="s">
        <v>2187</v>
      </c>
      <c r="H135" s="201">
        <f>SUMIF(주문_리스트!C:C,거래처!B135,주문_리스트!K:K)+SUMIF(주문_리스트!C:C,거래처!B135,주문_리스트!L:L)</f>
        <v>0</v>
      </c>
    </row>
    <row r="136" spans="1:8" hidden="1" x14ac:dyDescent="0.3">
      <c r="A136">
        <v>135</v>
      </c>
      <c r="B136" t="s">
        <v>2201</v>
      </c>
      <c r="C136" t="s">
        <v>2203</v>
      </c>
      <c r="E136" t="s">
        <v>2204</v>
      </c>
      <c r="H136" s="201">
        <f>SUMIF(주문_리스트!C:C,거래처!B136,주문_리스트!K:K)+SUMIF(주문_리스트!C:C,거래처!B136,주문_리스트!L:L)</f>
        <v>0</v>
      </c>
    </row>
    <row r="137" spans="1:8" hidden="1" x14ac:dyDescent="0.3">
      <c r="A137">
        <v>136</v>
      </c>
      <c r="B137" t="s">
        <v>2334</v>
      </c>
      <c r="C137" t="s">
        <v>2335</v>
      </c>
      <c r="E137" t="s">
        <v>2336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hidden="1" x14ac:dyDescent="0.3">
      <c r="A138">
        <v>137</v>
      </c>
      <c r="B138" t="s">
        <v>2878</v>
      </c>
      <c r="C138" t="s">
        <v>2879</v>
      </c>
      <c r="E138" t="s">
        <v>2880</v>
      </c>
      <c r="F138" t="s">
        <v>2881</v>
      </c>
      <c r="G138" t="s">
        <v>2882</v>
      </c>
      <c r="H138" s="201">
        <f>SUMIF(주문_리스트!C:C,거래처!B138,주문_리스트!K:K)+SUMIF(주문_리스트!C:C,거래처!B138,주문_리스트!L:L)</f>
        <v>0</v>
      </c>
    </row>
    <row r="139" spans="1:8" hidden="1" x14ac:dyDescent="0.3">
      <c r="A139">
        <v>138</v>
      </c>
      <c r="B139" t="s">
        <v>2443</v>
      </c>
      <c r="C139" t="s">
        <v>2444</v>
      </c>
      <c r="E139" t="s">
        <v>2445</v>
      </c>
      <c r="H139" s="201">
        <f>SUMIF(주문_리스트!C:C,거래처!B139,주문_리스트!K:K)+SUMIF(주문_리스트!C:C,거래처!B139,주문_리스트!L:L)</f>
        <v>0</v>
      </c>
    </row>
    <row r="140" spans="1:8" hidden="1" x14ac:dyDescent="0.3">
      <c r="A140">
        <v>139</v>
      </c>
      <c r="B140" t="s">
        <v>2315</v>
      </c>
      <c r="C140" t="s">
        <v>2422</v>
      </c>
      <c r="E140" t="s">
        <v>2423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hidden="1" x14ac:dyDescent="0.3">
      <c r="A141">
        <v>140</v>
      </c>
      <c r="B141" t="s">
        <v>2433</v>
      </c>
      <c r="C141" t="s">
        <v>2434</v>
      </c>
      <c r="E141" t="s">
        <v>2435</v>
      </c>
      <c r="H141" s="201">
        <f>SUMIF(주문_리스트!C:C,거래처!B141,주문_리스트!K:K)+SUMIF(주문_리스트!C:C,거래처!B141,주문_리스트!L:L)</f>
        <v>0</v>
      </c>
    </row>
    <row r="142" spans="1:8" hidden="1" x14ac:dyDescent="0.3">
      <c r="A142">
        <v>141</v>
      </c>
      <c r="B142" t="s">
        <v>2439</v>
      </c>
      <c r="C142" t="s">
        <v>2440</v>
      </c>
      <c r="E142" t="s">
        <v>2441</v>
      </c>
      <c r="H142" s="201">
        <f>SUMIF(주문_리스트!C:C,거래처!B142,주문_리스트!K:K)+SUMIF(주문_리스트!C:C,거래처!B142,주문_리스트!L:L)</f>
        <v>0</v>
      </c>
    </row>
    <row r="143" spans="1:8" hidden="1" x14ac:dyDescent="0.3">
      <c r="A143">
        <v>142</v>
      </c>
      <c r="B143" t="s">
        <v>2450</v>
      </c>
      <c r="C143" t="s">
        <v>2451</v>
      </c>
      <c r="E143" t="s">
        <v>2452</v>
      </c>
      <c r="H143" s="201">
        <f>SUMIF(주문_리스트!C:C,거래처!B143,주문_리스트!K:K)+SUMIF(주문_리스트!C:C,거래처!B143,주문_리스트!L:L)</f>
        <v>0</v>
      </c>
    </row>
    <row r="144" spans="1:8" hidden="1" x14ac:dyDescent="0.3">
      <c r="A144">
        <v>143</v>
      </c>
      <c r="B144" t="s">
        <v>2551</v>
      </c>
      <c r="C144" t="s">
        <v>2552</v>
      </c>
      <c r="E144" t="s">
        <v>2554</v>
      </c>
      <c r="F144" t="s">
        <v>2553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2555</v>
      </c>
      <c r="C145" t="s">
        <v>3098</v>
      </c>
      <c r="E145" t="s">
        <v>3099</v>
      </c>
      <c r="F145" t="s">
        <v>969</v>
      </c>
      <c r="G145" t="s">
        <v>3100</v>
      </c>
      <c r="H145" s="201">
        <f>SUMIF(주문_리스트!C:C,거래처!B145,주문_리스트!K:K)+SUMIF(주문_리스트!C:C,거래처!B145,주문_리스트!L:L)</f>
        <v>1500000</v>
      </c>
    </row>
    <row r="146" spans="1:8" hidden="1" x14ac:dyDescent="0.3">
      <c r="A146">
        <v>145</v>
      </c>
      <c r="B146" t="s">
        <v>2571</v>
      </c>
      <c r="C146" t="s">
        <v>2572</v>
      </c>
      <c r="E146" t="s">
        <v>2573</v>
      </c>
      <c r="F146" t="s">
        <v>969</v>
      </c>
      <c r="G146" t="s">
        <v>2574</v>
      </c>
      <c r="H146" s="201">
        <f>SUMIF(주문_리스트!C:C,거래처!B146,주문_리스트!K:K)+SUMIF(주문_리스트!C:C,거래처!B146,주문_리스트!L:L)</f>
        <v>0</v>
      </c>
    </row>
    <row r="147" spans="1:8" hidden="1" x14ac:dyDescent="0.3">
      <c r="A147">
        <v>146</v>
      </c>
      <c r="B147" t="s">
        <v>2786</v>
      </c>
      <c r="C147" t="s">
        <v>2784</v>
      </c>
      <c r="E147" t="s">
        <v>2785</v>
      </c>
      <c r="H147" s="201">
        <f>SUMIF(주문_리스트!C:C,거래처!B147,주문_리스트!K:K)+SUMIF(주문_리스트!C:C,거래처!B147,주문_리스트!L:L)</f>
        <v>0</v>
      </c>
    </row>
    <row r="148" spans="1:8" hidden="1" x14ac:dyDescent="0.3">
      <c r="A148">
        <v>147</v>
      </c>
      <c r="B148" t="s">
        <v>2648</v>
      </c>
      <c r="C148" t="s">
        <v>2649</v>
      </c>
      <c r="E148" t="s">
        <v>2650</v>
      </c>
      <c r="F148" t="s">
        <v>983</v>
      </c>
      <c r="G148" t="s">
        <v>2651</v>
      </c>
      <c r="H148" s="201">
        <f>SUMIF(주문_리스트!C:C,거래처!B148,주문_리스트!K:K)+SUMIF(주문_리스트!C:C,거래처!B148,주문_리스트!L:L)</f>
        <v>0</v>
      </c>
    </row>
    <row r="149" spans="1:8" hidden="1" x14ac:dyDescent="0.3">
      <c r="A149">
        <v>148</v>
      </c>
      <c r="B149" t="s">
        <v>2728</v>
      </c>
      <c r="C149" t="s">
        <v>2729</v>
      </c>
      <c r="D149" t="s">
        <v>2730</v>
      </c>
      <c r="E149" t="s">
        <v>2731</v>
      </c>
      <c r="F149" t="s">
        <v>2732</v>
      </c>
      <c r="G149" t="s">
        <v>2733</v>
      </c>
      <c r="H149" s="201">
        <f>SUMIF(주문_리스트!C:C,거래처!B149,주문_리스트!K:K)+SUMIF(주문_리스트!C:C,거래처!B149,주문_리스트!L:L)</f>
        <v>0</v>
      </c>
    </row>
    <row r="150" spans="1:8" hidden="1" x14ac:dyDescent="0.3">
      <c r="A150">
        <v>149</v>
      </c>
      <c r="B150" t="s">
        <v>2814</v>
      </c>
      <c r="C150" t="s">
        <v>2815</v>
      </c>
      <c r="E150" t="s">
        <v>2816</v>
      </c>
      <c r="F150" t="s">
        <v>969</v>
      </c>
      <c r="G150" t="s">
        <v>2817</v>
      </c>
      <c r="H150" s="201">
        <f>SUMIF(주문_리스트!C:C,거래처!B150,주문_리스트!K:K)+SUMIF(주문_리스트!C:C,거래처!B150,주문_리스트!L:L)</f>
        <v>0</v>
      </c>
    </row>
    <row r="151" spans="1:8" hidden="1" x14ac:dyDescent="0.3">
      <c r="A151">
        <v>150</v>
      </c>
      <c r="B151" t="s">
        <v>2851</v>
      </c>
      <c r="C151" t="s">
        <v>2852</v>
      </c>
      <c r="E151" t="s">
        <v>2853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hidden="1" x14ac:dyDescent="0.3">
      <c r="A152">
        <v>151</v>
      </c>
      <c r="B152" t="s">
        <v>2862</v>
      </c>
      <c r="C152" t="s">
        <v>2863</v>
      </c>
      <c r="E152" t="s">
        <v>2864</v>
      </c>
      <c r="F152" t="s">
        <v>969</v>
      </c>
      <c r="G152" t="s">
        <v>2865</v>
      </c>
      <c r="H152" s="201">
        <f>SUMIF(주문_리스트!C:C,거래처!B152,주문_리스트!K:K)+SUMIF(주문_리스트!C:C,거래처!B152,주문_리스트!L:L)</f>
        <v>0</v>
      </c>
    </row>
    <row r="153" spans="1:8" hidden="1" x14ac:dyDescent="0.3">
      <c r="A153">
        <v>152</v>
      </c>
      <c r="B153" t="s">
        <v>2883</v>
      </c>
      <c r="C153" t="s">
        <v>2884</v>
      </c>
      <c r="E153" t="s">
        <v>2885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hidden="1" x14ac:dyDescent="0.3">
      <c r="A154">
        <v>153</v>
      </c>
      <c r="B154" t="s">
        <v>2893</v>
      </c>
      <c r="C154" t="s">
        <v>2898</v>
      </c>
      <c r="E154" t="s">
        <v>2899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hidden="1" x14ac:dyDescent="0.3">
      <c r="A155">
        <v>154</v>
      </c>
      <c r="B155" t="s">
        <v>2917</v>
      </c>
      <c r="C155" t="s">
        <v>2918</v>
      </c>
      <c r="E155" t="s">
        <v>2919</v>
      </c>
      <c r="F155" t="s">
        <v>1211</v>
      </c>
      <c r="G155" t="s">
        <v>2920</v>
      </c>
      <c r="H155" s="201">
        <f>SUMIF(주문_리스트!C:C,거래처!B155,주문_리스트!K:K)+SUMIF(주문_리스트!C:C,거래처!B155,주문_리스트!L:L)</f>
        <v>0</v>
      </c>
    </row>
    <row r="156" spans="1:8" hidden="1" x14ac:dyDescent="0.3">
      <c r="A156">
        <v>155</v>
      </c>
      <c r="B156" t="s">
        <v>2937</v>
      </c>
      <c r="C156" t="s">
        <v>2938</v>
      </c>
      <c r="E156" t="s">
        <v>2939</v>
      </c>
      <c r="F156" t="s">
        <v>983</v>
      </c>
      <c r="G156" t="s">
        <v>2940</v>
      </c>
      <c r="H156" s="201">
        <f>SUMIF(주문_리스트!C:C,거래처!B156,주문_리스트!K:K)+SUMIF(주문_리스트!C:C,거래처!B156,주문_리스트!L:L)</f>
        <v>0</v>
      </c>
    </row>
    <row r="157" spans="1:8" hidden="1" x14ac:dyDescent="0.3">
      <c r="A157">
        <v>156</v>
      </c>
      <c r="B157" t="s">
        <v>3002</v>
      </c>
      <c r="C157" t="s">
        <v>3003</v>
      </c>
      <c r="E157" t="s">
        <v>3004</v>
      </c>
      <c r="H157" s="201">
        <f>SUMIF(주문_리스트!C:C,거래처!B157,주문_리스트!K:K)+SUMIF(주문_리스트!C:C,거래처!B157,주문_리스트!L:L)</f>
        <v>0</v>
      </c>
    </row>
    <row r="158" spans="1:8" hidden="1" x14ac:dyDescent="0.3">
      <c r="A158">
        <v>157</v>
      </c>
      <c r="B158" t="s">
        <v>3006</v>
      </c>
      <c r="C158" t="s">
        <v>3007</v>
      </c>
      <c r="E158" t="s">
        <v>3008</v>
      </c>
      <c r="F158" t="s">
        <v>1211</v>
      </c>
      <c r="G158" t="s">
        <v>3017</v>
      </c>
      <c r="H158" s="201">
        <f>SUMIF(주문_리스트!C:C,거래처!B158,주문_리스트!K:K)+SUMIF(주문_리스트!C:C,거래처!B158,주문_리스트!L:L)</f>
        <v>0</v>
      </c>
    </row>
    <row r="159" spans="1:8" hidden="1" x14ac:dyDescent="0.3">
      <c r="A159">
        <v>158</v>
      </c>
      <c r="B159" t="s">
        <v>3010</v>
      </c>
      <c r="C159" t="s">
        <v>3011</v>
      </c>
      <c r="E159" t="s">
        <v>3012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hidden="1" x14ac:dyDescent="0.3">
      <c r="A160">
        <v>159</v>
      </c>
      <c r="B160" t="s">
        <v>3028</v>
      </c>
      <c r="C160" t="s">
        <v>3029</v>
      </c>
      <c r="E160" t="s">
        <v>3030</v>
      </c>
      <c r="F160" t="s">
        <v>969</v>
      </c>
      <c r="G160" t="s">
        <v>3031</v>
      </c>
      <c r="H160" s="201">
        <f>SUMIF(주문_리스트!C:C,거래처!B160,주문_리스트!K:K)+SUMIF(주문_리스트!C:C,거래처!B160,주문_리스트!L:L)</f>
        <v>0</v>
      </c>
    </row>
    <row r="161" spans="1:9" hidden="1" x14ac:dyDescent="0.3">
      <c r="A161">
        <v>160</v>
      </c>
      <c r="B161" t="s">
        <v>3034</v>
      </c>
      <c r="C161" t="s">
        <v>3035</v>
      </c>
      <c r="E161" t="s">
        <v>3036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hidden="1" x14ac:dyDescent="0.3">
      <c r="A162">
        <v>161</v>
      </c>
      <c r="B162" t="s">
        <v>3059</v>
      </c>
      <c r="C162" t="s">
        <v>3060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hidden="1" x14ac:dyDescent="0.3">
      <c r="A163">
        <v>162</v>
      </c>
      <c r="B163" t="s">
        <v>3076</v>
      </c>
      <c r="C163" t="s">
        <v>3077</v>
      </c>
      <c r="E163" t="s">
        <v>3078</v>
      </c>
      <c r="F163" t="s">
        <v>983</v>
      </c>
      <c r="G163" t="s">
        <v>3079</v>
      </c>
      <c r="H163" s="201">
        <f>SUMIF(주문_리스트!C:C,거래처!B163,주문_리스트!K:K)+SUMIF(주문_리스트!C:C,거래처!B163,주문_리스트!L:L)</f>
        <v>0</v>
      </c>
    </row>
    <row r="164" spans="1:9" hidden="1" x14ac:dyDescent="0.3">
      <c r="A164">
        <v>163</v>
      </c>
      <c r="B164" t="s">
        <v>3081</v>
      </c>
      <c r="C164" t="s">
        <v>3082</v>
      </c>
      <c r="E164" t="s">
        <v>3083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3094</v>
      </c>
    </row>
    <row r="165" spans="1:9" hidden="1" x14ac:dyDescent="0.3">
      <c r="A165">
        <v>164</v>
      </c>
      <c r="B165" t="s">
        <v>3088</v>
      </c>
      <c r="C165" t="s">
        <v>3077</v>
      </c>
      <c r="E165" t="s">
        <v>3078</v>
      </c>
      <c r="F165" t="s">
        <v>983</v>
      </c>
      <c r="G165" t="s">
        <v>3079</v>
      </c>
      <c r="H165" s="201">
        <f>SUMIF(주문_리스트!C:C,거래처!B165,주문_리스트!K:K)+SUMIF(주문_리스트!C:C,거래처!B165,주문_리스트!L:L)</f>
        <v>0</v>
      </c>
    </row>
    <row r="166" spans="1:9" hidden="1" x14ac:dyDescent="0.3">
      <c r="A166">
        <v>165</v>
      </c>
      <c r="B166" t="s">
        <v>3114</v>
      </c>
      <c r="C166" t="s">
        <v>3115</v>
      </c>
      <c r="E166" t="s">
        <v>3116</v>
      </c>
      <c r="F166" t="s">
        <v>969</v>
      </c>
      <c r="G166" t="s">
        <v>3117</v>
      </c>
      <c r="H166" s="201">
        <f>SUMIF(주문_리스트!C:C,거래처!B166,주문_리스트!K:K)+SUMIF(주문_리스트!C:C,거래처!B166,주문_리스트!L:L)</f>
        <v>0</v>
      </c>
    </row>
    <row r="167" spans="1:9" hidden="1" x14ac:dyDescent="0.3">
      <c r="A167">
        <v>166</v>
      </c>
      <c r="B167" t="s">
        <v>3186</v>
      </c>
      <c r="C167" t="s">
        <v>3187</v>
      </c>
      <c r="E167" t="s">
        <v>3188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hidden="1" x14ac:dyDescent="0.3">
      <c r="A168">
        <v>167</v>
      </c>
      <c r="B168" t="s">
        <v>3194</v>
      </c>
      <c r="C168" t="s">
        <v>3195</v>
      </c>
      <c r="D168" t="s">
        <v>3196</v>
      </c>
      <c r="E168" t="s">
        <v>3197</v>
      </c>
      <c r="F168" t="s">
        <v>983</v>
      </c>
      <c r="G168" t="s">
        <v>3198</v>
      </c>
      <c r="H168" s="201">
        <f>SUMIF(주문_리스트!C:C,거래처!B168,주문_리스트!K:K)+SUMIF(주문_리스트!C:C,거래처!B168,주문_리스트!L:L)</f>
        <v>0</v>
      </c>
    </row>
    <row r="169" spans="1:9" hidden="1" x14ac:dyDescent="0.3">
      <c r="H169" s="201">
        <f>SUMIF(주문_리스트!C:C,거래처!B169,주문_리스트!K:K)+SUMIF(주문_리스트!C:C,거래처!B169,주문_리스트!L:L)</f>
        <v>0</v>
      </c>
    </row>
    <row r="170" spans="1:9" hidden="1" x14ac:dyDescent="0.3">
      <c r="H170" s="201">
        <f>SUMIF(주문_리스트!C:C,거래처!B170,주문_리스트!K:K)+SUMIF(주문_리스트!C:C,거래처!B170,주문_리스트!L:L)</f>
        <v>0</v>
      </c>
    </row>
    <row r="171" spans="1:9" hidden="1" x14ac:dyDescent="0.3">
      <c r="H171" s="201">
        <f>SUMIF(주문_리스트!C:C,거래처!B171,주문_리스트!K:K)+SUMIF(주문_리스트!C:C,거래처!B171,주문_리스트!L:L)</f>
        <v>0</v>
      </c>
    </row>
    <row r="172" spans="1:9" hidden="1" x14ac:dyDescent="0.3">
      <c r="H172" s="201">
        <f>SUMIF(주문_리스트!C:C,거래처!B172,주문_리스트!K:K)+SUMIF(주문_리스트!C:C,거래처!B172,주문_리스트!L:L)</f>
        <v>0</v>
      </c>
    </row>
    <row r="173" spans="1:9" hidden="1" x14ac:dyDescent="0.3">
      <c r="H173" s="201">
        <f>SUMIF(주문_리스트!C:C,거래처!B173,주문_리스트!K:K)+SUMIF(주문_리스트!C:C,거래처!B173,주문_리스트!L:L)</f>
        <v>0</v>
      </c>
    </row>
    <row r="174" spans="1:9" hidden="1" x14ac:dyDescent="0.3">
      <c r="H174" s="201">
        <f>SUMIF(주문_리스트!C:C,거래처!B174,주문_리스트!K:K)+SUMIF(주문_리스트!C:C,거래처!B174,주문_리스트!L:L)</f>
        <v>0</v>
      </c>
    </row>
    <row r="175" spans="1:9" hidden="1" x14ac:dyDescent="0.3">
      <c r="H175" s="201">
        <f>SUMIF(주문_리스트!C:C,거래처!B175,주문_리스트!K:K)+SUMIF(주문_리스트!C:C,거래처!B175,주문_리스트!L:L)</f>
        <v>0</v>
      </c>
    </row>
    <row r="176" spans="1:9" hidden="1" x14ac:dyDescent="0.3">
      <c r="H176" s="201">
        <f>SUMIF(주문_리스트!C:C,거래처!B176,주문_리스트!K:K)+SUMIF(주문_리스트!C:C,거래처!B176,주문_리스트!L:L)</f>
        <v>0</v>
      </c>
    </row>
    <row r="177" spans="8:8" hidden="1" x14ac:dyDescent="0.3">
      <c r="H177" s="201">
        <f>SUMIF(주문_리스트!C:C,거래처!B177,주문_리스트!K:K)+SUMIF(주문_리스트!C:C,거래처!B177,주문_리스트!L:L)</f>
        <v>0</v>
      </c>
    </row>
    <row r="178" spans="8:8" hidden="1" x14ac:dyDescent="0.3">
      <c r="H178" s="201">
        <f>SUMIF(주문_리스트!C:C,거래처!B178,주문_리스트!K:K)+SUMIF(주문_리스트!C:C,거래처!B178,주문_리스트!L:L)</f>
        <v>0</v>
      </c>
    </row>
    <row r="179" spans="8:8" hidden="1" x14ac:dyDescent="0.3">
      <c r="H179" s="201">
        <f>SUMIF(주문_리스트!C:C,거래처!B179,주문_리스트!K:K)+SUMIF(주문_리스트!C:C,거래처!B179,주문_리스트!L:L)</f>
        <v>0</v>
      </c>
    </row>
    <row r="180" spans="8:8" hidden="1" x14ac:dyDescent="0.3">
      <c r="H180" s="201">
        <f>SUMIF(주문_리스트!C:C,거래처!B180,주문_리스트!K:K)+SUMIF(주문_리스트!C:C,거래처!B180,주문_리스트!L:L)</f>
        <v>0</v>
      </c>
    </row>
    <row r="181" spans="8:8" hidden="1" x14ac:dyDescent="0.3">
      <c r="H181" s="201">
        <f>SUMIF(주문_리스트!C:C,거래처!B181,주문_리스트!K:K)+SUMIF(주문_리스트!C:C,거래처!B181,주문_리스트!L:L)</f>
        <v>0</v>
      </c>
    </row>
    <row r="182" spans="8:8" hidden="1" x14ac:dyDescent="0.3">
      <c r="H182" s="201">
        <f>SUMIF(주문_리스트!C:C,거래처!B182,주문_리스트!K:K)+SUMIF(주문_리스트!C:C,거래처!B182,주문_리스트!L:L)</f>
        <v>0</v>
      </c>
    </row>
    <row r="183" spans="8:8" hidden="1" x14ac:dyDescent="0.3">
      <c r="H183" s="201">
        <f>SUMIF(주문_리스트!C:C,거래처!B183,주문_리스트!K:K)+SUMIF(주문_리스트!C:C,거래처!B183,주문_리스트!L:L)</f>
        <v>0</v>
      </c>
    </row>
    <row r="184" spans="8:8" hidden="1" x14ac:dyDescent="0.3">
      <c r="H184" s="201">
        <f>SUMIF(주문_리스트!C:C,거래처!B184,주문_리스트!K:K)+SUMIF(주문_리스트!C:C,거래처!B184,주문_리스트!L:L)</f>
        <v>0</v>
      </c>
    </row>
    <row r="185" spans="8:8" hidden="1" x14ac:dyDescent="0.3">
      <c r="H185" s="201">
        <f>SUMIF(주문_리스트!C:C,거래처!B185,주문_리스트!K:K)+SUMIF(주문_리스트!C:C,거래처!B185,주문_리스트!L:L)</f>
        <v>0</v>
      </c>
    </row>
    <row r="186" spans="8:8" hidden="1" x14ac:dyDescent="0.3">
      <c r="H186" s="201">
        <f>SUMIF(주문_리스트!C:C,거래처!B186,주문_리스트!K:K)+SUMIF(주문_리스트!C:C,거래처!B186,주문_리스트!L:L)</f>
        <v>0</v>
      </c>
    </row>
    <row r="187" spans="8:8" hidden="1" x14ac:dyDescent="0.3">
      <c r="H187" s="201">
        <f>SUMIF(주문_리스트!C:C,거래처!B187,주문_리스트!K:K)+SUMIF(주문_리스트!C:C,거래처!B187,주문_리스트!L:L)</f>
        <v>0</v>
      </c>
    </row>
    <row r="188" spans="8:8" hidden="1" x14ac:dyDescent="0.3">
      <c r="H188" s="201">
        <f>SUMIF(주문_리스트!C:C,거래처!B188,주문_리스트!K:K)+SUMIF(주문_리스트!C:C,거래처!B188,주문_리스트!L:L)</f>
        <v>0</v>
      </c>
    </row>
    <row r="189" spans="8:8" hidden="1" x14ac:dyDescent="0.3">
      <c r="H189" s="201">
        <f>SUMIF(주문_리스트!C:C,거래처!B189,주문_리스트!K:K)+SUMIF(주문_리스트!C:C,거래처!B189,주문_리스트!L:L)</f>
        <v>0</v>
      </c>
    </row>
    <row r="190" spans="8:8" hidden="1" x14ac:dyDescent="0.3">
      <c r="H190" s="201">
        <f>SUMIF(주문_리스트!C:C,거래처!B190,주문_리스트!K:K)+SUMIF(주문_리스트!C:C,거래처!B190,주문_리스트!L:L)</f>
        <v>0</v>
      </c>
    </row>
    <row r="191" spans="8:8" hidden="1" x14ac:dyDescent="0.3">
      <c r="H191" s="201">
        <f>SUMIF(주문_리스트!C:C,거래처!B191,주문_리스트!K:K)+SUMIF(주문_리스트!C:C,거래처!B191,주문_리스트!L:L)</f>
        <v>0</v>
      </c>
    </row>
    <row r="192" spans="8:8" hidden="1" x14ac:dyDescent="0.3">
      <c r="H192" s="201">
        <f>SUMIF(주문_리스트!C:C,거래처!B192,주문_리스트!K:K)+SUMIF(주문_리스트!C:C,거래처!B192,주문_리스트!L:L)</f>
        <v>0</v>
      </c>
    </row>
    <row r="193" spans="8:8" hidden="1" x14ac:dyDescent="0.3">
      <c r="H193" s="201">
        <f>SUMIF(주문_리스트!C:C,거래처!B193,주문_리스트!K:K)+SUMIF(주문_리스트!C:C,거래처!B193,주문_리스트!L:L)</f>
        <v>0</v>
      </c>
    </row>
    <row r="194" spans="8:8" hidden="1" x14ac:dyDescent="0.3">
      <c r="H194" s="201">
        <f>SUMIF(주문_리스트!C:C,거래처!B194,주문_리스트!K:K)+SUMIF(주문_리스트!C:C,거래처!B194,주문_리스트!L:L)</f>
        <v>0</v>
      </c>
    </row>
    <row r="195" spans="8:8" hidden="1" x14ac:dyDescent="0.3">
      <c r="H195" s="201">
        <f>SUMIF(주문_리스트!C:C,거래처!B195,주문_리스트!K:K)+SUMIF(주문_리스트!C:C,거래처!B195,주문_리스트!L:L)</f>
        <v>0</v>
      </c>
    </row>
    <row r="196" spans="8:8" hidden="1" x14ac:dyDescent="0.3">
      <c r="H196" s="201">
        <f>SUMIF(주문_리스트!C:C,거래처!B196,주문_리스트!K:K)+SUMIF(주문_리스트!C:C,거래처!B196,주문_리스트!L:L)</f>
        <v>0</v>
      </c>
    </row>
    <row r="197" spans="8:8" hidden="1" x14ac:dyDescent="0.3">
      <c r="H197" s="201">
        <f>SUMIF(주문_리스트!C:C,거래처!B197,주문_리스트!K:K)+SUMIF(주문_리스트!C:C,거래처!B197,주문_리스트!L:L)</f>
        <v>0</v>
      </c>
    </row>
    <row r="198" spans="8:8" hidden="1" x14ac:dyDescent="0.3">
      <c r="H198" s="201">
        <f>SUMIF(주문_리스트!C:C,거래처!B198,주문_리스트!K:K)+SUMIF(주문_리스트!C:C,거래처!B198,주문_리스트!L:L)</f>
        <v>0</v>
      </c>
    </row>
    <row r="199" spans="8:8" hidden="1" x14ac:dyDescent="0.3">
      <c r="H199" s="201">
        <f>SUMIF(주문_리스트!C:C,거래처!B199,주문_리스트!K:K)+SUMIF(주문_리스트!C:C,거래처!B199,주문_리스트!L:L)</f>
        <v>0</v>
      </c>
    </row>
    <row r="200" spans="8:8" hidden="1" x14ac:dyDescent="0.3">
      <c r="H200" s="201">
        <f>SUMIF(주문_리스트!C:C,거래처!B200,주문_리스트!K:K)+SUMIF(주문_리스트!C:C,거래처!B200,주문_리스트!L:L)</f>
        <v>0</v>
      </c>
    </row>
    <row r="201" spans="8:8" hidden="1" x14ac:dyDescent="0.3">
      <c r="H201" s="201">
        <f>SUMIF(주문_리스트!C:C,거래처!B201,주문_리스트!K:K)+SUMIF(주문_리스트!C:C,거래처!B201,주문_리스트!L:L)</f>
        <v>0</v>
      </c>
    </row>
    <row r="202" spans="8:8" hidden="1" x14ac:dyDescent="0.3">
      <c r="H202" s="201">
        <f>SUMIF(주문_리스트!C:C,거래처!B202,주문_리스트!K:K)+SUMIF(주문_리스트!C:C,거래처!B202,주문_리스트!L:L)</f>
        <v>0</v>
      </c>
    </row>
    <row r="203" spans="8:8" hidden="1" x14ac:dyDescent="0.3">
      <c r="H203" s="201">
        <f>SUMIF(주문_리스트!C:C,거래처!B203,주문_리스트!K:K)+SUMIF(주문_리스트!C:C,거래처!B203,주문_리스트!L:L)</f>
        <v>0</v>
      </c>
    </row>
    <row r="204" spans="8:8" hidden="1" x14ac:dyDescent="0.3">
      <c r="H204" s="201">
        <f>SUMIF(주문_리스트!C:C,거래처!B204,주문_리스트!K:K)+SUMIF(주문_리스트!C:C,거래처!B204,주문_리스트!L:L)</f>
        <v>0</v>
      </c>
    </row>
    <row r="205" spans="8:8" hidden="1" x14ac:dyDescent="0.3">
      <c r="H205" s="201">
        <f>SUMIF(주문_리스트!C:C,거래처!B205,주문_리스트!K:K)+SUMIF(주문_리스트!C:C,거래처!B205,주문_리스트!L:L)</f>
        <v>0</v>
      </c>
    </row>
    <row r="206" spans="8:8" hidden="1" x14ac:dyDescent="0.3">
      <c r="H206" s="201">
        <f>SUMIF(주문_리스트!C:C,거래처!B206,주문_리스트!K:K)+SUMIF(주문_리스트!C:C,거래처!B206,주문_리스트!L:L)</f>
        <v>0</v>
      </c>
    </row>
    <row r="207" spans="8:8" hidden="1" x14ac:dyDescent="0.3">
      <c r="H207" s="201">
        <f>SUMIF(주문_리스트!C:C,거래처!B207,주문_리스트!K:K)+SUMIF(주문_리스트!C:C,거래처!B207,주문_리스트!L:L)</f>
        <v>0</v>
      </c>
    </row>
    <row r="208" spans="8:8" hidden="1" x14ac:dyDescent="0.3">
      <c r="H208" s="201">
        <f>SUMIF(주문_리스트!C:C,거래처!B208,주문_리스트!K:K)+SUMIF(주문_리스트!C:C,거래처!B208,주문_리스트!L:L)</f>
        <v>0</v>
      </c>
    </row>
    <row r="209" spans="8:8" hidden="1" x14ac:dyDescent="0.3">
      <c r="H209" s="201">
        <f>SUMIF(주문_리스트!C:C,거래처!B209,주문_리스트!K:K)+SUMIF(주문_리스트!C:C,거래처!B209,주문_리스트!L:L)</f>
        <v>0</v>
      </c>
    </row>
    <row r="210" spans="8:8" hidden="1" x14ac:dyDescent="0.3">
      <c r="H210" s="201">
        <f>SUMIF(주문_리스트!C:C,거래처!B210,주문_리스트!K:K)+SUMIF(주문_리스트!C:C,거래처!B210,주문_리스트!L:L)</f>
        <v>0</v>
      </c>
    </row>
    <row r="211" spans="8:8" hidden="1" x14ac:dyDescent="0.3">
      <c r="H211" s="201">
        <f>SUMIF(주문_리스트!C:C,거래처!B211,주문_리스트!K:K)+SUMIF(주문_리스트!C:C,거래처!B211,주문_리스트!L:L)</f>
        <v>0</v>
      </c>
    </row>
    <row r="212" spans="8:8" hidden="1" x14ac:dyDescent="0.3">
      <c r="H212" s="201">
        <f>SUMIF(주문_리스트!C:C,거래처!B212,주문_리스트!K:K)+SUMIF(주문_리스트!C:C,거래처!B212,주문_리스트!L:L)</f>
        <v>0</v>
      </c>
    </row>
    <row r="213" spans="8:8" hidden="1" x14ac:dyDescent="0.3">
      <c r="H213" s="201">
        <f>SUMIF(주문_리스트!C:C,거래처!B213,주문_리스트!K:K)+SUMIF(주문_리스트!C:C,거래처!B213,주문_리스트!L:L)</f>
        <v>0</v>
      </c>
    </row>
    <row r="214" spans="8:8" hidden="1" x14ac:dyDescent="0.3">
      <c r="H214" s="201">
        <f>SUMIF(주문_리스트!C:C,거래처!B214,주문_리스트!K:K)+SUMIF(주문_리스트!C:C,거래처!B214,주문_리스트!L:L)</f>
        <v>0</v>
      </c>
    </row>
    <row r="215" spans="8:8" hidden="1" x14ac:dyDescent="0.3">
      <c r="H215" s="201">
        <f>SUMIF(주문_리스트!C:C,거래처!B215,주문_리스트!K:K)+SUMIF(주문_리스트!C:C,거래처!B215,주문_리스트!L:L)</f>
        <v>0</v>
      </c>
    </row>
    <row r="216" spans="8:8" hidden="1" x14ac:dyDescent="0.3">
      <c r="H216" s="201">
        <f>SUMIF(주문_리스트!C:C,거래처!B216,주문_리스트!K:K)+SUMIF(주문_리스트!C:C,거래처!B216,주문_리스트!L:L)</f>
        <v>0</v>
      </c>
    </row>
    <row r="217" spans="8:8" hidden="1" x14ac:dyDescent="0.3">
      <c r="H217" s="201">
        <f>SUMIF(주문_리스트!C:C,거래처!B217,주문_리스트!K:K)+SUMIF(주문_리스트!C:C,거래처!B217,주문_리스트!L:L)</f>
        <v>0</v>
      </c>
    </row>
    <row r="218" spans="8:8" hidden="1" x14ac:dyDescent="0.3">
      <c r="H218" s="201">
        <f>SUMIF(주문_리스트!C:C,거래처!B218,주문_리스트!K:K)+SUMIF(주문_리스트!C:C,거래처!B218,주문_리스트!L:L)</f>
        <v>0</v>
      </c>
    </row>
    <row r="219" spans="8:8" hidden="1" x14ac:dyDescent="0.3">
      <c r="H219" s="201">
        <f>SUMIF(주문_리스트!C:C,거래처!B219,주문_리스트!K:K)+SUMIF(주문_리스트!C:C,거래처!B219,주문_리스트!L:L)</f>
        <v>0</v>
      </c>
    </row>
    <row r="220" spans="8:8" hidden="1" x14ac:dyDescent="0.3">
      <c r="H220" s="201">
        <f>SUMIF(주문_리스트!C:C,거래처!B220,주문_리스트!K:K)+SUMIF(주문_리스트!C:C,거래처!B220,주문_리스트!L:L)</f>
        <v>0</v>
      </c>
    </row>
    <row r="221" spans="8:8" hidden="1" x14ac:dyDescent="0.3">
      <c r="H221" s="201">
        <f>SUMIF(주문_리스트!C:C,거래처!B221,주문_리스트!K:K)+SUMIF(주문_리스트!C:C,거래처!B221,주문_리스트!L:L)</f>
        <v>0</v>
      </c>
    </row>
    <row r="222" spans="8:8" hidden="1" x14ac:dyDescent="0.3">
      <c r="H222" s="201">
        <f>SUMIF(주문_리스트!C:C,거래처!B222,주문_리스트!K:K)+SUMIF(주문_리스트!C:C,거래처!B222,주문_리스트!L:L)</f>
        <v>0</v>
      </c>
    </row>
    <row r="223" spans="8:8" hidden="1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2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1872</v>
      </c>
      <c r="I1" s="51" t="s">
        <v>4</v>
      </c>
      <c r="J1" s="101">
        <v>212</v>
      </c>
    </row>
    <row r="2" spans="1:11" x14ac:dyDescent="0.3">
      <c r="A2">
        <v>1</v>
      </c>
      <c r="B2">
        <v>2</v>
      </c>
      <c r="C2" s="197">
        <v>28120504</v>
      </c>
      <c r="D2" s="197" t="s">
        <v>2605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2249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1997</v>
      </c>
      <c r="D5" s="197" t="s">
        <v>1996</v>
      </c>
      <c r="E5" s="197" t="s">
        <v>1997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1677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1781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2608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1678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1691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-3</v>
      </c>
    </row>
    <row r="16" spans="1:11" x14ac:dyDescent="0.3">
      <c r="A16">
        <v>15</v>
      </c>
      <c r="B16">
        <v>2</v>
      </c>
      <c r="C16" s="198">
        <v>2830506</v>
      </c>
      <c r="D16" s="197" t="s">
        <v>2791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2795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2257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2255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1689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2239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2251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2251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2240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2234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-46</v>
      </c>
    </row>
    <row r="27" spans="1:9" x14ac:dyDescent="0.3">
      <c r="A27">
        <v>26</v>
      </c>
      <c r="B27">
        <v>3</v>
      </c>
      <c r="C27" s="198" t="s">
        <v>2040</v>
      </c>
      <c r="D27" s="197" t="s">
        <v>1682</v>
      </c>
      <c r="E27" s="197" t="s">
        <v>2040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-67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1799</v>
      </c>
      <c r="D31" s="197" t="s">
        <v>2271</v>
      </c>
      <c r="E31" s="197" t="s">
        <v>1799</v>
      </c>
      <c r="F31" s="52">
        <v>569000</v>
      </c>
      <c r="G31" s="52">
        <v>480000</v>
      </c>
      <c r="H31">
        <f>SUMIF(재고!D:D,제품!D31,재고!G:G)-SUMIF(주문_리스트!E:E,제품!D31,주문_리스트!H:H)</f>
        <v>-22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2548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2665</v>
      </c>
      <c r="D34" s="197" t="s">
        <v>2666</v>
      </c>
      <c r="E34" s="197" t="s">
        <v>2665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2233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1683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1715</v>
      </c>
      <c r="D39" s="197" t="s">
        <v>2242</v>
      </c>
      <c r="E39" s="197" t="s">
        <v>1715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1764</v>
      </c>
      <c r="D40" s="197" t="s">
        <v>1765</v>
      </c>
      <c r="E40" s="197" t="s">
        <v>1764</v>
      </c>
      <c r="F40" s="52">
        <v>50000</v>
      </c>
      <c r="H40">
        <f>SUMIF(재고!D:D,제품!D40,재고!G:G)-SUMIF(주문_리스트!E:E,제품!D40,주문_리스트!H:H)</f>
        <v>-34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2258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2243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2831</v>
      </c>
      <c r="D47" s="197" t="s">
        <v>2395</v>
      </c>
      <c r="E47" s="197" t="s">
        <v>2831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2259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-12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1858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1859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1684</v>
      </c>
      <c r="D57" s="197" t="s">
        <v>2015</v>
      </c>
      <c r="E57" s="197" t="s">
        <v>1684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2868</v>
      </c>
      <c r="D59" s="197" t="s">
        <v>2260</v>
      </c>
      <c r="E59" s="197" t="s">
        <v>2868</v>
      </c>
      <c r="F59" s="52">
        <v>1100000</v>
      </c>
      <c r="H59">
        <f>SUMIF(재고!D:D,제품!D59,재고!G:G)-SUMIF(주문_리스트!E:E,제품!D59,주문_리스트!H:H)</f>
        <v>-3</v>
      </c>
    </row>
    <row r="60" spans="1:9" x14ac:dyDescent="0.3">
      <c r="A60">
        <v>59</v>
      </c>
      <c r="B60">
        <v>1</v>
      </c>
      <c r="C60" s="198" t="s">
        <v>1686</v>
      </c>
      <c r="D60" s="197" t="s">
        <v>1685</v>
      </c>
      <c r="E60" s="197" t="s">
        <v>1686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1687</v>
      </c>
      <c r="D61" s="197" t="s">
        <v>1688</v>
      </c>
      <c r="E61" s="197" t="s">
        <v>1687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2793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2608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-15</v>
      </c>
      <c r="I63" s="52" t="s">
        <v>2609</v>
      </c>
    </row>
    <row r="64" spans="1:9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1666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1673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2244</v>
      </c>
      <c r="E67" s="197">
        <v>50228</v>
      </c>
      <c r="F67" s="52">
        <v>110000</v>
      </c>
      <c r="H67">
        <f>SUMIF(재고!D:D,제품!D67,재고!G:G)-SUMIF(주문_리스트!E:E,제품!D67,주문_리스트!H:H)</f>
        <v>-18</v>
      </c>
    </row>
    <row r="68" spans="1:9" x14ac:dyDescent="0.3">
      <c r="A68">
        <v>67</v>
      </c>
      <c r="B68">
        <v>4</v>
      </c>
      <c r="C68" s="198">
        <v>50229</v>
      </c>
      <c r="D68" s="197" t="s">
        <v>2244</v>
      </c>
      <c r="E68" s="197">
        <v>50229</v>
      </c>
      <c r="F68" s="52">
        <v>75000</v>
      </c>
      <c r="H68">
        <f>SUMIF(재고!D:D,제품!D68,재고!G:G)-SUMIF(주문_리스트!E:E,제품!D68,주문_리스트!H:H)</f>
        <v>-18</v>
      </c>
    </row>
    <row r="69" spans="1:9" x14ac:dyDescent="0.3">
      <c r="A69">
        <v>68</v>
      </c>
      <c r="D69" s="197" t="s">
        <v>1690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1690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1698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1705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2667</v>
      </c>
      <c r="D73" s="197" t="s">
        <v>2668</v>
      </c>
      <c r="E73" s="197" t="s">
        <v>2667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1716</v>
      </c>
      <c r="D74" s="197" t="s">
        <v>2252</v>
      </c>
      <c r="E74" s="197" t="s">
        <v>1716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1808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1813</v>
      </c>
    </row>
    <row r="76" spans="1:9" x14ac:dyDescent="0.3">
      <c r="A76">
        <v>75</v>
      </c>
      <c r="D76" s="197" t="s">
        <v>1810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1809</v>
      </c>
    </row>
    <row r="77" spans="1:9" x14ac:dyDescent="0.3">
      <c r="A77">
        <v>76</v>
      </c>
      <c r="D77" s="197" t="s">
        <v>2253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1730</v>
      </c>
      <c r="D78" s="197" t="s">
        <v>1745</v>
      </c>
      <c r="E78" s="197" t="s">
        <v>1730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1746</v>
      </c>
    </row>
    <row r="79" spans="1:9" x14ac:dyDescent="0.3">
      <c r="A79">
        <v>78</v>
      </c>
      <c r="D79" s="197" t="s">
        <v>1717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1724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1734</v>
      </c>
    </row>
    <row r="81" spans="1:9" x14ac:dyDescent="0.3">
      <c r="A81">
        <v>80</v>
      </c>
      <c r="D81" s="197" t="s">
        <v>2254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1718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1719</v>
      </c>
    </row>
    <row r="83" spans="1:9" x14ac:dyDescent="0.3">
      <c r="A83">
        <v>82</v>
      </c>
      <c r="B83">
        <v>2</v>
      </c>
      <c r="D83" s="197" t="s">
        <v>1728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1738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1739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1743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1744</v>
      </c>
    </row>
    <row r="86" spans="1:9" x14ac:dyDescent="0.3">
      <c r="A86">
        <v>85</v>
      </c>
      <c r="B86">
        <v>1</v>
      </c>
      <c r="C86" s="198" t="s">
        <v>2870</v>
      </c>
      <c r="D86" s="197" t="s">
        <v>2856</v>
      </c>
      <c r="E86" s="197" t="s">
        <v>2870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1741</v>
      </c>
      <c r="D87" s="197" t="s">
        <v>1742</v>
      </c>
      <c r="E87" s="197" t="s">
        <v>1741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1752</v>
      </c>
      <c r="D88" s="197" t="s">
        <v>1753</v>
      </c>
      <c r="E88" s="197" t="s">
        <v>1752</v>
      </c>
      <c r="F88" s="52">
        <v>20000</v>
      </c>
      <c r="G88" s="52">
        <v>9000</v>
      </c>
      <c r="H88">
        <f>SUMIF(재고!D:D,제품!D88,재고!G:G)-SUMIF(주문_리스트!E:E,제품!D88,주문_리스트!H:H)</f>
        <v>-12</v>
      </c>
    </row>
    <row r="89" spans="1:9" x14ac:dyDescent="0.3">
      <c r="A89">
        <v>88</v>
      </c>
      <c r="B89">
        <v>2</v>
      </c>
      <c r="C89" s="198">
        <v>2800802</v>
      </c>
      <c r="D89" s="197" t="s">
        <v>1760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1761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1755</v>
      </c>
      <c r="D91" s="197" t="s">
        <v>2279</v>
      </c>
      <c r="E91" s="197" t="s">
        <v>1755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2280</v>
      </c>
    </row>
    <row r="92" spans="1:9" x14ac:dyDescent="0.3">
      <c r="A92">
        <v>91</v>
      </c>
      <c r="B92">
        <v>3</v>
      </c>
      <c r="C92" s="198" t="s">
        <v>1757</v>
      </c>
      <c r="D92" s="197" t="s">
        <v>2237</v>
      </c>
      <c r="E92" s="197" t="s">
        <v>1757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1767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1769</v>
      </c>
      <c r="D94" s="197" t="s">
        <v>2245</v>
      </c>
      <c r="E94" s="197" t="s">
        <v>1769</v>
      </c>
      <c r="F94" s="52">
        <v>30000</v>
      </c>
      <c r="G94" s="52">
        <v>16000</v>
      </c>
      <c r="H94">
        <f>SUMIF(재고!D:D,제품!D94,재고!G:G)-SUMIF(주문_리스트!E:E,제품!D94,주문_리스트!H:H)</f>
        <v>-8</v>
      </c>
    </row>
    <row r="95" spans="1:9" x14ac:dyDescent="0.3">
      <c r="A95">
        <v>94</v>
      </c>
      <c r="B95">
        <v>3</v>
      </c>
      <c r="C95" s="198" t="s">
        <v>1770</v>
      </c>
      <c r="D95" s="197" t="s">
        <v>2246</v>
      </c>
      <c r="E95" s="197" t="s">
        <v>1770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1820</v>
      </c>
    </row>
    <row r="96" spans="1:9" x14ac:dyDescent="0.3">
      <c r="A96">
        <v>95</v>
      </c>
      <c r="B96">
        <v>3</v>
      </c>
      <c r="C96" s="198" t="s">
        <v>1821</v>
      </c>
      <c r="D96" s="197" t="s">
        <v>2247</v>
      </c>
      <c r="E96" s="197" t="s">
        <v>1821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1771</v>
      </c>
      <c r="D97" s="197" t="s">
        <v>1772</v>
      </c>
      <c r="E97" s="197" t="s">
        <v>1771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1773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2962</v>
      </c>
      <c r="D99" s="197" t="s">
        <v>2582</v>
      </c>
      <c r="E99" s="197" t="s">
        <v>2962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1775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1776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1775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1778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1779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1778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1780</v>
      </c>
    </row>
    <row r="104" spans="1:9" x14ac:dyDescent="0.3">
      <c r="A104">
        <v>103</v>
      </c>
      <c r="B104">
        <v>3</v>
      </c>
      <c r="C104" s="198" t="s">
        <v>1793</v>
      </c>
      <c r="D104" s="197" t="s">
        <v>2235</v>
      </c>
      <c r="E104" s="197" t="s">
        <v>1793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-41</v>
      </c>
      <c r="I104" s="52" t="s">
        <v>1794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1868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1790</v>
      </c>
      <c r="D106" s="197" t="s">
        <v>1234</v>
      </c>
      <c r="E106" s="197" t="s">
        <v>1790</v>
      </c>
      <c r="F106" s="52">
        <v>1200000</v>
      </c>
      <c r="H106">
        <f>SUMIF(재고!D:D,제품!D106,재고!G:G)-SUMIF(주문_리스트!E:E,제품!D106,주문_리스트!H:H)</f>
        <v>-67</v>
      </c>
      <c r="I106" s="52" t="s">
        <v>1791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1797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1796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1802</v>
      </c>
      <c r="D109" s="197" t="s">
        <v>1803</v>
      </c>
      <c r="E109" s="197" t="s">
        <v>1802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1804</v>
      </c>
    </row>
    <row r="110" spans="1:9" x14ac:dyDescent="0.3">
      <c r="A110">
        <v>109</v>
      </c>
      <c r="B110">
        <v>12</v>
      </c>
      <c r="C110" s="198" t="s">
        <v>1805</v>
      </c>
      <c r="D110" s="197" t="s">
        <v>1803</v>
      </c>
      <c r="E110" s="197" t="s">
        <v>1805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1806</v>
      </c>
    </row>
    <row r="111" spans="1:9" x14ac:dyDescent="0.3">
      <c r="A111">
        <v>110</v>
      </c>
      <c r="B111">
        <v>1</v>
      </c>
      <c r="C111" s="198" t="s">
        <v>1807</v>
      </c>
      <c r="D111" s="197" t="s">
        <v>1595</v>
      </c>
      <c r="E111" s="197" t="s">
        <v>1807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1856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1857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2293</v>
      </c>
      <c r="E113" s="197">
        <v>1087298388</v>
      </c>
      <c r="F113" s="52">
        <v>550000</v>
      </c>
      <c r="G113" s="52">
        <v>340000</v>
      </c>
      <c r="H113" t="s">
        <v>2970</v>
      </c>
      <c r="I113" s="52" t="s">
        <v>2291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1856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1861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1860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1871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1896</v>
      </c>
      <c r="D117" s="197" t="s">
        <v>1897</v>
      </c>
      <c r="E117" s="197" t="s">
        <v>1896</v>
      </c>
      <c r="F117" s="52">
        <v>210000</v>
      </c>
      <c r="G117" s="52">
        <v>150000</v>
      </c>
      <c r="I117" s="52" t="s">
        <v>1899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1918</v>
      </c>
      <c r="D120" s="197" t="s">
        <v>1919</v>
      </c>
      <c r="E120" s="197" t="s">
        <v>1918</v>
      </c>
      <c r="F120" s="52">
        <v>10000</v>
      </c>
      <c r="G120" s="52">
        <v>0</v>
      </c>
      <c r="I120" s="52" t="s">
        <v>1920</v>
      </c>
    </row>
    <row r="121" spans="1:9" x14ac:dyDescent="0.3">
      <c r="A121">
        <v>120</v>
      </c>
      <c r="B121">
        <v>3</v>
      </c>
      <c r="D121" s="197" t="s">
        <v>1938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1958</v>
      </c>
      <c r="E122" s="197">
        <v>501215718</v>
      </c>
      <c r="F122" s="52">
        <v>15000</v>
      </c>
      <c r="G122" s="52">
        <v>8000</v>
      </c>
      <c r="I122" s="52" t="s">
        <v>1956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1958</v>
      </c>
      <c r="E123" s="197">
        <v>501215783</v>
      </c>
      <c r="F123" s="52">
        <v>15000</v>
      </c>
      <c r="G123" s="52">
        <v>8000</v>
      </c>
      <c r="I123" s="52" t="s">
        <v>1957</v>
      </c>
    </row>
    <row r="124" spans="1:9" x14ac:dyDescent="0.3">
      <c r="A124">
        <v>123</v>
      </c>
      <c r="B124">
        <v>4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1984</v>
      </c>
      <c r="D128" s="197" t="s">
        <v>1985</v>
      </c>
      <c r="E128" s="197" t="s">
        <v>1984</v>
      </c>
      <c r="F128" s="52">
        <v>1200000</v>
      </c>
      <c r="G128" s="52">
        <v>400000</v>
      </c>
      <c r="I128" s="52" t="s">
        <v>1986</v>
      </c>
    </row>
    <row r="129" spans="1:7" x14ac:dyDescent="0.3">
      <c r="A129">
        <v>128</v>
      </c>
      <c r="B129">
        <v>12</v>
      </c>
      <c r="C129" s="198" t="s">
        <v>1982</v>
      </c>
      <c r="D129" s="197" t="s">
        <v>1983</v>
      </c>
      <c r="E129" s="197" t="s">
        <v>1982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1995</v>
      </c>
      <c r="D131" s="197" t="s">
        <v>1994</v>
      </c>
      <c r="E131" s="197" t="s">
        <v>1995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1:7" x14ac:dyDescent="0.3">
      <c r="A140">
        <v>139</v>
      </c>
      <c r="D140" s="197" t="s">
        <v>2075</v>
      </c>
      <c r="F140" s="52">
        <v>84000</v>
      </c>
    </row>
    <row r="141" spans="1:7" x14ac:dyDescent="0.3">
      <c r="A141">
        <v>140</v>
      </c>
      <c r="D141" s="197" t="s">
        <v>2078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1956</v>
      </c>
      <c r="D145" s="197" t="s">
        <v>2193</v>
      </c>
      <c r="E145" s="197" t="s">
        <v>1956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2671</v>
      </c>
      <c r="D150" s="197" t="s">
        <v>2399</v>
      </c>
      <c r="E150" s="197" t="s">
        <v>2671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2209</v>
      </c>
      <c r="F156" s="52">
        <v>990000</v>
      </c>
      <c r="G156" s="52">
        <v>940000</v>
      </c>
      <c r="I156" s="52" t="s">
        <v>2803</v>
      </c>
    </row>
    <row r="157" spans="1:9" x14ac:dyDescent="0.3">
      <c r="A157">
        <v>156</v>
      </c>
      <c r="B157">
        <v>3</v>
      </c>
      <c r="D157" s="197" t="s">
        <v>2211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2670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2296</v>
      </c>
      <c r="F162" s="52">
        <v>800000</v>
      </c>
    </row>
    <row r="163" spans="1:9" x14ac:dyDescent="0.3">
      <c r="A163">
        <v>162</v>
      </c>
      <c r="D163" s="197" t="s">
        <v>2302</v>
      </c>
      <c r="F163" s="52">
        <v>900000</v>
      </c>
    </row>
    <row r="164" spans="1:9" x14ac:dyDescent="0.3">
      <c r="A164">
        <v>163</v>
      </c>
      <c r="D164" s="197" t="s">
        <v>2313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2327</v>
      </c>
      <c r="E166" s="197">
        <v>1087327175</v>
      </c>
      <c r="F166" s="52">
        <v>90000</v>
      </c>
      <c r="G166" s="52">
        <v>65000</v>
      </c>
      <c r="I166" s="52" t="s">
        <v>2328</v>
      </c>
    </row>
    <row r="167" spans="1:9" x14ac:dyDescent="0.3">
      <c r="A167">
        <v>166</v>
      </c>
      <c r="B167">
        <v>3</v>
      </c>
      <c r="C167" s="198" t="s">
        <v>2330</v>
      </c>
      <c r="D167" s="197" t="s">
        <v>2331</v>
      </c>
      <c r="E167" s="197" t="s">
        <v>2330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2556</v>
      </c>
      <c r="D168" s="197" t="s">
        <v>2557</v>
      </c>
      <c r="E168" s="197" t="s">
        <v>2556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2347</v>
      </c>
      <c r="F170" s="52">
        <v>1600000</v>
      </c>
    </row>
    <row r="171" spans="1:9" x14ac:dyDescent="0.3">
      <c r="A171">
        <v>170</v>
      </c>
      <c r="D171" s="197" t="s">
        <v>2375</v>
      </c>
      <c r="F171" s="52">
        <v>1200000</v>
      </c>
    </row>
    <row r="172" spans="1:9" x14ac:dyDescent="0.3">
      <c r="A172">
        <v>171</v>
      </c>
      <c r="D172" s="197" t="s">
        <v>2356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2608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2384</v>
      </c>
      <c r="D174" s="197" t="s">
        <v>2385</v>
      </c>
      <c r="E174" s="197" t="s">
        <v>2384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2770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3025</v>
      </c>
      <c r="D179" s="197" t="s">
        <v>3026</v>
      </c>
      <c r="E179" s="197" t="s">
        <v>3025</v>
      </c>
      <c r="F179" s="52">
        <v>450000</v>
      </c>
      <c r="I179" s="52" t="s">
        <v>3027</v>
      </c>
    </row>
    <row r="180" spans="1:9" x14ac:dyDescent="0.3">
      <c r="A180">
        <v>179</v>
      </c>
      <c r="D180" s="197" t="s">
        <v>2469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2471</v>
      </c>
      <c r="D181" s="197" t="s">
        <v>2472</v>
      </c>
      <c r="E181" s="197" t="s">
        <v>2471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2496</v>
      </c>
      <c r="D184" s="197" t="s">
        <v>2497</v>
      </c>
      <c r="E184" s="197" t="s">
        <v>2496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2498</v>
      </c>
      <c r="D185" s="197" t="s">
        <v>2499</v>
      </c>
      <c r="E185" s="197" t="s">
        <v>2498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2583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2950</v>
      </c>
      <c r="D191" s="197" t="s">
        <v>2951</v>
      </c>
      <c r="E191" s="197" t="s">
        <v>2950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2708</v>
      </c>
      <c r="D192" s="197" t="s">
        <v>2709</v>
      </c>
      <c r="E192" s="197" t="s">
        <v>2708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2717</v>
      </c>
      <c r="F193" s="52">
        <v>1100000</v>
      </c>
    </row>
    <row r="194" spans="1:9" x14ac:dyDescent="0.3">
      <c r="A194">
        <v>193</v>
      </c>
      <c r="D194" s="197" t="s">
        <v>2747</v>
      </c>
      <c r="F194" s="52">
        <v>1700000</v>
      </c>
    </row>
    <row r="195" spans="1:9" x14ac:dyDescent="0.3">
      <c r="A195">
        <v>194</v>
      </c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1:9" x14ac:dyDescent="0.3">
      <c r="A196">
        <v>195</v>
      </c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2841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2869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2871</v>
      </c>
      <c r="E199" s="197">
        <v>1094302044</v>
      </c>
      <c r="F199" s="52">
        <v>300000</v>
      </c>
      <c r="G199" s="52">
        <v>150000</v>
      </c>
      <c r="I199" s="52" t="s">
        <v>2872</v>
      </c>
    </row>
    <row r="200" spans="1:9" x14ac:dyDescent="0.3">
      <c r="A200">
        <v>199</v>
      </c>
      <c r="B200">
        <v>14</v>
      </c>
      <c r="C200" s="198" t="s">
        <v>2971</v>
      </c>
      <c r="D200" s="197" t="s">
        <v>2972</v>
      </c>
      <c r="E200" s="197" t="s">
        <v>2971</v>
      </c>
      <c r="F200" s="52">
        <v>300000</v>
      </c>
      <c r="G200" s="52">
        <v>150000</v>
      </c>
      <c r="I200" s="52" t="s">
        <v>2973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1798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2977</v>
      </c>
      <c r="D202" s="197" t="s">
        <v>2979</v>
      </c>
      <c r="E202" s="197" t="s">
        <v>2977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3068</v>
      </c>
      <c r="D203" s="197" t="s">
        <v>3069</v>
      </c>
      <c r="E203" s="197" t="s">
        <v>3068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3022</v>
      </c>
      <c r="D204" s="197" t="s">
        <v>3023</v>
      </c>
      <c r="E204" s="197" t="s">
        <v>3022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3024</v>
      </c>
      <c r="E205" s="197">
        <v>709013001</v>
      </c>
    </row>
    <row r="206" spans="1:9" x14ac:dyDescent="0.3">
      <c r="A206">
        <v>205</v>
      </c>
      <c r="D206" s="197" t="s">
        <v>3042</v>
      </c>
      <c r="F206" s="52">
        <v>50000</v>
      </c>
    </row>
    <row r="207" spans="1:9" x14ac:dyDescent="0.3">
      <c r="A207">
        <v>206</v>
      </c>
      <c r="D207" s="197" t="s">
        <v>3070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3086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3104</v>
      </c>
      <c r="D210" s="197" t="s">
        <v>3105</v>
      </c>
      <c r="E210" s="197" t="s">
        <v>3104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3143</v>
      </c>
      <c r="D212" s="197" t="s">
        <v>3144</v>
      </c>
      <c r="E212" s="197" t="s">
        <v>3143</v>
      </c>
      <c r="F212" s="52">
        <v>250000</v>
      </c>
      <c r="G212" s="52">
        <v>140000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2605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2249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1997</v>
      </c>
      <c r="D5" s="197" t="s">
        <v>1996</v>
      </c>
      <c r="E5" s="197" t="s">
        <v>1997</v>
      </c>
      <c r="F5" s="52">
        <v>1000000</v>
      </c>
    </row>
    <row r="6" spans="1:9" x14ac:dyDescent="0.3">
      <c r="A6">
        <v>5</v>
      </c>
      <c r="C6" s="197"/>
      <c r="D6" s="197" t="s">
        <v>1677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1781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2608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1691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2791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2795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2257</v>
      </c>
      <c r="F19" s="52">
        <v>150000</v>
      </c>
    </row>
    <row r="20" spans="1:6" x14ac:dyDescent="0.3">
      <c r="A20">
        <v>19</v>
      </c>
      <c r="D20" s="197" t="s">
        <v>2255</v>
      </c>
      <c r="F20" s="52">
        <v>100000</v>
      </c>
    </row>
    <row r="21" spans="1:6" x14ac:dyDescent="0.3">
      <c r="A21">
        <v>20</v>
      </c>
      <c r="D21" s="197" t="s">
        <v>1689</v>
      </c>
      <c r="F21" s="52">
        <v>230000</v>
      </c>
    </row>
    <row r="22" spans="1:6" x14ac:dyDescent="0.3">
      <c r="A22">
        <v>21</v>
      </c>
      <c r="D22" s="197" t="s">
        <v>2239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2251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2251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2240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2234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2040</v>
      </c>
      <c r="D27" s="197" t="s">
        <v>1682</v>
      </c>
      <c r="E27" s="197" t="s">
        <v>2040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1799</v>
      </c>
      <c r="D31" s="197" t="s">
        <v>2271</v>
      </c>
      <c r="E31" s="197" t="s">
        <v>1799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2548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2665</v>
      </c>
      <c r="D34" s="197" t="s">
        <v>2666</v>
      </c>
      <c r="E34" s="197" t="s">
        <v>2665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2233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1683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1715</v>
      </c>
      <c r="D39" s="197" t="s">
        <v>2242</v>
      </c>
      <c r="E39" s="197" t="s">
        <v>1715</v>
      </c>
      <c r="F39" s="52">
        <v>130000</v>
      </c>
    </row>
    <row r="40" spans="1:6" x14ac:dyDescent="0.3">
      <c r="A40">
        <v>39</v>
      </c>
      <c r="C40" s="198" t="s">
        <v>1764</v>
      </c>
      <c r="D40" s="197" t="s">
        <v>1765</v>
      </c>
      <c r="E40" s="197" t="s">
        <v>1764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2258</v>
      </c>
      <c r="F45" s="52">
        <v>1600000</v>
      </c>
    </row>
    <row r="46" spans="1:6" x14ac:dyDescent="0.3">
      <c r="A46">
        <v>45</v>
      </c>
      <c r="D46" s="197" t="s">
        <v>2243</v>
      </c>
      <c r="F46" s="52">
        <v>100000</v>
      </c>
    </row>
    <row r="47" spans="1:6" x14ac:dyDescent="0.3">
      <c r="A47">
        <v>46</v>
      </c>
      <c r="C47" s="198" t="s">
        <v>2831</v>
      </c>
      <c r="D47" s="197" t="s">
        <v>2395</v>
      </c>
      <c r="E47" s="197" t="s">
        <v>2831</v>
      </c>
      <c r="F47" s="52">
        <v>350000</v>
      </c>
    </row>
    <row r="48" spans="1:6" x14ac:dyDescent="0.3">
      <c r="A48">
        <v>47</v>
      </c>
      <c r="D48" s="197" t="s">
        <v>2259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1858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1684</v>
      </c>
      <c r="D57" s="197" t="s">
        <v>2015</v>
      </c>
      <c r="E57" s="197" t="s">
        <v>1684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2868</v>
      </c>
      <c r="D59" s="197" t="s">
        <v>2260</v>
      </c>
      <c r="E59" s="197" t="s">
        <v>2868</v>
      </c>
      <c r="F59" s="52">
        <v>1100000</v>
      </c>
    </row>
    <row r="60" spans="1:6" x14ac:dyDescent="0.3">
      <c r="A60">
        <v>59</v>
      </c>
      <c r="C60" s="198" t="s">
        <v>1686</v>
      </c>
      <c r="D60" s="197" t="s">
        <v>1399</v>
      </c>
      <c r="E60" s="197" t="s">
        <v>1686</v>
      </c>
      <c r="F60" s="52">
        <v>1100000</v>
      </c>
    </row>
    <row r="61" spans="1:6" x14ac:dyDescent="0.3">
      <c r="A61">
        <v>60</v>
      </c>
      <c r="C61" s="198" t="s">
        <v>1687</v>
      </c>
      <c r="D61" s="197" t="s">
        <v>1688</v>
      </c>
      <c r="E61" s="197" t="s">
        <v>1687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2793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2608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</row>
    <row r="65" spans="1:6" x14ac:dyDescent="0.3">
      <c r="A65">
        <v>64</v>
      </c>
      <c r="D65" s="197" t="s">
        <v>1666</v>
      </c>
      <c r="F65" s="52">
        <v>27000</v>
      </c>
    </row>
    <row r="66" spans="1:6" x14ac:dyDescent="0.3">
      <c r="A66">
        <v>65</v>
      </c>
      <c r="D66" s="197" t="s">
        <v>1673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2244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2244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1690</v>
      </c>
      <c r="F69" s="52">
        <v>150000</v>
      </c>
    </row>
    <row r="70" spans="1:6" x14ac:dyDescent="0.3">
      <c r="A70">
        <v>69</v>
      </c>
      <c r="D70" s="197" t="s">
        <v>1690</v>
      </c>
      <c r="F70" s="52">
        <v>200000</v>
      </c>
    </row>
    <row r="71" spans="1:6" x14ac:dyDescent="0.3">
      <c r="A71">
        <v>70</v>
      </c>
      <c r="D71" s="197" t="s">
        <v>1698</v>
      </c>
      <c r="F71" s="52">
        <v>250000</v>
      </c>
    </row>
    <row r="72" spans="1:6" x14ac:dyDescent="0.3">
      <c r="A72">
        <v>71</v>
      </c>
      <c r="D72" s="197" t="s">
        <v>1705</v>
      </c>
      <c r="F72" s="52">
        <v>1850000</v>
      </c>
    </row>
    <row r="73" spans="1:6" x14ac:dyDescent="0.3">
      <c r="A73">
        <v>72</v>
      </c>
      <c r="C73" s="198" t="s">
        <v>2667</v>
      </c>
      <c r="D73" s="197" t="s">
        <v>2668</v>
      </c>
      <c r="E73" s="197" t="s">
        <v>2667</v>
      </c>
      <c r="F73" s="52">
        <v>1500000</v>
      </c>
    </row>
    <row r="74" spans="1:6" x14ac:dyDescent="0.3">
      <c r="A74">
        <v>73</v>
      </c>
      <c r="C74" s="198" t="s">
        <v>1716</v>
      </c>
      <c r="D74" s="197" t="s">
        <v>2252</v>
      </c>
      <c r="E74" s="197" t="s">
        <v>1716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1808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1810</v>
      </c>
      <c r="F76" s="52">
        <v>200000</v>
      </c>
    </row>
    <row r="77" spans="1:6" x14ac:dyDescent="0.3">
      <c r="A77">
        <v>76</v>
      </c>
      <c r="D77" s="197" t="s">
        <v>2253</v>
      </c>
      <c r="F77" s="52">
        <v>130000</v>
      </c>
    </row>
    <row r="78" spans="1:6" x14ac:dyDescent="0.3">
      <c r="A78">
        <v>77</v>
      </c>
      <c r="C78" s="198" t="s">
        <v>1730</v>
      </c>
      <c r="D78" s="197" t="s">
        <v>1745</v>
      </c>
      <c r="E78" s="197" t="s">
        <v>1730</v>
      </c>
      <c r="F78" s="52">
        <v>20000</v>
      </c>
    </row>
    <row r="79" spans="1:6" x14ac:dyDescent="0.3">
      <c r="A79">
        <v>78</v>
      </c>
      <c r="D79" s="197" t="s">
        <v>1717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1724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2254</v>
      </c>
      <c r="F81" s="52">
        <v>10000</v>
      </c>
    </row>
    <row r="82" spans="1:6" x14ac:dyDescent="0.3">
      <c r="A82">
        <v>81</v>
      </c>
      <c r="D82" s="197" t="s">
        <v>1718</v>
      </c>
      <c r="F82" s="52">
        <v>130000</v>
      </c>
    </row>
    <row r="83" spans="1:6" x14ac:dyDescent="0.3">
      <c r="A83">
        <v>82</v>
      </c>
      <c r="D83" s="197" t="s">
        <v>1728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1738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1743</v>
      </c>
      <c r="E85" s="197">
        <v>24137519344</v>
      </c>
    </row>
    <row r="86" spans="1:6" x14ac:dyDescent="0.3">
      <c r="A86">
        <v>85</v>
      </c>
      <c r="C86" s="198" t="s">
        <v>2870</v>
      </c>
      <c r="D86" s="197" t="s">
        <v>2856</v>
      </c>
      <c r="E86" s="197" t="s">
        <v>2870</v>
      </c>
      <c r="F86" s="52">
        <v>129000</v>
      </c>
    </row>
    <row r="87" spans="1:6" x14ac:dyDescent="0.3">
      <c r="A87">
        <v>86</v>
      </c>
      <c r="C87" s="198" t="s">
        <v>1741</v>
      </c>
      <c r="D87" s="197" t="s">
        <v>1742</v>
      </c>
      <c r="E87" s="197" t="s">
        <v>1741</v>
      </c>
      <c r="F87" s="52">
        <v>50000</v>
      </c>
    </row>
    <row r="88" spans="1:6" x14ac:dyDescent="0.3">
      <c r="A88">
        <v>87</v>
      </c>
      <c r="C88" s="198" t="s">
        <v>1752</v>
      </c>
      <c r="D88" s="197" t="s">
        <v>1753</v>
      </c>
      <c r="E88" s="197" t="s">
        <v>1752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1760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1761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1755</v>
      </c>
      <c r="D91" s="197" t="s">
        <v>2279</v>
      </c>
      <c r="E91" s="197" t="s">
        <v>1755</v>
      </c>
      <c r="F91" s="52">
        <v>250000</v>
      </c>
    </row>
    <row r="92" spans="1:6" x14ac:dyDescent="0.3">
      <c r="A92">
        <v>91</v>
      </c>
      <c r="C92" s="198" t="s">
        <v>1757</v>
      </c>
      <c r="D92" s="197" t="s">
        <v>2237</v>
      </c>
      <c r="E92" s="197" t="s">
        <v>1757</v>
      </c>
      <c r="F92" s="52">
        <v>60000</v>
      </c>
    </row>
    <row r="93" spans="1:6" x14ac:dyDescent="0.3">
      <c r="A93">
        <v>92</v>
      </c>
      <c r="D93" s="197" t="s">
        <v>1767</v>
      </c>
      <c r="F93" s="52">
        <v>200000</v>
      </c>
    </row>
    <row r="94" spans="1:6" x14ac:dyDescent="0.3">
      <c r="A94">
        <v>93</v>
      </c>
      <c r="C94" s="198" t="s">
        <v>1769</v>
      </c>
      <c r="D94" s="197" t="s">
        <v>2245</v>
      </c>
      <c r="E94" s="197" t="s">
        <v>1769</v>
      </c>
      <c r="F94" s="52">
        <v>30000</v>
      </c>
    </row>
    <row r="95" spans="1:6" x14ac:dyDescent="0.3">
      <c r="A95">
        <v>94</v>
      </c>
      <c r="C95" s="198" t="s">
        <v>1770</v>
      </c>
      <c r="D95" s="197" t="s">
        <v>2246</v>
      </c>
      <c r="E95" s="197" t="s">
        <v>1770</v>
      </c>
      <c r="F95" s="52">
        <v>10000</v>
      </c>
    </row>
    <row r="96" spans="1:6" x14ac:dyDescent="0.3">
      <c r="A96">
        <v>95</v>
      </c>
      <c r="C96" s="198" t="s">
        <v>1821</v>
      </c>
      <c r="D96" s="197" t="s">
        <v>2247</v>
      </c>
      <c r="E96" s="197" t="s">
        <v>1821</v>
      </c>
      <c r="F96" s="52">
        <v>10000</v>
      </c>
    </row>
    <row r="97" spans="1:6" x14ac:dyDescent="0.3">
      <c r="A97">
        <v>96</v>
      </c>
      <c r="C97" s="198" t="s">
        <v>1771</v>
      </c>
      <c r="D97" s="197" t="s">
        <v>1772</v>
      </c>
      <c r="E97" s="197" t="s">
        <v>1771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1773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2962</v>
      </c>
      <c r="D99" s="197" t="s">
        <v>2582</v>
      </c>
      <c r="E99" s="197" t="s">
        <v>2962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1775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1775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1778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1778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1793</v>
      </c>
      <c r="D104" s="197" t="s">
        <v>2235</v>
      </c>
      <c r="E104" s="197" t="s">
        <v>1793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1868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1790</v>
      </c>
      <c r="D106" s="197" t="s">
        <v>1234</v>
      </c>
      <c r="E106" s="197" t="s">
        <v>1790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1797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2139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1802</v>
      </c>
      <c r="D109" s="197" t="s">
        <v>1803</v>
      </c>
      <c r="E109" s="197" t="s">
        <v>1802</v>
      </c>
      <c r="F109" s="52">
        <v>25000</v>
      </c>
    </row>
    <row r="110" spans="1:6" x14ac:dyDescent="0.3">
      <c r="A110">
        <v>109</v>
      </c>
      <c r="C110" s="198" t="s">
        <v>1805</v>
      </c>
      <c r="D110" s="197" t="s">
        <v>1803</v>
      </c>
      <c r="E110" s="197" t="s">
        <v>1805</v>
      </c>
      <c r="F110" s="52">
        <v>65000</v>
      </c>
    </row>
    <row r="111" spans="1:6" x14ac:dyDescent="0.3">
      <c r="A111">
        <v>110</v>
      </c>
      <c r="C111" s="198" t="s">
        <v>1807</v>
      </c>
      <c r="D111" s="197" t="s">
        <v>1595</v>
      </c>
      <c r="E111" s="197" t="s">
        <v>1807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1856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2293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1856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1871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1896</v>
      </c>
      <c r="D117" s="197" t="s">
        <v>1897</v>
      </c>
      <c r="E117" s="197" t="s">
        <v>1896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1918</v>
      </c>
      <c r="D120" s="197" t="s">
        <v>1919</v>
      </c>
      <c r="E120" s="197" t="s">
        <v>1918</v>
      </c>
      <c r="F120" s="52">
        <v>10000</v>
      </c>
    </row>
    <row r="121" spans="1:6" x14ac:dyDescent="0.3">
      <c r="A121">
        <v>120</v>
      </c>
      <c r="D121" s="197" t="s">
        <v>1938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1958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1958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1964</v>
      </c>
      <c r="F125" s="52">
        <v>2000000</v>
      </c>
    </row>
    <row r="126" spans="1:6" x14ac:dyDescent="0.3"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6" x14ac:dyDescent="0.3">
      <c r="D127" s="197" t="s">
        <v>1971</v>
      </c>
      <c r="F127" s="52">
        <v>1200000</v>
      </c>
    </row>
    <row r="128" spans="1:6" x14ac:dyDescent="0.3">
      <c r="C128" s="198" t="s">
        <v>1984</v>
      </c>
      <c r="D128" s="197" t="s">
        <v>1985</v>
      </c>
      <c r="E128" s="197" t="s">
        <v>1984</v>
      </c>
      <c r="F128" s="52">
        <v>1200000</v>
      </c>
    </row>
    <row r="129" spans="3:6" x14ac:dyDescent="0.3">
      <c r="C129" s="198" t="s">
        <v>1982</v>
      </c>
      <c r="D129" s="197" t="s">
        <v>1983</v>
      </c>
      <c r="E129" s="197" t="s">
        <v>1982</v>
      </c>
      <c r="F129" s="52">
        <v>1000000</v>
      </c>
    </row>
    <row r="130" spans="3:6" x14ac:dyDescent="0.3"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3:6" x14ac:dyDescent="0.3">
      <c r="C131" s="198" t="s">
        <v>1995</v>
      </c>
      <c r="D131" s="197" t="s">
        <v>1994</v>
      </c>
      <c r="E131" s="197" t="s">
        <v>1995</v>
      </c>
      <c r="F131" s="52">
        <v>250000</v>
      </c>
    </row>
    <row r="132" spans="3:6" x14ac:dyDescent="0.3">
      <c r="D132" s="197" t="s">
        <v>1998</v>
      </c>
      <c r="F132" s="52">
        <v>50000</v>
      </c>
    </row>
    <row r="133" spans="3:6" x14ac:dyDescent="0.3">
      <c r="D133" s="197" t="s">
        <v>2004</v>
      </c>
      <c r="F133" s="52">
        <v>1600000</v>
      </c>
    </row>
    <row r="134" spans="3:6" x14ac:dyDescent="0.3">
      <c r="D134" s="197" t="s">
        <v>2248</v>
      </c>
      <c r="F134" s="52">
        <v>600000</v>
      </c>
    </row>
    <row r="135" spans="3:6" x14ac:dyDescent="0.3"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3:6" x14ac:dyDescent="0.3">
      <c r="D136" s="197" t="s">
        <v>2031</v>
      </c>
      <c r="F136" s="52">
        <v>150000</v>
      </c>
    </row>
    <row r="137" spans="3:6" x14ac:dyDescent="0.3"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3:6" x14ac:dyDescent="0.3">
      <c r="D138" s="197" t="s">
        <v>2056</v>
      </c>
      <c r="F138" s="52">
        <v>2000000</v>
      </c>
    </row>
    <row r="139" spans="3:6" x14ac:dyDescent="0.3"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3:6" x14ac:dyDescent="0.3">
      <c r="D140" s="197" t="s">
        <v>2075</v>
      </c>
      <c r="F140" s="52">
        <v>84000</v>
      </c>
    </row>
    <row r="141" spans="3:6" x14ac:dyDescent="0.3">
      <c r="D141" s="197" t="s">
        <v>2078</v>
      </c>
      <c r="F141" s="52">
        <v>1000000</v>
      </c>
    </row>
    <row r="142" spans="3:6" x14ac:dyDescent="0.3"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3:6" x14ac:dyDescent="0.3">
      <c r="D144" s="197" t="s">
        <v>2095</v>
      </c>
      <c r="F144" s="52">
        <v>900000</v>
      </c>
    </row>
    <row r="145" spans="3:6" x14ac:dyDescent="0.3">
      <c r="C145" s="198" t="s">
        <v>1956</v>
      </c>
      <c r="D145" s="197" t="s">
        <v>2193</v>
      </c>
      <c r="E145" s="197" t="s">
        <v>1956</v>
      </c>
      <c r="F145" s="52">
        <v>20000</v>
      </c>
    </row>
    <row r="146" spans="3:6" x14ac:dyDescent="0.3">
      <c r="C146" s="198">
        <v>24347588724</v>
      </c>
      <c r="D146" s="197" t="s">
        <v>2110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2160</v>
      </c>
      <c r="E149" s="197">
        <v>36050661</v>
      </c>
      <c r="F149" s="52">
        <v>1200000</v>
      </c>
    </row>
    <row r="150" spans="3:6" x14ac:dyDescent="0.3">
      <c r="C150" s="198" t="s">
        <v>2671</v>
      </c>
      <c r="D150" s="197" t="s">
        <v>2399</v>
      </c>
      <c r="E150" s="197" t="s">
        <v>2671</v>
      </c>
      <c r="F150" s="52">
        <v>65000</v>
      </c>
    </row>
    <row r="151" spans="3:6" x14ac:dyDescent="0.3">
      <c r="C151" s="198">
        <v>6058008211</v>
      </c>
      <c r="D151" s="197" t="s">
        <v>2089</v>
      </c>
      <c r="E151" s="197">
        <v>6058008211</v>
      </c>
    </row>
    <row r="152" spans="3:6" x14ac:dyDescent="0.3">
      <c r="D152" s="197" t="s">
        <v>2178</v>
      </c>
      <c r="F152" s="52">
        <v>200000</v>
      </c>
    </row>
    <row r="153" spans="3:6" x14ac:dyDescent="0.3">
      <c r="D153" s="197" t="s">
        <v>2179</v>
      </c>
      <c r="F153" s="52">
        <v>250000</v>
      </c>
    </row>
    <row r="154" spans="3:6" x14ac:dyDescent="0.3"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3:6" x14ac:dyDescent="0.3">
      <c r="D156" s="197" t="s">
        <v>2209</v>
      </c>
      <c r="F156" s="52">
        <v>990000</v>
      </c>
    </row>
    <row r="157" spans="3:6" x14ac:dyDescent="0.3">
      <c r="D157" s="197" t="s">
        <v>2211</v>
      </c>
      <c r="F157" s="52">
        <v>1000000</v>
      </c>
    </row>
    <row r="158" spans="3:6" x14ac:dyDescent="0.3">
      <c r="D158" s="197" t="s">
        <v>2213</v>
      </c>
      <c r="F158" s="52">
        <v>1200000</v>
      </c>
    </row>
    <row r="159" spans="3:6" x14ac:dyDescent="0.3"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3:6" x14ac:dyDescent="0.3">
      <c r="D160" s="197" t="s">
        <v>2670</v>
      </c>
      <c r="F160" s="52">
        <v>500000</v>
      </c>
    </row>
    <row r="161" spans="3:6" x14ac:dyDescent="0.3">
      <c r="D161" s="197" t="s">
        <v>2285</v>
      </c>
      <c r="F161" s="52">
        <v>150000</v>
      </c>
    </row>
    <row r="162" spans="3:6" x14ac:dyDescent="0.3">
      <c r="D162" s="197" t="s">
        <v>2296</v>
      </c>
      <c r="F162" s="52">
        <v>800000</v>
      </c>
    </row>
    <row r="163" spans="3:6" x14ac:dyDescent="0.3">
      <c r="D163" s="197" t="s">
        <v>2302</v>
      </c>
      <c r="F163" s="52">
        <v>900000</v>
      </c>
    </row>
    <row r="164" spans="3:6" x14ac:dyDescent="0.3">
      <c r="D164" s="197" t="s">
        <v>2313</v>
      </c>
      <c r="F164" s="52">
        <v>900000</v>
      </c>
    </row>
    <row r="165" spans="3:6" x14ac:dyDescent="0.3">
      <c r="C165" s="198">
        <v>1068327224</v>
      </c>
      <c r="D165" s="197" t="s">
        <v>2329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2327</v>
      </c>
      <c r="E166" s="197">
        <v>1087327175</v>
      </c>
      <c r="F166" s="52">
        <v>90000</v>
      </c>
    </row>
    <row r="167" spans="3:6" x14ac:dyDescent="0.3">
      <c r="C167" s="198" t="s">
        <v>2330</v>
      </c>
      <c r="D167" s="197" t="s">
        <v>2331</v>
      </c>
      <c r="E167" s="197" t="s">
        <v>2330</v>
      </c>
      <c r="F167" s="52">
        <v>350000</v>
      </c>
    </row>
    <row r="168" spans="3:6" x14ac:dyDescent="0.3">
      <c r="C168" s="198" t="s">
        <v>2556</v>
      </c>
      <c r="D168" s="197" t="s">
        <v>2557</v>
      </c>
      <c r="E168" s="197" t="s">
        <v>2556</v>
      </c>
      <c r="F168" s="52">
        <v>450000</v>
      </c>
    </row>
    <row r="169" spans="3:6" x14ac:dyDescent="0.3"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3:6" x14ac:dyDescent="0.3">
      <c r="D170" s="197" t="s">
        <v>2347</v>
      </c>
      <c r="F170" s="52">
        <v>1600000</v>
      </c>
    </row>
    <row r="171" spans="3:6" x14ac:dyDescent="0.3">
      <c r="D171" s="197" t="s">
        <v>2375</v>
      </c>
      <c r="F171" s="52">
        <v>1200000</v>
      </c>
    </row>
    <row r="172" spans="3:6" x14ac:dyDescent="0.3">
      <c r="D172" s="197" t="s">
        <v>2356</v>
      </c>
      <c r="F172" s="52">
        <v>650000</v>
      </c>
    </row>
    <row r="173" spans="3:6" x14ac:dyDescent="0.3"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3:6" x14ac:dyDescent="0.3">
      <c r="C174" s="198" t="s">
        <v>2384</v>
      </c>
      <c r="D174" s="197" t="s">
        <v>2385</v>
      </c>
      <c r="E174" s="197" t="s">
        <v>2384</v>
      </c>
      <c r="F174" s="52">
        <v>990000</v>
      </c>
    </row>
    <row r="175" spans="3:6" x14ac:dyDescent="0.3"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2770</v>
      </c>
      <c r="E176" s="197">
        <v>1087298437</v>
      </c>
      <c r="F176" s="52">
        <v>86000</v>
      </c>
    </row>
    <row r="177" spans="3:6" x14ac:dyDescent="0.3">
      <c r="D177" s="197" t="s">
        <v>2402</v>
      </c>
      <c r="F177" s="52">
        <v>150000</v>
      </c>
    </row>
    <row r="178" spans="3:6" x14ac:dyDescent="0.3">
      <c r="C178" s="198">
        <v>24046895</v>
      </c>
      <c r="D178" s="197" t="s">
        <v>2406</v>
      </c>
      <c r="E178" s="197">
        <v>24046895</v>
      </c>
      <c r="F178" s="52">
        <v>120000</v>
      </c>
    </row>
    <row r="179" spans="3:6" x14ac:dyDescent="0.3">
      <c r="C179" s="198" t="s">
        <v>3025</v>
      </c>
      <c r="D179" s="197" t="s">
        <v>3026</v>
      </c>
      <c r="E179" s="197" t="s">
        <v>3025</v>
      </c>
      <c r="F179" s="52">
        <v>450000</v>
      </c>
    </row>
    <row r="180" spans="3:6" x14ac:dyDescent="0.3">
      <c r="D180" s="197" t="s">
        <v>2469</v>
      </c>
      <c r="F180" s="52">
        <v>600000</v>
      </c>
    </row>
    <row r="181" spans="3:6" x14ac:dyDescent="0.3">
      <c r="C181" s="198" t="s">
        <v>2471</v>
      </c>
      <c r="D181" s="197" t="s">
        <v>2472</v>
      </c>
      <c r="E181" s="197" t="s">
        <v>2471</v>
      </c>
      <c r="F181" s="52">
        <v>850000</v>
      </c>
    </row>
    <row r="182" spans="3:6" x14ac:dyDescent="0.3">
      <c r="D182" s="197" t="s">
        <v>2476</v>
      </c>
      <c r="F182" s="52">
        <v>200000</v>
      </c>
    </row>
    <row r="183" spans="3:6" x14ac:dyDescent="0.3"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3:6" x14ac:dyDescent="0.3">
      <c r="C184" s="198" t="s">
        <v>2496</v>
      </c>
      <c r="D184" s="197" t="s">
        <v>2497</v>
      </c>
      <c r="E184" s="197" t="s">
        <v>2496</v>
      </c>
      <c r="F184" s="52">
        <v>650000</v>
      </c>
    </row>
    <row r="185" spans="3:6" x14ac:dyDescent="0.3">
      <c r="C185" s="198" t="s">
        <v>2498</v>
      </c>
      <c r="D185" s="197" t="s">
        <v>2499</v>
      </c>
      <c r="E185" s="197" t="s">
        <v>2498</v>
      </c>
      <c r="F185" s="52">
        <v>100000</v>
      </c>
    </row>
    <row r="186" spans="3:6" x14ac:dyDescent="0.3">
      <c r="D186" s="197" t="s">
        <v>2536</v>
      </c>
      <c r="F186" s="52">
        <v>850000</v>
      </c>
    </row>
    <row r="187" spans="3:6" x14ac:dyDescent="0.3">
      <c r="D187" s="197" t="s">
        <v>2583</v>
      </c>
      <c r="F187" s="52">
        <v>500000</v>
      </c>
    </row>
    <row r="188" spans="3:6" x14ac:dyDescent="0.3"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3:6" x14ac:dyDescent="0.3"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3:6" x14ac:dyDescent="0.3">
      <c r="C191" s="198" t="s">
        <v>2950</v>
      </c>
      <c r="D191" s="197" t="s">
        <v>2951</v>
      </c>
      <c r="E191" s="197" t="s">
        <v>2950</v>
      </c>
      <c r="F191" s="52">
        <v>1600000</v>
      </c>
    </row>
    <row r="192" spans="3:6" x14ac:dyDescent="0.3">
      <c r="C192" s="198" t="s">
        <v>2708</v>
      </c>
      <c r="D192" s="197" t="s">
        <v>2709</v>
      </c>
      <c r="E192" s="197" t="s">
        <v>2708</v>
      </c>
      <c r="F192" s="52">
        <v>1500000</v>
      </c>
    </row>
    <row r="193" spans="3:6" x14ac:dyDescent="0.3">
      <c r="D193" s="197" t="s">
        <v>2717</v>
      </c>
      <c r="F193" s="52">
        <v>1100000</v>
      </c>
    </row>
    <row r="194" spans="3:6" x14ac:dyDescent="0.3">
      <c r="D194" s="197" t="s">
        <v>2747</v>
      </c>
      <c r="F194" s="52">
        <v>1700000</v>
      </c>
    </row>
    <row r="195" spans="3:6" x14ac:dyDescent="0.3"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3:6" x14ac:dyDescent="0.3"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3:6" x14ac:dyDescent="0.3">
      <c r="D197" s="197" t="s">
        <v>2841</v>
      </c>
      <c r="F197" s="52">
        <v>150000</v>
      </c>
    </row>
    <row r="198" spans="3:6" x14ac:dyDescent="0.3">
      <c r="C198" s="198">
        <v>7252703114</v>
      </c>
      <c r="D198" s="197" t="s">
        <v>2869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2871</v>
      </c>
      <c r="E199" s="197">
        <v>1094302044</v>
      </c>
      <c r="F199" s="52">
        <v>300000</v>
      </c>
    </row>
    <row r="200" spans="3:6" x14ac:dyDescent="0.3">
      <c r="C200" s="198" t="s">
        <v>2971</v>
      </c>
      <c r="D200" s="197" t="s">
        <v>2972</v>
      </c>
      <c r="E200" s="197" t="s">
        <v>2971</v>
      </c>
      <c r="F200" s="52">
        <v>300000</v>
      </c>
    </row>
    <row r="201" spans="3:6" x14ac:dyDescent="0.3">
      <c r="C201" s="198">
        <v>501220639</v>
      </c>
      <c r="D201" s="197" t="s">
        <v>1798</v>
      </c>
      <c r="E201" s="197">
        <v>501220639</v>
      </c>
      <c r="F201" s="52">
        <v>250000</v>
      </c>
    </row>
    <row r="202" spans="3:6" x14ac:dyDescent="0.3">
      <c r="C202" s="198" t="s">
        <v>2977</v>
      </c>
      <c r="D202" s="197" t="s">
        <v>2979</v>
      </c>
      <c r="E202" s="197" t="s">
        <v>2977</v>
      </c>
      <c r="F202" s="52">
        <v>75000</v>
      </c>
    </row>
    <row r="203" spans="3:6" x14ac:dyDescent="0.3">
      <c r="C203" s="198" t="s">
        <v>3068</v>
      </c>
      <c r="D203" s="197" t="s">
        <v>3069</v>
      </c>
      <c r="E203" s="197" t="s">
        <v>3068</v>
      </c>
      <c r="F203" s="52">
        <v>13000</v>
      </c>
    </row>
    <row r="204" spans="3:6" x14ac:dyDescent="0.3">
      <c r="C204" s="198" t="s">
        <v>3022</v>
      </c>
      <c r="D204" s="197" t="s">
        <v>3023</v>
      </c>
      <c r="E204" s="197" t="s">
        <v>3022</v>
      </c>
    </row>
    <row r="205" spans="3:6" x14ac:dyDescent="0.3">
      <c r="C205" s="198">
        <v>709013001</v>
      </c>
      <c r="D205" s="197" t="s">
        <v>3024</v>
      </c>
      <c r="E205" s="197">
        <v>709013001</v>
      </c>
    </row>
    <row r="206" spans="3:6" x14ac:dyDescent="0.3">
      <c r="D206" s="197" t="s">
        <v>3042</v>
      </c>
      <c r="F206" s="52">
        <v>50000</v>
      </c>
    </row>
    <row r="207" spans="3:6" x14ac:dyDescent="0.3">
      <c r="D207" s="197" t="s">
        <v>3070</v>
      </c>
      <c r="F207" s="52">
        <v>35000</v>
      </c>
    </row>
    <row r="208" spans="3:6" x14ac:dyDescent="0.3"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4:6" x14ac:dyDescent="0.3">
      <c r="D209" s="197" t="s">
        <v>3086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1768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1801</v>
      </c>
    </row>
    <row r="12" spans="1:3" x14ac:dyDescent="0.3">
      <c r="A12">
        <v>13</v>
      </c>
      <c r="B12" t="s">
        <v>1812</v>
      </c>
    </row>
    <row r="13" spans="1:3" x14ac:dyDescent="0.3">
      <c r="A13">
        <v>14</v>
      </c>
      <c r="B13" t="s">
        <v>1963</v>
      </c>
    </row>
    <row r="14" spans="1:3" x14ac:dyDescent="0.3">
      <c r="A14">
        <v>15</v>
      </c>
      <c r="B14" t="s">
        <v>2405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F8" s="17">
        <v>50</v>
      </c>
      <c r="G8" s="19"/>
      <c r="H8" s="19"/>
      <c r="I8" s="64"/>
      <c r="J8" s="65" t="s">
        <v>1558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1540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3205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2254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3206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2253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3207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1705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1520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2258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2243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1698</v>
      </c>
      <c r="L26" s="17">
        <v>250000</v>
      </c>
    </row>
    <row r="27" spans="1:18" ht="18" hidden="1" customHeight="1" x14ac:dyDescent="0.3">
      <c r="F27" s="17">
        <v>69</v>
      </c>
      <c r="J27" s="53" t="s">
        <v>1690</v>
      </c>
      <c r="L27" s="17">
        <v>200000</v>
      </c>
    </row>
    <row r="28" spans="1:18" ht="18" hidden="1" customHeight="1" x14ac:dyDescent="0.3">
      <c r="F28" s="17">
        <v>64</v>
      </c>
      <c r="J28" s="53" t="s">
        <v>1666</v>
      </c>
      <c r="L28" s="17">
        <v>27000</v>
      </c>
    </row>
    <row r="29" spans="1:18" ht="18" customHeight="1" x14ac:dyDescent="0.3">
      <c r="F29" s="17">
        <v>2</v>
      </c>
      <c r="J29" s="53" t="s">
        <v>2249</v>
      </c>
      <c r="L29" s="17">
        <v>300000</v>
      </c>
    </row>
    <row r="30" spans="1:18" ht="18" customHeight="1" x14ac:dyDescent="0.3">
      <c r="F30" s="17">
        <v>3</v>
      </c>
      <c r="J30" s="53" t="s">
        <v>1183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1964</v>
      </c>
      <c r="L31" s="17">
        <v>2000000</v>
      </c>
    </row>
    <row r="32" spans="1:18" ht="18" customHeight="1" x14ac:dyDescent="0.3">
      <c r="F32" s="17">
        <v>5</v>
      </c>
      <c r="J32" s="53" t="s">
        <v>1676</v>
      </c>
      <c r="L32" s="17">
        <v>198000</v>
      </c>
    </row>
    <row r="33" spans="6:12" ht="18" customHeight="1" x14ac:dyDescent="0.3">
      <c r="F33" s="17">
        <v>6</v>
      </c>
      <c r="J33" s="53" t="s">
        <v>1167</v>
      </c>
      <c r="L33" s="17">
        <v>12000</v>
      </c>
    </row>
    <row r="34" spans="6:12" ht="18" customHeight="1" x14ac:dyDescent="0.3">
      <c r="F34" s="17">
        <v>7</v>
      </c>
      <c r="J34" s="53" t="s">
        <v>1781</v>
      </c>
      <c r="L34" s="17">
        <v>650000</v>
      </c>
    </row>
    <row r="35" spans="6:12" ht="18" customHeight="1" x14ac:dyDescent="0.3">
      <c r="F35" s="17">
        <v>8</v>
      </c>
      <c r="J35" s="53" t="s">
        <v>1169</v>
      </c>
      <c r="L35" s="17">
        <v>1000000</v>
      </c>
    </row>
    <row r="36" spans="6:12" ht="18" customHeight="1" x14ac:dyDescent="0.3">
      <c r="F36" s="17">
        <v>120</v>
      </c>
      <c r="J36" s="53" t="s">
        <v>1938</v>
      </c>
      <c r="L36" s="17">
        <v>250000</v>
      </c>
    </row>
    <row r="37" spans="6:12" ht="18" customHeight="1" x14ac:dyDescent="0.3">
      <c r="F37" s="17">
        <v>10</v>
      </c>
      <c r="J37" s="53" t="s">
        <v>1172</v>
      </c>
      <c r="L37" s="17">
        <v>600000</v>
      </c>
    </row>
    <row r="38" spans="6:12" ht="18" customHeight="1" x14ac:dyDescent="0.3">
      <c r="F38" s="17">
        <v>11</v>
      </c>
      <c r="J38" s="53" t="s">
        <v>1173</v>
      </c>
      <c r="L38" s="17">
        <v>25000</v>
      </c>
    </row>
    <row r="39" spans="6:12" ht="18" customHeight="1" x14ac:dyDescent="0.3">
      <c r="F39" s="17">
        <v>12</v>
      </c>
      <c r="J39" s="53" t="s">
        <v>1174</v>
      </c>
      <c r="L39" s="17">
        <v>800000</v>
      </c>
    </row>
    <row r="40" spans="6:12" ht="18" customHeight="1" x14ac:dyDescent="0.3">
      <c r="F40" s="17">
        <v>65</v>
      </c>
      <c r="J40" s="53" t="s">
        <v>1673</v>
      </c>
      <c r="L40" s="17">
        <v>850000</v>
      </c>
    </row>
    <row r="41" spans="6:12" ht="18" customHeight="1" x14ac:dyDescent="0.3">
      <c r="F41" s="17">
        <v>68</v>
      </c>
      <c r="J41" s="53" t="s">
        <v>1690</v>
      </c>
      <c r="L41" s="17">
        <v>150000</v>
      </c>
    </row>
    <row r="42" spans="6:12" ht="18" customHeight="1" x14ac:dyDescent="0.3">
      <c r="F42" s="17">
        <v>17</v>
      </c>
      <c r="J42" s="53" t="s">
        <v>1128</v>
      </c>
      <c r="L42" s="17">
        <v>198000</v>
      </c>
    </row>
    <row r="43" spans="6:12" ht="18" customHeight="1" x14ac:dyDescent="0.3">
      <c r="F43" s="17">
        <v>18</v>
      </c>
      <c r="J43" s="53" t="s">
        <v>2257</v>
      </c>
      <c r="L43" s="17">
        <v>150000</v>
      </c>
    </row>
    <row r="44" spans="6:12" ht="18" customHeight="1" x14ac:dyDescent="0.3">
      <c r="F44" s="17">
        <v>19</v>
      </c>
      <c r="J44" s="53" t="s">
        <v>2255</v>
      </c>
      <c r="L44" s="17">
        <v>100000</v>
      </c>
    </row>
    <row r="45" spans="6:12" ht="18" customHeight="1" x14ac:dyDescent="0.3">
      <c r="F45" s="17">
        <v>20</v>
      </c>
      <c r="J45" s="53" t="s">
        <v>1194</v>
      </c>
      <c r="L45" s="17">
        <v>230000</v>
      </c>
    </row>
    <row r="46" spans="6:12" ht="18" customHeight="1" x14ac:dyDescent="0.3">
      <c r="F46" s="17">
        <v>21</v>
      </c>
      <c r="J46" s="53" t="s">
        <v>2239</v>
      </c>
      <c r="L46" s="17">
        <v>600000</v>
      </c>
    </row>
    <row r="47" spans="6:12" ht="18" customHeight="1" x14ac:dyDescent="0.3">
      <c r="F47" s="17">
        <v>55</v>
      </c>
      <c r="J47" s="53" t="s">
        <v>1589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2244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2244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1900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1754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1778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1778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2250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3208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1904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1782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1180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1775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1775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1773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3209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2942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3065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3065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3065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3210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3210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1907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3066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2142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2142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2961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2485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1871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3211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3212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3213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2486</v>
      </c>
      <c r="J82" s="53" t="s">
        <v>1919</v>
      </c>
      <c r="K82" s="17" t="s">
        <v>2486</v>
      </c>
      <c r="L82" s="17">
        <v>20000</v>
      </c>
    </row>
    <row r="83" spans="6:12" ht="18" customHeight="1" x14ac:dyDescent="0.3">
      <c r="F83" s="17">
        <v>119</v>
      </c>
      <c r="I83" s="17" t="s">
        <v>1918</v>
      </c>
      <c r="J83" s="53" t="s">
        <v>1919</v>
      </c>
      <c r="K83" s="17" t="s">
        <v>1918</v>
      </c>
      <c r="L83" s="17">
        <v>10000</v>
      </c>
    </row>
    <row r="84" spans="6:12" ht="18" customHeight="1" x14ac:dyDescent="0.3">
      <c r="F84" s="17">
        <v>32</v>
      </c>
      <c r="I84" s="17" t="s">
        <v>1498</v>
      </c>
      <c r="J84" s="53" t="s">
        <v>2232</v>
      </c>
      <c r="K84" s="17" t="s">
        <v>1498</v>
      </c>
      <c r="L84" s="17">
        <v>1500000</v>
      </c>
    </row>
    <row r="85" spans="6:12" ht="18" customHeight="1" x14ac:dyDescent="0.3">
      <c r="F85" s="17">
        <v>33</v>
      </c>
      <c r="I85" s="17" t="s">
        <v>1246</v>
      </c>
      <c r="J85" s="53" t="s">
        <v>2903</v>
      </c>
      <c r="K85" s="17" t="s">
        <v>1246</v>
      </c>
      <c r="L85" s="17">
        <v>1600000</v>
      </c>
    </row>
    <row r="86" spans="6:12" ht="18" customHeight="1" x14ac:dyDescent="0.3">
      <c r="F86" s="17">
        <v>34</v>
      </c>
      <c r="I86" s="17" t="s">
        <v>3201</v>
      </c>
      <c r="J86" s="53" t="s">
        <v>2233</v>
      </c>
      <c r="K86" s="17" t="s">
        <v>3201</v>
      </c>
      <c r="L86" s="17">
        <v>2200000</v>
      </c>
    </row>
    <row r="87" spans="6:12" ht="18" customHeight="1" x14ac:dyDescent="0.3">
      <c r="F87" s="17">
        <v>72</v>
      </c>
      <c r="I87" s="17" t="s">
        <v>3202</v>
      </c>
      <c r="J87" s="53" t="s">
        <v>3214</v>
      </c>
      <c r="K87" s="17" t="s">
        <v>3202</v>
      </c>
      <c r="L87" s="17">
        <v>1500000</v>
      </c>
    </row>
    <row r="88" spans="6:12" ht="18" customHeight="1" x14ac:dyDescent="0.3">
      <c r="F88" s="17">
        <v>73</v>
      </c>
      <c r="I88" s="17" t="s">
        <v>3203</v>
      </c>
      <c r="J88" s="53" t="s">
        <v>2252</v>
      </c>
      <c r="K88" s="17" t="s">
        <v>3203</v>
      </c>
      <c r="L88" s="17">
        <v>50000</v>
      </c>
    </row>
    <row r="89" spans="6:12" ht="18" customHeight="1" x14ac:dyDescent="0.3">
      <c r="F89" s="17">
        <v>58</v>
      </c>
      <c r="I89" s="17" t="s">
        <v>2868</v>
      </c>
      <c r="J89" s="53" t="s">
        <v>2490</v>
      </c>
      <c r="K89" s="17" t="s">
        <v>2868</v>
      </c>
      <c r="L89" s="17">
        <v>1100000</v>
      </c>
    </row>
    <row r="90" spans="6:12" ht="18" customHeight="1" x14ac:dyDescent="0.3">
      <c r="F90" s="17">
        <v>95</v>
      </c>
      <c r="I90" s="17" t="s">
        <v>2058</v>
      </c>
      <c r="J90" s="53" t="s">
        <v>2247</v>
      </c>
      <c r="K90" s="17" t="s">
        <v>2058</v>
      </c>
      <c r="L90" s="17">
        <v>10000</v>
      </c>
    </row>
    <row r="91" spans="6:12" ht="18" customHeight="1" x14ac:dyDescent="0.3">
      <c r="F91" s="17">
        <v>93</v>
      </c>
      <c r="I91" s="17" t="s">
        <v>1834</v>
      </c>
      <c r="J91" s="53" t="s">
        <v>2245</v>
      </c>
      <c r="K91" s="17" t="s">
        <v>1834</v>
      </c>
      <c r="L91" s="17">
        <v>30000</v>
      </c>
    </row>
    <row r="92" spans="6:12" ht="18" customHeight="1" x14ac:dyDescent="0.3">
      <c r="F92" s="17">
        <v>30</v>
      </c>
      <c r="I92" s="17" t="s">
        <v>1238</v>
      </c>
      <c r="J92" s="53" t="s">
        <v>2241</v>
      </c>
      <c r="K92" s="17" t="s">
        <v>1238</v>
      </c>
      <c r="L92" s="17">
        <v>569000</v>
      </c>
    </row>
    <row r="93" spans="6:12" ht="18" customHeight="1" x14ac:dyDescent="0.3">
      <c r="F93" s="17">
        <v>35</v>
      </c>
      <c r="I93" s="17" t="s">
        <v>1249</v>
      </c>
      <c r="J93" s="53" t="s">
        <v>2073</v>
      </c>
      <c r="K93" s="17" t="s">
        <v>1249</v>
      </c>
      <c r="L93" s="17">
        <v>1500000</v>
      </c>
    </row>
    <row r="94" spans="6:12" ht="18" customHeight="1" x14ac:dyDescent="0.3">
      <c r="F94" s="17">
        <v>26</v>
      </c>
      <c r="I94" s="17" t="s">
        <v>2040</v>
      </c>
      <c r="J94" s="53" t="s">
        <v>1841</v>
      </c>
      <c r="K94" s="17" t="s">
        <v>2040</v>
      </c>
      <c r="L94" s="17">
        <v>1500000</v>
      </c>
    </row>
    <row r="95" spans="6:12" ht="18" customHeight="1" x14ac:dyDescent="0.3">
      <c r="F95" s="17">
        <v>90</v>
      </c>
      <c r="I95" s="17" t="s">
        <v>2272</v>
      </c>
      <c r="J95" s="53" t="s">
        <v>2236</v>
      </c>
      <c r="K95" s="17" t="s">
        <v>2272</v>
      </c>
      <c r="L95" s="17">
        <v>250000</v>
      </c>
    </row>
    <row r="96" spans="6:12" ht="18" customHeight="1" x14ac:dyDescent="0.3">
      <c r="F96" s="17">
        <v>91</v>
      </c>
      <c r="I96" s="17" t="s">
        <v>1757</v>
      </c>
      <c r="J96" s="53" t="s">
        <v>2237</v>
      </c>
      <c r="K96" s="17" t="s">
        <v>1757</v>
      </c>
      <c r="L96" s="17">
        <v>60000</v>
      </c>
    </row>
    <row r="97" spans="6:12" ht="18" customHeight="1" x14ac:dyDescent="0.3">
      <c r="F97" s="17">
        <v>103</v>
      </c>
      <c r="I97" s="17" t="s">
        <v>1842</v>
      </c>
      <c r="J97" s="53" t="s">
        <v>2235</v>
      </c>
      <c r="K97" s="17" t="s">
        <v>1842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2102</v>
      </c>
      <c r="J98" s="53" t="s">
        <v>1961</v>
      </c>
      <c r="K98" s="17" t="s">
        <v>2102</v>
      </c>
      <c r="L98" s="17">
        <v>1000000</v>
      </c>
    </row>
    <row r="99" spans="6:12" ht="18" customHeight="1" x14ac:dyDescent="0.3">
      <c r="F99" s="17">
        <v>56</v>
      </c>
      <c r="I99" s="17" t="s">
        <v>2001</v>
      </c>
      <c r="J99" s="53" t="s">
        <v>2256</v>
      </c>
      <c r="K99" s="17" t="s">
        <v>2001</v>
      </c>
      <c r="L99" s="17">
        <v>1800000</v>
      </c>
    </row>
    <row r="100" spans="6:12" ht="18" customHeight="1" x14ac:dyDescent="0.3">
      <c r="F100" s="17">
        <v>94</v>
      </c>
      <c r="I100" s="17" t="s">
        <v>1863</v>
      </c>
      <c r="J100" s="53" t="s">
        <v>2246</v>
      </c>
      <c r="K100" s="17" t="s">
        <v>1863</v>
      </c>
      <c r="L100" s="17">
        <v>10000</v>
      </c>
    </row>
    <row r="101" spans="6:12" ht="18" customHeight="1" x14ac:dyDescent="0.3">
      <c r="F101" s="17">
        <v>96</v>
      </c>
      <c r="I101" s="17" t="s">
        <v>1946</v>
      </c>
      <c r="J101" s="53" t="s">
        <v>1947</v>
      </c>
      <c r="K101" s="17" t="s">
        <v>1946</v>
      </c>
      <c r="L101" s="17">
        <v>20000</v>
      </c>
    </row>
    <row r="102" spans="6:12" ht="18" customHeight="1" x14ac:dyDescent="0.3">
      <c r="F102" s="17">
        <v>38</v>
      </c>
      <c r="I102" s="17" t="s">
        <v>1292</v>
      </c>
      <c r="J102" s="53" t="s">
        <v>2242</v>
      </c>
      <c r="K102" s="17" t="s">
        <v>1292</v>
      </c>
      <c r="L102" s="17">
        <v>130000</v>
      </c>
    </row>
    <row r="103" spans="6:12" ht="18" customHeight="1" x14ac:dyDescent="0.3">
      <c r="F103" s="17">
        <v>85</v>
      </c>
      <c r="I103" s="17" t="s">
        <v>2870</v>
      </c>
      <c r="J103" s="53" t="s">
        <v>2968</v>
      </c>
      <c r="K103" s="17" t="s">
        <v>2870</v>
      </c>
      <c r="L103" s="17">
        <v>129000</v>
      </c>
    </row>
    <row r="104" spans="6:12" ht="18" customHeight="1" x14ac:dyDescent="0.3">
      <c r="F104" s="17">
        <v>25</v>
      </c>
      <c r="I104" s="17" t="s">
        <v>1232</v>
      </c>
      <c r="J104" s="53" t="s">
        <v>2234</v>
      </c>
      <c r="K104" s="17" t="s">
        <v>1232</v>
      </c>
      <c r="L104" s="17">
        <v>1500000</v>
      </c>
    </row>
    <row r="105" spans="6:12" ht="18" customHeight="1" x14ac:dyDescent="0.3">
      <c r="F105" s="17">
        <v>24</v>
      </c>
      <c r="I105" s="17" t="s">
        <v>1231</v>
      </c>
      <c r="J105" s="53" t="s">
        <v>2240</v>
      </c>
      <c r="K105" s="17" t="s">
        <v>1231</v>
      </c>
      <c r="L105" s="17">
        <v>1400000</v>
      </c>
    </row>
    <row r="106" spans="6:12" ht="18" customHeight="1" x14ac:dyDescent="0.3">
      <c r="F106" s="17">
        <v>22</v>
      </c>
      <c r="I106" s="17" t="s">
        <v>1229</v>
      </c>
      <c r="J106" s="53" t="s">
        <v>2251</v>
      </c>
      <c r="K106" s="17" t="s">
        <v>1229</v>
      </c>
      <c r="L106" s="17">
        <v>1000000</v>
      </c>
    </row>
    <row r="107" spans="6:12" ht="18" customHeight="1" x14ac:dyDescent="0.3">
      <c r="F107" s="17">
        <v>23</v>
      </c>
      <c r="I107" s="17" t="s">
        <v>1230</v>
      </c>
      <c r="J107" s="53" t="s">
        <v>2251</v>
      </c>
      <c r="K107" s="17" t="s">
        <v>1230</v>
      </c>
      <c r="L107" s="17">
        <v>1000000</v>
      </c>
    </row>
    <row r="108" spans="6:12" ht="18" customHeight="1" x14ac:dyDescent="0.3">
      <c r="F108" s="17">
        <v>108</v>
      </c>
      <c r="I108" s="17" t="s">
        <v>1802</v>
      </c>
      <c r="J108" s="53" t="s">
        <v>1803</v>
      </c>
      <c r="K108" s="17" t="s">
        <v>1802</v>
      </c>
      <c r="L108" s="17">
        <v>25000</v>
      </c>
    </row>
    <row r="109" spans="6:12" ht="18" customHeight="1" x14ac:dyDescent="0.3">
      <c r="F109" s="17">
        <v>109</v>
      </c>
      <c r="I109" s="17" t="s">
        <v>1805</v>
      </c>
      <c r="J109" s="53" t="s">
        <v>1803</v>
      </c>
      <c r="K109" s="17" t="s">
        <v>1805</v>
      </c>
      <c r="L109" s="17">
        <v>65000</v>
      </c>
    </row>
    <row r="110" spans="6:12" ht="18" customHeight="1" x14ac:dyDescent="0.3">
      <c r="F110" s="17">
        <v>37</v>
      </c>
      <c r="I110" s="17" t="s">
        <v>3013</v>
      </c>
      <c r="J110" s="53" t="s">
        <v>2453</v>
      </c>
      <c r="K110" s="17" t="s">
        <v>3013</v>
      </c>
      <c r="L110" s="17">
        <v>770000</v>
      </c>
    </row>
    <row r="111" spans="6:12" ht="18" customHeight="1" x14ac:dyDescent="0.3">
      <c r="F111" s="17">
        <v>28</v>
      </c>
      <c r="I111" s="17" t="s">
        <v>1235</v>
      </c>
      <c r="J111" s="53" t="s">
        <v>1236</v>
      </c>
      <c r="K111" s="17" t="s">
        <v>1235</v>
      </c>
      <c r="L111" s="17">
        <v>1200000</v>
      </c>
    </row>
    <row r="112" spans="6:12" ht="18" customHeight="1" x14ac:dyDescent="0.3">
      <c r="F112" s="17">
        <v>57</v>
      </c>
      <c r="I112" s="17" t="s">
        <v>1597</v>
      </c>
      <c r="J112" s="53" t="s">
        <v>1236</v>
      </c>
      <c r="K112" s="17" t="s">
        <v>1597</v>
      </c>
      <c r="L112" s="17">
        <v>1000000</v>
      </c>
    </row>
    <row r="113" spans="6:12" ht="18" customHeight="1" x14ac:dyDescent="0.3">
      <c r="F113" s="17">
        <v>31</v>
      </c>
      <c r="I113" s="17" t="s">
        <v>1597</v>
      </c>
      <c r="J113" s="53" t="s">
        <v>3215</v>
      </c>
      <c r="K113" s="17" t="s">
        <v>1597</v>
      </c>
      <c r="L113" s="17">
        <v>1300000</v>
      </c>
    </row>
    <row r="114" spans="6:12" ht="18" customHeight="1" x14ac:dyDescent="0.3">
      <c r="F114" s="17">
        <v>29</v>
      </c>
      <c r="I114" s="17" t="s">
        <v>1237</v>
      </c>
      <c r="J114" s="53" t="s">
        <v>1236</v>
      </c>
      <c r="K114" s="17" t="s">
        <v>1237</v>
      </c>
      <c r="L114" s="17">
        <v>1200000</v>
      </c>
    </row>
    <row r="115" spans="6:12" ht="18" customHeight="1" x14ac:dyDescent="0.3">
      <c r="F115" s="17">
        <v>59</v>
      </c>
      <c r="I115" s="17" t="s">
        <v>2806</v>
      </c>
      <c r="J115" s="53" t="s">
        <v>1595</v>
      </c>
      <c r="K115" s="17" t="s">
        <v>2806</v>
      </c>
      <c r="L115" s="17">
        <v>1100000</v>
      </c>
    </row>
    <row r="116" spans="6:12" ht="18" customHeight="1" x14ac:dyDescent="0.3">
      <c r="F116" s="17">
        <v>36</v>
      </c>
      <c r="I116" s="17" t="s">
        <v>1256</v>
      </c>
      <c r="J116" s="53" t="s">
        <v>1595</v>
      </c>
      <c r="K116" s="17" t="s">
        <v>1256</v>
      </c>
      <c r="L116" s="17">
        <v>1600000</v>
      </c>
    </row>
    <row r="117" spans="6:12" ht="18" customHeight="1" x14ac:dyDescent="0.3">
      <c r="F117" s="17">
        <v>110</v>
      </c>
      <c r="I117" s="17" t="s">
        <v>1807</v>
      </c>
      <c r="J117" s="53" t="s">
        <v>1595</v>
      </c>
      <c r="K117" s="17" t="s">
        <v>1807</v>
      </c>
      <c r="L117" s="17">
        <v>1400000</v>
      </c>
    </row>
    <row r="118" spans="6:12" ht="18" customHeight="1" x14ac:dyDescent="0.3">
      <c r="F118" s="17">
        <v>60</v>
      </c>
      <c r="I118" s="17" t="s">
        <v>3204</v>
      </c>
      <c r="J118" s="53" t="s">
        <v>3216</v>
      </c>
      <c r="K118" s="17" t="s">
        <v>3204</v>
      </c>
      <c r="L118" s="17">
        <v>3500000</v>
      </c>
    </row>
    <row r="119" spans="6:12" ht="18" customHeight="1" x14ac:dyDescent="0.3">
      <c r="F119" s="17">
        <v>116</v>
      </c>
      <c r="I119" s="17" t="s">
        <v>1894</v>
      </c>
      <c r="J119" s="53" t="s">
        <v>1895</v>
      </c>
      <c r="K119" s="17" t="s">
        <v>1894</v>
      </c>
      <c r="L119" s="17">
        <v>210000</v>
      </c>
    </row>
    <row r="120" spans="6:12" ht="18" customHeight="1" x14ac:dyDescent="0.3">
      <c r="F120" s="17">
        <v>27</v>
      </c>
      <c r="I120" s="17" t="s">
        <v>1394</v>
      </c>
      <c r="J120" s="53" t="s">
        <v>1234</v>
      </c>
      <c r="K120" s="17" t="s">
        <v>1394</v>
      </c>
      <c r="L120" s="17">
        <v>1400000</v>
      </c>
    </row>
    <row r="121" spans="6:12" ht="18" customHeight="1" x14ac:dyDescent="0.3">
      <c r="F121" s="17">
        <v>105</v>
      </c>
      <c r="I121" s="17" t="s">
        <v>1790</v>
      </c>
      <c r="J121" s="53" t="s">
        <v>1234</v>
      </c>
      <c r="K121" s="17" t="s">
        <v>1790</v>
      </c>
      <c r="L121" s="17">
        <v>1200000</v>
      </c>
    </row>
    <row r="122" spans="6:12" ht="18" customHeight="1" x14ac:dyDescent="0.3">
      <c r="F122" s="17">
        <v>46</v>
      </c>
      <c r="I122" s="17" t="s">
        <v>2788</v>
      </c>
      <c r="J122" s="53" t="s">
        <v>1530</v>
      </c>
      <c r="K122" s="17" t="s">
        <v>2788</v>
      </c>
      <c r="L122" s="17">
        <v>350000</v>
      </c>
    </row>
    <row r="123" spans="6:12" ht="18" customHeight="1" x14ac:dyDescent="0.3">
      <c r="F123" s="17">
        <v>87</v>
      </c>
      <c r="I123" s="17" t="s">
        <v>1752</v>
      </c>
      <c r="J123" s="53" t="s">
        <v>1753</v>
      </c>
      <c r="K123" s="17" t="s">
        <v>1752</v>
      </c>
      <c r="L123" s="17">
        <v>20000</v>
      </c>
    </row>
    <row r="124" spans="6:12" ht="18" customHeight="1" x14ac:dyDescent="0.3">
      <c r="F124" s="17">
        <v>39</v>
      </c>
      <c r="I124" s="17" t="s">
        <v>1298</v>
      </c>
      <c r="J124" s="53" t="s">
        <v>1299</v>
      </c>
      <c r="K124" s="17" t="s">
        <v>1298</v>
      </c>
      <c r="L124" s="17">
        <v>50000</v>
      </c>
    </row>
    <row r="125" spans="6:12" ht="18" customHeight="1" x14ac:dyDescent="0.3">
      <c r="F125" s="17">
        <v>86</v>
      </c>
      <c r="I125" s="17" t="s">
        <v>1741</v>
      </c>
      <c r="J125" s="53" t="s">
        <v>1742</v>
      </c>
      <c r="K125" s="17" t="s">
        <v>1741</v>
      </c>
      <c r="L125" s="17">
        <v>50000</v>
      </c>
    </row>
    <row r="126" spans="6:12" ht="18" customHeight="1" x14ac:dyDescent="0.3">
      <c r="F126" s="17">
        <v>4</v>
      </c>
      <c r="I126" s="17" t="s">
        <v>1997</v>
      </c>
      <c r="J126" s="53" t="s">
        <v>3217</v>
      </c>
      <c r="K126" s="17" t="s">
        <v>1997</v>
      </c>
      <c r="L126" s="17">
        <v>1000000</v>
      </c>
    </row>
    <row r="127" spans="6:12" ht="18" customHeight="1" x14ac:dyDescent="0.3">
      <c r="F127" s="17">
        <v>63</v>
      </c>
      <c r="I127" s="17" t="s">
        <v>1663</v>
      </c>
      <c r="J127" s="53" t="s">
        <v>1664</v>
      </c>
      <c r="K127" s="17" t="s">
        <v>1663</v>
      </c>
      <c r="L127" s="17">
        <v>12000</v>
      </c>
    </row>
    <row r="128" spans="6:12" ht="18" customHeight="1" x14ac:dyDescent="0.3">
      <c r="F128" s="17">
        <v>98</v>
      </c>
      <c r="I128" s="17" t="s">
        <v>2962</v>
      </c>
      <c r="J128" s="53" t="s">
        <v>1774</v>
      </c>
      <c r="K128" s="17" t="s">
        <v>2962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3"/>
  <sheetViews>
    <sheetView workbookViewId="0">
      <selection activeCell="J17" sqref="J17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1736</v>
      </c>
      <c r="R1" t="s">
        <v>1735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1768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1814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1815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1816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1817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1818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1960</v>
      </c>
    </row>
    <row r="12" spans="1:20" x14ac:dyDescent="0.3">
      <c r="A12">
        <v>11</v>
      </c>
      <c r="B12" t="s">
        <v>1819</v>
      </c>
      <c r="C12">
        <v>11</v>
      </c>
      <c r="D12" t="s">
        <v>1447</v>
      </c>
      <c r="I12">
        <v>11</v>
      </c>
      <c r="J12" t="s">
        <v>2386</v>
      </c>
    </row>
    <row r="13" spans="1:20" x14ac:dyDescent="0.3">
      <c r="A13">
        <v>12</v>
      </c>
      <c r="B13" t="s">
        <v>1959</v>
      </c>
      <c r="C13">
        <v>12</v>
      </c>
      <c r="D13" t="s">
        <v>1448</v>
      </c>
      <c r="I13">
        <v>12</v>
      </c>
      <c r="J13" t="s">
        <v>2531</v>
      </c>
    </row>
    <row r="14" spans="1:20" x14ac:dyDescent="0.3">
      <c r="B14" t="s">
        <v>2206</v>
      </c>
      <c r="C14">
        <v>13</v>
      </c>
      <c r="D14" t="s">
        <v>1449</v>
      </c>
      <c r="I14">
        <v>13</v>
      </c>
      <c r="J14" t="s">
        <v>2738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1735</v>
      </c>
    </row>
    <row r="17" spans="3:12" x14ac:dyDescent="0.3">
      <c r="C17">
        <v>16</v>
      </c>
      <c r="D17" t="s">
        <v>1737</v>
      </c>
      <c r="J17">
        <v>28</v>
      </c>
    </row>
    <row r="18" spans="3:12" x14ac:dyDescent="0.3">
      <c r="C18">
        <v>17</v>
      </c>
      <c r="D18" t="s">
        <v>1777</v>
      </c>
    </row>
    <row r="19" spans="3:12" x14ac:dyDescent="0.3">
      <c r="C19">
        <v>18</v>
      </c>
      <c r="D19" t="s">
        <v>1792</v>
      </c>
      <c r="H19">
        <v>2830513</v>
      </c>
      <c r="L19">
        <v>2830506</v>
      </c>
    </row>
    <row r="20" spans="3:12" x14ac:dyDescent="0.3">
      <c r="C20">
        <v>19</v>
      </c>
      <c r="D20" t="s">
        <v>1969</v>
      </c>
    </row>
    <row r="23" spans="3:12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2025-07-25T07:09:51Z</cp:lastPrinted>
  <dcterms:created xsi:type="dcterms:W3CDTF">2020-10-02T11:51:16Z</dcterms:created>
  <dcterms:modified xsi:type="dcterms:W3CDTF">2025-07-30T00:43:11Z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