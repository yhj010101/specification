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5EDDAF8-29AC-4B65-8133-362F9C1689CC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주문_리스트!$A$1:$K$1847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<sst xmlns="http://schemas.openxmlformats.org/spreadsheetml/2006/main" count="11257" uniqueCount="3892">
  <si>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</si>
  <si>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</si>
  <si>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</si>
  <si>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</si>
  <si>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</si>
  <si>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</si>
  <si>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</si>
  <si>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</si>
  <si>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</si>
  <si>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</si>
  <si>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</si>
  <si>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</si>
  <si>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</si>
  <si>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</si>
  <si>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</si>
  <si>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</si>
  <si>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</si>
  <si>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</si>
  <si>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</si>
  <si>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</si>
  <si>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</si>
  <si>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</si>
  <si>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</si>
  <si>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</si>
  <si>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</si>
  <si>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</si>
  <si>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</si>
  <si>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</si>
  <si>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</si>
  <si>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</si>
  <si>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</si>
  <si>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</si>
  <si>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</si>
  <si>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</si>
  <si>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</si>
  <si>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</si>
  <si>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</si>
  <si>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</si>
  <si>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</si>
  <si>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</si>
  <si>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</si>
  <si>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</si>
  <si>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</si>
  <si>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</si>
  <si>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</si>
  <si>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</si>
  <si>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</si>
  <si>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</si>
  <si>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</si>
  <si>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</si>
  <si>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</si>
  <si>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</si>
  <si>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</si>
  <si>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</si>
  <si>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</si>
  <si>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</si>
  <si>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</si>
  <si>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</si>
  <si>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</si>
  <si>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</si>
  <si>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</si>
  <si>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</si>
  <si>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</si>
  <si>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</si>
  <si>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</si>
  <si>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</si>
  <si>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</si>
  <si>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</si>
  <si>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</si>
  <si>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</si>
  <si>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</si>
  <si>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</si>
  <si>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</si>
  <si>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</si>
  <si>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</si>
  <si>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</si>
  <si>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</si>
  <si>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</si>
  <si>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</si>
  <si>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</si>
  <si>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</si>
  <si>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</si>
  <si>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</si>
  <si>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</si>
  <si>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</si>
  <si>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</si>
  <si>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</si>
  <si>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</si>
  <si>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</si>
  <si>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</si>
  <si>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</si>
  <si>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</si>
  <si>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</si>
  <si>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</si>
  <si>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</si>
  <si>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</si>
  <si>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</si>
  <si>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</si>
  <si>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</si>
  <si>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</si>
  <si>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</si>
  <si>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</si>
  <si>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</si>
  <si>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</si>
  <si>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</si>
  <si>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</si>
  <si>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</si>
  <si>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</si>
  <si>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</si>
  <si>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</si>
  <si>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</si>
  <si>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</si>
  <si>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</si>
  <si>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</si>
  <si>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</si>
  <si>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</si>
  <si>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</si>
  <si>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</si>
  <si>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</si>
  <si>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</si>
  <si>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</si>
  <si>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</si>
  <si>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</si>
  <si>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</si>
  <si>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</si>
  <si>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</si>
  <si>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</si>
  <si>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</si>
  <si>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</si>
  <si>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</si>
  <si>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</si>
  <si>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</si>
  <si>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</si>
  <si>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</si>
  <si>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</si>
  <si>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</si>
  <si>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</si>
  <si>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</si>
  <si>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</si>
  <si>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</si>
  <si>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</si>
  <si>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</si>
  <si>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</si>
  <si>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</si>
  <si>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</si>
  <si>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</si>
  <si>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</si>
  <si>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</si>
  <si>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</si>
  <si>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</si>
  <si>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</si>
  <si>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</si>
  <si>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</si>
  <si>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</si>
  <si>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</si>
  <si>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</si>
  <si>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</si>
  <si>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</si>
  <si>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</si>
  <si>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</si>
  <si>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</si>
  <si>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</si>
  <si>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</si>
  <si>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</si>
  <si>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</si>
  <si>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</si>
  <si>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</si>
  <si>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</si>
  <si>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</si>
  <si>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</si>
  <si>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</si>
  <si>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</si>
  <si>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</si>
  <si>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</si>
  <si>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</si>
  <si>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</si>
  <si>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</si>
  <si>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</si>
  <si>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</si>
  <si>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</si>
  <si>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</si>
  <si>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</si>
  <si>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</si>
  <si>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</si>
  <si>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</si>
  <si>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</si>
  <si>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</si>
  <si>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</si>
  <si>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</si>
  <si>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</si>
  <si>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</si>
  <si>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</si>
  <si>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</si>
  <si>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</si>
  <si>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</si>
  <si>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</si>
  <si>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</si>
  <si>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</si>
  <si>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</si>
  <si>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</si>
  <si>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</si>
  <si>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</si>
  <si>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</si>
  <si>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</si>
  <si>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</si>
  <si>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</si>
  <si>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</si>
  <si>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</si>
  <si>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</si>
  <si>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</si>
  <si>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</si>
  <si>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</si>
  <si>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</si>
  <si>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</si>
  <si>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</si>
  <si>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</si>
  <si>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</si>
  <si>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</si>
  <si>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</si>
  <si>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</si>
  <si>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</si>
  <si>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</si>
  <si>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</si>
  <si>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</si>
  <si>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</si>
  <si>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</si>
  <si>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</si>
  <si>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</si>
  <si>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</si>
  <si>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</si>
  <si>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</si>
  <si>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</si>
  <si>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</si>
  <si>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</si>
  <si>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</si>
  <si>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</si>
  <si>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</si>
  <si>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</si>
  <si>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</si>
  <si>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</si>
  <si>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</si>
  <si>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</si>
  <si>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</si>
  <si>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</si>
  <si>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</si>
  <si>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</si>
  <si>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</si>
  <si>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</si>
  <si>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</si>
  <si>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</si>
  <si>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</si>
  <si>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</si>
  <si>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</si>
  <si>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</si>
  <si>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</si>
  <si>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</si>
  <si>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</si>
  <si>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</si>
  <si>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</si>
  <si>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</si>
  <si>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</si>
  <si>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</si>
  <si>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</si>
  <si>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</si>
  <si>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</si>
  <si>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</si>
  <si>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</si>
  <si>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</si>
  <si>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</si>
  <si>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</si>
  <si>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</si>
  <si>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</si>
  <si>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</si>
  <si>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</si>
  <si>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</si>
  <si>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</si>
  <si>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</si>
  <si>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</si>
  <si>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</si>
  <si>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</si>
  <si>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</si>
  <si>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</si>
  <si>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</si>
  <si>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</si>
  <si>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</si>
  <si>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</si>
  <si>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</si>
  <si>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</si>
  <si>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</si>
  <si>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</si>
  <si>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</si>
  <si>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</si>
  <si>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</si>
  <si>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</si>
  <si>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</si>
  <si>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</si>
  <si>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</si>
  <si>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</si>
  <si>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</si>
  <si>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</si>
  <si>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</si>
  <si>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</si>
  <si>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</si>
  <si>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</si>
  <si>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</si>
  <si>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</si>
  <si>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</si>
  <si>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</si>
  <si>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</si>
  <si>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</si>
  <si>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</si>
  <si>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</si>
  <si>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</si>
  <si>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</si>
  <si>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</si>
  <si>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</si>
  <si>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</si>
  <si>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</si>
  <si>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</si>
  <si>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</si>
  <si>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</si>
  <si>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</si>
  <si>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</si>
  <si>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</si>
  <si>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</si>
  <si>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</si>
  <si>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</si>
  <si>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</si>
  <si>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</si>
  <si>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</si>
  <si>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</si>
  <si>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</si>
  <si>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</si>
  <si>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</si>
  <si>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</si>
  <si>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</si>
  <si>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</si>
  <si>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</si>
  <si>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</si>
  <si>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</si>
  <si>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</si>
  <si>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</si>
  <si>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</si>
  <si>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</si>
  <si>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</si>
  <si>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</si>
  <si>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</si>
  <si>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</si>
  <si>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</si>
  <si>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</si>
  <si>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</si>
  <si>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</si>
  <si>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</si>
  <si>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</si>
  <si>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</si>
  <si>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</si>
  <si>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</si>
  <si>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</si>
  <si>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</si>
  <si>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</si>
  <si>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</si>
  <si>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</si>
  <si>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</si>
  <si>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</si>
  <si>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</si>
  <si>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</si>
  <si>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</si>
  <si>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</si>
  <si>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</si>
  <si>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</si>
  <si>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</si>
  <si>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</si>
  <si>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</si>
  <si>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</si>
  <si>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</si>
  <si>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</si>
  <si>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</si>
  <si>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</si>
  <si>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</si>
  <si>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</si>
  <si>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</si>
  <si>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</si>
  <si>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</si>
  <si>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</si>
  <si>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</si>
  <si>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</si>
  <si>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</si>
  <si>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</si>
  <si>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</si>
  <si>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</si>
  <si>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</si>
  <si>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</si>
  <si>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</si>
  <si>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</si>
  <si>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</si>
  <si>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</si>
  <si>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</si>
  <si>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</si>
  <si>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</si>
  <si>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</si>
  <si>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</si>
  <si>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</si>
  <si>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</si>
  <si>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</si>
  <si>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</si>
  <si>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</si>
  <si>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</si>
  <si>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</si>
  <si>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</si>
  <si>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</si>
  <si>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</si>
  <si>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</si>
  <si>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</si>
  <si>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</si>
  <si>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</si>
  <si>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</si>
  <si>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</si>
  <si>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</si>
  <si>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</si>
  <si>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</si>
  <si>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</si>
  <si>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</si>
  <si>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</si>
  <si>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</si>
  <si>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</si>
  <si>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</si>
  <si>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</si>
  <si>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</si>
  <si>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</si>
  <si>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</si>
  <si>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</si>
  <si>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</si>
  <si>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</si>
  <si>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</si>
  <si>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</si>
  <si>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</si>
  <si>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</si>
  <si>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</si>
  <si>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</si>
  <si>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</si>
  <si>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</si>
  <si>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</si>
  <si>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</si>
  <si>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</si>
  <si>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</si>
  <si>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</si>
  <si>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</si>
  <si>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</si>
  <si>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</si>
  <si>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</si>
  <si>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</si>
  <si>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</si>
  <si>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</si>
  <si>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</si>
  <si>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</si>
  <si>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</si>
  <si>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</si>
  <si>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</si>
  <si>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</si>
  <si>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</si>
  <si>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</si>
  <si>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</si>
  <si>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</si>
  <si>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</si>
  <si>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</si>
  <si>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</si>
  <si>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</si>
  <si>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</si>
  <si>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</si>
  <si>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</si>
  <si>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</si>
  <si>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</si>
  <si>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</si>
  <si>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</si>
  <si>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</si>
  <si>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</si>
  <si>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</si>
  <si>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</si>
  <si>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</si>
  <si>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</si>
  <si>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</si>
  <si>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</si>
  <si>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</si>
  <si>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</si>
  <si>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</si>
  <si>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</si>
  <si>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</si>
  <si>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</si>
  <si>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</si>
  <si>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</si>
  <si>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</si>
  <si>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</si>
  <si>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</si>
  <si>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</si>
  <si>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</si>
  <si>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</si>
  <si>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</si>
  <si>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</si>
  <si>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</si>
  <si>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</si>
  <si>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</si>
  <si>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</si>
  <si>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</si>
  <si>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</si>
  <si>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</si>
  <si>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</si>
  <si>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</si>
  <si>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</si>
  <si>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</si>
  <si>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</si>
  <si>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</si>
  <si>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</si>
  <si>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</si>
  <si>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</si>
  <si>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</si>
  <si>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</si>
  <si>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</si>
  <si>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</si>
  <si>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</si>
  <si>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</si>
  <si>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</si>
  <si>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</si>
  <si>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</si>
  <si>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</si>
  <si>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</si>
  <si>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</si>
  <si>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</si>
  <si>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</si>
  <si>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</si>
  <si>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</si>
  <si>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</si>
  <si>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</si>
  <si>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</si>
  <si>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</si>
  <si>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</si>
  <si>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</si>
  <si>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</si>
  <si>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</si>
  <si>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</si>
  <si>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</si>
  <si>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</si>
  <si>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</si>
  <si>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</si>
  <si>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</si>
  <si>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</si>
  <si>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</si>
  <si>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</si>
  <si>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</si>
  <si>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</si>
  <si>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</si>
  <si>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</si>
  <si>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</si>
  <si>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</si>
  <si>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</si>
  <si>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</si>
  <si>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</si>
  <si>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</si>
  <si>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</si>
  <si>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</si>
  <si>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</si>
  <si>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</si>
  <si>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</si>
  <si>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</si>
  <si>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</si>
  <si>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</si>
  <si>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</si>
  <si>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</si>
  <si>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</si>
  <si>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</si>
  <si>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</si>
  <si>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</si>
  <si>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</si>
  <si>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</si>
  <si>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</si>
  <si>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</si>
  <si>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</si>
  <si>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</si>
  <si>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</si>
  <si>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</si>
  <si>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</si>
  <si>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</si>
  <si>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</si>
  <si>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</si>
  <si>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</si>
  <si>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</si>
  <si>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</si>
  <si>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</si>
  <si>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</si>
  <si>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</si>
  <si>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</si>
  <si>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</si>
  <si>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</si>
  <si>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</si>
  <si>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</si>
  <si>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</si>
  <si>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</si>
  <si>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</si>
  <si>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</si>
  <si>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</si>
  <si>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</si>
  <si>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</si>
  <si>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</si>
  <si>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</si>
  <si>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</si>
  <si>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</si>
  <si>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</si>
  <si>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</si>
  <si>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</si>
  <si>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</si>
  <si>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</si>
  <si>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</si>
  <si>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</si>
  <si>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</si>
  <si>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</si>
  <si>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</si>
  <si>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</si>
  <si>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</si>
  <si>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</si>
  <si>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</si>
  <si>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</si>
  <si>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</si>
  <si>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</si>
  <si>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</si>
  <si>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</si>
  <si>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</si>
  <si>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</si>
  <si>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</si>
  <si>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</si>
  <si>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</si>
  <si>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</si>
  <si>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</si>
  <si>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</si>
  <si>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</si>
  <si>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</si>
  <si>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</si>
  <si>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</si>
  <si>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</si>
  <si>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</si>
  <si>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</si>
  <si>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</si>
  <si>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</si>
  <si>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</si>
  <si>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</si>
  <si>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</si>
  <si>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</si>
  <si>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</si>
  <si>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</si>
  <si>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</si>
  <si>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</si>
  <si>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</si>
  <si>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</si>
  <si>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</si>
  <si>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</si>
  <si>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</si>
  <si>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</si>
  <si>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</si>
  <si>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</si>
  <si>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</si>
  <si>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</si>
  <si>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</si>
  <si>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</si>
  <si>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</si>
  <si>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</si>
  <si>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</si>
  <si>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</si>
  <si>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</si>
  <si>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</si>
  <si>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</si>
  <si>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</si>
  <si>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</si>
  <si>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</si>
  <si>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</si>
  <si>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</si>
  <si>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</si>
  <si>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</si>
  <si>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</si>
  <si>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</si>
  <si>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</si>
  <si>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</si>
  <si>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</si>
  <si>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</si>
  <si>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</si>
  <si>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</si>
  <si>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</si>
  <si>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</si>
  <si>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</si>
  <si>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</si>
  <si>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</si>
  <si>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</si>
  <si>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</si>
  <si>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</si>
  <si>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</si>
  <si>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</si>
  <si>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</si>
  <si>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</si>
  <si>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</si>
  <si>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</si>
  <si>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</si>
  <si>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</si>
  <si>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</si>
  <si>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</si>
  <si>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</si>
  <si>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</si>
  <si>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</si>
  <si>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</si>
  <si>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</si>
  <si>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</si>
  <si>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</si>
  <si>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</si>
  <si>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</si>
  <si>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</si>
  <si>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</si>
  <si>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</si>
  <si>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</si>
  <si>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</si>
  <si>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</si>
  <si>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</si>
  <si>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</si>
  <si>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</si>
  <si>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</si>
  <si>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</si>
  <si>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</si>
  <si>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</si>
  <si>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</si>
  <si>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</si>
  <si>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</si>
  <si>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</si>
  <si>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</si>
  <si>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</si>
  <si>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</si>
  <si>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</si>
  <si>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</si>
  <si>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</si>
  <si>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</si>
  <si>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</si>
  <si>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</si>
  <si>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</si>
  <si>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</si>
  <si>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</si>
  <si>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</si>
  <si>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</si>
  <si>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</si>
  <si>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</si>
  <si>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</si>
  <si>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</si>
  <si>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</si>
  <si>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</si>
  <si>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</si>
  <si>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</si>
  <si>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</si>
  <si>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</si>
  <si>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</si>
  <si>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</si>
  <si>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</si>
  <si>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</si>
  <si>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</si>
  <si>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</si>
  <si>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</si>
  <si>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</si>
  <si>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</si>
  <si>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</si>
  <si>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</si>
  <si>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</si>
  <si>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</si>
  <si>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</si>
  <si>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</si>
  <si>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</si>
  <si>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</si>
  <si>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</si>
  <si>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</si>
  <si>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</si>
  <si>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</si>
  <si>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</si>
  <si>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</si>
  <si>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</si>
  <si>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</si>
  <si>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</si>
  <si>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</si>
  <si>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</si>
  <si>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</si>
  <si>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</si>
  <si>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</si>
  <si>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</si>
  <si>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</si>
  <si>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</si>
  <si>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</si>
  <si>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</si>
  <si>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</si>
  <si>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</si>
  <si>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</si>
  <si>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</si>
  <si>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</si>
  <si>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</si>
  <si>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</si>
  <si>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</si>
  <si>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</si>
  <si>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</si>
  <si>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</si>
  <si>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</si>
  <si>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</si>
  <si>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</si>
  <si>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</si>
  <si>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</si>
  <si>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</si>
  <si>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</si>
  <si>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</si>
  <si>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</si>
  <si>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</si>
  <si>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</si>
  <si>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</si>
  <si>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</si>
  <si>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</si>
  <si>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</si>
  <si>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</si>
  <si>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</si>
  <si>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</si>
  <si>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</si>
  <si>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</si>
  <si>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</si>
  <si>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</si>
  <si>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</si>
  <si>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</si>
  <si>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</si>
  <si>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</si>
  <si>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</si>
  <si>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</si>
  <si>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</si>
  <si>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</si>
  <si>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</si>
  <si>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</si>
  <si>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</si>
  <si>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</si>
  <si>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</si>
  <si>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</si>
  <si>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</si>
  <si>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</si>
  <si>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</si>
  <si>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</si>
  <si>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</si>
  <si>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</si>
  <si>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</si>
  <si>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</si>
  <si>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</si>
  <si>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</si>
  <si>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</si>
  <si>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</si>
  <si>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</si>
  <si>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</si>
  <si>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</si>
  <si>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</si>
  <si>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</si>
  <si>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</si>
  <si>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</si>
  <si>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</si>
  <si>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</si>
  <si>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</si>
  <si>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</si>
  <si>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</si>
  <si>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</si>
  <si>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</si>
  <si>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</si>
  <si>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</si>
  <si>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</si>
  <si>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</si>
  <si>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</si>
  <si>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</si>
  <si>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</si>
  <si>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</si>
  <si>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</si>
  <si>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</si>
  <si>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</si>
  <si>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</si>
  <si>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</si>
  <si>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</si>
  <si>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</si>
  <si>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</si>
  <si>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</si>
  <si>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</si>
  <si>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</si>
  <si>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</si>
  <si>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</si>
  <si>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</si>
  <si>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</si>
  <si>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</si>
  <si>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</si>
  <si>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</si>
  <si>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</si>
  <si>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</si>
  <si>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</si>
  <si>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</si>
  <si>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</si>
  <si>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</si>
  <si>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</si>
  <si>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</si>
  <si>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</si>
  <si>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</si>
  <si>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</si>
  <si>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</si>
  <si>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</si>
  <si>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</si>
  <si>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</si>
  <si>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</si>
  <si>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</si>
  <si>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</si>
  <si>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</si>
  <si>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</si>
  <si>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</si>
  <si>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</si>
  <si>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</si>
  <si>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</si>
  <si>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</si>
  <si>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</si>
  <si>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</si>
  <si>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</si>
  <si>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</si>
  <si>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</si>
  <si>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</si>
  <si>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</si>
  <si>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</si>
  <si>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</si>
  <si>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</si>
  <si>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</si>
  <si>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</si>
  <si>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</si>
  <si>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</si>
  <si>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</si>
  <si>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</si>
  <si>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</si>
  <si>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</si>
  <si>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</si>
  <si>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</si>
  <si>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</si>
  <si>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</si>
  <si>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</si>
  <si>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</si>
  <si>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</si>
  <si>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</si>
  <si>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</si>
  <si>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</si>
  <si>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</si>
  <si>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</si>
  <si>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</si>
  <si>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</si>
  <si>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</si>
  <si>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</si>
  <si>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</si>
  <si>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</si>
  <si>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</si>
  <si>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</si>
  <si>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</si>
  <si>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</si>
  <si>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</si>
  <si>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</si>
  <si>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</si>
  <si>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</si>
  <si>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</si>
  <si>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</si>
  <si>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</si>
  <si>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</si>
  <si>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</si>
  <si>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</si>
  <si>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</si>
  <si>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</si>
  <si>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</si>
  <si>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</si>
  <si>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</si>
  <si>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</si>
  <si>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</si>
  <si>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</si>
  <si>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</si>
  <si>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</si>
  <si>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</si>
  <si>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</si>
  <si>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</si>
  <si>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</si>
  <si>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</si>
  <si>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</si>
  <si>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</si>
  <si>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</si>
  <si>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</si>
  <si>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</si>
  <si>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</si>
  <si>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</si>
  <si>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</si>
  <si>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</si>
  <si>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</si>
  <si>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</si>
  <si>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</si>
  <si>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</si>
  <si>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</si>
  <si>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</si>
  <si>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</si>
  <si>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</si>
  <si>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</si>
  <si>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</si>
  <si>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</si>
  <si>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</si>
  <si>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</si>
  <si>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</si>
  <si>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</si>
  <si>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</si>
  <si>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</si>
  <si>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</si>
  <si>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</si>
  <si>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</si>
  <si>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</si>
  <si>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</si>
  <si>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</si>
  <si>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</si>
  <si>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</si>
  <si>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</si>
  <si>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</si>
  <si>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</si>
  <si>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</si>
  <si>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</si>
  <si>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</si>
  <si>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</si>
  <si>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</si>
  <si>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</si>
  <si>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</si>
  <si>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</si>
  <si>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</si>
  <si>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</si>
  <si>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</si>
  <si>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</si>
  <si>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</si>
  <si>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</si>
  <si>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</si>
  <si>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</si>
  <si>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</si>
  <si>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</si>
  <si>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</si>
  <si>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</si>
  <si>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</si>
  <si>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</si>
  <si>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</si>
  <si>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</si>
  <si>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</si>
  <si>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</si>
  <si>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</si>
  <si>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</si>
  <si>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</si>
  <si>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</si>
  <si>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</si>
  <si>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</si>
  <si>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</si>
  <si>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</si>
  <si>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</si>
  <si>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</si>
  <si>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</si>
  <si>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</si>
  <si>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</si>
  <si>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</si>
  <si>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</si>
  <si>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</si>
  <si>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</si>
  <si>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</si>
  <si>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</si>
  <si>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</si>
  <si>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</si>
  <si>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</si>
  <si>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</si>
  <si>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</si>
  <si>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</si>
  <si>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</si>
  <si>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</si>
  <si>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</si>
  <si>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</si>
  <si>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</si>
  <si>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</si>
  <si>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</si>
  <si>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</si>
  <si>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</si>
  <si>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</si>
  <si>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</si>
  <si>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</si>
  <si>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</si>
  <si>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</si>
  <si>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</si>
  <si>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</si>
  <si>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</si>
  <si>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</si>
  <si>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</si>
  <si>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</si>
  <si>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</si>
  <si>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</si>
  <si>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</si>
  <si>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</si>
  <si>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</si>
  <si>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</si>
  <si>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</si>
  <si>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</si>
  <si>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</si>
  <si>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</si>
  <si>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</si>
  <si>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</si>
  <si>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</si>
  <si>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</si>
  <si>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</si>
  <si>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</si>
  <si>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</si>
  <si>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</si>
  <si>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</si>
  <si>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</si>
  <si>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</si>
  <si>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</si>
  <si>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</si>
  <si>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</si>
  <si>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</si>
  <si>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</si>
  <si>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</si>
  <si>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</si>
  <si>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</si>
  <si>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</si>
  <si>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</si>
  <si>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</si>
  <si>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</si>
  <si>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</si>
  <si>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</si>
  <si>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</si>
  <si>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</si>
  <si>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</si>
  <si>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</si>
  <si>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</si>
  <si>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</si>
  <si>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</si>
  <si>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</si>
  <si>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</si>
  <si>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</si>
  <si>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</si>
  <si>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</si>
  <si>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</si>
  <si>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</si>
  <si>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</si>
  <si>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</si>
  <si>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</si>
  <si>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</si>
  <si>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</si>
  <si>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</si>
  <si>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</si>
  <si>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</si>
  <si>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</si>
  <si>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</si>
  <si>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</si>
  <si>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</si>
  <si>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</si>
  <si>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</si>
  <si>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</si>
  <si>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</si>
  <si>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</si>
  <si>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</si>
  <si>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</si>
  <si>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</si>
  <si>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</si>
  <si>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</si>
  <si>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</si>
  <si>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</si>
  <si>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</si>
  <si>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</si>
  <si>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</si>
  <si>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</si>
  <si>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</si>
  <si>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</si>
  <si>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</si>
  <si>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</si>
  <si>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</si>
  <si>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</si>
  <si>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</si>
  <si>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</si>
  <si>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</si>
  <si>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</si>
  <si>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</si>
  <si>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</si>
  <si>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</si>
  <si>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</si>
  <si>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</si>
  <si>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</si>
  <si>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</si>
  <si>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</si>
  <si>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</si>
  <si>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</si>
  <si>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</si>
  <si>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</si>
  <si>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</si>
  <si>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</si>
  <si>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</si>
  <si>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</si>
  <si>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</si>
  <si>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</si>
  <si>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</si>
  <si>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</si>
  <si>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</si>
  <si>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</si>
  <si>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</si>
  <si>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</si>
  <si>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</si>
  <si>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</si>
  <si>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</si>
  <si>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</si>
  <si>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</si>
  <si>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</si>
  <si>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</si>
  <si>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</si>
  <si>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</si>
  <si>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</si>
  <si>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</si>
  <si>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</si>
  <si>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</si>
  <si>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</si>
  <si>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</si>
  <si>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</si>
  <si>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</si>
  <si>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</si>
  <si>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</si>
  <si>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</si>
  <si>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</si>
  <si>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</si>
  <si>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</si>
  <si>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</si>
  <si>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</si>
  <si>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</si>
  <si>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</si>
  <si>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</si>
  <si>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</si>
  <si>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</si>
  <si>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</si>
  <si>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</si>
  <si>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</si>
  <si>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</si>
  <si>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</si>
  <si>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</si>
  <si>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</si>
  <si>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</si>
  <si>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</si>
  <si>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</si>
  <si>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</si>
  <si>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</si>
  <si>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</si>
  <si>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</si>
  <si>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</si>
  <si>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</si>
  <si>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</si>
  <si>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</si>
  <si>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</si>
  <si>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</si>
  <si>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</si>
  <si>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</si>
  <si>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</si>
  <si>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</si>
  <si>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</si>
  <si>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</si>
  <si>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</si>
  <si>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</si>
  <si>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</si>
  <si>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</si>
  <si>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</si>
  <si>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</si>
  <si>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</si>
  <si>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</si>
  <si>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</si>
  <si>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</si>
  <si>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</si>
  <si>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</si>
  <si>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</si>
  <si>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</si>
  <si>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</si>
  <si>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</si>
  <si>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</si>
  <si>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</si>
  <si>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</si>
  <si>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</si>
  <si>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</si>
  <si>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</si>
  <si>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</si>
  <si>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</si>
  <si>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</si>
  <si>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</si>
  <si>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</si>
  <si>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</si>
  <si>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</si>
  <si>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</si>
  <si>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</si>
  <si>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</si>
  <si>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</si>
  <si>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</si>
  <si>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</si>
  <si>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</si>
  <si>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</si>
  <si>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</si>
  <si>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</si>
  <si>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</si>
  <si>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</si>
  <si>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</si>
  <si>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</si>
  <si>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</si>
  <si>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</si>
  <si>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</si>
  <si>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</si>
  <si>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</si>
  <si>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</si>
  <si>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</si>
  <si>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</si>
  <si>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</si>
  <si>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</si>
  <si>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</si>
  <si>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</si>
  <si>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</si>
  <si>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</si>
  <si>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</si>
  <si>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</si>
  <si>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</si>
  <si>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</si>
  <si>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</si>
  <si>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</si>
  <si>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</si>
  <si>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</si>
  <si>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</si>
  <si>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</si>
  <si>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</si>
  <si>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</si>
  <si>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</si>
  <si>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</si>
  <si>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</si>
  <si>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</si>
  <si>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</si>
  <si>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</si>
  <si>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</si>
  <si>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</si>
  <si>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</si>
  <si>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</si>
  <si>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</si>
  <si>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</si>
  <si>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</si>
  <si>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</si>
  <si>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</si>
  <si>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</si>
  <si>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</si>
  <si>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</si>
  <si>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</si>
  <si>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</si>
  <si>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</si>
  <si>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</si>
  <si>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</si>
  <si>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</si>
  <si>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</si>
  <si>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</si>
  <si>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</si>
  <si>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</si>
  <si>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</si>
  <si>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</si>
  <si>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</si>
  <si>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</si>
  <si>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</si>
  <si>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</si>
  <si>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</si>
  <si>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</si>
  <si>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</si>
  <si>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</si>
  <si>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</si>
  <si>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</si>
  <si>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</si>
  <si>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</si>
  <si>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</si>
  <si>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</si>
  <si>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</si>
  <si>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</si>
  <si>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</si>
  <si>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</si>
  <si>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</si>
  <si>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</si>
  <si>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</si>
  <si>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</si>
  <si>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</si>
  <si>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</si>
  <si>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</si>
  <si>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</si>
  <si>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</si>
  <si>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</si>
  <si>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</si>
  <si>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</si>
  <si>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</si>
  <si>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</si>
  <si>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</si>
  <si>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</si>
  <si>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</si>
  <si>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</si>
  <si>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</si>
  <si>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</si>
  <si>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</si>
  <si>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</si>
  <si>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</si>
  <si>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</si>
  <si>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</si>
  <si>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</si>
  <si>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</si>
  <si>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</si>
  <si>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</si>
  <si>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</si>
  <si>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</si>
  <si>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</si>
  <si>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</si>
  <si>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</si>
  <si>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</si>
  <si>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</si>
  <si>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</si>
  <si>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</si>
  <si>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</si>
  <si>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</si>
  <si>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</si>
  <si>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</si>
  <si>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</si>
  <si>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</si>
  <si>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</si>
  <si>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</si>
  <si>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</si>
  <si>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</si>
  <si>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</si>
  <si>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</si>
  <si>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</si>
  <si>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</si>
  <si>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</si>
  <si>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</si>
  <si>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</si>
  <si>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</si>
  <si>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</si>
  <si>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</si>
  <si>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</si>
  <si>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</si>
  <si>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</si>
  <si>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</si>
  <si>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</si>
  <si>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</si>
  <si>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</si>
  <si>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</si>
  <si>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</si>
  <si>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</si>
  <si>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</si>
  <si>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</si>
  <si>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</si>
  <si>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</si>
  <si>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</si>
  <si>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</si>
  <si>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</si>
  <si>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</si>
  <si>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</si>
  <si>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</si>
  <si>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</si>
  <si>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</si>
  <si>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</si>
  <si>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</si>
  <si>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</si>
  <si>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</si>
  <si>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</si>
  <si>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</si>
  <si>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</si>
  <si>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</si>
  <si>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</si>
  <si>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</si>
  <si>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</si>
  <si>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</si>
  <si>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</si>
  <si>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</si>
  <si>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</si>
  <si>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</si>
  <si>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</si>
  <si>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</si>
  <si>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</si>
  <si>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</si>
  <si>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</si>
  <si>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</si>
  <si>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</si>
  <si>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</si>
  <si>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</si>
  <si>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</si>
  <si>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</si>
  <si>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</si>
  <si>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</si>
  <si>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</si>
  <si>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</si>
  <si>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</si>
  <si>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</si>
  <si>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</si>
  <si>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</si>
  <si>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</si>
  <si>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</si>
  <si>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</si>
  <si>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</si>
  <si>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</si>
  <si>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</si>
  <si>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</si>
  <si>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</si>
  <si>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</si>
  <si>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</si>
  <si>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</si>
  <si>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</si>
  <si>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</si>
  <si>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</si>
  <si>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</si>
  <si>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</si>
  <si>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</si>
  <si>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</si>
  <si>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</si>
  <si>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</si>
  <si>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</si>
  <si>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</si>
  <si>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</si>
  <si>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</si>
  <si>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</si>
  <si>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</si>
  <si>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</si>
  <si>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</si>
  <si>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</si>
  <si>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</si>
  <si>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</si>
  <si>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</si>
  <si>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</si>
  <si>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</si>
  <si>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</si>
  <si>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</si>
  <si>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</si>
  <si>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</si>
  <si>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</si>
  <si>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</si>
  <si>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</si>
  <si>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</si>
  <si>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</si>
  <si>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</si>
  <si>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</si>
  <si>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</si>
  <si>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</si>
  <si>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</si>
  <si>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</si>
  <si>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</si>
  <si>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</si>
  <si>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</si>
  <si>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</si>
  <si>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</si>
  <si>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</si>
  <si>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</si>
  <si>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</si>
  <si>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</si>
  <si>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</si>
  <si>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</si>
  <si>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</si>
  <si>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</si>
  <si>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</si>
  <si>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</si>
  <si>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</si>
  <si>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</si>
  <si>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</si>
  <si>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</si>
  <si>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</si>
  <si>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</si>
  <si>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</si>
  <si>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</si>
  <si>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</si>
  <si>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</si>
  <si>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</si>
  <si>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</si>
  <si>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</si>
  <si>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</si>
  <si>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</si>
  <si>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</si>
  <si>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</si>
  <si>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</si>
  <si>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</si>
  <si>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</si>
  <si>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</si>
  <si>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</si>
  <si>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</si>
  <si>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</si>
  <si>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</si>
  <si>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</si>
  <si>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</si>
  <si>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</si>
  <si>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</si>
  <si>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</si>
  <si>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</si>
  <si>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</si>
  <si>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</si>
  <si>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</si>
  <si>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</si>
  <si>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</si>
  <si>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</si>
  <si>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</si>
  <si>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</si>
  <si>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</si>
  <si>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</si>
  <si>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</si>
  <si>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</si>
  <si>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</si>
  <si>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</si>
  <si>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</si>
  <si>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</si>
  <si>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</si>
  <si>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</si>
  <si>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</si>
  <si>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</si>
  <si>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</si>
  <si>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</si>
  <si>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</si>
  <si>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</si>
  <si>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</si>
  <si>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</si>
  <si>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</si>
  <si>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</si>
  <si>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</si>
  <si>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</si>
  <si>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</si>
  <si>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</si>
  <si>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</si>
  <si>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</si>
  <si>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</si>
  <si>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</si>
  <si>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</si>
  <si>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</si>
  <si>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</si>
  <si>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</si>
  <si>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</si>
  <si>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</si>
  <si>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</si>
  <si>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</si>
  <si>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</si>
  <si>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</si>
  <si>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</si>
  <si>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</si>
  <si>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</si>
  <si>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</si>
  <si>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</si>
  <si>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</si>
  <si>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</si>
  <si>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</si>
  <si>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</si>
  <si>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</si>
  <si>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</si>
  <si>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</si>
  <si>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</si>
  <si>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</si>
  <si>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</si>
  <si>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</si>
  <si>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</si>
  <si>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</si>
  <si>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</si>
  <si>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</si>
  <si>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</si>
  <si>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</si>
  <si>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</si>
  <si>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</si>
  <si>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</si>
  <si>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</si>
  <si>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</si>
  <si>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</si>
  <si>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</si>
  <si>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</si>
  <si>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</si>
  <si>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</si>
  <si>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</si>
  <si>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</si>
  <si>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</si>
  <si>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</si>
  <si>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</si>
  <si>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</si>
  <si>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</si>
  <si>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</si>
  <si>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</si>
  <si>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</si>
  <si>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</si>
  <si>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</si>
  <si>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</si>
  <si>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</si>
  <si>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</si>
  <si>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</si>
  <si>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</si>
  <si>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</si>
  <si>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</si>
  <si>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</si>
  <si>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</si>
  <si>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</si>
  <si>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</si>
  <si>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</si>
  <si>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</si>
  <si>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</si>
  <si>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</si>
  <si>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</si>
  <si>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</si>
  <si>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</si>
  <si>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</si>
  <si>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</si>
  <si>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</si>
  <si>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</si>
  <si>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</si>
  <si>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</si>
  <si>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</si>
  <si>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</si>
  <si>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</si>
  <si>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</si>
  <si>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</si>
  <si>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</si>
  <si>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</si>
  <si>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</si>
  <si>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</si>
  <si>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</si>
  <si>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</si>
  <si>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</si>
  <si>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</si>
  <si>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</si>
  <si>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</si>
  <si>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</si>
  <si>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</si>
  <si>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</si>
  <si>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</si>
  <si>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</si>
  <si>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</si>
  <si>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</si>
  <si>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</si>
  <si>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</si>
  <si>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</si>
  <si>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</si>
  <si>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</si>
  <si>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</si>
  <si>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</si>
  <si>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</si>
  <si>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</si>
  <si>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</si>
  <si>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</si>
  <si>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</si>
  <si>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</si>
  <si>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</si>
  <si>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</si>
  <si>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</si>
  <si>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</si>
  <si>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</si>
  <si>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</si>
  <si>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</si>
  <si>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</si>
  <si>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</si>
  <si>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</si>
  <si>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</si>
  <si>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</si>
  <si>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</si>
  <si>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</si>
  <si>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</si>
  <si>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</si>
  <si>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</si>
  <si>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</si>
  <si>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</si>
  <si>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</si>
  <si>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</si>
  <si>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</si>
  <si>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</si>
  <si>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</si>
  <si>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</si>
  <si>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</si>
  <si>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</si>
  <si>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</si>
  <si>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</si>
  <si>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</si>
  <si>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</si>
  <si>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</si>
  <si>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</si>
  <si>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</si>
  <si>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</si>
  <si>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</si>
  <si>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</si>
  <si>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</si>
  <si>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</si>
  <si>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</si>
  <si>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</si>
  <si>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</si>
  <si>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</si>
  <si>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</si>
  <si>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</si>
  <si>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</si>
  <si>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</si>
  <si>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</si>
  <si>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</si>
  <si>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</si>
  <si>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</si>
  <si>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</si>
  <si>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</si>
  <si>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</si>
  <si>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</si>
  <si>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</si>
  <si>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</si>
  <si>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</si>
  <si>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</si>
  <si>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</si>
  <si>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</si>
  <si>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</si>
  <si>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</si>
  <si>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</si>
  <si>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</si>
  <si>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</si>
  <si>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</si>
  <si>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</si>
  <si>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</si>
  <si>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</si>
  <si>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</si>
  <si>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</si>
  <si>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</si>
  <si>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</si>
  <si>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</si>
  <si>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</si>
  <si>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</si>
  <si>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</si>
  <si>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</si>
  <si>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</si>
  <si>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</si>
  <si>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</si>
  <si>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</si>
  <si>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</si>
  <si>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</si>
  <si>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</si>
  <si>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</si>
  <si>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</si>
  <si>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</si>
  <si>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</si>
  <si>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</si>
  <si>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</si>
  <si>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</si>
  <si>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</si>
  <si>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</si>
  <si>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</si>
  <si>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</si>
  <si>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</si>
  <si>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</si>
  <si>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</si>
  <si>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</si>
  <si>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</si>
  <si>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</si>
  <si>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</si>
  <si>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</si>
  <si>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</si>
  <si>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</si>
  <si>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</si>
  <si>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</si>
  <si>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</si>
  <si>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</si>
  <si>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</si>
  <si>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</si>
  <si>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</si>
  <si>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</si>
  <si>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</si>
  <si>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</si>
  <si>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</si>
  <si>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</si>
  <si>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</si>
  <si>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</si>
  <si>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</si>
  <si>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</si>
  <si>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</si>
  <si>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</si>
  <si>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</si>
  <si>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</si>
  <si>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</si>
  <si>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</si>
  <si>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</si>
  <si>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</si>
  <si>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</si>
  <si>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</si>
  <si>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</si>
  <si>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</si>
  <si>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</si>
  <si>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</si>
  <si>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</si>
  <si>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</si>
  <si>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</si>
  <si>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</si>
  <si>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</si>
  <si>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</si>
  <si>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</si>
  <si>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</si>
  <si>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</si>
  <si>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</si>
  <si>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</si>
  <si>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</si>
  <si>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</si>
  <si>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</si>
  <si>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</si>
  <si>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</si>
  <si>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</si>
  <si>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</si>
  <si>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</si>
  <si>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</si>
  <si>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</si>
  <si>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</si>
  <si>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</si>
  <si>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</si>
  <si>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</si>
  <si>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</si>
  <si>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</si>
  <si>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</si>
  <si>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</si>
  <si>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</si>
  <si>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</si>
  <si>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</si>
  <si>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</si>
  <si>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</si>
  <si>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</si>
  <si>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</si>
  <si>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</si>
  <si>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</si>
  <si>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</si>
  <si>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</si>
  <si>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</si>
  <si>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</si>
  <si>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</si>
  <si>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</si>
  <si>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</si>
  <si>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</si>
  <si>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</si>
  <si>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</si>
  <si>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</si>
  <si>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</si>
  <si>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</si>
  <si>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</si>
  <si>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</si>
  <si>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</si>
  <si>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</si>
  <si>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</si>
  <si>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</si>
  <si>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</si>
  <si>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</si>
  <si>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</si>
  <si>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</si>
  <si>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</si>
  <si>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</si>
  <si>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</si>
  <si>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</si>
  <si>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</si>
  <si>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</si>
  <si>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</si>
  <si>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</si>
  <si>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</si>
  <si>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</si>
  <si>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</si>
  <si>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</si>
  <si>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</si>
  <si>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</si>
  <si>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</si>
  <si>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</si>
  <si>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</si>
  <si>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</si>
  <si>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</si>
  <si>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</si>
  <si>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</si>
  <si>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</si>
  <si>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</si>
  <si>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</si>
  <si>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</si>
  <si>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</si>
  <si>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</si>
  <si>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</si>
  <si>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</si>
  <si>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</si>
  <si>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</si>
  <si>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</si>
  <si>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</si>
  <si>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</si>
  <si>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</si>
  <si>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</si>
  <si>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</si>
  <si>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</si>
  <si>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</si>
  <si>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</si>
  <si>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</si>
  <si>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</si>
  <si>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</si>
  <si>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</si>
  <si>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</si>
  <si>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</si>
  <si>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</si>
  <si>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</si>
  <si>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</si>
  <si>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</si>
  <si>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</si>
  <si>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</si>
  <si>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</si>
  <si>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</si>
  <si>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</si>
  <si>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</si>
  <si>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</si>
  <si>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</si>
  <si>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</si>
  <si>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</si>
  <si>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</si>
  <si>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</si>
  <si>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</si>
  <si>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</si>
  <si>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</si>
  <si>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</si>
  <si>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</si>
  <si>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</si>
  <si>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</si>
  <si>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</si>
  <si>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</si>
  <si>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</si>
  <si>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</si>
  <si>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</si>
  <si>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</si>
  <si>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</si>
  <si>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</si>
  <si>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</si>
  <si>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</si>
  <si>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</si>
  <si>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</si>
  <si>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</si>
  <si>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</si>
  <si>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</si>
  <si>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</si>
  <si>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</si>
  <si>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</si>
  <si>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</si>
  <si>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</si>
  <si>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</si>
  <si>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</si>
  <si>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</si>
  <si>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</si>
  <si>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</si>
  <si>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</si>
  <si>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</si>
  <si>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</si>
  <si>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</si>
  <si>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</si>
  <si>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</si>
  <si>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</si>
  <si>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</si>
  <si>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</si>
  <si>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</si>
  <si>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</si>
  <si>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</si>
  <si>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</si>
  <si>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</si>
  <si>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</si>
  <si>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</si>
  <si>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</si>
  <si>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</si>
  <si>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</si>
  <si>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</si>
  <si>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</si>
  <si>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</si>
  <si>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</si>
  <si>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</si>
  <si>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</si>
  <si>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</si>
  <si>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</si>
  <si>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</si>
  <si>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</si>
  <si>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</si>
  <si>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</si>
  <si>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</si>
  <si>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</si>
  <si>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</si>
  <si>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</si>
  <si>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</si>
  <si>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</si>
  <si>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</si>
  <si>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</si>
  <si>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</si>
  <si>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</si>
  <si>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</si>
  <si>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</si>
  <si>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</si>
  <si>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</si>
  <si>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</si>
  <si>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</si>
  <si>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</si>
  <si>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</si>
  <si>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</si>
  <si>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</si>
  <si>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</si>
  <si>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</si>
  <si>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</si>
  <si>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</si>
  <si>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</si>
  <si>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</si>
  <si>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</si>
  <si>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</si>
  <si>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</si>
  <si>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</si>
  <si>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</si>
  <si>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</si>
  <si>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</si>
  <si>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</si>
  <si>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</si>
  <si>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</si>
  <si>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</si>
  <si>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</si>
  <si>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</si>
  <si>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</si>
  <si>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</si>
  <si>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</si>
  <si>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</si>
  <si>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</si>
  <si>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</si>
  <si>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</si>
  <si>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</si>
  <si>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</si>
  <si>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</si>
  <si>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</si>
  <si>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</si>
  <si>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</si>
  <si>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</si>
  <si>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</si>
  <si>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</si>
  <si>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</si>
  <si>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</si>
  <si>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</si>
  <si>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</si>
  <si>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</si>
  <si>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</si>
  <si>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</si>
  <si>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</si>
  <si>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</si>
  <si>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</si>
  <si>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</si>
  <si>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</si>
  <si>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</si>
  <si>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</si>
  <si>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</si>
  <si>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</si>
  <si>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</si>
  <si>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</si>
  <si>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</si>
  <si>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</si>
  <si>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</si>
  <si>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</si>
  <si>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</si>
  <si>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</si>
  <si>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</si>
  <si>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</si>
  <si>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</si>
  <si>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</si>
  <si>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</si>
  <si>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</si>
  <si>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</si>
  <si>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</si>
  <si>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</si>
  <si>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</si>
  <si>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</si>
  <si>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</si>
  <si>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</si>
  <si>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</si>
  <si>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</si>
  <si>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</si>
  <si>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</si>
  <si>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</si>
  <si>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</si>
  <si>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</si>
  <si>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</si>
  <si>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</si>
  <si>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</si>
  <si>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</si>
  <si>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</si>
  <si>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</si>
  <si>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</si>
  <si>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</si>
  <si>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</si>
  <si>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</si>
  <si>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</si>
  <si>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</si>
  <si>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</si>
  <si>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</si>
  <si>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</si>
  <si>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</si>
  <si>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</si>
  <si>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</si>
  <si>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</si>
  <si>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</si>
  <si>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</si>
  <si>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</si>
  <si>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</si>
  <si>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</si>
  <si>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</si>
  <si>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</si>
  <si>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</si>
  <si>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</si>
  <si>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</si>
  <si>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</si>
  <si>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</si>
  <si>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</si>
  <si>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</si>
  <si>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</si>
  <si>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</si>
  <si>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</si>
  <si>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</si>
  <si>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</si>
  <si>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</si>
  <si>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</si>
  <si>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</si>
  <si>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</si>
  <si>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</si>
  <si>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</si>
  <si>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</si>
  <si>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</si>
  <si>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</si>
  <si>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</si>
  <si>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</si>
  <si>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</si>
  <si>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</si>
  <si>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</si>
  <si>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</si>
  <si>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</si>
  <si>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</si>
  <si>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</si>
  <si>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</si>
  <si>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</si>
  <si>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</si>
  <si>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</si>
  <si>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</si>
  <si>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</si>
  <si>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</si>
  <si>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</si>
  <si>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</si>
  <si>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</si>
  <si>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</si>
  <si>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</si>
  <si>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</si>
  <si>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</si>
  <si>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</si>
  <si>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</si>
  <si>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</si>
  <si>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</si>
  <si>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</si>
  <si>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</si>
  <si>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</si>
  <si>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</si>
  <si>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</si>
  <si>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</si>
  <si>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</si>
  <si>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</si>
  <si>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</si>
  <si>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</si>
  <si>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</si>
  <si>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</si>
  <si>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</si>
  <si>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</si>
  <si>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</si>
  <si>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</si>
  <si>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</si>
  <si>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</si>
  <si>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</si>
  <si>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</si>
  <si>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</si>
  <si>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</si>
  <si>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</si>
  <si>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</si>
  <si>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</si>
  <si>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</si>
  <si>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</si>
  <si>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</si>
  <si>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</si>
  <si>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</si>
  <si>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</si>
  <si>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</si>
  <si>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</si>
  <si>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</si>
  <si>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</si>
  <si>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</si>
  <si>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</si>
  <si>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</si>
  <si>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</si>
  <si>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</si>
  <si>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</si>
  <si>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</si>
  <si>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</si>
  <si>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</si>
  <si>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</si>
  <si>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</si>
  <si>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</si>
  <si>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</si>
  <si>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</si>
  <si>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</si>
  <si>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</si>
  <si>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</si>
  <si>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</si>
  <si>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</si>
  <si>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</si>
  <si>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</si>
  <si>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</si>
  <si>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</si>
  <si>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</si>
  <si>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</si>
  <si>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</si>
  <si>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</si>
  <si>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</si>
  <si>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</si>
  <si>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</si>
  <si>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</si>
  <si>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</si>
  <si>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</si>
  <si>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</si>
  <si>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</si>
  <si>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</si>
  <si>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</si>
  <si>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</si>
  <si>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</si>
  <si>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</si>
  <si>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</si>
  <si>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</si>
  <si>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</si>
  <si>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</si>
  <si>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</si>
  <si>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</si>
  <si>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</si>
  <si>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</si>
  <si>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</si>
  <si>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</si>
  <si>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</si>
  <si>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</si>
  <si>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</si>
  <si>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</si>
  <si>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</si>
  <si>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</si>
  <si>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</si>
  <si>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</si>
  <si>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</si>
  <si>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</si>
  <si>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</si>
  <si>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</si>
  <si>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</si>
  <si>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</si>
  <si>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</si>
  <si>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</si>
  <si>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</si>
  <si>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</si>
  <si>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</si>
  <si>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</si>
  <si>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</si>
  <si>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</si>
  <si>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</si>
  <si>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</si>
  <si>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</si>
  <si>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</si>
  <si>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</si>
  <si>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</si>
  <si>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</si>
  <si>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</si>
  <si>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</si>
  <si>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</si>
  <si>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</si>
  <si>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</si>
  <si>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</si>
  <si>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</si>
  <si>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</si>
  <si>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</si>
  <si>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</si>
  <si>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</si>
  <si>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</si>
  <si>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</si>
  <si>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</si>
  <si>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</si>
  <si>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</si>
  <si>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</si>
  <si>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</si>
  <si>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</si>
  <si>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</si>
  <si>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</si>
  <si>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</si>
  <si>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</si>
  <si>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</si>
  <si>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</si>
  <si>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</si>
  <si>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</si>
  <si>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</si>
  <si>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</si>
  <si>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</si>
  <si>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</si>
  <si>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</si>
  <si>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</si>
  <si>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</si>
  <si>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</si>
  <si>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</si>
  <si>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</si>
  <si>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</si>
  <si>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</si>
  <si>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</si>
  <si>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</si>
  <si>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</si>
  <si>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</si>
  <si>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</si>
  <si>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</si>
  <si>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</si>
  <si>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</si>
  <si>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</si>
  <si>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</si>
  <si>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</si>
  <si>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</si>
  <si>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</si>
  <si>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</si>
  <si>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</si>
  <si>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</si>
  <si>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</si>
  <si>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</si>
  <si>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</si>
  <si>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</si>
  <si>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</si>
  <si>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</si>
  <si>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</si>
  <si>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</si>
  <si>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</si>
  <si>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</si>
  <si>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</si>
  <si>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</si>
  <si>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</si>
  <si>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</si>
  <si>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</si>
  <si>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</si>
  <si>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</si>
  <si>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</si>
  <si>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</si>
  <si>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</si>
  <si>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</si>
  <si>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</si>
  <si>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</si>
  <si>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</si>
  <si>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</si>
  <si>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</si>
  <si>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</si>
  <si>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</si>
  <si>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</si>
  <si>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</si>
  <si>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</si>
  <si>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</si>
  <si>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</si>
  <si>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</si>
  <si>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</si>
  <si>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</si>
  <si>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</si>
  <si>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</si>
  <si>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</si>
  <si>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</si>
  <si>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</si>
  <si>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</si>
  <si>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</si>
  <si>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</si>
  <si>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</si>
  <si>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</si>
  <si>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</si>
  <si>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</si>
  <si>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</si>
  <si>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</si>
  <si>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</si>
  <si>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</si>
  <si>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</si>
  <si>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</si>
  <si>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</si>
  <si>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</si>
  <si>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</si>
  <si>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</si>
  <si>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</si>
  <si>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</si>
  <si>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</si>
  <si>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</si>
  <si>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</si>
  <si>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</si>
  <si>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</si>
  <si>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</si>
  <si>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</si>
  <si>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</si>
  <si>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</si>
  <si>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</si>
  <si>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</si>
  <si>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</si>
  <si>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</si>
  <si>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</si>
  <si>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</si>
  <si>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</si>
  <si>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</si>
  <si>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</si>
  <si>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</si>
  <si>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</si>
  <si>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</si>
  <si>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</si>
  <si>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</si>
  <si>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</si>
  <si>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</si>
  <si>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</si>
  <si>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</si>
  <si>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</si>
  <si>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</si>
  <si>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</si>
  <si>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</si>
  <si>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</si>
  <si>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</si>
  <si>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</si>
  <si>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</si>
  <si>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</si>
  <si>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</si>
  <si>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</si>
  <si>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</si>
  <si>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</si>
  <si>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</si>
  <si>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</si>
  <si>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</si>
  <si>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</si>
  <si>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</si>
  <si>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</si>
  <si>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</si>
  <si>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</si>
  <si>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</si>
  <si>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</si>
  <si>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</si>
  <si>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</si>
  <si>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</si>
  <si>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</si>
  <si>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</si>
  <si>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</si>
  <si>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</si>
  <si>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</si>
  <si>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</si>
  <si>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</si>
  <si>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</si>
  <si>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</si>
  <si>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</si>
  <si>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</si>
  <si>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</si>
  <si>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</si>
  <si>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</si>
  <si>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</si>
  <si>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</si>
  <si>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</si>
  <si>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</si>
  <si>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</si>
  <si>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</si>
  <si>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</si>
  <si>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</si>
  <si>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</si>
  <si>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</si>
  <si>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</si>
  <si>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</si>
  <si>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</si>
  <si>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</si>
  <si>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</si>
  <si>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</si>
  <si>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</si>
  <si>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</si>
  <si>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</si>
  <si>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</si>
  <si>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</si>
  <si>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</si>
  <si>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</si>
  <si>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</si>
  <si>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</si>
  <si>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</si>
  <si>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</si>
  <si>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</si>
  <si>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</si>
  <si>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</si>
  <si>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</si>
  <si>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</si>
  <si>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</si>
  <si>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</si>
  <si>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</si>
  <si>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</si>
  <si>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</si>
  <si>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</si>
  <si>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</si>
  <si>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</si>
  <si>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</si>
  <si>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</si>
  <si>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</si>
  <si>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</si>
  <si>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</si>
  <si>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</si>
  <si>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</si>
  <si>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</si>
  <si>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</si>
  <si>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</si>
  <si>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</si>
  <si>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</si>
  <si>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</si>
  <si>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</si>
  <si>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</si>
  <si>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</si>
  <si>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</si>
  <si>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</si>
  <si>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</si>
  <si>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</si>
  <si>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</si>
  <si>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</si>
  <si>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</si>
  <si>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</si>
  <si>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</si>
  <si>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</si>
  <si>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</si>
  <si>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</si>
  <si>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</si>
  <si>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</si>
  <si>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</si>
  <si>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</si>
  <si>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</si>
  <si>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</si>
  <si>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</si>
  <si>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</si>
  <si>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</si>
  <si>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</si>
  <si>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</si>
  <si>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</si>
  <si>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</si>
  <si>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</si>
  <si>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</si>
  <si>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</si>
  <si>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</si>
  <si>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</si>
  <si>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</si>
  <si>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</si>
  <si>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</si>
  <si>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</si>
  <si>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</si>
  <si>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</si>
  <si>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</si>
  <si>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</si>
  <si>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</si>
  <si>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</si>
  <si>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</si>
  <si>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</si>
  <si>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</si>
  <si>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</si>
  <si>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</si>
  <si>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</si>
  <si>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</si>
  <si>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</si>
  <si>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</si>
  <si>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</si>
  <si>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</si>
  <si>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</si>
  <si>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</si>
  <si>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</si>
  <si>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</si>
  <si>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</si>
  <si>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</si>
  <si>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</si>
  <si>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</si>
  <si>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</si>
  <si>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</si>
  <si>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</si>
  <si>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</si>
  <si>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</si>
  <si>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</si>
  <si>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</si>
  <si>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</si>
  <si>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</si>
  <si>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</si>
  <si>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</si>
  <si>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</si>
  <si>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</si>
  <si>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</si>
  <si>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</si>
  <si>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</si>
  <si>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</si>
  <si>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</si>
  <si>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</si>
  <si>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</si>
  <si>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</si>
  <si>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</si>
  <si>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</si>
  <si>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</si>
  <si>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</si>
  <si>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</si>
  <si>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</si>
  <si>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</si>
  <si>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</si>
  <si>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</si>
  <si>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</si>
  <si>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</si>
  <si>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</si>
  <si>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</si>
  <si>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</si>
  <si>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</si>
  <si>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</si>
  <si>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</si>
  <si>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</si>
  <si>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</si>
  <si>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</si>
  <si>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</si>
  <si>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</si>
  <si>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</si>
  <si>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</si>
  <si>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</si>
  <si>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</si>
  <si>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</si>
  <si>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</si>
  <si>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</si>
  <si>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</si>
  <si>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</si>
  <si>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</si>
  <si>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</si>
  <si>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</si>
  <si>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</si>
  <si>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</si>
  <si>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</si>
  <si>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</si>
  <si>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</si>
  <si>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</si>
  <si>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</si>
  <si>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</si>
  <si>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</si>
  <si>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</si>
  <si>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</si>
  <si>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</si>
  <si>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</si>
  <si>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</si>
  <si>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</si>
  <si>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</si>
  <si>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</si>
  <si>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</si>
  <si>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</si>
  <si>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</si>
  <si>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</si>
  <si>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</si>
  <si>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</si>
  <si>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</si>
  <si>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</si>
  <si>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</si>
  <si>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</si>
  <si>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</si>
  <si>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</si>
  <si>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</si>
  <si>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</si>
  <si>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</si>
  <si>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</si>
  <si>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</si>
  <si>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</si>
  <si>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</si>
  <si>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</si>
  <si>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</si>
  <si>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</si>
  <si>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</si>
  <si>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</si>
  <si>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</si>
  <si>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</si>
  <si>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</si>
  <si>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</si>
  <si>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</si>
  <si>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</si>
  <si>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</si>
  <si>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</si>
  <si>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</si>
  <si>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</si>
  <si>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</si>
  <si>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</si>
  <si>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</si>
  <si>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</si>
  <si>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</si>
  <si>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</si>
  <si>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</si>
  <si>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</si>
  <si>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</si>
  <si>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</si>
  <si>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</si>
  <si>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</si>
  <si>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</si>
  <si>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</si>
  <si>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</si>
  <si>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</si>
  <si>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</si>
  <si>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</si>
  <si>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</si>
  <si>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</si>
  <si>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</si>
  <si>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</si>
  <si>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</si>
  <si>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</si>
  <si>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</si>
  <si>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</si>
  <si>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</si>
  <si>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</si>
  <si>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</si>
  <si>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</si>
  <si>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</si>
  <si>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</si>
  <si>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</si>
  <si>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</si>
  <si>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</si>
  <si>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</si>
  <si>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</si>
  <si>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</si>
  <si>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</si>
  <si>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</si>
  <si>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</si>
  <si>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</si>
  <si>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</si>
  <si>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</si>
  <si>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</si>
  <si>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</si>
  <si>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</si>
  <si>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</si>
  <si>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</si>
  <si>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</si>
  <si>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</si>
  <si>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</si>
  <si>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</si>
  <si>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</si>
  <si>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</si>
  <si>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</si>
  <si>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</si>
  <si>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</si>
  <si>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</si>
  <si>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</si>
  <si>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</si>
  <si>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</si>
  <si>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</si>
  <si>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</si>
  <si>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</si>
  <si>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</si>
  <si>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</si>
  <si>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</si>
  <si>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</si>
  <si>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</si>
  <si>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</si>
  <si>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</si>
  <si>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</si>
  <si>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</si>
  <si>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</si>
  <si>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</si>
  <si>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</si>
  <si>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</si>
  <si>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</si>
  <si>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</si>
  <si>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</si>
  <si>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</si>
  <si>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</si>
  <si>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</si>
  <si>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</si>
  <si>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</si>
  <si>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</si>
  <si>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</si>
  <si>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</si>
  <si>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</si>
  <si>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</si>
  <si>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</si>
  <si>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</si>
  <si>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</si>
  <si>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</si>
  <si>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</si>
  <si>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</si>
  <si>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</si>
  <si>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</si>
  <si>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</si>
  <si>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</si>
  <si>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</si>
  <si>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</si>
  <si>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</si>
  <si>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</si>
  <si>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</si>
  <si>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</si>
  <si>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</si>
  <si>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</si>
  <si>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</si>
  <si>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</si>
  <si>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</si>
  <si>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</si>
  <si>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</si>
  <si>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</si>
  <si>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</si>
  <si>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</si>
  <si>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</si>
  <si>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</si>
  <si>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</si>
  <si>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</si>
  <si>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</si>
  <si>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</si>
  <si>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</si>
  <si>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</si>
  <si>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</si>
  <si>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</si>
  <si>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</si>
  <si>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</si>
  <si>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</si>
  <si>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</si>
  <si>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</si>
  <si>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</si>
  <si>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</si>
  <si>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</si>
  <si>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</si>
  <si>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</si>
  <si>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</si>
  <si>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</si>
  <si>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</si>
  <si>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</si>
  <si>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</si>
  <si>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</si>
  <si>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</si>
  <si>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</si>
  <si>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</si>
  <si>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</si>
  <si>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</si>
  <si>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</si>
  <si>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</si>
  <si>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</si>
  <si>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</si>
  <si>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</si>
  <si>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</si>
  <si>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</si>
  <si>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</si>
  <si>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</si>
  <si>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</si>
  <si>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</si>
  <si>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</si>
  <si>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</si>
  <si>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</si>
  <si>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</si>
  <si>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</si>
  <si>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</si>
  <si>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</si>
  <si>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</si>
  <si>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</si>
  <si>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</si>
  <si>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</si>
  <si>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</si>
  <si>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</si>
  <si>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</si>
  <si>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</si>
  <si>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</si>
  <si>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</si>
  <si>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</si>
  <si>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</si>
  <si>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</si>
  <si>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</si>
  <si>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</si>
  <si>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</si>
  <si>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</si>
  <si>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</si>
  <si>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</si>
  <si>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</si>
  <si>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</si>
  <si>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</si>
  <si>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</si>
  <si>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</si>
  <si>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</si>
  <si>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</si>
  <si>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</si>
  <si>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</si>
  <si>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</si>
  <si>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</si>
  <si>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</si>
  <si>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</si>
  <si>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</si>
  <si>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</si>
  <si>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</si>
  <si>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</si>
  <si>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</si>
  <si>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</si>
  <si>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</si>
  <si>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</si>
  <si>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</si>
  <si>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</si>
  <si>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</si>
  <si>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</si>
  <si>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</si>
  <si>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</si>
  <si>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</si>
  <si>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</si>
  <si>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</si>
  <si>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</si>
  <si>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</si>
  <si>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</si>
  <si>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</si>
  <si>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</si>
  <si>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</si>
  <si>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</si>
  <si>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</si>
  <si>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</si>
  <si>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</si>
  <si>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</si>
  <si>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</si>
  <si>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</si>
  <si>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</si>
  <si>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</si>
  <si>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</si>
  <si>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</si>
  <si>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</si>
  <si>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</si>
  <si>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</si>
  <si>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</si>
  <si>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</si>
  <si>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</si>
  <si>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</si>
  <si>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</si>
  <si>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</si>
  <si>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</si>
  <si>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</si>
  <si>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</si>
  <si>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</si>
  <si>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</si>
  <si>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</si>
  <si>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</si>
  <si>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</si>
  <si>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</si>
  <si>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</si>
  <si>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</si>
  <si>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</si>
  <si>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</si>
  <si>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</si>
  <si>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</si>
  <si>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</si>
  <si>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</si>
  <si>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</si>
  <si>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</si>
  <si>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</si>
  <si>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</si>
  <si>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</si>
  <si>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</si>
  <si>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</si>
  <si>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</si>
  <si>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</si>
  <si>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</si>
  <si>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</si>
  <si>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</si>
  <si>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</si>
  <si>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</si>
  <si>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</si>
  <si>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</si>
  <si>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</si>
  <si>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</si>
  <si>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</si>
  <si>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</si>
  <si>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</si>
  <si>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</si>
  <si>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</si>
  <si>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</si>
  <si>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</si>
  <si>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</si>
  <si>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</si>
  <si>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</si>
  <si>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</si>
  <si>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</si>
  <si>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</si>
  <si>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</si>
  <si>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</si>
  <si>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</si>
  <si>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</si>
  <si>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</si>
  <si>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</si>
  <si>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</si>
  <si>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</si>
  <si>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</si>
  <si>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</si>
  <si>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</si>
  <si>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</si>
  <si>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</si>
  <si>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</si>
  <si>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</si>
  <si>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</si>
  <si>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</si>
  <si>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</si>
  <si>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</si>
  <si>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</si>
  <si>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</si>
  <si>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</si>
  <si>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</si>
  <si>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</si>
  <si>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</si>
  <si>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</si>
  <si>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</si>
  <si>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</si>
  <si>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</si>
  <si>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</si>
  <si>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</si>
  <si>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</si>
  <si>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</si>
  <si>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</si>
  <si>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</si>
  <si>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</si>
  <si>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</si>
  <si>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</si>
  <si>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</si>
  <si>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</si>
  <si>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</si>
  <si>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</si>
  <si>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</si>
  <si>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</si>
  <si>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</si>
  <si>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</si>
  <si>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</si>
  <si>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</si>
  <si>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</si>
  <si>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</si>
  <si>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</si>
  <si>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</si>
  <si>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</si>
  <si>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</si>
  <si>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</si>
  <si>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</si>
  <si>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</si>
  <si>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</si>
  <si>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</si>
  <si>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</si>
  <si>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</si>
  <si>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</si>
  <si>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</si>
  <si>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</si>
  <si>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</si>
  <si>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</si>
  <si>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</si>
  <si>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</si>
  <si>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</si>
  <si>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</si>
  <si>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</si>
  <si>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</si>
  <si>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</si>
  <si>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</si>
  <si>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</si>
  <si>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</si>
  <si>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</si>
  <si>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</si>
  <si>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</si>
  <si>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</si>
  <si>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</si>
  <si>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</si>
  <si>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</si>
  <si>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</si>
  <si>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</si>
  <si>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</si>
  <si>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</si>
  <si>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</si>
  <si>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</si>
  <si>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</si>
  <si>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</si>
  <si>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</si>
  <si>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</si>
  <si>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</si>
  <si>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</si>
  <si>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</si>
  <si>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</si>
  <si>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</si>
  <si>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</si>
  <si>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</si>
  <si>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</si>
  <si>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</si>
  <si>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</si>
  <si>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</si>
  <si>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</si>
  <si>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</si>
  <si>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</si>
  <si>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</si>
  <si>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</si>
  <si>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</si>
  <si>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</si>
  <si>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</si>
  <si>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</si>
  <si>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</si>
  <si>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</si>
  <si>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</si>
  <si>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</si>
  <si>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</si>
  <si>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</si>
  <si>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</si>
  <si>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</si>
  <si>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</si>
  <si>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</si>
  <si>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</si>
  <si>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</si>
  <si>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</si>
  <si>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</si>
  <si>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</si>
  <si>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</si>
  <si>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</si>
  <si>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</si>
  <si>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</si>
  <si>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</si>
  <si>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</si>
  <si>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</si>
  <si>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</si>
  <si>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</si>
  <si>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</si>
  <si>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</si>
  <si>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</si>
  <si>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</si>
  <si>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</si>
  <si>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</si>
  <si>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</si>
  <si>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</si>
  <si>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</si>
  <si>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</si>
  <si>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</si>
  <si>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</si>
  <si>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</si>
  <si>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</si>
  <si>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</si>
  <si>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</si>
  <si>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</si>
  <si>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</si>
  <si>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</si>
  <si>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</si>
  <si>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</si>
  <si>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</si>
  <si>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</si>
  <si>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</si>
  <si>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</si>
  <si>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</si>
  <si>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</si>
  <si>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</si>
  <si>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</si>
  <si>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</si>
  <si>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</si>
  <si>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</si>
  <si>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</si>
  <si>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</si>
  <si>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</si>
  <si>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</si>
  <si>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</si>
  <si>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</si>
  <si>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</si>
  <si>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</si>
  <si>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</si>
  <si>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</si>
  <si>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</si>
  <si>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</si>
  <si>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</si>
  <si>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</si>
  <si>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</si>
  <si>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</si>
  <si>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</si>
  <si>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</si>
  <si>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</si>
  <si>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</si>
  <si>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</si>
  <si>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</si>
  <si>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</si>
  <si>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</si>
  <si>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</si>
  <si>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</si>
  <si>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</si>
  <si>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</si>
  <si>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</si>
  <si>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</si>
  <si>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</si>
  <si>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</si>
  <si>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</si>
  <si>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</si>
  <si>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</si>
  <si>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</si>
  <si>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</si>
  <si>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</si>
  <si>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</si>
  <si>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</si>
  <si>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</si>
  <si>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</si>
  <si>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</si>
  <si>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</si>
  <si>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</si>
  <si>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</si>
  <si>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</si>
  <si>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</si>
  <si>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</si>
  <si>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</si>
  <si>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</si>
  <si>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</si>
  <si>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</si>
  <si>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</si>
  <si>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</si>
  <si>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</si>
  <si>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</si>
  <si>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</si>
  <si>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</si>
  <si>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</si>
  <si>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</si>
  <si>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</si>
  <si>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</si>
  <si>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</si>
  <si>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</si>
  <si>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</si>
  <si>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</si>
  <si>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</si>
  <si>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</si>
  <si>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</si>
  <si>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</si>
  <si>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</si>
  <si>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</si>
  <si>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</si>
  <si>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</si>
  <si>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</si>
  <si>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</si>
  <si>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</si>
  <si>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</si>
  <si>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</si>
  <si>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</si>
  <si>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</si>
  <si>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</si>
  <si>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</si>
  <si>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</si>
  <si>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</si>
  <si>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</si>
  <si>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</si>
  <si>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</si>
  <si>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</si>
  <si>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</si>
  <si>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</si>
  <si>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</si>
  <si>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</si>
  <si>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</si>
  <si>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</si>
  <si>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</si>
  <si>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</si>
  <si>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</si>
  <si>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</si>
  <si>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</si>
  <si>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</si>
  <si>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</si>
  <si>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</si>
  <si>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</si>
  <si>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</si>
  <si>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</si>
  <si>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</si>
  <si>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</si>
  <si>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</si>
  <si>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</si>
  <si>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</si>
  <si>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</si>
  <si>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</si>
  <si>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</si>
  <si>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</si>
  <si>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</si>
  <si>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</si>
  <si>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</si>
  <si>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</si>
  <si>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</si>
  <si>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</si>
  <si>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</si>
  <si>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</si>
  <si>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</si>
  <si>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</si>
  <si>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</si>
  <si>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</si>
  <si>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</si>
  <si>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</si>
  <si>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</si>
  <si>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</si>
  <si>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</si>
  <si>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</si>
  <si>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</si>
  <si>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</si>
  <si>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</si>
  <si>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</si>
  <si>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</si>
  <si>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</si>
  <si>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</si>
  <si>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</si>
  <si>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</si>
  <si>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</si>
  <si>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</si>
  <si>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</si>
  <si>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</si>
  <si>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</si>
  <si>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</si>
  <si>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</si>
  <si>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</si>
  <si>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</si>
  <si>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</si>
  <si>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</si>
  <si>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</si>
  <si>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</si>
  <si>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</si>
  <si>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</si>
  <si>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</si>
  <si>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</si>
  <si>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</si>
  <si>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</si>
  <si>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</si>
  <si>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</si>
  <si>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</si>
  <si>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</si>
  <si>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</si>
  <si>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</si>
  <si>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</si>
  <si>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</si>
  <si>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</si>
  <si>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</si>
  <si>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</si>
  <si>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</si>
  <si>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</si>
  <si>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</si>
  <si>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</si>
  <si>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</si>
  <si>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</si>
  <si>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</si>
  <si>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</si>
  <si>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</si>
  <si>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</si>
  <si>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</si>
  <si>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</si>
  <si>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</si>
  <si>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</si>
  <si>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</si>
  <si>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</si>
  <si>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</si>
  <si>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</si>
  <si>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</si>
  <si>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</si>
  <si>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</si>
  <si>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</si>
  <si>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</si>
  <si>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</si>
  <si>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</si>
  <si>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</si>
  <si>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</si>
  <si>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</si>
  <si>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</si>
  <si>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</si>
  <si>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</si>
  <si>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</si>
  <si>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</si>
  <si>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</si>
  <si>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</si>
  <si>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</si>
  <si>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</si>
  <si>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</si>
  <si>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</si>
  <si>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</si>
  <si>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</si>
  <si>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</si>
  <si>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</si>
  <si>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</si>
  <si>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</si>
  <si>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</si>
  <si>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</si>
  <si>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</si>
  <si>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</si>
  <si>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</si>
  <si>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</si>
  <si>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</si>
  <si>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</si>
  <si>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</si>
  <si>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</si>
  <si>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</si>
  <si>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</si>
  <si>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</si>
  <si>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</si>
  <si>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</si>
  <si>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</si>
  <si>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</si>
  <si>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</si>
  <si>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</si>
  <si>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</si>
  <si>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</si>
  <si>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</si>
  <si>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</si>
  <si>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</si>
  <si>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</si>
  <si>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</si>
  <si>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</si>
  <si>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</si>
  <si>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</si>
  <si>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</si>
  <si>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</si>
  <si>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</si>
  <si>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</si>
  <si>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</si>
  <si>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</si>
  <si>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</si>
  <si>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</si>
  <si>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</si>
  <si>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</si>
  <si>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</si>
  <si>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</si>
  <si>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</si>
  <si>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</si>
  <si>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</si>
  <si>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</si>
  <si>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</si>
  <si>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</si>
  <si>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</si>
  <si>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</si>
  <si>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</si>
  <si>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</si>
  <si>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</si>
  <si>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</si>
  <si>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</si>
  <si>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</si>
  <si>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</si>
  <si>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</si>
  <si>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</si>
  <si>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</si>
  <si>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</si>
  <si>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</si>
  <si>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</si>
  <si>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</si>
  <si>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</si>
  <si>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</si>
  <si>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</si>
  <si>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</si>
  <si>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</si>
  <si>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</si>
  <si>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</si>
  <si>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</si>
  <si>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</si>
  <si>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</si>
  <si>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</si>
  <si>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</si>
  <si>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</si>
  <si>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</si>
  <si>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</si>
  <si>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</si>
  <si>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</si>
  <si>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</si>
  <si>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</si>
  <si>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</si>
  <si>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</si>
  <si>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</si>
  <si>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</si>
  <si>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</si>
  <si>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</si>
  <si>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</si>
  <si>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</si>
  <si>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</si>
  <si>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</si>
  <si>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</si>
  <si>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</si>
  <si>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</si>
  <si>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</si>
  <si>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</si>
  <si>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</si>
  <si>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</si>
  <si>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</si>
  <si>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</si>
  <si>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</si>
  <si>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</si>
  <si>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</si>
  <si>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</si>
  <si>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</si>
  <si>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</si>
  <si>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</si>
  <si>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</si>
  <si>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</si>
  <si>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</si>
  <si>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</si>
  <si>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</si>
  <si>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</si>
  <si>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</si>
  <si>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</si>
  <si>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</si>
  <si>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</si>
  <si>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</si>
  <si>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</si>
  <si>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</si>
  <si>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</si>
  <si>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</si>
  <si>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</si>
  <si>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</si>
  <si>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</si>
  <si>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</si>
  <si>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</si>
  <si>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</si>
  <si>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</si>
  <si>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</si>
  <si>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</si>
  <si>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</si>
  <si>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</si>
  <si>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</si>
  <si>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</si>
  <si>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</si>
  <si>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</si>
  <si>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</si>
  <si>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</si>
  <si>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</si>
  <si>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</si>
  <si>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</si>
  <si>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</si>
  <si>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</si>
  <si>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</si>
  <si>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</si>
  <si>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</si>
  <si>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</si>
  <si>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</si>
  <si>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</si>
  <si>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</si>
  <si>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</si>
  <si>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</si>
  <si>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</si>
  <si>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</si>
  <si>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</si>
  <si>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</si>
  <si>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</si>
  <si>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</si>
  <si>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</si>
  <si>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</si>
  <si>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</si>
  <si>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</si>
  <si>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</si>
  <si>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</si>
  <si>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</si>
  <si>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</si>
  <si>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</si>
  <si>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</si>
  <si>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</si>
  <si>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</si>
  <si>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</si>
  <si>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</si>
  <si>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</si>
  <si>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</si>
  <si>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</si>
  <si>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</si>
  <si>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</si>
  <si>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</si>
  <si>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</si>
  <si>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</si>
  <si>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</si>
  <si>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</si>
  <si>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</si>
  <si>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</si>
  <si>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</si>
  <si>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</si>
  <si>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</si>
  <si>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</si>
  <si>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</si>
  <si>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</si>
  <si>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</si>
  <si>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</si>
  <si>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</si>
  <si>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</si>
  <si>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</si>
  <si>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</si>
  <si>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</si>
  <si>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</si>
  <si>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</si>
  <si>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</si>
  <si>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</si>
  <si>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</si>
  <si>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</si>
  <si>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</si>
  <si>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</si>
  <si>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</si>
  <si>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</si>
  <si>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</si>
  <si>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</si>
  <si>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</si>
  <si>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</si>
  <si>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</si>
  <si>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</si>
  <si>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</si>
  <si>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</si>
  <si>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</si>
  <si>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</si>
  <si>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</si>
  <si>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</si>
  <si>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</si>
  <si>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</si>
  <si>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</si>
  <si>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</si>
  <si>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</si>
  <si>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</si>
  <si>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</si>
  <si>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</si>
  <si>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</si>
  <si>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</si>
  <si>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</si>
  <si>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</si>
  <si>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</si>
  <si>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</si>
  <si>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</si>
  <si>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</si>
  <si>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</si>
  <si>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</si>
  <si>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</si>
  <si>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</si>
  <si>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</si>
  <si>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</si>
  <si>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</si>
  <si>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</si>
  <si>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</si>
  <si>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</si>
  <si>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</si>
  <si>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</si>
  <si>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</si>
  <si>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</si>
  <si>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</si>
  <si>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</si>
  <si>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</si>
  <si>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</si>
  <si>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</si>
  <si>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</si>
  <si>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</si>
  <si>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</si>
  <si>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</si>
  <si>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</si>
  <si>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</si>
  <si>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</si>
  <si>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</si>
  <si>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</si>
  <si>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</si>
  <si>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</si>
  <si>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</si>
  <si>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</si>
  <si>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</si>
  <si>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</si>
  <si>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</si>
  <si>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</si>
  <si>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</si>
  <si>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</si>
  <si>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</si>
  <si>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</si>
  <si>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</si>
  <si>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</si>
  <si>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</si>
  <si>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</si>
  <si>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</si>
  <si>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</si>
  <si>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</si>
  <si>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</si>
  <si>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</si>
  <si>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</si>
  <si>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</si>
  <si>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</si>
  <si>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</si>
  <si>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</si>
  <si>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</si>
  <si>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</si>
  <si>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</si>
  <si>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</si>
  <si>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</si>
  <si>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</si>
  <si>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</si>
  <si>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</si>
  <si>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</si>
  <si>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</si>
  <si>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</si>
  <si>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</si>
  <si>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</si>
  <si>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</si>
  <si>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</si>
  <si>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</si>
  <si>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</si>
  <si>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</si>
  <si>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</si>
  <si>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</si>
  <si>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</si>
  <si>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</si>
  <si>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</si>
  <si>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</si>
  <si>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</si>
  <si>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</si>
  <si>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</si>
  <si>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</si>
  <si>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</si>
  <si>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</si>
  <si>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</si>
  <si>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</si>
  <si>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</si>
  <si>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</si>
  <si>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</si>
  <si>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</si>
  <si>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</si>
  <si>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</si>
  <si>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</si>
  <si>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</si>
  <si>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</si>
  <si>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</si>
  <si>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</si>
  <si>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</si>
  <si>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</si>
  <si>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</si>
  <si>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</si>
  <si>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</si>
  <si>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</si>
  <si>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</si>
  <si>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</si>
  <si>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</si>
  <si>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</si>
  <si>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</si>
  <si>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</si>
  <si>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</si>
  <si>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</si>
  <si>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</si>
  <si>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</si>
  <si>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</si>
  <si>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</si>
  <si>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</si>
  <si>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</si>
  <si>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</si>
  <si>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</si>
  <si>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</si>
  <si>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</si>
  <si>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</si>
  <si>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</si>
  <si>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</si>
  <si>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</si>
  <si>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</si>
  <si>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</si>
  <si>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</si>
  <si>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</si>
  <si>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</si>
  <si>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</si>
  <si>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</si>
  <si>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</si>
  <si>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</si>
  <si>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</si>
  <si>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</si>
  <si>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</si>
  <si>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</si>
  <si>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</si>
  <si>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</si>
  <si>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</si>
  <si>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</si>
  <si>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</si>
  <si>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</si>
  <si>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</si>
  <si>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</si>
  <si>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</si>
  <si>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</si>
  <si>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</si>
  <si>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</si>
  <si>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</si>
  <si>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</si>
  <si>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</si>
  <si>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</si>
  <si>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</si>
  <si>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</si>
  <si>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</si>
  <si>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</si>
  <si>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</si>
  <si>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</si>
  <si>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</si>
  <si>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</si>
  <si>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</si>
  <si>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</si>
  <si>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</si>
  <si>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</si>
  <si>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</si>
  <si>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</si>
  <si>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</si>
  <si>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</si>
  <si>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</si>
  <si>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</si>
  <si>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</si>
  <si>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</si>
  <si>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</si>
  <si>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</si>
  <si>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</si>
  <si>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</si>
  <si>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</si>
  <si>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</si>
  <si>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</si>
  <si>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</si>
  <si>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</si>
  <si>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</si>
  <si>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</si>
  <si>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</si>
  <si>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</si>
  <si>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</si>
  <si>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</si>
  <si>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</si>
  <si>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</si>
  <si>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</si>
  <si>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</si>
  <si>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</si>
  <si>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</si>
  <si>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</si>
  <si>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</si>
  <si>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</si>
  <si>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</si>
  <si>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</si>
  <si>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</si>
  <si>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</si>
  <si>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</si>
  <si>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</si>
  <si>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</si>
  <si>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</si>
  <si>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</si>
  <si>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</si>
  <si>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2025-10-10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</si>
  <si>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</si>
  <si>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</si>
  <si>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</si>
  <si>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</si>
  <si>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</si>
  <si>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</si>
  <si>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</si>
  <si>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</si>
  <si>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</si>
  <si>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</si>
  <si>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</si>
  <si>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</si>
  <si>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</si>
  <si>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</si>
  <si>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</si>
  <si>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</si>
  <si>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</si>
  <si>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</si>
  <si>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</si>
  <si>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</si>
  <si>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</si>
  <si>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</si>
  <si>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</si>
  <si>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</si>
  <si>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이가형</t>
    <phoneticPr fontId="2" type="noConversion"/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</si>
  <si>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</si>
  <si>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</si>
  <si>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</si>
  <si>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</si>
  <si>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이박사자동차정비(구미)_251010_191410.xlsx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</si>
</sst>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49" fontId="0" fillId="0" borderId="5" xfId="0" applyNumberFormat="1" applyBorder="1" applyAlignment="1">
      <alignment vertical="center" wrapText="1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1800000</c:v>
                </c:pt>
                <c:pt idx="2">
                  <c:v>1650000</c:v>
                </c:pt>
                <c:pt idx="3">
                  <c:v>2970000</c:v>
                </c:pt>
                <c:pt idx="4">
                  <c:v>1200000</c:v>
                </c:pt>
                <c:pt idx="5">
                  <c:v>755000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2</c:v>
                      </c:pt>
                      <c:pt idx="4">
                        <c:v>8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9</c:v>
                      </c:pt>
                      <c:pt idx="8">
                        <c:v>16</c:v>
                      </c:pt>
                      <c:pt idx="9">
                        <c:v>18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3600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2630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2645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2649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2649</v>
      </c>
    </row>
    <row r="106" spans="1:6" x14ac:dyDescent="0.3">
      <c r="A106">
        <v>105</v>
      </c>
      <c r="B106" s="13">
        <v>45833</v>
      </c>
      <c r="C106" t="s">
        <v>2660</v>
      </c>
      <c r="D106" t="s">
        <v>2661</v>
      </c>
      <c r="E106">
        <v>24800</v>
      </c>
      <c r="F106" t="s">
        <v>2662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2693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2730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2740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2741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2804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2822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2870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4"/>
      <c r="B1" s="305"/>
      <c r="C1" s="305"/>
      <c r="D1" s="305"/>
      <c r="E1" s="305"/>
      <c r="F1" s="305"/>
      <c r="G1" s="30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6" t="s">
        <v>1197</v>
      </c>
      <c r="R1" s="306"/>
      <c r="S1" s="307"/>
      <c r="T1" s="307"/>
      <c r="U1" s="308"/>
    </row>
    <row r="2" spans="1:21" x14ac:dyDescent="0.3">
      <c r="A2" s="309" t="s">
        <v>65</v>
      </c>
      <c r="B2" s="310"/>
      <c r="C2" s="311" t="s">
        <v>2223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45940</v>
      </c>
      <c r="U2" s="317"/>
    </row>
    <row r="3" spans="1:21" ht="24.95" customHeight="1" x14ac:dyDescent="0.3">
      <c r="A3" s="327" t="s">
        <v>1167</v>
      </c>
      <c r="B3" s="37" t="s">
        <v>59</v>
      </c>
      <c r="C3" s="330" t="s">
        <v>2487</v>
      </c>
      <c r="D3" s="331"/>
      <c r="E3" s="331"/>
      <c r="F3" s="331"/>
      <c r="G3" s="331"/>
      <c r="H3" s="331"/>
      <c r="I3" s="331"/>
      <c r="J3" s="332"/>
      <c r="K3" s="333" t="s">
        <v>1168</v>
      </c>
      <c r="L3" s="37" t="s">
        <v>59</v>
      </c>
      <c r="M3" s="336" t="s">
        <v>964</v>
      </c>
      <c r="N3" s="337"/>
      <c r="O3" s="337"/>
      <c r="P3" s="337"/>
      <c r="Q3" s="337"/>
      <c r="R3" s="337"/>
      <c r="S3" s="337"/>
      <c r="T3" s="337"/>
      <c r="U3" s="338"/>
    </row>
    <row r="4" spans="1:21" ht="24.95" customHeight="1" x14ac:dyDescent="0.3">
      <c r="A4" s="328"/>
      <c r="B4" s="37" t="s">
        <v>61</v>
      </c>
      <c r="C4" s="339"/>
      <c r="D4" s="340"/>
      <c r="E4" s="340"/>
      <c r="F4" s="340"/>
      <c r="G4" s="340"/>
      <c r="H4" s="340"/>
      <c r="I4" s="340"/>
      <c r="J4" s="341"/>
      <c r="K4" s="334"/>
      <c r="L4" s="37" t="s">
        <v>61</v>
      </c>
      <c r="M4" s="318" t="s">
        <v>962</v>
      </c>
      <c r="N4" s="319"/>
      <c r="O4" s="319"/>
      <c r="P4" s="319"/>
      <c r="Q4" s="319"/>
      <c r="R4" s="320"/>
      <c r="S4" s="38" t="s">
        <v>62</v>
      </c>
      <c r="T4" s="318" t="s">
        <v>73</v>
      </c>
      <c r="U4" s="321"/>
    </row>
    <row r="5" spans="1:21" ht="24.95" customHeight="1" x14ac:dyDescent="0.3">
      <c r="A5" s="328"/>
      <c r="B5" s="38" t="s">
        <v>10</v>
      </c>
      <c r="C5" s="318" t="s">
        <v>2489</v>
      </c>
      <c r="D5" s="319"/>
      <c r="E5" s="319"/>
      <c r="F5" s="319"/>
      <c r="G5" s="319"/>
      <c r="H5" s="319"/>
      <c r="I5" s="319"/>
      <c r="J5" s="320"/>
      <c r="K5" s="334"/>
      <c r="L5" s="38" t="s">
        <v>10</v>
      </c>
      <c r="M5" s="318" t="s">
        <v>74</v>
      </c>
      <c r="N5" s="319"/>
      <c r="O5" s="319"/>
      <c r="P5" s="319"/>
      <c r="Q5" s="319"/>
      <c r="R5" s="319"/>
      <c r="S5" s="319"/>
      <c r="T5" s="319"/>
      <c r="U5" s="321"/>
    </row>
    <row r="6" spans="1:21" ht="24.95" customHeight="1" x14ac:dyDescent="0.3">
      <c r="A6" s="329"/>
      <c r="B6" s="38" t="s">
        <v>75</v>
      </c>
      <c r="C6" s="318" t="s">
        <v>2488</v>
      </c>
      <c r="D6" s="319"/>
      <c r="E6" s="319"/>
      <c r="F6" s="319"/>
      <c r="G6" s="319"/>
      <c r="H6" s="319"/>
      <c r="I6" s="319"/>
      <c r="J6" s="320"/>
      <c r="K6" s="335"/>
      <c r="L6" s="38" t="s">
        <v>75</v>
      </c>
      <c r="M6" s="318" t="s">
        <v>66</v>
      </c>
      <c r="N6" s="319"/>
      <c r="O6" s="319"/>
      <c r="P6" s="319"/>
      <c r="Q6" s="319"/>
      <c r="R6" s="320"/>
      <c r="S6" s="38" t="s">
        <v>22</v>
      </c>
      <c r="T6" s="318" t="s">
        <v>32</v>
      </c>
      <c r="U6" s="321"/>
    </row>
    <row r="7" spans="1:21" ht="15.75" customHeight="1" x14ac:dyDescent="0.3">
      <c r="A7" s="322" t="s">
        <v>70</v>
      </c>
      <c r="B7" s="323"/>
      <c r="C7" s="323"/>
      <c r="D7" s="323"/>
      <c r="E7" s="324"/>
      <c r="F7" s="325" t="s">
        <v>44</v>
      </c>
      <c r="G7" s="323"/>
      <c r="H7" s="323"/>
      <c r="I7" s="324"/>
      <c r="J7" s="325" t="s">
        <v>42</v>
      </c>
      <c r="K7" s="323"/>
      <c r="L7" s="323"/>
      <c r="M7" s="323"/>
      <c r="N7" s="324"/>
      <c r="O7" s="323" t="s">
        <v>50</v>
      </c>
      <c r="P7" s="324"/>
      <c r="Q7" s="325" t="s">
        <v>69</v>
      </c>
      <c r="R7" s="323"/>
      <c r="S7" s="324"/>
      <c r="T7" s="325" t="s">
        <v>68</v>
      </c>
      <c r="U7" s="326"/>
    </row>
    <row r="8" spans="1:21" ht="15.6" customHeight="1" x14ac:dyDescent="0.3">
      <c r="A8" s="351" t="s">
        <v>1141</v>
      </c>
      <c r="B8" s="352"/>
      <c r="C8" s="352"/>
      <c r="D8" s="352"/>
      <c r="E8" s="353"/>
      <c r="F8" s="354"/>
      <c r="G8" s="355"/>
      <c r="H8" s="355"/>
      <c r="I8" s="356"/>
      <c r="J8" s="362">
        <v>150000</v>
      </c>
      <c r="K8" s="362"/>
      <c r="L8" s="362"/>
      <c r="M8" s="362"/>
      <c r="N8" s="362"/>
      <c r="O8" s="363">
        <v>1</v>
      </c>
      <c r="P8" s="363"/>
      <c r="Q8" s="357"/>
      <c r="R8" s="358"/>
      <c r="S8" s="359"/>
      <c r="T8" s="360">
        <v>150000</v>
      </c>
      <c r="U8" s="361"/>
    </row>
    <row r="9" spans="1:21" ht="15.6" customHeight="1" x14ac:dyDescent="0.3">
      <c r="A9" s="342"/>
      <c r="B9" s="343"/>
      <c r="C9" s="343"/>
      <c r="D9" s="343"/>
      <c r="E9" s="344"/>
      <c r="F9" s="345"/>
      <c r="G9" s="343"/>
      <c r="H9" s="343"/>
      <c r="I9" s="344"/>
      <c r="J9" s="364"/>
      <c r="K9" s="364"/>
      <c r="L9" s="364"/>
      <c r="M9" s="364"/>
      <c r="N9" s="364"/>
      <c r="O9" s="365"/>
      <c r="P9" s="365"/>
      <c r="Q9" s="346"/>
      <c r="R9" s="347"/>
      <c r="S9" s="348"/>
      <c r="T9" s="349"/>
      <c r="U9" s="350"/>
    </row>
    <row r="10" spans="1:21" ht="15.6" customHeight="1" x14ac:dyDescent="0.3">
      <c r="A10" s="342"/>
      <c r="B10" s="343"/>
      <c r="C10" s="343"/>
      <c r="D10" s="343"/>
      <c r="E10" s="344"/>
      <c r="F10" s="345"/>
      <c r="G10" s="343"/>
      <c r="H10" s="343"/>
      <c r="I10" s="344"/>
      <c r="J10" s="364"/>
      <c r="K10" s="364"/>
      <c r="L10" s="364"/>
      <c r="M10" s="364"/>
      <c r="N10" s="364"/>
      <c r="O10" s="365"/>
      <c r="P10" s="365"/>
      <c r="Q10" s="346"/>
      <c r="R10" s="347"/>
      <c r="S10" s="348"/>
      <c r="T10" s="349"/>
      <c r="U10" s="350"/>
    </row>
    <row r="11" spans="1:21" ht="15.6" customHeight="1" x14ac:dyDescent="0.3">
      <c r="A11" s="342"/>
      <c r="B11" s="343"/>
      <c r="C11" s="343"/>
      <c r="D11" s="343"/>
      <c r="E11" s="344"/>
      <c r="F11" s="345"/>
      <c r="G11" s="343"/>
      <c r="H11" s="343"/>
      <c r="I11" s="344"/>
      <c r="J11" s="364"/>
      <c r="K11" s="364"/>
      <c r="L11" s="364"/>
      <c r="M11" s="364"/>
      <c r="N11" s="364"/>
      <c r="O11" s="365"/>
      <c r="P11" s="365"/>
      <c r="Q11" s="346"/>
      <c r="R11" s="347"/>
      <c r="S11" s="348"/>
      <c r="T11" s="349"/>
      <c r="U11" s="350"/>
    </row>
    <row r="12" spans="1:21" ht="15.6" customHeight="1" x14ac:dyDescent="0.3">
      <c r="A12" s="342"/>
      <c r="B12" s="343"/>
      <c r="C12" s="343"/>
      <c r="D12" s="343"/>
      <c r="E12" s="344"/>
      <c r="F12" s="345"/>
      <c r="G12" s="343"/>
      <c r="H12" s="343"/>
      <c r="I12" s="344"/>
      <c r="J12" s="364"/>
      <c r="K12" s="364"/>
      <c r="L12" s="364"/>
      <c r="M12" s="364"/>
      <c r="N12" s="364"/>
      <c r="O12" s="365"/>
      <c r="P12" s="365"/>
      <c r="Q12" s="346"/>
      <c r="R12" s="347"/>
      <c r="S12" s="348"/>
      <c r="T12" s="349"/>
      <c r="U12" s="350"/>
    </row>
    <row r="13" spans="1:21" ht="15.6" customHeight="1" x14ac:dyDescent="0.3">
      <c r="A13" s="342"/>
      <c r="B13" s="343"/>
      <c r="C13" s="343"/>
      <c r="D13" s="343"/>
      <c r="E13" s="344"/>
      <c r="F13" s="345"/>
      <c r="G13" s="343"/>
      <c r="H13" s="343"/>
      <c r="I13" s="344"/>
      <c r="J13" s="364"/>
      <c r="K13" s="364"/>
      <c r="L13" s="364"/>
      <c r="M13" s="364"/>
      <c r="N13" s="364"/>
      <c r="O13" s="365"/>
      <c r="P13" s="365"/>
      <c r="Q13" s="346"/>
      <c r="R13" s="347"/>
      <c r="S13" s="348"/>
      <c r="T13" s="349"/>
      <c r="U13" s="350"/>
    </row>
    <row r="14" spans="1:21" ht="15.6" customHeight="1" x14ac:dyDescent="0.3">
      <c r="A14" s="342"/>
      <c r="B14" s="343"/>
      <c r="C14" s="343"/>
      <c r="D14" s="343"/>
      <c r="E14" s="344"/>
      <c r="F14" s="345"/>
      <c r="G14" s="343"/>
      <c r="H14" s="343"/>
      <c r="I14" s="344"/>
      <c r="J14" s="364"/>
      <c r="K14" s="364"/>
      <c r="L14" s="364"/>
      <c r="M14" s="364"/>
      <c r="N14" s="364"/>
      <c r="O14" s="365"/>
      <c r="P14" s="365"/>
      <c r="Q14" s="346"/>
      <c r="R14" s="347"/>
      <c r="S14" s="348"/>
      <c r="T14" s="349"/>
      <c r="U14" s="350"/>
    </row>
    <row r="15" spans="1:21" ht="15.6" customHeight="1" thickBot="1" x14ac:dyDescent="0.35">
      <c r="A15" s="366"/>
      <c r="B15" s="367"/>
      <c r="C15" s="367"/>
      <c r="D15" s="367"/>
      <c r="E15" s="368"/>
      <c r="F15" s="369"/>
      <c r="G15" s="367"/>
      <c r="H15" s="367"/>
      <c r="I15" s="368"/>
      <c r="J15" s="375"/>
      <c r="K15" s="375"/>
      <c r="L15" s="375"/>
      <c r="M15" s="375"/>
      <c r="N15" s="375"/>
      <c r="O15" s="376"/>
      <c r="P15" s="376"/>
      <c r="Q15" s="370"/>
      <c r="R15" s="371"/>
      <c r="S15" s="372"/>
      <c r="T15" s="373"/>
      <c r="U15" s="374"/>
    </row>
    <row r="16" spans="1:21" ht="15" customHeight="1" thickTop="1" x14ac:dyDescent="0.3">
      <c r="A16" s="377" t="s">
        <v>2317</v>
      </c>
      <c r="B16" s="378"/>
      <c r="C16" s="378"/>
      <c r="D16" s="378"/>
      <c r="E16" s="379"/>
      <c r="F16" s="386"/>
      <c r="G16" s="387"/>
      <c r="H16" s="387"/>
      <c r="I16" s="387"/>
      <c r="J16" s="387"/>
      <c r="K16" s="387"/>
      <c r="L16" s="387"/>
      <c r="M16" s="387"/>
      <c r="N16" s="387"/>
      <c r="O16" s="387"/>
      <c r="P16" s="387"/>
      <c r="Q16" s="387"/>
      <c r="R16" s="387"/>
      <c r="S16" s="387"/>
      <c r="T16" s="387"/>
      <c r="U16" s="388"/>
    </row>
    <row r="17" spans="1:21" ht="15" customHeight="1" x14ac:dyDescent="0.3">
      <c r="A17" s="380"/>
      <c r="B17" s="381"/>
      <c r="C17" s="381"/>
      <c r="D17" s="381"/>
      <c r="E17" s="382"/>
      <c r="F17" s="389"/>
      <c r="G17" s="390"/>
      <c r="H17" s="390"/>
      <c r="I17" s="390"/>
      <c r="J17" s="390"/>
      <c r="K17" s="390"/>
      <c r="L17" s="390"/>
      <c r="M17" s="390"/>
      <c r="N17" s="390"/>
      <c r="O17" s="390"/>
      <c r="P17" s="390"/>
      <c r="Q17" s="390"/>
      <c r="R17" s="390"/>
      <c r="S17" s="390"/>
      <c r="T17" s="390"/>
      <c r="U17" s="391"/>
    </row>
    <row r="18" spans="1:21" ht="15" customHeight="1" x14ac:dyDescent="0.3">
      <c r="A18" s="380"/>
      <c r="B18" s="381"/>
      <c r="C18" s="381"/>
      <c r="D18" s="381"/>
      <c r="E18" s="382"/>
      <c r="F18" s="389"/>
      <c r="G18" s="390"/>
      <c r="H18" s="390"/>
      <c r="I18" s="390"/>
      <c r="J18" s="390"/>
      <c r="K18" s="390"/>
      <c r="L18" s="390"/>
      <c r="M18" s="390"/>
      <c r="N18" s="390"/>
      <c r="O18" s="390"/>
      <c r="P18" s="390"/>
      <c r="Q18" s="390"/>
      <c r="R18" s="390"/>
      <c r="S18" s="390"/>
      <c r="T18" s="390"/>
      <c r="U18" s="391"/>
    </row>
    <row r="19" spans="1:21" ht="15" customHeight="1" x14ac:dyDescent="0.3">
      <c r="A19" s="383"/>
      <c r="B19" s="384"/>
      <c r="C19" s="384"/>
      <c r="D19" s="384"/>
      <c r="E19" s="385"/>
      <c r="F19" s="392"/>
      <c r="G19" s="393"/>
      <c r="H19" s="393"/>
      <c r="I19" s="393"/>
      <c r="J19" s="393"/>
      <c r="K19" s="393"/>
      <c r="L19" s="393"/>
      <c r="M19" s="393"/>
      <c r="N19" s="393"/>
      <c r="O19" s="393"/>
      <c r="P19" s="393"/>
      <c r="Q19" s="393"/>
      <c r="R19" s="393"/>
      <c r="S19" s="393"/>
      <c r="T19" s="393"/>
      <c r="U19" s="394"/>
    </row>
    <row r="20" spans="1:21" ht="20.100000000000001" customHeight="1" x14ac:dyDescent="0.3">
      <c r="A20" s="322" t="s">
        <v>80</v>
      </c>
      <c r="B20" s="323"/>
      <c r="C20" s="323"/>
      <c r="D20" s="323"/>
      <c r="E20" s="323"/>
      <c r="F20" s="401">
        <v>0</v>
      </c>
      <c r="G20" s="401"/>
      <c r="H20" s="401"/>
      <c r="I20" s="402"/>
      <c r="J20" s="397">
        <f>SUM(J8:N19)</f>
        <v>150000</v>
      </c>
      <c r="K20" s="398"/>
      <c r="L20" s="398"/>
      <c r="M20" s="398"/>
      <c r="N20" s="399"/>
      <c r="O20" s="435">
        <f>SUM(O8:P19)</f>
        <v>1</v>
      </c>
      <c r="P20" s="435"/>
      <c r="Q20" s="400">
        <f>SUM(Q8:S19)</f>
        <v>0</v>
      </c>
      <c r="R20" s="401"/>
      <c r="S20" s="402"/>
      <c r="T20" s="401">
        <f>SUM(T8:U15)</f>
        <v>150000</v>
      </c>
      <c r="U20" s="403"/>
    </row>
    <row r="21" spans="1:21" ht="20.100000000000001" customHeight="1" thickBot="1" x14ac:dyDescent="0.35">
      <c r="A21" s="425" t="s">
        <v>90</v>
      </c>
      <c r="B21" s="426"/>
      <c r="C21" s="426"/>
      <c r="D21" s="426"/>
      <c r="E21" s="426"/>
      <c r="F21" s="427">
        <f>F20+T20</f>
        <v>150000</v>
      </c>
      <c r="G21" s="427"/>
      <c r="H21" s="427"/>
      <c r="I21" s="428"/>
      <c r="J21" s="429" t="s">
        <v>965</v>
      </c>
      <c r="K21" s="426"/>
      <c r="L21" s="395" t="str">
        <f>T4</f>
        <v>장효주</v>
      </c>
      <c r="M21" s="395"/>
      <c r="N21" s="395"/>
      <c r="O21" s="429" t="s">
        <v>64</v>
      </c>
      <c r="P21" s="426"/>
      <c r="Q21" s="395" t="str">
        <f>C3</f>
        <v>이박사자동차정비(구미)</v>
      </c>
      <c r="R21" s="395"/>
      <c r="S21" s="395"/>
      <c r="T21" s="395"/>
      <c r="U21" s="396"/>
    </row>
    <row r="22" spans="1:21" ht="20.100000000000001" customHeight="1" x14ac:dyDescent="0.3">
      <c r="A22" s="436" t="s">
        <v>3891</v>
      </c>
      <c r="B22" s="436"/>
      <c r="C22" s="436"/>
      <c r="D22" s="436"/>
      <c r="E22" s="436"/>
      <c r="F22" s="436"/>
      <c r="G22" s="436"/>
      <c r="H22" s="436"/>
      <c r="I22" s="436"/>
      <c r="J22" s="436"/>
      <c r="K22" s="436"/>
      <c r="L22" s="436"/>
      <c r="M22" s="436"/>
      <c r="N22" s="436"/>
      <c r="O22" s="436"/>
      <c r="P22" s="436"/>
      <c r="Q22" s="436"/>
      <c r="R22" s="436"/>
      <c r="S22" s="436"/>
      <c r="T22" s="436"/>
      <c r="U22" s="436"/>
    </row>
    <row r="23" spans="1:21" ht="20.100000000000001" customHeight="1" thickBot="1" x14ac:dyDescent="0.35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</row>
    <row r="24" spans="1:21" ht="24" customHeight="1" thickBot="1" x14ac:dyDescent="0.3">
      <c r="A24" s="304"/>
      <c r="B24" s="305"/>
      <c r="C24" s="305"/>
      <c r="D24" s="305"/>
      <c r="E24" s="305"/>
      <c r="F24" s="305"/>
      <c r="G24" s="30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6" t="s">
        <v>1197</v>
      </c>
      <c r="R24" s="306"/>
      <c r="S24" s="438">
        <f>S1</f>
        <v>0</v>
      </c>
      <c r="T24" s="438"/>
      <c r="U24" s="439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45940</v>
      </c>
      <c r="U25" s="317"/>
    </row>
    <row r="26" spans="1:21" ht="24.95" customHeight="1" x14ac:dyDescent="0.3">
      <c r="A26" s="327" t="s">
        <v>1167</v>
      </c>
      <c r="B26" s="37" t="s">
        <v>59</v>
      </c>
      <c r="C26" s="330" t="str">
        <f>C3</f>
        <v>이박사자동차정비(구미)</v>
      </c>
      <c r="D26" s="331"/>
      <c r="E26" s="331"/>
      <c r="F26" s="331"/>
      <c r="G26" s="331"/>
      <c r="H26" s="331"/>
      <c r="I26" s="331"/>
      <c r="J26" s="332"/>
      <c r="K26" s="333" t="s">
        <v>1168</v>
      </c>
      <c r="L26" s="37" t="s">
        <v>59</v>
      </c>
      <c r="M26" s="336" t="s">
        <v>964</v>
      </c>
      <c r="N26" s="337"/>
      <c r="O26" s="337"/>
      <c r="P26" s="337"/>
      <c r="Q26" s="337"/>
      <c r="R26" s="337"/>
      <c r="S26" s="337"/>
      <c r="T26" s="337"/>
      <c r="U26" s="338"/>
    </row>
    <row r="27" spans="1:21" ht="24.95" customHeight="1" x14ac:dyDescent="0.3">
      <c r="A27" s="328"/>
      <c r="B27" s="37" t="s">
        <v>61</v>
      </c>
      <c r="C27" s="404">
        <f>C4</f>
        <v>0</v>
      </c>
      <c r="D27" s="405"/>
      <c r="E27" s="405"/>
      <c r="F27" s="405"/>
      <c r="G27" s="405"/>
      <c r="H27" s="405"/>
      <c r="I27" s="405"/>
      <c r="J27" s="406"/>
      <c r="K27" s="334"/>
      <c r="L27" s="37" t="s">
        <v>61</v>
      </c>
      <c r="M27" s="318" t="s">
        <v>962</v>
      </c>
      <c r="N27" s="319"/>
      <c r="O27" s="319"/>
      <c r="P27" s="319"/>
      <c r="Q27" s="319"/>
      <c r="R27" s="320"/>
      <c r="S27" s="38" t="s">
        <v>62</v>
      </c>
      <c r="T27" s="318" t="s">
        <v>73</v>
      </c>
      <c r="U27" s="321"/>
    </row>
    <row r="28" spans="1:21" ht="24.95" customHeight="1" x14ac:dyDescent="0.3">
      <c r="A28" s="328"/>
      <c r="B28" s="38" t="s">
        <v>10</v>
      </c>
      <c r="C28" s="318" t="str">
        <f>C5</f>
        <v>경북 구미시 인동46길 37-32</v>
      </c>
      <c r="D28" s="319"/>
      <c r="E28" s="319"/>
      <c r="F28" s="319"/>
      <c r="G28" s="319"/>
      <c r="H28" s="319"/>
      <c r="I28" s="319"/>
      <c r="J28" s="320"/>
      <c r="K28" s="334"/>
      <c r="L28" s="38" t="s">
        <v>10</v>
      </c>
      <c r="M28" s="318" t="s">
        <v>74</v>
      </c>
      <c r="N28" s="319"/>
      <c r="O28" s="319"/>
      <c r="P28" s="319"/>
      <c r="Q28" s="319"/>
      <c r="R28" s="319"/>
      <c r="S28" s="319"/>
      <c r="T28" s="319"/>
      <c r="U28" s="321"/>
    </row>
    <row r="29" spans="1:21" ht="24.95" customHeight="1" x14ac:dyDescent="0.3">
      <c r="A29" s="329"/>
      <c r="B29" s="38" t="s">
        <v>75</v>
      </c>
      <c r="C29" s="318" t="str">
        <f>C6</f>
        <v>010-9273-5364</v>
      </c>
      <c r="D29" s="319"/>
      <c r="E29" s="319"/>
      <c r="F29" s="319"/>
      <c r="G29" s="319"/>
      <c r="H29" s="319"/>
      <c r="I29" s="319"/>
      <c r="J29" s="320"/>
      <c r="K29" s="335"/>
      <c r="L29" s="38" t="s">
        <v>75</v>
      </c>
      <c r="M29" s="318" t="s">
        <v>66</v>
      </c>
      <c r="N29" s="319"/>
      <c r="O29" s="319"/>
      <c r="P29" s="319"/>
      <c r="Q29" s="319"/>
      <c r="R29" s="320"/>
      <c r="S29" s="38" t="s">
        <v>22</v>
      </c>
      <c r="T29" s="318" t="str">
        <f>T6</f>
        <v>경동(화물)</v>
      </c>
      <c r="U29" s="321"/>
    </row>
    <row r="30" spans="1:21" ht="15.6" customHeight="1" x14ac:dyDescent="0.3">
      <c r="A30" s="322" t="s">
        <v>70</v>
      </c>
      <c r="B30" s="323"/>
      <c r="C30" s="323"/>
      <c r="D30" s="323"/>
      <c r="E30" s="324"/>
      <c r="F30" s="325" t="s">
        <v>44</v>
      </c>
      <c r="G30" s="323"/>
      <c r="H30" s="323"/>
      <c r="I30" s="324"/>
      <c r="J30" s="325" t="s">
        <v>42</v>
      </c>
      <c r="K30" s="323"/>
      <c r="L30" s="323"/>
      <c r="M30" s="323"/>
      <c r="N30" s="324"/>
      <c r="O30" s="323" t="s">
        <v>50</v>
      </c>
      <c r="P30" s="324"/>
      <c r="Q30" s="325" t="s">
        <v>69</v>
      </c>
      <c r="R30" s="323"/>
      <c r="S30" s="324"/>
      <c r="T30" s="325" t="s">
        <v>68</v>
      </c>
      <c r="U30" s="326"/>
    </row>
    <row r="31" spans="1:21" ht="15.6" customHeight="1" x14ac:dyDescent="0.3">
      <c r="A31" s="412" t="str">
        <f>A8</f>
        <v>ISM_NEW</v>
      </c>
      <c r="B31" s="413"/>
      <c r="C31" s="413"/>
      <c r="D31" s="413"/>
      <c r="E31" s="413"/>
      <c r="F31" s="413">
        <f>F8</f>
        <v>0</v>
      </c>
      <c r="G31" s="413"/>
      <c r="H31" s="413"/>
      <c r="I31" s="413"/>
      <c r="J31" s="417">
        <f>J8</f>
        <v>150000</v>
      </c>
      <c r="K31" s="417"/>
      <c r="L31" s="417"/>
      <c r="M31" s="417"/>
      <c r="N31" s="417"/>
      <c r="O31" s="417">
        <f>O8</f>
        <v>1</v>
      </c>
      <c r="P31" s="417"/>
      <c r="Q31" s="414">
        <f>Q8</f>
        <v>0</v>
      </c>
      <c r="R31" s="414"/>
      <c r="S31" s="414"/>
      <c r="T31" s="415">
        <f>T8</f>
        <v>150000</v>
      </c>
      <c r="U31" s="416"/>
    </row>
    <row r="32" spans="1:21" ht="15.6" customHeight="1" x14ac:dyDescent="0.3">
      <c r="A32" s="407">
        <f t="shared" ref="A32:A38" si="0">A9</f>
        <v>0</v>
      </c>
      <c r="B32" s="408"/>
      <c r="C32" s="408"/>
      <c r="D32" s="408"/>
      <c r="E32" s="408"/>
      <c r="F32" s="408">
        <f t="shared" ref="F32:F38" si="1">F9</f>
        <v>0</v>
      </c>
      <c r="G32" s="408"/>
      <c r="H32" s="408"/>
      <c r="I32" s="408"/>
      <c r="J32" s="418">
        <f t="shared" ref="J32:J38" si="2">J9</f>
        <v>0</v>
      </c>
      <c r="K32" s="418"/>
      <c r="L32" s="418"/>
      <c r="M32" s="418"/>
      <c r="N32" s="418"/>
      <c r="O32" s="418">
        <f t="shared" ref="O32:O38" si="3">O9</f>
        <v>0</v>
      </c>
      <c r="P32" s="418"/>
      <c r="Q32" s="409">
        <f t="shared" ref="Q32:Q38" si="4">Q9</f>
        <v>0</v>
      </c>
      <c r="R32" s="409"/>
      <c r="S32" s="409"/>
      <c r="T32" s="410">
        <f t="shared" ref="T32:T38" si="5">T9</f>
        <v>0</v>
      </c>
      <c r="U32" s="411"/>
    </row>
    <row r="33" spans="1:21" ht="15.6" customHeight="1" x14ac:dyDescent="0.3">
      <c r="A33" s="407">
        <f t="shared" si="0"/>
        <v>0</v>
      </c>
      <c r="B33" s="408"/>
      <c r="C33" s="408"/>
      <c r="D33" s="408"/>
      <c r="E33" s="408"/>
      <c r="F33" s="408">
        <f t="shared" si="1"/>
        <v>0</v>
      </c>
      <c r="G33" s="408"/>
      <c r="H33" s="408"/>
      <c r="I33" s="408"/>
      <c r="J33" s="418">
        <f t="shared" si="2"/>
        <v>0</v>
      </c>
      <c r="K33" s="418"/>
      <c r="L33" s="418"/>
      <c r="M33" s="418"/>
      <c r="N33" s="418"/>
      <c r="O33" s="418">
        <f t="shared" si="3"/>
        <v>0</v>
      </c>
      <c r="P33" s="418"/>
      <c r="Q33" s="409">
        <f t="shared" si="4"/>
        <v>0</v>
      </c>
      <c r="R33" s="409"/>
      <c r="S33" s="409"/>
      <c r="T33" s="410">
        <f t="shared" si="5"/>
        <v>0</v>
      </c>
      <c r="U33" s="411"/>
    </row>
    <row r="34" spans="1:21" ht="15.6" customHeight="1" x14ac:dyDescent="0.3">
      <c r="A34" s="407">
        <f t="shared" si="0"/>
        <v>0</v>
      </c>
      <c r="B34" s="408"/>
      <c r="C34" s="408"/>
      <c r="D34" s="408"/>
      <c r="E34" s="408"/>
      <c r="F34" s="408">
        <f t="shared" si="1"/>
        <v>0</v>
      </c>
      <c r="G34" s="408"/>
      <c r="H34" s="408"/>
      <c r="I34" s="408"/>
      <c r="J34" s="418">
        <f t="shared" si="2"/>
        <v>0</v>
      </c>
      <c r="K34" s="418"/>
      <c r="L34" s="418"/>
      <c r="M34" s="418"/>
      <c r="N34" s="418"/>
      <c r="O34" s="418">
        <f t="shared" si="3"/>
        <v>0</v>
      </c>
      <c r="P34" s="418"/>
      <c r="Q34" s="409">
        <f t="shared" si="4"/>
        <v>0</v>
      </c>
      <c r="R34" s="409"/>
      <c r="S34" s="409"/>
      <c r="T34" s="410">
        <f t="shared" si="5"/>
        <v>0</v>
      </c>
      <c r="U34" s="411"/>
    </row>
    <row r="35" spans="1:21" ht="15.6" customHeight="1" x14ac:dyDescent="0.3">
      <c r="A35" s="407">
        <f t="shared" si="0"/>
        <v>0</v>
      </c>
      <c r="B35" s="408"/>
      <c r="C35" s="408"/>
      <c r="D35" s="408"/>
      <c r="E35" s="408"/>
      <c r="F35" s="408">
        <f t="shared" si="1"/>
        <v>0</v>
      </c>
      <c r="G35" s="408"/>
      <c r="H35" s="408"/>
      <c r="I35" s="408"/>
      <c r="J35" s="418">
        <f t="shared" si="2"/>
        <v>0</v>
      </c>
      <c r="K35" s="418"/>
      <c r="L35" s="418"/>
      <c r="M35" s="418"/>
      <c r="N35" s="418"/>
      <c r="O35" s="418">
        <f t="shared" si="3"/>
        <v>0</v>
      </c>
      <c r="P35" s="418"/>
      <c r="Q35" s="409">
        <f t="shared" si="4"/>
        <v>0</v>
      </c>
      <c r="R35" s="409"/>
      <c r="S35" s="409"/>
      <c r="T35" s="410">
        <f t="shared" si="5"/>
        <v>0</v>
      </c>
      <c r="U35" s="411"/>
    </row>
    <row r="36" spans="1:21" ht="15.6" customHeight="1" x14ac:dyDescent="0.3">
      <c r="A36" s="407">
        <f t="shared" si="0"/>
        <v>0</v>
      </c>
      <c r="B36" s="408"/>
      <c r="C36" s="408"/>
      <c r="D36" s="408"/>
      <c r="E36" s="408"/>
      <c r="F36" s="408">
        <f t="shared" si="1"/>
        <v>0</v>
      </c>
      <c r="G36" s="408"/>
      <c r="H36" s="408"/>
      <c r="I36" s="408"/>
      <c r="J36" s="418">
        <f t="shared" si="2"/>
        <v>0</v>
      </c>
      <c r="K36" s="418"/>
      <c r="L36" s="418"/>
      <c r="M36" s="418"/>
      <c r="N36" s="418"/>
      <c r="O36" s="418">
        <f t="shared" si="3"/>
        <v>0</v>
      </c>
      <c r="P36" s="418"/>
      <c r="Q36" s="409">
        <f t="shared" si="4"/>
        <v>0</v>
      </c>
      <c r="R36" s="409"/>
      <c r="S36" s="409"/>
      <c r="T36" s="410">
        <f t="shared" si="5"/>
        <v>0</v>
      </c>
      <c r="U36" s="411"/>
    </row>
    <row r="37" spans="1:21" ht="15.6" customHeight="1" x14ac:dyDescent="0.3">
      <c r="A37" s="407">
        <f t="shared" si="0"/>
        <v>0</v>
      </c>
      <c r="B37" s="408"/>
      <c r="C37" s="408"/>
      <c r="D37" s="408"/>
      <c r="E37" s="408"/>
      <c r="F37" s="408">
        <f t="shared" si="1"/>
        <v>0</v>
      </c>
      <c r="G37" s="408"/>
      <c r="H37" s="408"/>
      <c r="I37" s="408"/>
      <c r="J37" s="418">
        <f t="shared" si="2"/>
        <v>0</v>
      </c>
      <c r="K37" s="418"/>
      <c r="L37" s="418"/>
      <c r="M37" s="418"/>
      <c r="N37" s="418"/>
      <c r="O37" s="418">
        <f t="shared" si="3"/>
        <v>0</v>
      </c>
      <c r="P37" s="418"/>
      <c r="Q37" s="409">
        <f t="shared" si="4"/>
        <v>0</v>
      </c>
      <c r="R37" s="409"/>
      <c r="S37" s="409"/>
      <c r="T37" s="410">
        <f t="shared" si="5"/>
        <v>0</v>
      </c>
      <c r="U37" s="411"/>
    </row>
    <row r="38" spans="1:21" ht="15.6" customHeight="1" thickBot="1" x14ac:dyDescent="0.35">
      <c r="A38" s="419">
        <f t="shared" si="0"/>
        <v>0</v>
      </c>
      <c r="B38" s="420"/>
      <c r="C38" s="420"/>
      <c r="D38" s="420"/>
      <c r="E38" s="420"/>
      <c r="F38" s="420">
        <f t="shared" si="1"/>
        <v>0</v>
      </c>
      <c r="G38" s="420"/>
      <c r="H38" s="420"/>
      <c r="I38" s="420"/>
      <c r="J38" s="424">
        <f t="shared" si="2"/>
        <v>0</v>
      </c>
      <c r="K38" s="424"/>
      <c r="L38" s="424"/>
      <c r="M38" s="424"/>
      <c r="N38" s="424"/>
      <c r="O38" s="424">
        <f t="shared" si="3"/>
        <v>0</v>
      </c>
      <c r="P38" s="424"/>
      <c r="Q38" s="421">
        <f t="shared" si="4"/>
        <v>0</v>
      </c>
      <c r="R38" s="421"/>
      <c r="S38" s="421"/>
      <c r="T38" s="422">
        <f t="shared" si="5"/>
        <v>0</v>
      </c>
      <c r="U38" s="423"/>
    </row>
    <row r="39" spans="1:21" ht="15" customHeight="1" thickTop="1" x14ac:dyDescent="0.3">
      <c r="A39" s="377" t="s">
        <v>2317</v>
      </c>
      <c r="B39" s="378"/>
      <c r="C39" s="378"/>
      <c r="D39" s="378"/>
      <c r="E39" s="379"/>
      <c r="F39" s="386">
        <f>F16</f>
        <v>0</v>
      </c>
      <c r="G39" s="387"/>
      <c r="H39" s="387"/>
      <c r="I39" s="387"/>
      <c r="J39" s="387"/>
      <c r="K39" s="387"/>
      <c r="L39" s="387"/>
      <c r="M39" s="387"/>
      <c r="N39" s="387"/>
      <c r="O39" s="387"/>
      <c r="P39" s="387"/>
      <c r="Q39" s="387"/>
      <c r="R39" s="387"/>
      <c r="S39" s="387"/>
      <c r="T39" s="387"/>
      <c r="U39" s="388"/>
    </row>
    <row r="40" spans="1:21" ht="15" customHeight="1" x14ac:dyDescent="0.3">
      <c r="A40" s="380"/>
      <c r="B40" s="381"/>
      <c r="C40" s="381"/>
      <c r="D40" s="381"/>
      <c r="E40" s="382"/>
      <c r="F40" s="389"/>
      <c r="G40" s="390"/>
      <c r="H40" s="390"/>
      <c r="I40" s="390"/>
      <c r="J40" s="390"/>
      <c r="K40" s="390"/>
      <c r="L40" s="390"/>
      <c r="M40" s="390"/>
      <c r="N40" s="390"/>
      <c r="O40" s="390"/>
      <c r="P40" s="390"/>
      <c r="Q40" s="390"/>
      <c r="R40" s="390"/>
      <c r="S40" s="390"/>
      <c r="T40" s="390"/>
      <c r="U40" s="391"/>
    </row>
    <row r="41" spans="1:21" ht="15" customHeight="1" x14ac:dyDescent="0.3">
      <c r="A41" s="380"/>
      <c r="B41" s="381"/>
      <c r="C41" s="381"/>
      <c r="D41" s="381"/>
      <c r="E41" s="382"/>
      <c r="F41" s="389"/>
      <c r="G41" s="390"/>
      <c r="H41" s="390"/>
      <c r="I41" s="390"/>
      <c r="J41" s="390"/>
      <c r="K41" s="390"/>
      <c r="L41" s="390"/>
      <c r="M41" s="390"/>
      <c r="N41" s="390"/>
      <c r="O41" s="390"/>
      <c r="P41" s="390"/>
      <c r="Q41" s="390"/>
      <c r="R41" s="390"/>
      <c r="S41" s="390"/>
      <c r="T41" s="390"/>
      <c r="U41" s="391"/>
    </row>
    <row r="42" spans="1:21" ht="15" customHeight="1" x14ac:dyDescent="0.3">
      <c r="A42" s="383"/>
      <c r="B42" s="384"/>
      <c r="C42" s="384"/>
      <c r="D42" s="384"/>
      <c r="E42" s="385"/>
      <c r="F42" s="392"/>
      <c r="G42" s="393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4"/>
    </row>
    <row r="43" spans="1:21" ht="20.100000000000001" customHeight="1" x14ac:dyDescent="0.3">
      <c r="A43" s="322" t="s">
        <v>80</v>
      </c>
      <c r="B43" s="323"/>
      <c r="C43" s="323"/>
      <c r="D43" s="323"/>
      <c r="E43" s="323"/>
      <c r="F43" s="401">
        <f>F20</f>
        <v>0</v>
      </c>
      <c r="G43" s="401"/>
      <c r="H43" s="401"/>
      <c r="I43" s="402"/>
      <c r="J43" s="397">
        <f>J20</f>
        <v>150000</v>
      </c>
      <c r="K43" s="398"/>
      <c r="L43" s="398"/>
      <c r="M43" s="398"/>
      <c r="N43" s="399"/>
      <c r="O43" s="435">
        <f>O20</f>
        <v>1</v>
      </c>
      <c r="P43" s="435"/>
      <c r="Q43" s="400">
        <f>Q20</f>
        <v>0</v>
      </c>
      <c r="R43" s="401"/>
      <c r="S43" s="401"/>
      <c r="T43" s="401">
        <f>T20</f>
        <v>150000</v>
      </c>
      <c r="U43" s="403"/>
    </row>
    <row r="44" spans="1:21" ht="20.100000000000001" customHeight="1" thickBot="1" x14ac:dyDescent="0.35">
      <c r="A44" s="425" t="s">
        <v>90</v>
      </c>
      <c r="B44" s="426"/>
      <c r="C44" s="426"/>
      <c r="D44" s="426"/>
      <c r="E44" s="426"/>
      <c r="F44" s="427">
        <f>F21</f>
        <v>150000</v>
      </c>
      <c r="G44" s="427"/>
      <c r="H44" s="427"/>
      <c r="I44" s="428"/>
      <c r="J44" s="429" t="s">
        <v>965</v>
      </c>
      <c r="K44" s="426"/>
      <c r="L44" s="430" t="str">
        <f>T27</f>
        <v>장효주</v>
      </c>
      <c r="M44" s="430"/>
      <c r="N44" s="430"/>
      <c r="O44" s="429" t="s">
        <v>64</v>
      </c>
      <c r="P44" s="431"/>
      <c r="Q44" s="432" t="str">
        <f>Q21</f>
        <v>이박사자동차정비(구미)</v>
      </c>
      <c r="R44" s="433"/>
      <c r="S44" s="433"/>
      <c r="T44" s="433"/>
      <c r="U44" s="43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150000</v>
      </c>
      <c r="H1" s="107">
        <f>SUM(H2:H3)</f>
        <v>1</v>
      </c>
      <c r="I1" s="107">
        <f>SUM(I2:I3)</f>
        <v>0</v>
      </c>
      <c r="J1" s="107">
        <f>SUM(J2:J3)</f>
        <v>150000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3861</v>
      </c>
      <c r="C2" s="47" t="s">
        <v>2486</v>
      </c>
      <c r="E2" t="s">
        <v>1154</v>
      </c>
      <c r="G2">
        <v>150000</v>
      </c>
      <c r="H2">
        <v>1</v>
      </c>
      <c r="I2" s="226"/>
      <c r="J2" s="226">
        <v>150000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0" t="s">
        <v>49</v>
      </c>
      <c r="C4" s="44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2" t="s">
        <v>87</v>
      </c>
      <c r="C28" s="443"/>
      <c r="D28" s="443"/>
      <c r="E28" s="444"/>
      <c r="F28" s="443"/>
      <c r="G28" s="44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8" t="s">
        <v>1558</v>
      </c>
      <c r="F6" s="448"/>
      <c r="G6" s="448"/>
      <c r="H6" s="448"/>
      <c r="I6" s="448"/>
      <c r="J6" s="448"/>
      <c r="K6" s="448"/>
    </row>
    <row r="7" spans="5:11" x14ac:dyDescent="0.3"/>
    <row r="8" spans="5:11" x14ac:dyDescent="0.3"/>
    <row r="9" spans="5:11" x14ac:dyDescent="0.3">
      <c r="G9" s="445"/>
      <c r="H9" s="445"/>
      <c r="I9" s="445"/>
      <c r="J9" s="445"/>
    </row>
    <row r="10" spans="5:11" ht="33" customHeight="1" x14ac:dyDescent="0.3">
      <c r="F10" s="117"/>
      <c r="G10" s="446"/>
      <c r="H10" s="447"/>
      <c r="I10" s="447"/>
      <c r="J10" s="447"/>
    </row>
    <row r="11" spans="5:11" x14ac:dyDescent="0.3"/>
    <row r="12" spans="5:11" ht="32.25" customHeight="1" x14ac:dyDescent="0.3">
      <c r="F12" s="118"/>
      <c r="G12" s="446" t="s">
        <v>1559</v>
      </c>
      <c r="H12" s="447"/>
      <c r="I12" s="447"/>
      <c r="J12" s="44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874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2" sqref="N2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1874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2704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3676</v>
      </c>
      <c r="E196" s="292" t="s">
        <v>1859</v>
      </c>
      <c r="F196" s="269" t="s">
        <v>3676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3676</v>
      </c>
      <c r="E236" s="292" t="s">
        <v>1859</v>
      </c>
      <c r="F236" s="269" t="s">
        <v>3676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3073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2724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2690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2702</v>
      </c>
      <c r="E653" s="292" t="s">
        <v>2703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2702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2780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2659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2674</v>
      </c>
      <c r="E716" s="292" t="s">
        <v>2675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2625</v>
      </c>
      <c r="E722" s="292" t="s">
        <v>2624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2627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2631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2672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2634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2656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2645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2645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2634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2669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2665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2666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2671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2673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2682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2912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2699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2625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2715</v>
      </c>
      <c r="F774" s="269" t="s">
        <v>2714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2721</v>
      </c>
      <c r="E775" s="292" t="s">
        <v>2338</v>
      </c>
      <c r="F775" s="269" t="s">
        <v>2722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2706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2725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2727</v>
      </c>
      <c r="E792" s="292" t="s">
        <v>2726</v>
      </c>
      <c r="G792" s="265">
        <v>150000</v>
      </c>
      <c r="H792" s="269">
        <v>1</v>
      </c>
      <c r="K792" s="265">
        <v>150000</v>
      </c>
      <c r="M792" s="269"/>
      <c r="N792" t="s">
        <v>2865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2865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2865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2732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2733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2734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2865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2865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2669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2865</v>
      </c>
    </row>
    <row r="802" spans="1:14" x14ac:dyDescent="0.3">
      <c r="A802" s="271">
        <v>801</v>
      </c>
      <c r="B802" s="264">
        <v>45839</v>
      </c>
      <c r="C802" s="292" t="s">
        <v>2734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2742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2865</v>
      </c>
    </row>
    <row r="805" spans="1:14" x14ac:dyDescent="0.3">
      <c r="A805" s="271">
        <v>804</v>
      </c>
      <c r="B805" s="264">
        <v>45840</v>
      </c>
      <c r="C805" s="292" t="s">
        <v>2744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2865</v>
      </c>
    </row>
    <row r="806" spans="1:14" x14ac:dyDescent="0.3">
      <c r="A806" s="271">
        <v>805</v>
      </c>
      <c r="B806" s="264">
        <v>45840</v>
      </c>
      <c r="C806" s="292" t="s">
        <v>2744</v>
      </c>
      <c r="E806" s="292" t="s">
        <v>2749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2865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2865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2865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2865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2865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2865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2865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2865</v>
      </c>
    </row>
    <row r="816" spans="1:14" x14ac:dyDescent="0.3">
      <c r="A816" s="271">
        <v>815</v>
      </c>
      <c r="B816" s="264">
        <v>45841</v>
      </c>
      <c r="C816" s="292" t="s">
        <v>2727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2764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2865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2681</v>
      </c>
      <c r="G818" s="265">
        <v>350000</v>
      </c>
      <c r="H818" s="269">
        <v>1</v>
      </c>
      <c r="K818" s="265">
        <v>350000</v>
      </c>
      <c r="M818" s="269"/>
      <c r="N818" t="s">
        <v>2865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2865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2865</v>
      </c>
    </row>
    <row r="821" spans="1:14" x14ac:dyDescent="0.3">
      <c r="A821" s="271">
        <v>820</v>
      </c>
      <c r="B821" s="264">
        <v>45841</v>
      </c>
      <c r="C821" s="292" t="s">
        <v>2764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2771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2865</v>
      </c>
    </row>
    <row r="825" spans="1:14" x14ac:dyDescent="0.3">
      <c r="A825" s="271">
        <v>824</v>
      </c>
      <c r="B825" s="264">
        <v>45842</v>
      </c>
      <c r="C825" s="292" t="s">
        <v>2771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2865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2774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2733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2865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2865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2909</v>
      </c>
      <c r="K831" s="265">
        <v>1650000</v>
      </c>
      <c r="M831" s="269"/>
      <c r="N831" t="s">
        <v>2865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2865</v>
      </c>
    </row>
    <row r="833" spans="1:14" x14ac:dyDescent="0.3">
      <c r="A833" s="271">
        <v>832</v>
      </c>
      <c r="B833" s="264">
        <v>45842</v>
      </c>
      <c r="C833" s="292" t="s">
        <v>2742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2865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2681</v>
      </c>
      <c r="G839" s="265">
        <v>350000</v>
      </c>
      <c r="H839" s="269">
        <v>1</v>
      </c>
      <c r="K839" s="265">
        <v>350000</v>
      </c>
      <c r="M839" s="269"/>
      <c r="N839" t="s">
        <v>2865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2865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2865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2750</v>
      </c>
      <c r="G843" s="265">
        <v>1100000</v>
      </c>
      <c r="H843" s="269">
        <v>1</v>
      </c>
      <c r="K843" s="265">
        <v>1100000</v>
      </c>
      <c r="M843" s="269"/>
      <c r="N843" t="s">
        <v>2865</v>
      </c>
    </row>
    <row r="844" spans="1:14" x14ac:dyDescent="0.3">
      <c r="A844" s="271">
        <v>843</v>
      </c>
      <c r="B844" s="264">
        <v>45845</v>
      </c>
      <c r="C844" s="292" t="s">
        <v>2791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2865</v>
      </c>
    </row>
    <row r="845" spans="1:14" x14ac:dyDescent="0.3">
      <c r="A845" s="271">
        <v>844</v>
      </c>
      <c r="B845" s="264">
        <v>45845</v>
      </c>
      <c r="C845" s="292" t="s">
        <v>2791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2865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2865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2865</v>
      </c>
    </row>
    <row r="848" spans="1:14" x14ac:dyDescent="0.3">
      <c r="A848" s="271">
        <v>847</v>
      </c>
      <c r="B848" s="264">
        <v>45845</v>
      </c>
      <c r="C848" s="292" t="s">
        <v>2785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2865</v>
      </c>
    </row>
    <row r="849" spans="1:14" x14ac:dyDescent="0.3">
      <c r="A849" s="271">
        <v>848</v>
      </c>
      <c r="B849" s="264">
        <v>45845</v>
      </c>
      <c r="C849" s="292" t="s">
        <v>2785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2865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2865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2865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2865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2865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2865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2801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2785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2791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2803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2865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2865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2865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2865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2865</v>
      </c>
    </row>
    <row r="866" spans="1:14" x14ac:dyDescent="0.3">
      <c r="A866" s="271">
        <v>865</v>
      </c>
      <c r="B866" s="264">
        <v>45846</v>
      </c>
      <c r="C866" s="292" t="s">
        <v>2791</v>
      </c>
      <c r="E866" s="292" t="s">
        <v>2807</v>
      </c>
      <c r="F866" s="269" t="s">
        <v>2806</v>
      </c>
      <c r="G866" s="265">
        <v>400000</v>
      </c>
      <c r="H866" s="269">
        <v>1</v>
      </c>
      <c r="K866" s="265">
        <v>400000</v>
      </c>
      <c r="M866" s="269"/>
      <c r="N866" t="s">
        <v>2865</v>
      </c>
    </row>
    <row r="867" spans="1:14" x14ac:dyDescent="0.3">
      <c r="A867" s="271">
        <v>866</v>
      </c>
      <c r="B867" s="264">
        <v>45846</v>
      </c>
      <c r="C867" s="292" t="s">
        <v>2791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2865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2865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2681</v>
      </c>
      <c r="G869" s="265">
        <v>350000</v>
      </c>
      <c r="H869" s="269">
        <v>1</v>
      </c>
      <c r="K869" s="265">
        <v>350000</v>
      </c>
      <c r="M869" s="269"/>
      <c r="N869" t="s">
        <v>2865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2865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2865</v>
      </c>
    </row>
    <row r="872" spans="1:14" x14ac:dyDescent="0.3">
      <c r="A872" s="271">
        <v>871</v>
      </c>
      <c r="B872" s="264">
        <v>45846</v>
      </c>
      <c r="C872" s="292" t="s">
        <v>2811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2865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2816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2865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2865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2865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2865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2865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2865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2865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2865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2791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2865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2865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2865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2865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2865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2865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2865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2865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2811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2727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2865</v>
      </c>
    </row>
    <row r="896" spans="1:14" x14ac:dyDescent="0.3">
      <c r="A896" s="271">
        <v>895</v>
      </c>
      <c r="B896" s="264">
        <v>45848</v>
      </c>
      <c r="C896" s="292" t="s">
        <v>2727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2865</v>
      </c>
    </row>
    <row r="897" spans="1:14" x14ac:dyDescent="0.3">
      <c r="A897" s="271">
        <v>896</v>
      </c>
      <c r="B897" s="264">
        <v>45848</v>
      </c>
      <c r="C897" s="292" t="s">
        <v>2727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2865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2838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2865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2865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2865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2865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2842</v>
      </c>
      <c r="F902" s="269" t="s">
        <v>2752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2865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2865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2849</v>
      </c>
      <c r="F905" s="269" t="s">
        <v>2848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2865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2851</v>
      </c>
      <c r="F906" s="269" t="s">
        <v>2847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2865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2865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2865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2865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2751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2865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2865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2865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2681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2865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2836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2865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2835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2865</v>
      </c>
    </row>
    <row r="916" spans="1:14" x14ac:dyDescent="0.3">
      <c r="A916" s="271">
        <v>915</v>
      </c>
      <c r="B916" s="264">
        <v>45849</v>
      </c>
      <c r="C916" s="292" t="s">
        <v>2862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2865</v>
      </c>
    </row>
    <row r="917" spans="1:14" x14ac:dyDescent="0.3">
      <c r="A917" s="271">
        <v>916</v>
      </c>
      <c r="B917" s="264">
        <v>45849</v>
      </c>
      <c r="C917" s="292" t="s">
        <v>2862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2865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2860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2863</v>
      </c>
      <c r="G921" s="265">
        <v>170000</v>
      </c>
      <c r="H921" s="269">
        <v>1</v>
      </c>
      <c r="K921" s="265">
        <v>170000</v>
      </c>
      <c r="M921" s="269"/>
      <c r="N921" t="s">
        <v>2865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2727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2865</v>
      </c>
    </row>
    <row r="925" spans="1:14" x14ac:dyDescent="0.3">
      <c r="A925" s="271">
        <v>924</v>
      </c>
      <c r="B925" s="264">
        <v>45850</v>
      </c>
      <c r="C925" s="292" t="s">
        <v>2867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2910</v>
      </c>
      <c r="E927" s="292" t="s">
        <v>2656</v>
      </c>
      <c r="G927" s="265">
        <v>1750000</v>
      </c>
      <c r="H927" s="269">
        <v>1</v>
      </c>
      <c r="J927" s="266" t="s">
        <v>2911</v>
      </c>
      <c r="K927" s="265">
        <v>1925000</v>
      </c>
      <c r="M927" s="269"/>
      <c r="N927" t="s">
        <v>2865</v>
      </c>
    </row>
    <row r="928" spans="1:14" x14ac:dyDescent="0.3">
      <c r="A928" s="271">
        <v>927</v>
      </c>
      <c r="B928" s="264">
        <v>45852</v>
      </c>
      <c r="C928" s="292" t="s">
        <v>2875</v>
      </c>
      <c r="E928" s="292" t="s">
        <v>2384</v>
      </c>
      <c r="F928" s="269" t="s">
        <v>2878</v>
      </c>
      <c r="G928" s="265">
        <v>1100000</v>
      </c>
      <c r="H928" s="269">
        <v>1</v>
      </c>
      <c r="K928" s="265">
        <v>1100000</v>
      </c>
      <c r="M928" s="269"/>
      <c r="N928" t="s">
        <v>2865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2865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2913</v>
      </c>
      <c r="N930" t="s">
        <v>2865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2838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2865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2865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2865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2865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2910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2865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2865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2865</v>
      </c>
    </row>
    <row r="941" spans="1:14" x14ac:dyDescent="0.3">
      <c r="A941" s="271">
        <v>940</v>
      </c>
      <c r="B941" s="264">
        <v>45853</v>
      </c>
      <c r="C941" s="292" t="s">
        <v>2898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2865</v>
      </c>
    </row>
    <row r="942" spans="1:14" x14ac:dyDescent="0.3">
      <c r="A942" s="271">
        <v>941</v>
      </c>
      <c r="B942" s="264">
        <v>45853</v>
      </c>
      <c r="C942" s="292" t="s">
        <v>2898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2865</v>
      </c>
    </row>
    <row r="943" spans="1:14" x14ac:dyDescent="0.3">
      <c r="A943" s="271">
        <v>942</v>
      </c>
      <c r="B943" s="264">
        <v>45853</v>
      </c>
      <c r="C943" s="292" t="s">
        <v>2898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2865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2865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2909</v>
      </c>
      <c r="K945" s="265">
        <v>1650000</v>
      </c>
      <c r="M945" s="269"/>
      <c r="N945" t="s">
        <v>2865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2865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2865</v>
      </c>
    </row>
    <row r="948" spans="1:14" x14ac:dyDescent="0.3">
      <c r="A948" s="271">
        <v>947</v>
      </c>
      <c r="B948" s="264">
        <v>45853</v>
      </c>
      <c r="C948" s="292" t="s">
        <v>2892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2865</v>
      </c>
    </row>
    <row r="949" spans="1:14" x14ac:dyDescent="0.3">
      <c r="A949" s="271">
        <v>948</v>
      </c>
      <c r="B949" s="264">
        <v>45853</v>
      </c>
      <c r="C949" s="292" t="s">
        <v>2892</v>
      </c>
      <c r="E949" s="292" t="s">
        <v>2906</v>
      </c>
      <c r="G949" s="265">
        <v>50000</v>
      </c>
      <c r="H949" s="269">
        <v>1</v>
      </c>
      <c r="K949" s="265">
        <v>50000</v>
      </c>
      <c r="M949" s="269"/>
      <c r="N949" t="s">
        <v>2865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2715</v>
      </c>
      <c r="F950" s="269" t="s">
        <v>2714</v>
      </c>
      <c r="G950" s="265">
        <v>1550000</v>
      </c>
      <c r="H950" s="269">
        <v>1</v>
      </c>
      <c r="K950" s="265">
        <v>1550000</v>
      </c>
      <c r="M950" s="269"/>
      <c r="N950" t="s">
        <v>2865</v>
      </c>
    </row>
    <row r="951" spans="1:14" x14ac:dyDescent="0.3">
      <c r="A951" s="271">
        <v>950</v>
      </c>
      <c r="B951" s="264">
        <v>45853</v>
      </c>
      <c r="C951" s="292" t="s">
        <v>2898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2865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2865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2915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2865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2865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2865</v>
      </c>
    </row>
    <row r="959" spans="1:14" x14ac:dyDescent="0.3">
      <c r="A959" s="271">
        <v>958</v>
      </c>
      <c r="B959" s="264">
        <v>45854</v>
      </c>
      <c r="C959" s="292" t="s">
        <v>2918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2865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2918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2892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2875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2921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2865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2922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2865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2926</v>
      </c>
      <c r="G969" s="265">
        <v>35000</v>
      </c>
      <c r="H969" s="269">
        <v>1</v>
      </c>
      <c r="K969" s="265">
        <v>35000</v>
      </c>
      <c r="M969" s="269"/>
      <c r="N969" t="s">
        <v>2865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2928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2865</v>
      </c>
    </row>
    <row r="971" spans="1:14" x14ac:dyDescent="0.3">
      <c r="A971" s="271">
        <v>970</v>
      </c>
      <c r="B971" s="264">
        <v>45855</v>
      </c>
      <c r="C971" s="292" t="s">
        <v>2625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2865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2865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2987</v>
      </c>
      <c r="K973" s="265">
        <v>561000</v>
      </c>
      <c r="M973" s="269"/>
      <c r="N973" t="s">
        <v>2865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2988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2865</v>
      </c>
    </row>
    <row r="975" spans="1:14" x14ac:dyDescent="0.3">
      <c r="A975" s="271">
        <v>974</v>
      </c>
      <c r="B975" s="264">
        <v>45856</v>
      </c>
      <c r="C975" s="292" t="s">
        <v>2937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2865</v>
      </c>
    </row>
    <row r="976" spans="1:14" x14ac:dyDescent="0.3">
      <c r="A976" s="271">
        <v>975</v>
      </c>
      <c r="B976" s="264">
        <v>45856</v>
      </c>
      <c r="C976" s="292" t="s">
        <v>2937</v>
      </c>
      <c r="E976" s="292" t="s">
        <v>2940</v>
      </c>
      <c r="G976" s="265">
        <v>100000</v>
      </c>
      <c r="H976" s="269">
        <v>1</v>
      </c>
      <c r="K976" s="265">
        <v>100000</v>
      </c>
      <c r="M976" s="269"/>
      <c r="N976" t="s">
        <v>2865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2942</v>
      </c>
      <c r="G977" s="265">
        <v>1000000</v>
      </c>
      <c r="H977" s="269">
        <v>1</v>
      </c>
      <c r="K977" s="265">
        <v>1000000</v>
      </c>
      <c r="M977" s="269"/>
      <c r="N977" t="s">
        <v>2865</v>
      </c>
    </row>
    <row r="978" spans="1:14" x14ac:dyDescent="0.3">
      <c r="A978" s="271">
        <v>977</v>
      </c>
      <c r="B978" s="264">
        <v>45856</v>
      </c>
      <c r="C978" s="292" t="s">
        <v>2944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2865</v>
      </c>
    </row>
    <row r="979" spans="1:14" x14ac:dyDescent="0.3">
      <c r="A979" s="271">
        <v>978</v>
      </c>
      <c r="B979" s="264">
        <v>45856</v>
      </c>
      <c r="C979" s="292" t="s">
        <v>2944</v>
      </c>
      <c r="E979" s="292" t="s">
        <v>2945</v>
      </c>
      <c r="G979" s="265">
        <v>200000</v>
      </c>
      <c r="H979" s="269">
        <v>1</v>
      </c>
      <c r="K979" s="265">
        <v>200000</v>
      </c>
      <c r="M979" s="269"/>
      <c r="N979" t="s">
        <v>2865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2865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2865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2865</v>
      </c>
    </row>
    <row r="983" spans="1:14" x14ac:dyDescent="0.3">
      <c r="A983" s="271">
        <v>982</v>
      </c>
      <c r="B983" s="264">
        <v>45856</v>
      </c>
      <c r="C983" s="292" t="s">
        <v>2944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2937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2865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2625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2954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2865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2957</v>
      </c>
      <c r="F989" s="269" t="s">
        <v>2956</v>
      </c>
      <c r="G989" s="265">
        <v>500000</v>
      </c>
      <c r="H989" s="269">
        <v>1</v>
      </c>
      <c r="K989" s="265">
        <v>500000</v>
      </c>
      <c r="M989" s="269"/>
      <c r="N989" t="s">
        <v>2865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2865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2960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2865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2865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2865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2865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2865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2865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2865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2865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2865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2865</v>
      </c>
    </row>
    <row r="1004" spans="1:14" x14ac:dyDescent="0.3">
      <c r="A1004" s="271">
        <v>1003</v>
      </c>
      <c r="B1004" s="264">
        <v>45860</v>
      </c>
      <c r="C1004" s="292" t="s">
        <v>2966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2865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2865</v>
      </c>
    </row>
    <row r="1006" spans="1:14" x14ac:dyDescent="0.3">
      <c r="A1006" s="271">
        <v>1005</v>
      </c>
      <c r="B1006" s="264">
        <v>45860</v>
      </c>
      <c r="C1006" s="292" t="s">
        <v>2973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2974</v>
      </c>
      <c r="K1006" s="265">
        <v>1320000</v>
      </c>
      <c r="M1006" s="269"/>
      <c r="N1006" t="s">
        <v>2865</v>
      </c>
    </row>
    <row r="1007" spans="1:14" x14ac:dyDescent="0.3">
      <c r="A1007" s="271">
        <v>1006</v>
      </c>
      <c r="B1007" s="264">
        <v>45860</v>
      </c>
      <c r="C1007" s="292" t="s">
        <v>2892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2966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2865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2977</v>
      </c>
      <c r="G1010" s="265">
        <v>20000</v>
      </c>
      <c r="H1010" s="269">
        <v>1</v>
      </c>
      <c r="K1010" s="265">
        <v>20000</v>
      </c>
      <c r="M1010" s="269"/>
      <c r="N1010" t="s">
        <v>2865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2865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2681</v>
      </c>
      <c r="G1012" s="265">
        <v>350000</v>
      </c>
      <c r="H1012" s="269">
        <v>1</v>
      </c>
      <c r="K1012" s="265">
        <v>350000</v>
      </c>
      <c r="M1012" s="269"/>
      <c r="N1012" t="s">
        <v>2865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2865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2865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2865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2865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2865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2865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2865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2985</v>
      </c>
      <c r="L1020" s="265">
        <v>-3150000</v>
      </c>
      <c r="M1020" s="269"/>
      <c r="N1020" t="s">
        <v>2865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2986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2865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2865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2865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2675</v>
      </c>
      <c r="G1028" s="265">
        <v>1600000</v>
      </c>
      <c r="H1028" s="269">
        <v>1</v>
      </c>
      <c r="J1028" s="266" t="s">
        <v>3002</v>
      </c>
      <c r="K1028" s="265">
        <v>1760000</v>
      </c>
      <c r="M1028" s="269"/>
      <c r="N1028" t="s">
        <v>2865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2865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2865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2865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2865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2865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2996</v>
      </c>
      <c r="F1034" s="269" t="s">
        <v>2997</v>
      </c>
      <c r="G1034" s="265">
        <v>-230000</v>
      </c>
      <c r="H1034" s="269">
        <v>1</v>
      </c>
      <c r="K1034" s="265">
        <v>-230000</v>
      </c>
      <c r="M1034" s="269"/>
      <c r="N1034" t="s">
        <v>2865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2675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3072</v>
      </c>
      <c r="G1036" s="265">
        <v>50000</v>
      </c>
      <c r="H1036" s="269">
        <v>1</v>
      </c>
      <c r="K1036" s="265">
        <v>50000</v>
      </c>
      <c r="M1036" s="269"/>
      <c r="N1036" t="s">
        <v>2865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2865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2865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3003</v>
      </c>
      <c r="G1039" s="265">
        <v>40000</v>
      </c>
      <c r="H1039" s="269">
        <v>1</v>
      </c>
      <c r="K1039" s="265">
        <v>40000</v>
      </c>
      <c r="M1039" s="269"/>
      <c r="N1039" t="s">
        <v>2865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3006</v>
      </c>
      <c r="F1041" s="269" t="s">
        <v>3007</v>
      </c>
      <c r="G1041" s="265">
        <v>2000000</v>
      </c>
      <c r="H1041" s="269">
        <v>1</v>
      </c>
      <c r="K1041" s="265">
        <v>2000000</v>
      </c>
      <c r="M1041" s="269"/>
      <c r="N1041" t="s">
        <v>2865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2865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2865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3012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2865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2865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2865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2865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2865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3000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2865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2836</v>
      </c>
      <c r="G1058" s="265">
        <v>500000</v>
      </c>
      <c r="H1058" s="269">
        <v>1</v>
      </c>
      <c r="K1058" s="265">
        <v>500000</v>
      </c>
      <c r="M1058" s="269"/>
      <c r="N1058" t="s">
        <v>2865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2921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2865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2865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2865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2865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2865</v>
      </c>
    </row>
    <row r="1064" spans="1:14" x14ac:dyDescent="0.3">
      <c r="A1064" s="271">
        <v>1063</v>
      </c>
      <c r="B1064" s="264">
        <v>45866</v>
      </c>
      <c r="C1064" s="292" t="s">
        <v>3024</v>
      </c>
      <c r="E1064" s="292" t="s">
        <v>1859</v>
      </c>
      <c r="F1064" s="269" t="s">
        <v>3676</v>
      </c>
      <c r="G1064" s="265">
        <v>1100000</v>
      </c>
      <c r="H1064" s="269">
        <v>1</v>
      </c>
      <c r="K1064" s="265">
        <v>1100000</v>
      </c>
      <c r="M1064" s="269"/>
      <c r="N1064" t="s">
        <v>2865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2865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2865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2865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2750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2865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2865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2865</v>
      </c>
    </row>
    <row r="1071" spans="1:14" x14ac:dyDescent="0.3">
      <c r="A1071" s="271">
        <v>1070</v>
      </c>
      <c r="B1071" s="264">
        <v>45866</v>
      </c>
      <c r="C1071" s="292" t="s">
        <v>3024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3032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2865</v>
      </c>
    </row>
    <row r="1073" spans="1:14" x14ac:dyDescent="0.3">
      <c r="A1073" s="271">
        <v>1072</v>
      </c>
      <c r="B1073" s="264">
        <v>45866</v>
      </c>
      <c r="C1073" s="292" t="s">
        <v>3032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2865</v>
      </c>
    </row>
    <row r="1074" spans="1:14" x14ac:dyDescent="0.3">
      <c r="A1074" s="271">
        <v>1073</v>
      </c>
      <c r="B1074" s="264">
        <v>45866</v>
      </c>
      <c r="C1074" s="292" t="s">
        <v>3032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2986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3063</v>
      </c>
      <c r="F1084" s="269" t="s">
        <v>3062</v>
      </c>
      <c r="G1084" s="265">
        <v>250000</v>
      </c>
      <c r="H1084" s="269">
        <v>1</v>
      </c>
      <c r="K1084" s="265">
        <v>250000</v>
      </c>
      <c r="M1084" s="269"/>
      <c r="N1084" t="s">
        <v>2865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2865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2865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2865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2865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2865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2865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2865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2865</v>
      </c>
    </row>
    <row r="1093" spans="1:14" x14ac:dyDescent="0.3">
      <c r="A1093" s="271">
        <v>1092</v>
      </c>
      <c r="B1093" s="264">
        <v>45867</v>
      </c>
      <c r="C1093" s="292" t="s">
        <v>2918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2865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3073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2865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2865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2865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2865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2918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2865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2865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2865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2865</v>
      </c>
    </row>
    <row r="1105" spans="1:14" x14ac:dyDescent="0.3">
      <c r="A1105" s="271">
        <v>1104</v>
      </c>
      <c r="B1105" s="264">
        <v>45868</v>
      </c>
      <c r="C1105" s="292" t="s">
        <v>2791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2865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2865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2921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2865</v>
      </c>
    </row>
    <row r="1108" spans="1:14" x14ac:dyDescent="0.3">
      <c r="A1108" s="271">
        <v>1107</v>
      </c>
      <c r="B1108" s="264">
        <v>45868</v>
      </c>
      <c r="C1108" s="292" t="s">
        <v>3080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2865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2921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2865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2727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2791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3080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2865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2865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2865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2865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2865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2865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2865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3096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3676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2842</v>
      </c>
      <c r="F1154" s="269" t="s">
        <v>2752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2750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3118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3119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3120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3121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3122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3123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3123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2681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3145</v>
      </c>
      <c r="G1180" s="265">
        <v>1300000</v>
      </c>
      <c r="H1180" s="269">
        <v>1</v>
      </c>
      <c r="J1180" s="266" t="s">
        <v>3146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2906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3142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2807</v>
      </c>
      <c r="F1189" s="269" t="s">
        <v>2806</v>
      </c>
      <c r="G1189" s="265">
        <v>250000</v>
      </c>
      <c r="H1189" s="269">
        <v>1</v>
      </c>
      <c r="K1189" s="265">
        <v>250000</v>
      </c>
      <c r="M1189" s="269" t="s">
        <v>3147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2785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2785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2750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3151</v>
      </c>
      <c r="F1194" s="269" t="s">
        <v>2750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2785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3152</v>
      </c>
      <c r="E1200" s="292" t="s">
        <v>1496</v>
      </c>
      <c r="F1200" s="269" t="s">
        <v>2681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3152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3152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3154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2835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3162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3164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3164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2681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2842</v>
      </c>
      <c r="F1218" s="269" t="s">
        <v>2752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2918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2918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2777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3180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2750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3189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3189</v>
      </c>
      <c r="E1247" s="292" t="s">
        <v>1496</v>
      </c>
      <c r="F1247" s="269" t="s">
        <v>2681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3186</v>
      </c>
      <c r="E1248" s="292" t="s">
        <v>3194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3210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3202</v>
      </c>
    </row>
    <row r="1260" spans="1:13" x14ac:dyDescent="0.3">
      <c r="A1260" s="271">
        <v>1259</v>
      </c>
      <c r="B1260" s="264">
        <v>45883</v>
      </c>
      <c r="C1260" s="292" t="s">
        <v>3204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3205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3334</v>
      </c>
      <c r="F1261" s="269" t="s">
        <v>3335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2682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3221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2653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3213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3213</v>
      </c>
      <c r="E1270" s="292" t="s">
        <v>2842</v>
      </c>
      <c r="F1270" s="269" t="s">
        <v>2752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2681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3225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3225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3226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3230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3232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3234</v>
      </c>
    </row>
    <row r="1293" spans="1:13" x14ac:dyDescent="0.3">
      <c r="A1293" s="271">
        <v>1292</v>
      </c>
      <c r="B1293" s="264">
        <v>45887</v>
      </c>
      <c r="C1293" s="292" t="s">
        <v>3213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2848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2777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3236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3241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3243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3247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3250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3490</v>
      </c>
    </row>
    <row r="1312" spans="1:14" x14ac:dyDescent="0.3">
      <c r="A1312" s="271">
        <v>1311</v>
      </c>
      <c r="B1312" s="264">
        <v>45890</v>
      </c>
      <c r="C1312" s="292" t="s">
        <v>2918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3490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3490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3256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3258</v>
      </c>
      <c r="H1318" s="269">
        <v>1</v>
      </c>
      <c r="L1318" s="265">
        <v>-600000</v>
      </c>
      <c r="M1318" s="269" t="s">
        <v>3259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3123</v>
      </c>
      <c r="E1320" s="292" t="s">
        <v>2418</v>
      </c>
      <c r="F1320" s="269" t="s">
        <v>2750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3490</v>
      </c>
    </row>
    <row r="1321" spans="1:14" x14ac:dyDescent="0.3">
      <c r="A1321" s="271">
        <v>1320</v>
      </c>
      <c r="B1321" s="264">
        <v>45890</v>
      </c>
      <c r="C1321" s="292" t="s">
        <v>2918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3123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2860</v>
      </c>
      <c r="E1326" s="292" t="s">
        <v>2816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3490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3490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3264</v>
      </c>
      <c r="N1328" t="s">
        <v>3490</v>
      </c>
    </row>
    <row r="1329" spans="1:14" x14ac:dyDescent="0.3">
      <c r="A1329" s="271">
        <v>1328</v>
      </c>
      <c r="B1329" s="264">
        <v>45891</v>
      </c>
      <c r="C1329" s="292" t="s">
        <v>3266</v>
      </c>
      <c r="E1329" s="292" t="s">
        <v>3269</v>
      </c>
      <c r="G1329" s="265">
        <v>200000</v>
      </c>
      <c r="H1329" s="269">
        <v>1</v>
      </c>
      <c r="K1329" s="265">
        <v>200000</v>
      </c>
      <c r="M1329" s="269"/>
      <c r="N1329" t="s">
        <v>3490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3490</v>
      </c>
    </row>
    <row r="1331" spans="1:14" x14ac:dyDescent="0.3">
      <c r="A1331" s="271">
        <v>1330</v>
      </c>
      <c r="B1331" s="264">
        <v>45891</v>
      </c>
      <c r="C1331" s="292" t="s">
        <v>3272</v>
      </c>
      <c r="E1331" s="292" t="s">
        <v>3273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3274</v>
      </c>
      <c r="N1331" t="s">
        <v>3490</v>
      </c>
    </row>
    <row r="1332" spans="1:14" x14ac:dyDescent="0.3">
      <c r="A1332" s="271">
        <v>1331</v>
      </c>
      <c r="B1332" s="264">
        <v>45891</v>
      </c>
      <c r="C1332" s="292" t="s">
        <v>3266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3272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2860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3490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3490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3490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2842</v>
      </c>
      <c r="F1343" s="269" t="s">
        <v>2752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3490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3490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3490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3490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3123</v>
      </c>
      <c r="E1352" s="292" t="s">
        <v>3286</v>
      </c>
      <c r="F1352" s="269" t="s">
        <v>3287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3490</v>
      </c>
    </row>
    <row r="1353" spans="1:14" x14ac:dyDescent="0.3">
      <c r="A1353" s="271">
        <v>1352</v>
      </c>
      <c r="B1353" s="264">
        <v>45894</v>
      </c>
      <c r="C1353" s="292" t="s">
        <v>2918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3490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2921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3490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3073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3490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3490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3490</v>
      </c>
    </row>
    <row r="1358" spans="1:14" x14ac:dyDescent="0.3">
      <c r="A1358" s="271">
        <v>1357</v>
      </c>
      <c r="B1358" s="264">
        <v>45894</v>
      </c>
      <c r="C1358" s="292" t="s">
        <v>3294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3490</v>
      </c>
    </row>
    <row r="1359" spans="1:14" x14ac:dyDescent="0.3">
      <c r="A1359" s="271">
        <v>1358</v>
      </c>
      <c r="B1359" s="264">
        <v>45894</v>
      </c>
      <c r="C1359" s="292" t="s">
        <v>3294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3490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3490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3301</v>
      </c>
      <c r="G1361" s="265">
        <v>300000</v>
      </c>
      <c r="H1361" s="269">
        <v>1</v>
      </c>
      <c r="K1361" s="265">
        <v>300000</v>
      </c>
      <c r="M1361" s="269"/>
      <c r="N1361" t="s">
        <v>3490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3490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3490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2988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3490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3490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3490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3490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3490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3490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3490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3490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3490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2988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3307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3308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2918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3294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3490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3490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3313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3490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3490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3490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3490</v>
      </c>
    </row>
    <row r="1391" spans="1:14" x14ac:dyDescent="0.3">
      <c r="A1391" s="271">
        <v>1390</v>
      </c>
      <c r="B1391" s="264">
        <v>45895</v>
      </c>
      <c r="C1391" s="292" t="s">
        <v>2860</v>
      </c>
      <c r="E1391" s="292" t="s">
        <v>3317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3490</v>
      </c>
    </row>
    <row r="1392" spans="1:14" x14ac:dyDescent="0.3">
      <c r="A1392" s="271">
        <v>1391</v>
      </c>
      <c r="B1392" s="264">
        <v>45895</v>
      </c>
      <c r="C1392" s="292" t="s">
        <v>2860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3490</v>
      </c>
    </row>
    <row r="1393" spans="1:14" x14ac:dyDescent="0.3">
      <c r="A1393" s="271">
        <v>1392</v>
      </c>
      <c r="B1393" s="264">
        <v>45895</v>
      </c>
      <c r="C1393" s="292" t="s">
        <v>2860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3490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3321</v>
      </c>
      <c r="F1397" s="269" t="s">
        <v>3322</v>
      </c>
      <c r="M1397" s="269"/>
      <c r="N1397" t="s">
        <v>3490</v>
      </c>
    </row>
    <row r="1398" spans="1:14" x14ac:dyDescent="0.3">
      <c r="A1398" s="271">
        <v>1397</v>
      </c>
      <c r="B1398" s="264">
        <v>45896</v>
      </c>
      <c r="C1398" s="292" t="s">
        <v>3118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3324</v>
      </c>
      <c r="N1398" t="s">
        <v>3490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2750</v>
      </c>
      <c r="G1400" s="265">
        <v>1100000</v>
      </c>
      <c r="H1400" s="269">
        <v>1</v>
      </c>
      <c r="K1400" s="265">
        <v>1100000</v>
      </c>
      <c r="M1400" s="269"/>
      <c r="N1400" t="s">
        <v>3490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3490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3329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3118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3123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3343</v>
      </c>
      <c r="G1408" s="265">
        <v>2500000</v>
      </c>
      <c r="H1408" s="269">
        <v>1</v>
      </c>
      <c r="J1408" s="266" t="s">
        <v>3344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3490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3490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3490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3490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3490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2921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3490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3490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3490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3490</v>
      </c>
    </row>
    <row r="1425" spans="1:14" x14ac:dyDescent="0.3">
      <c r="A1425" s="271">
        <v>1424</v>
      </c>
      <c r="B1425" s="264">
        <v>45898</v>
      </c>
      <c r="C1425" s="292" t="s">
        <v>3000</v>
      </c>
      <c r="E1425" s="292" t="s">
        <v>3346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2988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3490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3368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3490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2665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3490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3490</v>
      </c>
    </row>
    <row r="1430" spans="1:14" x14ac:dyDescent="0.3">
      <c r="A1430" s="271">
        <v>1429</v>
      </c>
      <c r="B1430" s="264">
        <v>45898</v>
      </c>
      <c r="C1430" s="292" t="s">
        <v>3491</v>
      </c>
      <c r="E1430" s="292" t="s">
        <v>3492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3491</v>
      </c>
      <c r="E1431" s="292" t="s">
        <v>3493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3491</v>
      </c>
      <c r="E1432" s="292" t="s">
        <v>3494</v>
      </c>
      <c r="F1432" s="269" t="s">
        <v>3495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3491</v>
      </c>
      <c r="E1433" s="292" t="s">
        <v>3496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3491</v>
      </c>
      <c r="E1434" s="292" t="s">
        <v>3497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3490</v>
      </c>
    </row>
    <row r="1436" spans="1:14" x14ac:dyDescent="0.3">
      <c r="A1436" s="271">
        <v>1435</v>
      </c>
      <c r="B1436" s="264">
        <v>45898</v>
      </c>
      <c r="C1436" s="292" t="s">
        <v>3204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3490</v>
      </c>
    </row>
    <row r="1437" spans="1:14" x14ac:dyDescent="0.3">
      <c r="A1437" s="271">
        <v>1436</v>
      </c>
      <c r="B1437" s="264">
        <v>45898</v>
      </c>
      <c r="C1437" s="292" t="s">
        <v>3204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2910</v>
      </c>
      <c r="E1438" s="292" t="s">
        <v>2659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3369</v>
      </c>
      <c r="N1438" t="s">
        <v>3490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3490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2681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1399</v>
      </c>
      <c r="E1449" s="292" t="s">
        <v>2842</v>
      </c>
      <c r="F1449" s="269" t="s">
        <v>2752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3491</v>
      </c>
      <c r="E1453" s="292" t="s">
        <v>3498</v>
      </c>
      <c r="F1453" s="269" t="s">
        <v>3499</v>
      </c>
      <c r="G1453" s="265">
        <v>800000</v>
      </c>
      <c r="H1453" s="269">
        <v>1</v>
      </c>
      <c r="K1453" s="265">
        <v>800000</v>
      </c>
      <c r="M1453" s="269" t="s">
        <v>3500</v>
      </c>
    </row>
    <row r="1454" spans="1:13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2764</v>
      </c>
      <c r="E1458" s="292" t="s">
        <v>2807</v>
      </c>
      <c r="F1458" s="269" t="s">
        <v>2806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2764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3353</v>
      </c>
      <c r="E1460" s="292" t="s">
        <v>3063</v>
      </c>
      <c r="F1460" s="269" t="s">
        <v>3062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3000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2764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3353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2871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3000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3000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1494</v>
      </c>
      <c r="E1473" s="292" t="s">
        <v>3376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2681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1173</v>
      </c>
      <c r="E1484" s="292" t="s">
        <v>3382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1498</v>
      </c>
      <c r="E1485" s="292" t="s">
        <v>3384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3294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271">
        <v>1488</v>
      </c>
      <c r="B1489" s="264">
        <v>45903</v>
      </c>
      <c r="C1489" s="292" t="s">
        <v>3452</v>
      </c>
      <c r="E1489" s="292" t="s">
        <v>3453</v>
      </c>
      <c r="F1489" s="269" t="s">
        <v>3454</v>
      </c>
      <c r="G1489" s="265">
        <v>1850000</v>
      </c>
      <c r="H1489" s="269">
        <v>1</v>
      </c>
      <c r="J1489" s="266" t="s">
        <v>3455</v>
      </c>
      <c r="K1489" s="265">
        <v>2035000</v>
      </c>
      <c r="M1489" s="269"/>
    </row>
    <row r="1490" spans="1:14" x14ac:dyDescent="0.3">
      <c r="A1490" s="271">
        <v>1489</v>
      </c>
      <c r="B1490" s="264">
        <v>45903</v>
      </c>
      <c r="C1490" s="292" t="s">
        <v>3623</v>
      </c>
      <c r="E1490" s="292" t="s">
        <v>3624</v>
      </c>
      <c r="F1490" s="269" t="s">
        <v>3625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271">
        <v>1490</v>
      </c>
      <c r="B1491" s="264">
        <v>45903</v>
      </c>
      <c r="C1491" s="292" t="s">
        <v>3395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271">
        <v>1492</v>
      </c>
      <c r="B1493" s="264">
        <v>45903</v>
      </c>
      <c r="C1493" s="292" t="s">
        <v>3623</v>
      </c>
      <c r="E1493" s="292" t="s">
        <v>3626</v>
      </c>
      <c r="G1493" s="265">
        <v>150000</v>
      </c>
      <c r="H1493" s="269">
        <v>1</v>
      </c>
      <c r="J1493" s="266" t="s">
        <v>3627</v>
      </c>
      <c r="K1493" s="265">
        <v>165000</v>
      </c>
      <c r="M1493" s="269"/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2816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3402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3490</v>
      </c>
    </row>
    <row r="1497" spans="1:14" x14ac:dyDescent="0.3">
      <c r="A1497" s="271">
        <v>1496</v>
      </c>
      <c r="B1497" s="264">
        <v>45904</v>
      </c>
      <c r="C1497" s="292" t="s">
        <v>3435</v>
      </c>
      <c r="E1497" s="292" t="s">
        <v>3436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3294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3404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2681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3421</v>
      </c>
      <c r="F1505" s="269" t="s">
        <v>3420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271">
        <v>1505</v>
      </c>
      <c r="B1506" s="264">
        <v>45904</v>
      </c>
      <c r="C1506" s="292" t="s">
        <v>3411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271">
        <v>1506</v>
      </c>
      <c r="B1507" s="264">
        <v>45904</v>
      </c>
      <c r="C1507" s="292" t="s">
        <v>3411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271">
        <v>1508</v>
      </c>
      <c r="B1509" s="264">
        <v>45904</v>
      </c>
      <c r="C1509" s="292" t="s">
        <v>2918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3404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2918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3437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3438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3439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3440</v>
      </c>
      <c r="N1519" t="s">
        <v>3490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1444</v>
      </c>
      <c r="E1523" s="292" t="s">
        <v>2835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1444</v>
      </c>
      <c r="E1524" s="292" t="s">
        <v>3443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1306</v>
      </c>
      <c r="E1525" s="292" t="s">
        <v>3054</v>
      </c>
      <c r="F1525" s="269" t="s">
        <v>1952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1722</v>
      </c>
      <c r="E1526" s="292" t="s">
        <v>3446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3152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3152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3457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1399</v>
      </c>
      <c r="E1532" s="292" t="s">
        <v>2842</v>
      </c>
      <c r="F1532" s="269" t="s">
        <v>2752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3152</v>
      </c>
      <c r="E1535" s="292" t="s">
        <v>1746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3457</v>
      </c>
      <c r="E1536" s="292" t="s">
        <v>1746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3411</v>
      </c>
      <c r="E1538" s="292" t="s">
        <v>1746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3464</v>
      </c>
      <c r="E1539" s="292" t="s">
        <v>3471</v>
      </c>
      <c r="F1539" s="269" t="s">
        <v>1207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3464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3464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3464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3000</v>
      </c>
      <c r="E1543" s="292" t="s">
        <v>3474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3467</v>
      </c>
      <c r="E1544" s="292" t="s">
        <v>3476</v>
      </c>
      <c r="F1544" s="269" t="s">
        <v>1563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3464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3467</v>
      </c>
      <c r="E1546" s="292" t="s">
        <v>1800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1494</v>
      </c>
      <c r="E1549" s="292" t="s">
        <v>3478</v>
      </c>
      <c r="F1549" s="269" t="s">
        <v>1206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1306</v>
      </c>
      <c r="E1551" s="292" t="s">
        <v>3471</v>
      </c>
      <c r="F1551" s="269" t="s">
        <v>1207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1580</v>
      </c>
      <c r="E1555" s="292" t="s">
        <v>3471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1671</v>
      </c>
      <c r="E1556" s="292" t="s">
        <v>3484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1479</v>
      </c>
      <c r="E1558" s="292" t="s">
        <v>3471</v>
      </c>
      <c r="F1558" s="269" t="s">
        <v>1207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3527</v>
      </c>
      <c r="E1567" s="292" t="s">
        <v>3528</v>
      </c>
      <c r="G1567" s="265">
        <v>1100000</v>
      </c>
      <c r="H1567" s="269">
        <v>1</v>
      </c>
      <c r="J1567" s="266" t="s">
        <v>3529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1449</v>
      </c>
      <c r="E1575" s="292" t="s">
        <v>3514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2681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3670</v>
      </c>
      <c r="E1578" s="292" t="s">
        <v>3672</v>
      </c>
      <c r="F1578" s="269" t="s">
        <v>3673</v>
      </c>
      <c r="G1578" s="265">
        <v>150000</v>
      </c>
      <c r="H1578" s="269">
        <v>1</v>
      </c>
      <c r="K1578" s="265">
        <v>150000</v>
      </c>
      <c r="M1578" s="292" t="s">
        <v>3674</v>
      </c>
    </row>
    <row r="1579" spans="1:13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1541</v>
      </c>
      <c r="E1580" s="292" t="s">
        <v>3513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3510</v>
      </c>
      <c r="E1581" s="292" t="s">
        <v>3471</v>
      </c>
      <c r="F1581" s="269" t="s">
        <v>1207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1444</v>
      </c>
      <c r="E1582" s="292" t="s">
        <v>3443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3395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3395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1444</v>
      </c>
      <c r="E1585" s="292" t="s">
        <v>3307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2785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1790</v>
      </c>
      <c r="E1589" s="292" t="s">
        <v>3471</v>
      </c>
      <c r="F1589" s="269" t="s">
        <v>1207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3395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2785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3510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1467</v>
      </c>
      <c r="E1601" s="292" t="s">
        <v>3225</v>
      </c>
      <c r="F1601" s="269" t="s">
        <v>3531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2889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1449</v>
      </c>
      <c r="E1606" s="292" t="s">
        <v>3384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1449</v>
      </c>
      <c r="E1608" s="292" t="s">
        <v>3538</v>
      </c>
      <c r="F1608" s="269" t="s">
        <v>3537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1790</v>
      </c>
      <c r="E1610" s="292" t="s">
        <v>3384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3118</v>
      </c>
      <c r="E1612" s="292" t="s">
        <v>1743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2750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2918</v>
      </c>
      <c r="E1619" s="292" t="s">
        <v>2942</v>
      </c>
      <c r="F1619" s="269" t="s">
        <v>3120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1722</v>
      </c>
      <c r="E1620" s="292" t="s">
        <v>3549</v>
      </c>
      <c r="F1620" s="269" t="s">
        <v>2327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3552</v>
      </c>
      <c r="E1622" s="292" t="s">
        <v>3278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3554</v>
      </c>
      <c r="E1623" s="292" t="s">
        <v>3555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3552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1980</v>
      </c>
      <c r="E1629" s="292" t="s">
        <v>2915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1861</v>
      </c>
      <c r="E1632" s="292" t="s">
        <v>3558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1444</v>
      </c>
      <c r="E1636" s="292" t="s">
        <v>3567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2625</v>
      </c>
      <c r="E1639" s="292" t="s">
        <v>1746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1580</v>
      </c>
      <c r="E1642" s="292" t="s">
        <v>3471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2292</v>
      </c>
      <c r="E1643" s="292" t="s">
        <v>3471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3570</v>
      </c>
    </row>
    <row r="1645" spans="1:13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3583</v>
      </c>
      <c r="E1658" s="292" t="s">
        <v>3471</v>
      </c>
      <c r="F1658" s="269" t="s">
        <v>1207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1805</v>
      </c>
      <c r="E1659" s="292" t="s">
        <v>3471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1722</v>
      </c>
      <c r="E1667" s="292" t="s">
        <v>3593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2145</v>
      </c>
      <c r="E1669" s="292" t="s">
        <v>3471</v>
      </c>
      <c r="F1669" s="269" t="s">
        <v>1207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1399</v>
      </c>
      <c r="E1675" s="292" t="s">
        <v>3593</v>
      </c>
      <c r="F1675" s="269" t="s">
        <v>3603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2807</v>
      </c>
      <c r="F1676" s="269" t="s">
        <v>2806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1467</v>
      </c>
      <c r="E1678" s="292" t="s">
        <v>2682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3123</v>
      </c>
      <c r="E1680" s="292" t="s">
        <v>2043</v>
      </c>
      <c r="F1680" s="269" t="s">
        <v>3613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1931</v>
      </c>
      <c r="E1681" s="292" t="s">
        <v>3045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1931</v>
      </c>
      <c r="E1682" s="292" t="s">
        <v>2906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3456</v>
      </c>
      <c r="E1683" s="292" t="s">
        <v>3605</v>
      </c>
      <c r="F1683" s="269" t="s">
        <v>3604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1444</v>
      </c>
      <c r="E1685" s="292" t="s">
        <v>3602</v>
      </c>
      <c r="F1685" s="269" t="s">
        <v>3601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1444</v>
      </c>
      <c r="E1686" s="292" t="s">
        <v>3593</v>
      </c>
      <c r="F1686" s="269" t="s">
        <v>3603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1747</v>
      </c>
      <c r="E1687" s="292" t="s">
        <v>3599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2811</v>
      </c>
      <c r="E1688" s="292" t="s">
        <v>1535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3118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2706</v>
      </c>
      <c r="E1690" s="292" t="s">
        <v>1561</v>
      </c>
      <c r="F1690" s="269" t="s">
        <v>2699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2706</v>
      </c>
      <c r="E1691" s="292" t="s">
        <v>1737</v>
      </c>
      <c r="F1691" s="269" t="s">
        <v>2836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3635</v>
      </c>
      <c r="E1692" s="292" t="s">
        <v>3636</v>
      </c>
      <c r="F1692" s="269" t="s">
        <v>3637</v>
      </c>
      <c r="G1692" s="265">
        <v>350000</v>
      </c>
      <c r="H1692" s="269">
        <v>2</v>
      </c>
      <c r="J1692" s="266" t="s">
        <v>3638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3456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3583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3593</v>
      </c>
      <c r="F1701" s="269" t="s">
        <v>3603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2744</v>
      </c>
      <c r="E1702" s="292" t="s">
        <v>3632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3634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2811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3123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2706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2744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2681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3722</v>
      </c>
      <c r="E1714" s="292" t="s">
        <v>3723</v>
      </c>
      <c r="F1714" s="269" t="s">
        <v>3724</v>
      </c>
      <c r="G1714" s="265">
        <v>1300000</v>
      </c>
      <c r="H1714" s="269">
        <v>1</v>
      </c>
      <c r="J1714" s="266" t="s">
        <v>3146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2681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2410</v>
      </c>
      <c r="E1721" s="292" t="s">
        <v>2682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3000</v>
      </c>
      <c r="E1727" s="292" t="s">
        <v>1746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3658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3593</v>
      </c>
      <c r="F1732" s="269" t="s">
        <v>3603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2750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3471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3665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3667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3670</v>
      </c>
      <c r="E1746" s="292" t="s">
        <v>3671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3669</v>
      </c>
      <c r="F1747" s="269" t="s">
        <v>1201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3676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3593</v>
      </c>
      <c r="F1749" s="269" t="s">
        <v>3603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1399</v>
      </c>
      <c r="E1750" s="292" t="s">
        <v>2777</v>
      </c>
      <c r="F1750" s="269" t="s">
        <v>1213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2744</v>
      </c>
      <c r="E1751" s="292" t="s">
        <v>1535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2918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2750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3732</v>
      </c>
      <c r="E1768" s="292">
        <v>2703900</v>
      </c>
      <c r="F1768" s="269" t="s">
        <v>3733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3732</v>
      </c>
      <c r="E1769" s="292" t="s">
        <v>1746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3735</v>
      </c>
      <c r="E1770" s="292" t="s">
        <v>1535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3735</v>
      </c>
      <c r="E1771" s="292" t="s">
        <v>1746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2744</v>
      </c>
      <c r="E1773" s="292" t="s">
        <v>3740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3741</v>
      </c>
    </row>
    <row r="1775" spans="1:13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3745</v>
      </c>
      <c r="H1775" s="269">
        <v>1</v>
      </c>
      <c r="K1775" s="265">
        <v>0</v>
      </c>
      <c r="M1775" s="292" t="s">
        <v>3746</v>
      </c>
    </row>
    <row r="1776" spans="1:13" x14ac:dyDescent="0.3">
      <c r="A1776" s="271">
        <v>1775</v>
      </c>
      <c r="B1776" s="264">
        <v>45929</v>
      </c>
      <c r="C1776" s="292" t="s">
        <v>1805</v>
      </c>
      <c r="E1776" s="292" t="s">
        <v>3752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1467</v>
      </c>
      <c r="E1777" s="292" t="s">
        <v>3045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3754</v>
      </c>
    </row>
    <row r="1779" spans="1:13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2860</v>
      </c>
      <c r="E1782" s="292" t="s">
        <v>3054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1391</v>
      </c>
      <c r="E1783" s="292" t="s">
        <v>3054</v>
      </c>
      <c r="F1783" s="269" t="s">
        <v>1952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3759</v>
      </c>
    </row>
    <row r="1785" spans="1:13" x14ac:dyDescent="0.3">
      <c r="A1785" s="271">
        <v>1784</v>
      </c>
      <c r="B1785" s="264">
        <v>45929</v>
      </c>
      <c r="C1785" s="292" t="s">
        <v>3272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3761</v>
      </c>
    </row>
    <row r="1786" spans="1:13" x14ac:dyDescent="0.3">
      <c r="A1786" s="271">
        <v>1785</v>
      </c>
      <c r="B1786" s="264">
        <v>45929</v>
      </c>
      <c r="C1786" s="292" t="s">
        <v>3467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3763</v>
      </c>
    </row>
    <row r="1787" spans="1:13" x14ac:dyDescent="0.3">
      <c r="A1787" s="271">
        <v>1786</v>
      </c>
      <c r="B1787" s="264">
        <v>45929</v>
      </c>
      <c r="C1787" s="292" t="s">
        <v>1722</v>
      </c>
      <c r="E1787" s="292" t="s">
        <v>2842</v>
      </c>
      <c r="F1787" s="269" t="s">
        <v>2752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2681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</row>
    <row r="1792" spans="1:13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</row>
    <row r="1793" spans="1:12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</row>
    <row r="1794" spans="1:12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1444</v>
      </c>
      <c r="E1796" s="292" t="s">
        <v>3770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3272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3467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2625</v>
      </c>
      <c r="E1805" s="292" t="s">
        <v>3782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2681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3791</v>
      </c>
      <c r="E1810" s="292" t="s">
        <v>3792</v>
      </c>
      <c r="F1810" s="270">
        <v>2820403</v>
      </c>
      <c r="G1810" s="265">
        <v>1600000</v>
      </c>
      <c r="H1810" s="269">
        <v>1</v>
      </c>
      <c r="J1810" s="266" t="s">
        <v>3002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3791</v>
      </c>
      <c r="E1811" s="292" t="s">
        <v>3793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2860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1473</v>
      </c>
      <c r="E1815" s="292" t="s">
        <v>3789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1399</v>
      </c>
      <c r="E1816" s="292" t="s">
        <v>3790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1747</v>
      </c>
      <c r="E1817" s="292" t="s">
        <v>3794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1541</v>
      </c>
      <c r="E1818" s="292" t="s">
        <v>3795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3797</v>
      </c>
      <c r="E1819" s="292" t="s">
        <v>3798</v>
      </c>
      <c r="F1819" s="269" t="s">
        <v>3799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1847</v>
      </c>
      <c r="E1820" s="292" t="s">
        <v>3471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3667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3827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3829</v>
      </c>
      <c r="E1827" s="292" t="s">
        <v>3471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3829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3831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3838</v>
      </c>
      <c r="F1834" s="269" t="s">
        <v>3837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3832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3842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3845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3832</v>
      </c>
      <c r="E1838" s="292" t="s">
        <v>3846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3847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3848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3849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2625</v>
      </c>
      <c r="E1845" s="292" t="s">
        <v>3855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3863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3864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2922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2921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3866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2801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3640</v>
      </c>
      <c r="F1855" s="269" t="s">
        <v>3639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527" t="s">
        <v>3871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3404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3404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3829</v>
      </c>
      <c r="E1864" s="292" t="s">
        <v>3471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2842</v>
      </c>
      <c r="F1867" s="269" t="s">
        <v>2752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3881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3882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3829</v>
      </c>
      <c r="E1870" s="292" t="s">
        <v>3883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3885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3404</v>
      </c>
      <c r="E1872" s="292" t="s">
        <v>3887</v>
      </c>
      <c r="L1872" s="265">
        <v>-1550000</v>
      </c>
    </row>
    <row r="1873" spans="1:11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1" x14ac:dyDescent="0.3">
      <c r="A1874" s="58">
        <v>1873</v>
      </c>
      <c r="B1874" s="264">
        <v>45940</v>
      </c>
      <c r="C1874" s="292" t="s">
        <v>2486</v>
      </c>
      <c r="E1874" s="292" t="s">
        <v>1154</v>
      </c>
      <c r="G1874" s="265">
        <v>150000</v>
      </c>
      <c r="H1874" s="269">
        <v>1</v>
      </c>
      <c r="K1874" s="265">
        <v>150000</v>
      </c>
    </row>
  </sheetData>
  <autoFilter ref="A1:K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N18" sqref="N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45940</v>
      </c>
      <c r="B3" s="235" t="s">
        <v>1126</v>
      </c>
      <c r="C3" s="286">
        <f>SUMIF($B:$B,A3,I:I)</f>
        <v>10235000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2487000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24294000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24294000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1812</v>
      </c>
      <c r="B9" s="94">
        <v>45931</v>
      </c>
      <c r="C9" s="85" t="s">
        <v>1747</v>
      </c>
      <c r="D9" s="112" t="s">
        <v>3794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1813</v>
      </c>
      <c r="B10" s="94">
        <v>45931</v>
      </c>
      <c r="C10" s="85" t="s">
        <v>1541</v>
      </c>
      <c r="D10" s="112" t="s">
        <v>3795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1814</v>
      </c>
      <c r="B11" s="94">
        <v>45931</v>
      </c>
      <c r="C11" s="85" t="s">
        <v>2764</v>
      </c>
      <c r="D11" s="112" t="s">
        <v>3796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1815</v>
      </c>
      <c r="B12" s="94">
        <v>45931</v>
      </c>
      <c r="C12" s="85" t="s">
        <v>1847</v>
      </c>
      <c r="D12" s="112" t="s">
        <v>3471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1816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1817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1818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1819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1820</v>
      </c>
      <c r="B17" s="94">
        <v>45931</v>
      </c>
      <c r="C17" s="85" t="s">
        <v>1890</v>
      </c>
      <c r="D17" s="112" t="s">
        <v>3667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1821</v>
      </c>
      <c r="B18" s="94">
        <v>45931</v>
      </c>
      <c r="C18" s="85" t="s">
        <v>1870</v>
      </c>
      <c r="D18" s="112" t="s">
        <v>3827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1822</v>
      </c>
      <c r="B19" s="94">
        <v>45931</v>
      </c>
      <c r="C19" s="85" t="s">
        <v>3829</v>
      </c>
      <c r="D19" s="112" t="s">
        <v>3471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1823</v>
      </c>
      <c r="B20" s="94">
        <v>45931</v>
      </c>
      <c r="C20" s="85" t="s">
        <v>3829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1824</v>
      </c>
      <c r="B21" s="94">
        <v>45932</v>
      </c>
      <c r="C21" s="85" t="s">
        <v>1015</v>
      </c>
      <c r="D21" s="112" t="s">
        <v>3831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1825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1826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1827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1828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1829</v>
      </c>
      <c r="B26" s="94">
        <v>45932</v>
      </c>
      <c r="C26" s="85" t="s">
        <v>1399</v>
      </c>
      <c r="D26" s="112" t="s">
        <v>3838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1830</v>
      </c>
      <c r="B27" s="94">
        <v>45932</v>
      </c>
      <c r="C27" s="85" t="s">
        <v>3832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1831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1832</v>
      </c>
      <c r="B29" s="94">
        <v>45933</v>
      </c>
      <c r="C29" s="85" t="s">
        <v>2145</v>
      </c>
      <c r="D29" s="112" t="s">
        <v>3845</v>
      </c>
      <c r="E29" s="78"/>
      <c r="F29" s="80"/>
      <c r="J29" s="80">
        <v>-1600000</v>
      </c>
    </row>
    <row r="30" spans="1:16" ht="18" customHeight="1" x14ac:dyDescent="0.3">
      <c r="A30" s="89">
        <v>1833</v>
      </c>
      <c r="B30" s="94">
        <v>45932</v>
      </c>
      <c r="C30" s="85" t="s">
        <v>3832</v>
      </c>
      <c r="D30" s="112" t="s">
        <v>3846</v>
      </c>
      <c r="E30" s="78"/>
      <c r="F30" s="80"/>
      <c r="J30" s="80">
        <v>-1500000</v>
      </c>
    </row>
    <row r="31" spans="1:16" ht="18" customHeight="1" x14ac:dyDescent="0.3">
      <c r="A31" s="89">
        <v>1834</v>
      </c>
      <c r="B31" s="94">
        <v>45933</v>
      </c>
      <c r="C31" s="85" t="s">
        <v>1722</v>
      </c>
      <c r="D31" s="112" t="s">
        <v>3847</v>
      </c>
      <c r="E31" s="78"/>
      <c r="F31" s="80"/>
      <c r="J31" s="80">
        <v>-8468000</v>
      </c>
    </row>
    <row r="32" spans="1:16" ht="18" customHeight="1" x14ac:dyDescent="0.3">
      <c r="A32" s="89">
        <v>1835</v>
      </c>
      <c r="B32" s="94">
        <v>45933</v>
      </c>
      <c r="C32" s="85" t="s">
        <v>1479</v>
      </c>
      <c r="D32" s="112" t="s">
        <v>3848</v>
      </c>
      <c r="E32" s="78"/>
      <c r="F32" s="80"/>
      <c r="J32" s="80">
        <v>-1450000</v>
      </c>
    </row>
    <row r="33" spans="1:10" ht="18" customHeight="1" x14ac:dyDescent="0.3">
      <c r="A33" s="89">
        <v>1836</v>
      </c>
      <c r="B33" s="94">
        <v>45933</v>
      </c>
      <c r="C33" s="85" t="s">
        <v>1870</v>
      </c>
      <c r="D33" s="112" t="s">
        <v>3849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1837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1838</v>
      </c>
      <c r="B35" s="93">
        <v>45933</v>
      </c>
      <c r="C35" s="83" t="s">
        <v>1931</v>
      </c>
      <c r="D35" s="113" t="s">
        <v>3127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1839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1840</v>
      </c>
      <c r="B37" s="93">
        <v>45938</v>
      </c>
      <c r="C37" s="83" t="s">
        <v>2625</v>
      </c>
      <c r="D37" s="113" t="s">
        <v>3855</v>
      </c>
      <c r="J37" s="80">
        <v>-2200000</v>
      </c>
    </row>
    <row r="38" spans="1:10" ht="18" customHeight="1" x14ac:dyDescent="0.3">
      <c r="A38" s="82">
        <v>1841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1842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1843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1844</v>
      </c>
      <c r="B41" s="93">
        <v>45940</v>
      </c>
      <c r="C41" s="83" t="s">
        <v>1053</v>
      </c>
      <c r="D41" s="113" t="s">
        <v>3864</v>
      </c>
      <c r="J41" s="80">
        <v>-2000000</v>
      </c>
    </row>
    <row r="42" spans="1:10" ht="18" customHeight="1" x14ac:dyDescent="0.3">
      <c r="A42" s="82">
        <v>1845</v>
      </c>
      <c r="B42" s="94">
        <v>45940</v>
      </c>
      <c r="C42" s="85" t="s">
        <v>1747</v>
      </c>
      <c r="D42" s="112" t="s">
        <v>2922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1846</v>
      </c>
      <c r="B43" s="94">
        <v>45940</v>
      </c>
      <c r="C43" s="85" t="s">
        <v>1747</v>
      </c>
      <c r="D43" s="112" t="s">
        <v>2921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1847</v>
      </c>
      <c r="B44" s="94">
        <v>45940</v>
      </c>
      <c r="C44" s="85" t="s">
        <v>1747</v>
      </c>
      <c r="D44" s="112" t="s">
        <v>3866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1848</v>
      </c>
      <c r="B45" s="94">
        <v>45940</v>
      </c>
      <c r="C45" s="85" t="s">
        <v>1577</v>
      </c>
      <c r="D45" s="112" t="s">
        <v>2801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1849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1850</v>
      </c>
      <c r="B47" s="93">
        <v>45940</v>
      </c>
      <c r="C47" s="83" t="s">
        <v>1577</v>
      </c>
      <c r="D47" s="113" t="s">
        <v>3640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1851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9" ht="18" customHeight="1" x14ac:dyDescent="0.3">
      <c r="A49" s="82">
        <v>1852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9" ht="18" customHeight="1" x14ac:dyDescent="0.3">
      <c r="A50" s="82">
        <v>1853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9" ht="18" customHeight="1" x14ac:dyDescent="0.3">
      <c r="A51" s="82">
        <v>1854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9" ht="18" customHeight="1" x14ac:dyDescent="0.3">
      <c r="A52" s="82">
        <v>1855</v>
      </c>
      <c r="B52" s="93">
        <v>45940</v>
      </c>
      <c r="C52" s="83" t="s">
        <v>3404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9" ht="18" customHeight="1" x14ac:dyDescent="0.3">
      <c r="A53" s="82">
        <v>1856</v>
      </c>
      <c r="B53" s="93">
        <v>45940</v>
      </c>
      <c r="C53" s="83" t="s">
        <v>3404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9" ht="18" customHeight="1" x14ac:dyDescent="0.3">
      <c r="A54" s="82">
        <v>1857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9" ht="18" customHeight="1" x14ac:dyDescent="0.3">
      <c r="A55" s="82">
        <v>1858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9" ht="18" customHeight="1" x14ac:dyDescent="0.3">
      <c r="A56" s="82">
        <v>1859</v>
      </c>
      <c r="B56" s="93">
        <v>45940</v>
      </c>
      <c r="C56" s="83" t="s">
        <v>3829</v>
      </c>
      <c r="D56" s="113" t="s">
        <v>3471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9" ht="18" customHeight="1" x14ac:dyDescent="0.3">
      <c r="A57" s="82">
        <v>1860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9" ht="18" customHeight="1" x14ac:dyDescent="0.3">
      <c r="A58" s="82">
        <v>1861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9" ht="18" customHeight="1" x14ac:dyDescent="0.3">
      <c r="A59" s="82">
        <v>1862</v>
      </c>
      <c r="B59" s="93">
        <v>45940</v>
      </c>
      <c r="C59" s="83" t="s">
        <v>1532</v>
      </c>
      <c r="D59" s="113" t="s">
        <v>2842</v>
      </c>
      <c r="F59" s="120">
        <v>129000</v>
      </c>
      <c r="G59" s="85">
        <v>1</v>
      </c>
      <c r="I59" s="80">
        <v>129000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140" spans="11:11" ht="18" customHeight="1" x14ac:dyDescent="0.3">
      <c r="K140" s="69" t="s">
        <v>3526</v>
      </c>
    </row>
    <row r="141" spans="11:11" ht="18" customHeight="1" x14ac:dyDescent="0.3">
      <c r="K141" s="69" t="s">
        <v>3526</v>
      </c>
    </row>
    <row r="142" spans="11:11" ht="18" customHeight="1" x14ac:dyDescent="0.3">
      <c r="K142" s="69" t="s">
        <v>3526</v>
      </c>
    </row>
    <row r="143" spans="11:11" ht="18" customHeight="1" x14ac:dyDescent="0.3">
      <c r="K143" s="69" t="s">
        <v>3526</v>
      </c>
    </row>
    <row r="144" spans="11:11" ht="18" customHeight="1" x14ac:dyDescent="0.3">
      <c r="K144" s="69" t="s">
        <v>3526</v>
      </c>
    </row>
    <row r="145" spans="11:11" ht="18" customHeight="1" x14ac:dyDescent="0.3">
      <c r="K145" s="69" t="s">
        <v>3526</v>
      </c>
    </row>
    <row r="146" spans="11:11" ht="18" customHeight="1" x14ac:dyDescent="0.3">
      <c r="K146" s="69" t="s">
        <v>3526</v>
      </c>
    </row>
    <row r="147" spans="11:11" ht="18" customHeight="1" x14ac:dyDescent="0.3">
      <c r="K147" s="69" t="s">
        <v>3526</v>
      </c>
    </row>
    <row r="148" spans="11:11" ht="18" customHeight="1" x14ac:dyDescent="0.3">
      <c r="K148" s="69" t="s">
        <v>3526</v>
      </c>
    </row>
    <row r="150" spans="11:11" ht="18" customHeight="1" x14ac:dyDescent="0.3">
      <c r="K150" s="69" t="s">
        <v>3526</v>
      </c>
    </row>
    <row r="151" spans="11:11" ht="18" customHeight="1" x14ac:dyDescent="0.3">
      <c r="K151" s="69" t="s">
        <v>3526</v>
      </c>
    </row>
    <row r="152" spans="11:11" ht="18" customHeight="1" x14ac:dyDescent="0.3">
      <c r="K152" s="69" t="s">
        <v>3526</v>
      </c>
    </row>
    <row r="153" spans="11:11" ht="18" customHeight="1" x14ac:dyDescent="0.3">
      <c r="K153" s="69" t="s">
        <v>3526</v>
      </c>
    </row>
    <row r="154" spans="11:11" ht="18" customHeight="1" x14ac:dyDescent="0.3">
      <c r="K154" s="69" t="s">
        <v>3526</v>
      </c>
    </row>
    <row r="155" spans="11:11" ht="18" customHeight="1" x14ac:dyDescent="0.3">
      <c r="K155" s="69" t="s">
        <v>3526</v>
      </c>
    </row>
    <row r="156" spans="11:11" ht="18" customHeight="1" x14ac:dyDescent="0.3">
      <c r="K156" s="69" t="s">
        <v>3526</v>
      </c>
    </row>
    <row r="157" spans="11:11" ht="18" customHeight="1" x14ac:dyDescent="0.3">
      <c r="K157" s="69" t="s">
        <v>3526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3681</v>
      </c>
      <c r="B1" s="283" t="s">
        <v>49</v>
      </c>
      <c r="C1" s="299" t="s">
        <v>2834</v>
      </c>
      <c r="D1" s="283" t="s">
        <v>2833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3600000</v>
      </c>
      <c r="D2" s="269">
        <f t="shared" ref="D2:D65" si="0">RANK(C2,C:C,0)</f>
        <v>1</v>
      </c>
      <c r="E2" t="s">
        <v>3815</v>
      </c>
    </row>
    <row r="3" spans="1:6" x14ac:dyDescent="0.3">
      <c r="B3" s="58" t="s">
        <v>1302</v>
      </c>
      <c r="C3" s="301">
        <f>SUMIF(BTS_매출관리!C:C,B3,BTS_매출관리!I:I)</f>
        <v>1800000</v>
      </c>
      <c r="D3" s="58">
        <f t="shared" si="0"/>
        <v>3</v>
      </c>
      <c r="E3" t="s">
        <v>3815</v>
      </c>
    </row>
    <row r="4" spans="1:6" x14ac:dyDescent="0.3">
      <c r="B4" s="269" t="s">
        <v>1342</v>
      </c>
      <c r="C4" s="268">
        <f>SUMIF(BTS_매출관리!C:C,B4,BTS_매출관리!I:I)</f>
        <v>1650000</v>
      </c>
      <c r="D4" s="269">
        <f t="shared" si="0"/>
        <v>4</v>
      </c>
      <c r="E4" t="s">
        <v>3815</v>
      </c>
    </row>
    <row r="5" spans="1:6" x14ac:dyDescent="0.3">
      <c r="B5" s="58" t="s">
        <v>2215</v>
      </c>
      <c r="C5" s="301">
        <f>SUMIF(BTS_매출관리!C:C,B5,BTS_매출관리!I:I)</f>
        <v>2970000</v>
      </c>
      <c r="D5" s="58">
        <f t="shared" si="0"/>
        <v>2</v>
      </c>
      <c r="E5" t="s">
        <v>3815</v>
      </c>
    </row>
    <row r="6" spans="1:6" x14ac:dyDescent="0.3">
      <c r="B6" s="58" t="s">
        <v>1279</v>
      </c>
      <c r="C6" s="301">
        <f>SUMIF(BTS_매출관리!C:C,B6,BTS_매출관리!I:I)</f>
        <v>1200000</v>
      </c>
      <c r="D6" s="58">
        <f t="shared" si="0"/>
        <v>8</v>
      </c>
      <c r="E6" t="s">
        <v>3815</v>
      </c>
    </row>
    <row r="7" spans="1:6" x14ac:dyDescent="0.3">
      <c r="B7" s="58" t="s">
        <v>1336</v>
      </c>
      <c r="C7" s="301">
        <f>SUMIF(BTS_매출관리!C:C,B7,BTS_매출관리!I:I)</f>
        <v>755000</v>
      </c>
      <c r="D7" s="58">
        <f t="shared" si="0"/>
        <v>12</v>
      </c>
      <c r="E7" t="s">
        <v>3815</v>
      </c>
    </row>
    <row r="8" spans="1:6" x14ac:dyDescent="0.3">
      <c r="B8" s="269" t="s">
        <v>1890</v>
      </c>
      <c r="C8" s="268">
        <f>SUMIF(BTS_매출관리!C:C,B8,BTS_매출관리!I:I)</f>
        <v>650000</v>
      </c>
      <c r="D8" s="269">
        <f t="shared" si="0"/>
        <v>13</v>
      </c>
      <c r="E8" t="s">
        <v>3815</v>
      </c>
    </row>
    <row r="9" spans="1:6" x14ac:dyDescent="0.3">
      <c r="B9" s="269" t="s">
        <v>1094</v>
      </c>
      <c r="C9" s="268">
        <f>SUMIF(BTS_매출관리!C:C,B9,BTS_매출관리!I:I)</f>
        <v>1158000</v>
      </c>
      <c r="D9" s="269">
        <f t="shared" si="0"/>
        <v>9</v>
      </c>
      <c r="E9" t="s">
        <v>3815</v>
      </c>
    </row>
    <row r="10" spans="1:6" x14ac:dyDescent="0.3">
      <c r="B10" s="269" t="s">
        <v>1295</v>
      </c>
      <c r="C10" s="268">
        <f>SUMIF(BTS_매출관리!C:C,B10,BTS_매출관리!I:I)</f>
        <v>540000</v>
      </c>
      <c r="D10" s="269">
        <f t="shared" si="0"/>
        <v>16</v>
      </c>
      <c r="E10" t="s">
        <v>3815</v>
      </c>
    </row>
    <row r="11" spans="1:6" x14ac:dyDescent="0.3">
      <c r="B11" s="58" t="s">
        <v>1159</v>
      </c>
      <c r="C11" s="301">
        <f>SUMIF(BTS_매출관리!C:C,B11,BTS_매출관리!I:I)</f>
        <v>150000</v>
      </c>
      <c r="D11" s="58">
        <f t="shared" si="0"/>
        <v>18</v>
      </c>
      <c r="E11" t="s">
        <v>3815</v>
      </c>
    </row>
    <row r="12" spans="1:6" x14ac:dyDescent="0.3">
      <c r="B12" s="58" t="s">
        <v>1353</v>
      </c>
      <c r="C12" s="301">
        <f>SUMIF(BTS_매출관리!C:C,B12,BTS_매출관리!I:I)</f>
        <v>844000</v>
      </c>
      <c r="D12" s="58">
        <f t="shared" si="0"/>
        <v>11</v>
      </c>
      <c r="E12" t="s">
        <v>3815</v>
      </c>
      <c r="F12" t="str">
        <f>IF(D12 &lt; 10,,"")</f>
        <v/>
      </c>
    </row>
    <row r="13" spans="1:6" x14ac:dyDescent="0.3">
      <c r="B13" s="58" t="s">
        <v>1333</v>
      </c>
      <c r="C13" s="301">
        <f>SUMIF(BTS_매출관리!C:C,B13,BTS_매출관리!I:I)</f>
        <v>0</v>
      </c>
      <c r="D13" s="58">
        <f t="shared" si="0"/>
        <v>22</v>
      </c>
      <c r="E13" t="s">
        <v>3815</v>
      </c>
      <c r="F13" t="str">
        <f>IF(D13 &lt; 10,,"")</f>
        <v/>
      </c>
    </row>
    <row r="14" spans="1:6" x14ac:dyDescent="0.3">
      <c r="B14" s="58" t="s">
        <v>1289</v>
      </c>
      <c r="C14" s="301">
        <f>SUMIF(BTS_매출관리!C:C,B14,BTS_매출관리!I:I)</f>
        <v>150000</v>
      </c>
      <c r="D14" s="58">
        <f t="shared" si="0"/>
        <v>18</v>
      </c>
      <c r="E14" t="s">
        <v>3815</v>
      </c>
      <c r="F14" t="str">
        <f>IF(D14 &lt; 10,,"")</f>
        <v/>
      </c>
    </row>
    <row r="15" spans="1:6" x14ac:dyDescent="0.3">
      <c r="B15" s="58" t="s">
        <v>1287</v>
      </c>
      <c r="C15" s="301">
        <f>SUMIF(BTS_매출관리!C:C,B15,BTS_매출관리!I:I)</f>
        <v>110000</v>
      </c>
      <c r="D15" s="58">
        <f t="shared" si="0"/>
        <v>21</v>
      </c>
      <c r="E15" t="s">
        <v>3815</v>
      </c>
    </row>
    <row r="16" spans="1:6" x14ac:dyDescent="0.3">
      <c r="B16" s="58" t="s">
        <v>1784</v>
      </c>
      <c r="C16" s="301">
        <f>SUMIF(BTS_매출관리!C:C,B16,BTS_매출관리!I:I)</f>
        <v>0</v>
      </c>
      <c r="D16" s="58">
        <f t="shared" si="0"/>
        <v>22</v>
      </c>
      <c r="E16" t="s">
        <v>3815</v>
      </c>
    </row>
    <row r="17" spans="2:18" x14ac:dyDescent="0.3">
      <c r="B17" s="58" t="s">
        <v>1671</v>
      </c>
      <c r="C17" s="301">
        <f>SUMIF(BTS_매출관리!C:C,B17,BTS_매출관리!I:I)</f>
        <v>0</v>
      </c>
      <c r="D17" s="58">
        <f t="shared" si="0"/>
        <v>22</v>
      </c>
      <c r="E17" t="s">
        <v>3815</v>
      </c>
    </row>
    <row r="18" spans="2:18" x14ac:dyDescent="0.3">
      <c r="B18" s="58" t="s">
        <v>1274</v>
      </c>
      <c r="C18" s="301">
        <f>SUMIF(BTS_매출관리!C:C,B18,BTS_매출관리!I:I)</f>
        <v>638000</v>
      </c>
      <c r="D18" s="58">
        <f t="shared" si="0"/>
        <v>15</v>
      </c>
      <c r="E18" t="s">
        <v>3779</v>
      </c>
    </row>
    <row r="19" spans="2:18" x14ac:dyDescent="0.3">
      <c r="B19" s="58" t="s">
        <v>1334</v>
      </c>
      <c r="C19" s="301">
        <f>SUMIF(BTS_매출관리!C:C,B19,BTS_매출관리!I:I)</f>
        <v>0</v>
      </c>
      <c r="D19" s="58">
        <f t="shared" si="0"/>
        <v>22</v>
      </c>
      <c r="E19" t="s">
        <v>3815</v>
      </c>
    </row>
    <row r="20" spans="2:18" x14ac:dyDescent="0.3">
      <c r="B20" s="58" t="s">
        <v>1018</v>
      </c>
      <c r="C20" s="301">
        <f>SUMIF(BTS_매출관리!C:C,B20,BTS_매출관리!I:I)</f>
        <v>0</v>
      </c>
      <c r="D20" s="58">
        <f t="shared" si="0"/>
        <v>22</v>
      </c>
      <c r="E20" t="s">
        <v>3815</v>
      </c>
    </row>
    <row r="21" spans="2:18" x14ac:dyDescent="0.3">
      <c r="B21" s="58" t="s">
        <v>1290</v>
      </c>
      <c r="C21" s="301">
        <f>SUMIF(BTS_매출관리!C:C,B21,BTS_매출관리!I:I)</f>
        <v>0</v>
      </c>
      <c r="D21" s="58">
        <f t="shared" si="0"/>
        <v>22</v>
      </c>
      <c r="E21" t="s">
        <v>3815</v>
      </c>
      <c r="F21" t="s">
        <v>3707</v>
      </c>
    </row>
    <row r="22" spans="2:18" x14ac:dyDescent="0.3">
      <c r="B22" s="58" t="s">
        <v>1341</v>
      </c>
      <c r="C22" s="301">
        <f>SUMIF(BTS_매출관리!C:C,B22,BTS_매출관리!I:I)</f>
        <v>0</v>
      </c>
      <c r="D22" s="58">
        <f t="shared" si="0"/>
        <v>22</v>
      </c>
      <c r="E22" t="s">
        <v>3815</v>
      </c>
      <c r="F22" t="s">
        <v>3682</v>
      </c>
      <c r="G22" t="s">
        <v>3814</v>
      </c>
      <c r="I22" t="s">
        <v>3685</v>
      </c>
      <c r="J22" s="303" t="s">
        <v>3725</v>
      </c>
      <c r="O22" t="s">
        <v>3708</v>
      </c>
      <c r="P22">
        <v>2</v>
      </c>
      <c r="Q22" t="s">
        <v>3815</v>
      </c>
    </row>
    <row r="23" spans="2:18" x14ac:dyDescent="0.3">
      <c r="B23" s="58" t="s">
        <v>1276</v>
      </c>
      <c r="C23" s="301">
        <f>SUMIF(BTS_매출관리!C:C,B23,BTS_매출관리!I:I)</f>
        <v>0</v>
      </c>
      <c r="D23" s="58">
        <f t="shared" si="0"/>
        <v>22</v>
      </c>
      <c r="E23" t="s">
        <v>3815</v>
      </c>
      <c r="F23" t="s">
        <v>3683</v>
      </c>
      <c r="G23" t="s">
        <v>3814</v>
      </c>
      <c r="I23" t="s">
        <v>3687</v>
      </c>
      <c r="J23" s="303" t="s">
        <v>3725</v>
      </c>
      <c r="O23" t="s">
        <v>3709</v>
      </c>
      <c r="P23">
        <v>3</v>
      </c>
      <c r="Q23" t="s">
        <v>3815</v>
      </c>
    </row>
    <row r="24" spans="2:18" x14ac:dyDescent="0.3">
      <c r="B24" s="58" t="s">
        <v>1313</v>
      </c>
      <c r="C24" s="301">
        <f>SUMIF(BTS_매출관리!C:C,B24,BTS_매출관리!I:I)</f>
        <v>1000000</v>
      </c>
      <c r="D24" s="58">
        <f t="shared" si="0"/>
        <v>10</v>
      </c>
      <c r="E24" t="s">
        <v>3815</v>
      </c>
      <c r="F24" t="s">
        <v>3684</v>
      </c>
      <c r="G24" t="s">
        <v>3814</v>
      </c>
      <c r="I24" t="s">
        <v>3689</v>
      </c>
      <c r="J24" s="303" t="s">
        <v>3725</v>
      </c>
      <c r="O24" t="s">
        <v>3710</v>
      </c>
      <c r="P24">
        <v>2</v>
      </c>
      <c r="Q24" t="s">
        <v>3815</v>
      </c>
    </row>
    <row r="25" spans="2:18" x14ac:dyDescent="0.3">
      <c r="B25" s="58" t="s">
        <v>1058</v>
      </c>
      <c r="C25" s="301">
        <f>SUMIF(BTS_매출관리!C:C,B25,BTS_매출관리!I:I)</f>
        <v>0</v>
      </c>
      <c r="D25" s="58">
        <f t="shared" si="0"/>
        <v>22</v>
      </c>
      <c r="E25" t="s">
        <v>3815</v>
      </c>
      <c r="F25" t="s">
        <v>3686</v>
      </c>
      <c r="G25" t="s">
        <v>3725</v>
      </c>
      <c r="I25" t="s">
        <v>3692</v>
      </c>
      <c r="J25" s="303" t="s">
        <v>3814</v>
      </c>
      <c r="O25" t="s">
        <v>3711</v>
      </c>
      <c r="P25">
        <v>1</v>
      </c>
      <c r="R25" t="s">
        <v>3814</v>
      </c>
    </row>
    <row r="26" spans="2:18" x14ac:dyDescent="0.3">
      <c r="B26" s="58" t="s">
        <v>1148</v>
      </c>
      <c r="C26" s="301">
        <f>SUMIF(BTS_매출관리!C:C,B26,BTS_매출관리!I:I)</f>
        <v>0</v>
      </c>
      <c r="D26" s="58">
        <f t="shared" si="0"/>
        <v>22</v>
      </c>
      <c r="E26" t="s">
        <v>3815</v>
      </c>
      <c r="F26" t="s">
        <v>3688</v>
      </c>
      <c r="G26" t="s">
        <v>3814</v>
      </c>
      <c r="I26" t="s">
        <v>3705</v>
      </c>
      <c r="J26" s="303" t="s">
        <v>3744</v>
      </c>
      <c r="O26" t="s">
        <v>3712</v>
      </c>
      <c r="P26">
        <v>2</v>
      </c>
      <c r="Q26" t="s">
        <v>3726</v>
      </c>
    </row>
    <row r="27" spans="2:18" x14ac:dyDescent="0.3">
      <c r="B27" s="58" t="s">
        <v>2472</v>
      </c>
      <c r="C27" s="301">
        <f>SUMIF(BTS_매출관리!C:C,B27,BTS_매출관리!I:I)</f>
        <v>0</v>
      </c>
      <c r="D27" s="58">
        <f t="shared" si="0"/>
        <v>22</v>
      </c>
      <c r="E27" t="s">
        <v>3815</v>
      </c>
      <c r="F27" t="s">
        <v>3800</v>
      </c>
      <c r="G27" t="s">
        <v>3822</v>
      </c>
      <c r="I27" t="s">
        <v>2862</v>
      </c>
      <c r="J27" s="303" t="s">
        <v>3744</v>
      </c>
      <c r="O27" t="s">
        <v>3713</v>
      </c>
      <c r="P27">
        <v>1</v>
      </c>
      <c r="Q27" t="s">
        <v>3725</v>
      </c>
    </row>
    <row r="28" spans="2:18" x14ac:dyDescent="0.3">
      <c r="B28" s="58" t="s">
        <v>1317</v>
      </c>
      <c r="C28" s="301">
        <f>SUMIF(BTS_매출관리!C:C,B28,BTS_매출관리!I:I)</f>
        <v>0</v>
      </c>
      <c r="D28" s="58">
        <f t="shared" si="0"/>
        <v>22</v>
      </c>
      <c r="E28" t="s">
        <v>3815</v>
      </c>
      <c r="F28" t="s">
        <v>3691</v>
      </c>
      <c r="G28" t="s">
        <v>3820</v>
      </c>
      <c r="I28" t="s">
        <v>2258</v>
      </c>
      <c r="J28" s="303" t="s">
        <v>3744</v>
      </c>
      <c r="O28" t="s">
        <v>3714</v>
      </c>
      <c r="P28">
        <v>2</v>
      </c>
      <c r="R28" t="s">
        <v>3821</v>
      </c>
    </row>
    <row r="29" spans="2:18" x14ac:dyDescent="0.3">
      <c r="B29" s="58" t="s">
        <v>2361</v>
      </c>
      <c r="C29" s="301">
        <f>SUMIF(BTS_매출관리!C:C,B29,BTS_매출관리!I:I)</f>
        <v>0</v>
      </c>
      <c r="D29" s="58">
        <f t="shared" si="0"/>
        <v>22</v>
      </c>
      <c r="E29" t="s">
        <v>2865</v>
      </c>
      <c r="F29" t="s">
        <v>3693</v>
      </c>
      <c r="G29" t="s">
        <v>3814</v>
      </c>
      <c r="O29" t="s">
        <v>3715</v>
      </c>
      <c r="P29">
        <v>2</v>
      </c>
      <c r="Q29" t="s">
        <v>3815</v>
      </c>
    </row>
    <row r="30" spans="2:18" x14ac:dyDescent="0.3">
      <c r="B30" s="58" t="s">
        <v>1307</v>
      </c>
      <c r="C30" s="301">
        <f>SUMIF(BTS_매출관리!C:C,B30,BTS_매출관리!I:I)</f>
        <v>0</v>
      </c>
      <c r="D30" s="58">
        <f t="shared" si="0"/>
        <v>22</v>
      </c>
      <c r="F30" t="s">
        <v>3694</v>
      </c>
      <c r="G30" t="s">
        <v>3820</v>
      </c>
      <c r="O30" t="s">
        <v>3716</v>
      </c>
      <c r="P30">
        <v>2</v>
      </c>
      <c r="Q30" t="s">
        <v>3743</v>
      </c>
    </row>
    <row r="31" spans="2:18" x14ac:dyDescent="0.3">
      <c r="B31" s="58" t="s">
        <v>1346</v>
      </c>
      <c r="C31" s="301">
        <f>SUMIF(BTS_매출관리!C:C,B31,BTS_매출관리!I:I)</f>
        <v>0</v>
      </c>
      <c r="D31" s="58">
        <f t="shared" si="0"/>
        <v>22</v>
      </c>
      <c r="F31" t="s">
        <v>3695</v>
      </c>
      <c r="G31" t="s">
        <v>3814</v>
      </c>
      <c r="O31" t="s">
        <v>3717</v>
      </c>
      <c r="P31">
        <v>1</v>
      </c>
      <c r="R31" t="s">
        <v>3820</v>
      </c>
    </row>
    <row r="32" spans="2:18" x14ac:dyDescent="0.3">
      <c r="B32" s="58" t="s">
        <v>980</v>
      </c>
      <c r="C32" s="301">
        <f>SUMIF(BTS_매출관리!C:C,B32,BTS_매출관리!I:I)</f>
        <v>0</v>
      </c>
      <c r="D32" s="58">
        <f t="shared" si="0"/>
        <v>22</v>
      </c>
      <c r="E32" t="s">
        <v>3815</v>
      </c>
      <c r="F32" t="s">
        <v>3696</v>
      </c>
      <c r="G32" t="s">
        <v>3814</v>
      </c>
      <c r="O32" t="s">
        <v>3718</v>
      </c>
      <c r="P32">
        <v>1</v>
      </c>
      <c r="R32" t="s">
        <v>3814</v>
      </c>
    </row>
    <row r="33" spans="2:17" x14ac:dyDescent="0.3">
      <c r="B33" s="58" t="s">
        <v>1271</v>
      </c>
      <c r="C33" s="301">
        <f>SUMIF(BTS_매출관리!C:C,B33,BTS_매출관리!I:I)</f>
        <v>0</v>
      </c>
      <c r="D33" s="58">
        <f t="shared" si="0"/>
        <v>22</v>
      </c>
      <c r="F33" t="s">
        <v>3697</v>
      </c>
      <c r="G33" t="s">
        <v>3814</v>
      </c>
      <c r="O33" t="s">
        <v>3719</v>
      </c>
      <c r="P33">
        <v>1</v>
      </c>
      <c r="Q33" t="s">
        <v>3727</v>
      </c>
    </row>
    <row r="34" spans="2:17" x14ac:dyDescent="0.3">
      <c r="B34" s="58" t="s">
        <v>1488</v>
      </c>
      <c r="C34" s="301">
        <f>SUMIF(BTS_매출관리!C:C,B34,BTS_매출관리!I:I)</f>
        <v>0</v>
      </c>
      <c r="D34" s="58">
        <f t="shared" si="0"/>
        <v>22</v>
      </c>
      <c r="E34" t="s">
        <v>3815</v>
      </c>
      <c r="F34" t="s">
        <v>3698</v>
      </c>
      <c r="G34" t="s">
        <v>3820</v>
      </c>
      <c r="O34" t="s">
        <v>3690</v>
      </c>
      <c r="P34">
        <v>2</v>
      </c>
      <c r="Q34" t="s">
        <v>3815</v>
      </c>
    </row>
    <row r="35" spans="2:17" x14ac:dyDescent="0.3">
      <c r="B35" s="58" t="s">
        <v>2918</v>
      </c>
      <c r="C35" s="301">
        <f>SUMIF(BTS_매출관리!C:C,B35,BTS_매출관리!I:I)</f>
        <v>0</v>
      </c>
      <c r="D35" s="58">
        <f t="shared" si="0"/>
        <v>22</v>
      </c>
      <c r="E35" t="s">
        <v>3815</v>
      </c>
      <c r="F35" t="s">
        <v>3699</v>
      </c>
      <c r="G35" t="s">
        <v>3820</v>
      </c>
      <c r="O35" t="s">
        <v>3720</v>
      </c>
      <c r="P35">
        <v>1</v>
      </c>
    </row>
    <row r="36" spans="2:17" x14ac:dyDescent="0.3">
      <c r="B36" s="58" t="s">
        <v>1035</v>
      </c>
      <c r="C36" s="301">
        <f>SUMIF(BTS_매출관리!C:C,B36,BTS_매출관리!I:I)</f>
        <v>0</v>
      </c>
      <c r="D36" s="58">
        <f t="shared" si="0"/>
        <v>22</v>
      </c>
      <c r="F36" t="s">
        <v>3700</v>
      </c>
      <c r="G36" t="s">
        <v>3814</v>
      </c>
      <c r="O36" t="s">
        <v>3721</v>
      </c>
      <c r="P36">
        <v>1</v>
      </c>
      <c r="Q36" t="s">
        <v>3815</v>
      </c>
    </row>
    <row r="37" spans="2:17" x14ac:dyDescent="0.3">
      <c r="B37" s="58" t="s">
        <v>1617</v>
      </c>
      <c r="C37" s="301">
        <f>SUMIF(BTS_매출관리!C:C,B37,BTS_매출관리!I:I)</f>
        <v>0</v>
      </c>
      <c r="D37" s="58">
        <f t="shared" si="0"/>
        <v>22</v>
      </c>
      <c r="E37" t="s">
        <v>3815</v>
      </c>
      <c r="F37" t="s">
        <v>3701</v>
      </c>
      <c r="G37" t="s">
        <v>3814</v>
      </c>
    </row>
    <row r="38" spans="2:17" x14ac:dyDescent="0.3">
      <c r="B38" s="58" t="s">
        <v>1326</v>
      </c>
      <c r="C38" s="301">
        <f>SUMIF(BTS_매출관리!C:C,B38,BTS_매출관리!I:I)</f>
        <v>0</v>
      </c>
      <c r="D38" s="58">
        <f t="shared" si="0"/>
        <v>22</v>
      </c>
      <c r="E38" t="s">
        <v>3779</v>
      </c>
      <c r="F38" t="s">
        <v>3702</v>
      </c>
      <c r="G38" t="s">
        <v>3820</v>
      </c>
    </row>
    <row r="39" spans="2:17" x14ac:dyDescent="0.3">
      <c r="B39" s="58" t="s">
        <v>1345</v>
      </c>
      <c r="C39" s="301">
        <f>SUMIF(BTS_매출관리!C:C,B39,BTS_매출관리!I:I)</f>
        <v>0</v>
      </c>
      <c r="D39" s="58">
        <f t="shared" si="0"/>
        <v>22</v>
      </c>
      <c r="E39" t="s">
        <v>3815</v>
      </c>
      <c r="F39" t="s">
        <v>3703</v>
      </c>
      <c r="G39" t="s">
        <v>3820</v>
      </c>
    </row>
    <row r="40" spans="2:17" x14ac:dyDescent="0.3">
      <c r="B40" s="58" t="s">
        <v>1349</v>
      </c>
      <c r="C40" s="301">
        <f>SUMIF(BTS_매출관리!C:C,B40,BTS_매출관리!I:I)</f>
        <v>0</v>
      </c>
      <c r="D40" s="58">
        <f t="shared" si="0"/>
        <v>22</v>
      </c>
      <c r="F40" t="s">
        <v>3704</v>
      </c>
      <c r="G40" t="s">
        <v>3820</v>
      </c>
    </row>
    <row r="41" spans="2:17" x14ac:dyDescent="0.3">
      <c r="B41" s="58" t="s">
        <v>2561</v>
      </c>
      <c r="C41" s="301">
        <f>SUMIF(BTS_매출관리!C:C,B41,BTS_매출관리!I:I)</f>
        <v>0</v>
      </c>
      <c r="D41" s="58">
        <f t="shared" si="0"/>
        <v>22</v>
      </c>
      <c r="E41" t="s">
        <v>3815</v>
      </c>
      <c r="F41" t="s">
        <v>3706</v>
      </c>
      <c r="G41" t="s">
        <v>3814</v>
      </c>
    </row>
    <row r="42" spans="2:17" x14ac:dyDescent="0.3">
      <c r="B42" s="58" t="s">
        <v>1288</v>
      </c>
      <c r="C42" s="301">
        <f>SUMIF(BTS_매출관리!C:C,B42,BTS_매출관리!I:I)</f>
        <v>0</v>
      </c>
      <c r="D42" s="58">
        <f t="shared" si="0"/>
        <v>22</v>
      </c>
      <c r="F42" t="s">
        <v>1328</v>
      </c>
      <c r="G42" t="s">
        <v>3820</v>
      </c>
    </row>
    <row r="43" spans="2:17" x14ac:dyDescent="0.3">
      <c r="B43" s="58" t="s">
        <v>1173</v>
      </c>
      <c r="C43" s="301">
        <f>SUMIF(BTS_매출관리!C:C,B43,BTS_매출관리!I:I)</f>
        <v>650000</v>
      </c>
      <c r="D43" s="58">
        <f t="shared" si="0"/>
        <v>13</v>
      </c>
      <c r="F43" t="s">
        <v>3801</v>
      </c>
      <c r="G43" t="s">
        <v>3814</v>
      </c>
    </row>
    <row r="44" spans="2:17" x14ac:dyDescent="0.3">
      <c r="B44" s="58" t="s">
        <v>1298</v>
      </c>
      <c r="C44" s="301">
        <f>SUMIF(BTS_매출관리!C:C,B44,BTS_매출관리!I:I)</f>
        <v>250000</v>
      </c>
      <c r="D44" s="58">
        <f t="shared" si="0"/>
        <v>17</v>
      </c>
      <c r="E44" t="s">
        <v>3815</v>
      </c>
      <c r="F44" t="s">
        <v>3802</v>
      </c>
      <c r="G44" t="s">
        <v>3814</v>
      </c>
    </row>
    <row r="45" spans="2:17" x14ac:dyDescent="0.3">
      <c r="B45" s="58" t="s">
        <v>1357</v>
      </c>
      <c r="C45" s="301">
        <f>SUMIF(BTS_매출관리!C:C,B45,BTS_매출관리!I:I)</f>
        <v>0</v>
      </c>
      <c r="D45" s="58">
        <f t="shared" si="0"/>
        <v>22</v>
      </c>
      <c r="E45" t="s">
        <v>3815</v>
      </c>
      <c r="F45" t="s">
        <v>3803</v>
      </c>
      <c r="G45" t="s">
        <v>3814</v>
      </c>
      <c r="M45">
        <v>17</v>
      </c>
    </row>
    <row r="46" spans="2:17" x14ac:dyDescent="0.3">
      <c r="B46" s="269" t="s">
        <v>983</v>
      </c>
      <c r="C46" s="268">
        <f>SUMIF(BTS_매출관리!C:C,B46,BTS_매출관리!I:I)</f>
        <v>0</v>
      </c>
      <c r="D46" s="58">
        <f t="shared" si="0"/>
        <v>22</v>
      </c>
      <c r="F46" t="s">
        <v>3816</v>
      </c>
      <c r="G46" t="s">
        <v>3814</v>
      </c>
    </row>
    <row r="47" spans="2:17" x14ac:dyDescent="0.3">
      <c r="B47" s="58" t="s">
        <v>1303</v>
      </c>
      <c r="C47" s="301">
        <f>SUMIF(BTS_매출관리!C:C,B47,BTS_매출관리!I:I)</f>
        <v>0</v>
      </c>
      <c r="D47" s="58">
        <f t="shared" si="0"/>
        <v>22</v>
      </c>
      <c r="E47" t="s">
        <v>3815</v>
      </c>
      <c r="F47" s="58" t="s">
        <v>1035</v>
      </c>
      <c r="G47" t="s">
        <v>3814</v>
      </c>
      <c r="K47" t="s">
        <v>3814</v>
      </c>
      <c r="L47">
        <f>COUNTIF(G22:G49,"스팸")</f>
        <v>17</v>
      </c>
    </row>
    <row r="48" spans="2:17" x14ac:dyDescent="0.3">
      <c r="B48" s="58" t="s">
        <v>1330</v>
      </c>
      <c r="C48" s="301">
        <f>SUMIF(BTS_매출관리!C:C,B48,BTS_매출관리!I:I)</f>
        <v>0</v>
      </c>
      <c r="D48" s="58">
        <f t="shared" si="0"/>
        <v>22</v>
      </c>
      <c r="F48" s="58" t="s">
        <v>1357</v>
      </c>
      <c r="G48" t="s">
        <v>3820</v>
      </c>
      <c r="K48" t="s">
        <v>3820</v>
      </c>
      <c r="L48">
        <f>COUNTIF(G22:G49,"반반")</f>
        <v>10</v>
      </c>
    </row>
    <row r="49" spans="2:7" x14ac:dyDescent="0.3">
      <c r="B49" s="58" t="s">
        <v>1284</v>
      </c>
      <c r="C49" s="301">
        <f>SUMIF(BTS_매출관리!C:C,B49,BTS_매출관리!I:I)</f>
        <v>0</v>
      </c>
      <c r="D49" s="58">
        <f t="shared" si="0"/>
        <v>22</v>
      </c>
      <c r="F49" t="s">
        <v>1321</v>
      </c>
      <c r="G49" t="s">
        <v>3820</v>
      </c>
    </row>
    <row r="50" spans="2:7" x14ac:dyDescent="0.3">
      <c r="B50" s="58" t="s">
        <v>1299</v>
      </c>
      <c r="C50" s="301">
        <f>SUMIF(BTS_매출관리!C:C,B50,BTS_매출관리!I:I)</f>
        <v>0</v>
      </c>
      <c r="D50" s="58">
        <f t="shared" si="0"/>
        <v>22</v>
      </c>
    </row>
    <row r="51" spans="2:7" x14ac:dyDescent="0.3">
      <c r="B51" s="58" t="s">
        <v>2867</v>
      </c>
      <c r="C51" s="301">
        <f>SUMIF(BTS_매출관리!C:C,B51,BTS_매출관리!I:I)</f>
        <v>0</v>
      </c>
      <c r="D51" s="58">
        <f t="shared" si="0"/>
        <v>22</v>
      </c>
    </row>
    <row r="52" spans="2:7" x14ac:dyDescent="0.3">
      <c r="B52" s="47" t="s">
        <v>1023</v>
      </c>
      <c r="C52" s="302">
        <f>SUMIF(BTS_매출관리!C:C,B52,BTS_매출관리!I:I)</f>
        <v>0</v>
      </c>
      <c r="D52" s="47">
        <f t="shared" si="0"/>
        <v>22</v>
      </c>
    </row>
    <row r="53" spans="2:7" x14ac:dyDescent="0.3">
      <c r="B53" s="47" t="s">
        <v>1296</v>
      </c>
      <c r="C53" s="302">
        <f>SUMIF(BTS_매출관리!C:C,B53,BTS_매출관리!I:I)</f>
        <v>0</v>
      </c>
      <c r="D53" s="47">
        <f t="shared" si="0"/>
        <v>22</v>
      </c>
      <c r="E53" t="s">
        <v>3815</v>
      </c>
    </row>
    <row r="54" spans="2:7" x14ac:dyDescent="0.3">
      <c r="B54" s="47" t="s">
        <v>2786</v>
      </c>
      <c r="C54" s="302">
        <f>SUMIF(BTS_매출관리!C:C,B54,BTS_매출관리!I:I)</f>
        <v>0</v>
      </c>
      <c r="D54" s="47">
        <f t="shared" si="0"/>
        <v>22</v>
      </c>
    </row>
    <row r="55" spans="2:7" x14ac:dyDescent="0.3">
      <c r="B55" s="47" t="s">
        <v>1356</v>
      </c>
      <c r="C55" s="302">
        <f>SUMIF(BTS_매출관리!C:C,B55,BTS_매출관리!I:I)</f>
        <v>0</v>
      </c>
      <c r="D55" s="47">
        <f t="shared" si="0"/>
        <v>22</v>
      </c>
      <c r="E55" t="s">
        <v>2865</v>
      </c>
    </row>
    <row r="56" spans="2:7" x14ac:dyDescent="0.3">
      <c r="B56" s="47" t="s">
        <v>1359</v>
      </c>
      <c r="C56" s="302">
        <f>SUMIF(BTS_매출관리!C:C,B56,BTS_매출관리!I:I)</f>
        <v>0</v>
      </c>
      <c r="D56" s="47">
        <f t="shared" si="0"/>
        <v>22</v>
      </c>
    </row>
    <row r="57" spans="2:7" x14ac:dyDescent="0.3">
      <c r="B57" s="47" t="s">
        <v>3294</v>
      </c>
      <c r="C57" s="302">
        <f>SUMIF(BTS_매출관리!C:C,B57,BTS_매출관리!I:I)</f>
        <v>0</v>
      </c>
      <c r="D57" s="47">
        <f t="shared" si="0"/>
        <v>22</v>
      </c>
    </row>
    <row r="58" spans="2:7" x14ac:dyDescent="0.3">
      <c r="B58" t="s">
        <v>2862</v>
      </c>
      <c r="C58" s="52">
        <f>SUMIF(BTS_매출관리!C:C,B58,BTS_매출관리!I:I)</f>
        <v>0</v>
      </c>
      <c r="D58">
        <f t="shared" si="0"/>
        <v>22</v>
      </c>
    </row>
    <row r="59" spans="2:7" x14ac:dyDescent="0.3">
      <c r="B59" t="s">
        <v>2283</v>
      </c>
      <c r="C59" s="52">
        <f>SUMIF(BTS_매출관리!C:C,B59,BTS_매출관리!I:I)</f>
        <v>0</v>
      </c>
      <c r="D59">
        <f t="shared" si="0"/>
        <v>22</v>
      </c>
    </row>
    <row r="60" spans="2:7" x14ac:dyDescent="0.3">
      <c r="B60" t="s">
        <v>1351</v>
      </c>
      <c r="C60" s="52">
        <f>SUMIF(BTS_매출관리!C:C,B60,BTS_매출관리!I:I)</f>
        <v>0</v>
      </c>
      <c r="D60">
        <f t="shared" si="0"/>
        <v>22</v>
      </c>
    </row>
    <row r="61" spans="2:7" x14ac:dyDescent="0.3">
      <c r="B61" t="s">
        <v>1321</v>
      </c>
      <c r="C61" s="52">
        <f>SUMIF(BTS_매출관리!C:C,B61,BTS_매출관리!I:I)</f>
        <v>0</v>
      </c>
      <c r="D61">
        <f t="shared" si="0"/>
        <v>22</v>
      </c>
    </row>
    <row r="62" spans="2:7" x14ac:dyDescent="0.3">
      <c r="B62" t="s">
        <v>3123</v>
      </c>
      <c r="C62" s="52">
        <f>SUMIF(BTS_매출관리!C:C,B62,BTS_매출관리!I:I)</f>
        <v>0</v>
      </c>
      <c r="D62">
        <f t="shared" si="0"/>
        <v>22</v>
      </c>
    </row>
    <row r="63" spans="2:7" x14ac:dyDescent="0.3">
      <c r="B63" t="s">
        <v>2375</v>
      </c>
      <c r="C63" s="52">
        <f>SUMIF(BTS_매출관리!C:C,B63,BTS_매출관리!I:I)</f>
        <v>0</v>
      </c>
      <c r="D63">
        <f t="shared" si="0"/>
        <v>22</v>
      </c>
      <c r="E63" t="s">
        <v>3815</v>
      </c>
    </row>
    <row r="64" spans="2:7" x14ac:dyDescent="0.3">
      <c r="B64" t="s">
        <v>1611</v>
      </c>
      <c r="C64" s="300">
        <f>SUMIF(BTS_매출관리!C:C,B64,BTS_매출관리!I:I)</f>
        <v>0</v>
      </c>
      <c r="D64">
        <f t="shared" si="0"/>
        <v>22</v>
      </c>
    </row>
    <row r="65" spans="2:5" x14ac:dyDescent="0.3">
      <c r="B65" t="s">
        <v>2759</v>
      </c>
      <c r="C65" s="52">
        <f>SUMIF(BTS_매출관리!C:C,B65,BTS_매출관리!I:I)</f>
        <v>0</v>
      </c>
      <c r="D65">
        <f t="shared" si="0"/>
        <v>22</v>
      </c>
      <c r="E65" t="s">
        <v>3815</v>
      </c>
    </row>
    <row r="66" spans="2:5" x14ac:dyDescent="0.3">
      <c r="B66" t="s">
        <v>1571</v>
      </c>
      <c r="C66" s="300">
        <f>SUMIF(BTS_매출관리!C:C,B66,BTS_매출관리!I:I)</f>
        <v>0</v>
      </c>
      <c r="D66">
        <f t="shared" ref="D66:D129" si="1">RANK(C66,C:C,0)</f>
        <v>22</v>
      </c>
    </row>
    <row r="67" spans="2:5" x14ac:dyDescent="0.3">
      <c r="B67" t="s">
        <v>3552</v>
      </c>
      <c r="C67" s="52">
        <f>SUMIF(BTS_매출관리!C:C,B67,BTS_매출관리!I:I)</f>
        <v>0</v>
      </c>
      <c r="D67">
        <f t="shared" si="1"/>
        <v>22</v>
      </c>
      <c r="E67" t="s">
        <v>3815</v>
      </c>
    </row>
    <row r="68" spans="2:5" x14ac:dyDescent="0.3">
      <c r="B68" t="s">
        <v>1328</v>
      </c>
      <c r="C68" s="52">
        <f>SUMIF(BTS_매출관리!C:C,B68,BTS_매출관리!I:I)</f>
        <v>0</v>
      </c>
      <c r="D68">
        <f t="shared" si="1"/>
        <v>22</v>
      </c>
    </row>
    <row r="69" spans="2:5" x14ac:dyDescent="0.3">
      <c r="B69" t="s">
        <v>1904</v>
      </c>
      <c r="C69" s="300">
        <f>SUMIF(BTS_매출관리!C:C,B69,BTS_매출관리!I:I)</f>
        <v>0</v>
      </c>
      <c r="D69">
        <f t="shared" si="1"/>
        <v>22</v>
      </c>
    </row>
    <row r="70" spans="2:5" x14ac:dyDescent="0.3">
      <c r="B70" t="s">
        <v>2258</v>
      </c>
      <c r="C70" s="52">
        <f>SUMIF(BTS_매출관리!C:C,B70,BTS_매출관리!I:I)</f>
        <v>0</v>
      </c>
      <c r="D70">
        <f t="shared" si="1"/>
        <v>22</v>
      </c>
    </row>
    <row r="71" spans="2:5" x14ac:dyDescent="0.3">
      <c r="B71" t="s">
        <v>3643</v>
      </c>
      <c r="C71" s="52">
        <f>SUMIF(BTS_매출관리!C:C,B71,BTS_매출관리!I:I)</f>
        <v>0</v>
      </c>
      <c r="D71">
        <f t="shared" si="1"/>
        <v>22</v>
      </c>
    </row>
    <row r="72" spans="2:5" x14ac:dyDescent="0.3">
      <c r="B72" t="s">
        <v>1283</v>
      </c>
      <c r="C72" s="300">
        <f>SUMIF(BTS_매출관리!C:C,B72,BTS_매출관리!I:I)</f>
        <v>0</v>
      </c>
      <c r="D72">
        <f t="shared" si="1"/>
        <v>22</v>
      </c>
    </row>
    <row r="73" spans="2:5" x14ac:dyDescent="0.3">
      <c r="B73" t="s">
        <v>2871</v>
      </c>
      <c r="C73" s="52">
        <f>SUMIF(BTS_매출관리!C:C,B73,BTS_매출관리!I:I)</f>
        <v>0</v>
      </c>
      <c r="D73">
        <f t="shared" si="1"/>
        <v>22</v>
      </c>
    </row>
    <row r="74" spans="2:5" x14ac:dyDescent="0.3">
      <c r="B74" t="s">
        <v>2365</v>
      </c>
      <c r="C74" s="52">
        <f>SUMIF(BTS_매출관리!C:C,B74,BTS_매출관리!I:I)</f>
        <v>0</v>
      </c>
      <c r="D74">
        <f t="shared" si="1"/>
        <v>22</v>
      </c>
    </row>
    <row r="75" spans="2:5" x14ac:dyDescent="0.3">
      <c r="B75" t="s">
        <v>1339</v>
      </c>
      <c r="C75" s="52">
        <f>SUMIF(BTS_매출관리!C:C,B75,BTS_매출관리!I:I)</f>
        <v>0</v>
      </c>
      <c r="D75">
        <f t="shared" si="1"/>
        <v>22</v>
      </c>
    </row>
    <row r="76" spans="2:5" x14ac:dyDescent="0.3">
      <c r="B76" t="s">
        <v>2892</v>
      </c>
      <c r="C76" s="52">
        <f>SUMIF(BTS_매출관리!C:C,B76,BTS_매출관리!I:I)</f>
        <v>0</v>
      </c>
      <c r="D76">
        <f t="shared" si="1"/>
        <v>22</v>
      </c>
    </row>
    <row r="77" spans="2:5" x14ac:dyDescent="0.3">
      <c r="B77" t="s">
        <v>1305</v>
      </c>
      <c r="C77" s="300">
        <f>SUMIF(BTS_매출관리!C:C,B77,BTS_매출관리!I:I)</f>
        <v>0</v>
      </c>
      <c r="D77">
        <f t="shared" si="1"/>
        <v>22</v>
      </c>
    </row>
    <row r="78" spans="2:5" x14ac:dyDescent="0.3">
      <c r="B78" t="s">
        <v>1374</v>
      </c>
      <c r="C78" s="52">
        <f>SUMIF(BTS_매출관리!C:C,B78,BTS_매출관리!I:I)</f>
        <v>1550000</v>
      </c>
      <c r="D78">
        <f t="shared" si="1"/>
        <v>5</v>
      </c>
    </row>
    <row r="79" spans="2:5" x14ac:dyDescent="0.3">
      <c r="B79" t="s">
        <v>3272</v>
      </c>
      <c r="C79" s="52">
        <f>SUMIF(BTS_매출관리!C:C,B79,BTS_매출관리!I:I)</f>
        <v>0</v>
      </c>
      <c r="D79">
        <f t="shared" si="1"/>
        <v>22</v>
      </c>
    </row>
    <row r="80" spans="2:5" x14ac:dyDescent="0.3">
      <c r="B80" t="s">
        <v>1228</v>
      </c>
      <c r="C80" s="52">
        <f>SUMIF(BTS_매출관리!C:C,B80,BTS_매출관리!I:I)</f>
        <v>0</v>
      </c>
      <c r="D80">
        <f t="shared" si="1"/>
        <v>22</v>
      </c>
    </row>
    <row r="81" spans="2:4" x14ac:dyDescent="0.3">
      <c r="B81" t="s">
        <v>1315</v>
      </c>
      <c r="C81" s="52">
        <f>SUMIF(BTS_매출관리!C:C,B81,BTS_매출관리!I:I)</f>
        <v>0</v>
      </c>
      <c r="D81">
        <f t="shared" si="1"/>
        <v>22</v>
      </c>
    </row>
    <row r="82" spans="2:4" x14ac:dyDescent="0.3">
      <c r="B82" t="s">
        <v>1292</v>
      </c>
      <c r="C82" s="300">
        <f>SUMIF(BTS_매출관리!C:C,B82,BTS_매출관리!I:I)</f>
        <v>0</v>
      </c>
      <c r="D82">
        <f t="shared" si="1"/>
        <v>22</v>
      </c>
    </row>
    <row r="83" spans="2:4" x14ac:dyDescent="0.3">
      <c r="B83" t="s">
        <v>2307</v>
      </c>
      <c r="C83" s="52">
        <f>SUMIF(BTS_매출관리!C:C,B83,BTS_매출관리!I:I)</f>
        <v>0</v>
      </c>
      <c r="D83">
        <f t="shared" si="1"/>
        <v>22</v>
      </c>
    </row>
    <row r="84" spans="2:4" x14ac:dyDescent="0.3">
      <c r="B84" t="s">
        <v>2017</v>
      </c>
      <c r="C84" s="52">
        <f>SUMIF(BTS_매출관리!C:C,B84,BTS_매출관리!I:I)</f>
        <v>0</v>
      </c>
      <c r="D84">
        <f t="shared" si="1"/>
        <v>22</v>
      </c>
    </row>
    <row r="85" spans="2:4" x14ac:dyDescent="0.3">
      <c r="B85" t="s">
        <v>1275</v>
      </c>
      <c r="C85" s="300">
        <f>SUMIF(BTS_매출관리!C:C,B85,BTS_매출관리!I:I)</f>
        <v>0</v>
      </c>
      <c r="D85">
        <f t="shared" si="1"/>
        <v>22</v>
      </c>
    </row>
    <row r="86" spans="2:4" x14ac:dyDescent="0.3">
      <c r="B86" t="s">
        <v>2791</v>
      </c>
      <c r="C86" s="52">
        <f>SUMIF(BTS_매출관리!C:C,B86,BTS_매출관리!I:I)</f>
        <v>0</v>
      </c>
      <c r="D86">
        <f t="shared" si="1"/>
        <v>22</v>
      </c>
    </row>
    <row r="87" spans="2:4" x14ac:dyDescent="0.3">
      <c r="B87" t="s">
        <v>1294</v>
      </c>
      <c r="C87" s="300">
        <f>SUMIF(BTS_매출관리!C:C,B87,BTS_매출관리!I:I)</f>
        <v>0</v>
      </c>
      <c r="D87">
        <f t="shared" si="1"/>
        <v>22</v>
      </c>
    </row>
    <row r="88" spans="2:4" x14ac:dyDescent="0.3">
      <c r="B88" t="s">
        <v>1268</v>
      </c>
      <c r="C88" s="300">
        <f>SUMIF(BTS_매출관리!C:C,B88,BTS_매출관리!I:I)</f>
        <v>1429000</v>
      </c>
      <c r="D88">
        <f t="shared" si="1"/>
        <v>7</v>
      </c>
    </row>
    <row r="89" spans="2:4" x14ac:dyDescent="0.3">
      <c r="B89" t="s">
        <v>2764</v>
      </c>
      <c r="C89" s="52">
        <f>SUMIF(BTS_매출관리!C:C,B89,BTS_매출관리!I:I)</f>
        <v>0</v>
      </c>
      <c r="D89">
        <f t="shared" si="1"/>
        <v>22</v>
      </c>
    </row>
    <row r="90" spans="2:4" x14ac:dyDescent="0.3">
      <c r="B90" t="s">
        <v>2706</v>
      </c>
      <c r="C90" s="52">
        <f>SUMIF(BTS_매출관리!C:C,B90,BTS_매출관리!I:I)</f>
        <v>0</v>
      </c>
      <c r="D90">
        <f t="shared" si="1"/>
        <v>22</v>
      </c>
    </row>
    <row r="91" spans="2:4" x14ac:dyDescent="0.3">
      <c r="B91" t="s">
        <v>2898</v>
      </c>
      <c r="C91" s="52">
        <f>SUMIF(BTS_매출관리!C:C,B91,BTS_매출관리!I:I)</f>
        <v>0</v>
      </c>
      <c r="D91">
        <f t="shared" si="1"/>
        <v>22</v>
      </c>
    </row>
    <row r="92" spans="2:4" x14ac:dyDescent="0.3">
      <c r="B92" t="s">
        <v>1007</v>
      </c>
      <c r="C92" s="52">
        <f>SUMIF(BTS_매출관리!C:C,B92,BTS_매출관리!I:I)</f>
        <v>0</v>
      </c>
      <c r="D92">
        <f t="shared" si="1"/>
        <v>22</v>
      </c>
    </row>
    <row r="93" spans="2:4" x14ac:dyDescent="0.3">
      <c r="B93" t="s">
        <v>2744</v>
      </c>
      <c r="C93" s="52">
        <f>SUMIF(BTS_매출관리!C:C,B93,BTS_매출관리!I:I)</f>
        <v>0</v>
      </c>
      <c r="D93">
        <f t="shared" si="1"/>
        <v>22</v>
      </c>
    </row>
    <row r="94" spans="2:4" x14ac:dyDescent="0.3">
      <c r="B94" t="s">
        <v>2095</v>
      </c>
      <c r="C94" s="52">
        <f>SUMIF(BTS_매출관리!C:C,B94,BTS_매출관리!I:I)</f>
        <v>0</v>
      </c>
      <c r="D94">
        <f t="shared" si="1"/>
        <v>22</v>
      </c>
    </row>
    <row r="95" spans="2:4" x14ac:dyDescent="0.3">
      <c r="B95" t="s">
        <v>1285</v>
      </c>
      <c r="C95" s="300">
        <f>SUMIF(BTS_매출관리!C:C,B95,BTS_매출관리!I:I)</f>
        <v>0</v>
      </c>
      <c r="D95">
        <f t="shared" si="1"/>
        <v>22</v>
      </c>
    </row>
    <row r="96" spans="2:4" x14ac:dyDescent="0.3">
      <c r="B96" t="s">
        <v>2771</v>
      </c>
      <c r="C96" s="52">
        <f>SUMIF(BTS_매출관리!C:C,B96,BTS_매출관리!I:I)</f>
        <v>0</v>
      </c>
      <c r="D96">
        <f t="shared" si="1"/>
        <v>22</v>
      </c>
    </row>
    <row r="97" spans="2:4" x14ac:dyDescent="0.3">
      <c r="B97" t="s">
        <v>2937</v>
      </c>
      <c r="C97" s="52">
        <f>SUMIF(BTS_매출관리!C:C,B97,BTS_매출관리!I:I)</f>
        <v>0</v>
      </c>
      <c r="D97">
        <f t="shared" si="1"/>
        <v>22</v>
      </c>
    </row>
    <row r="98" spans="2:4" x14ac:dyDescent="0.3">
      <c r="B98" t="s">
        <v>3032</v>
      </c>
      <c r="C98" s="52">
        <f>SUMIF(BTS_매출관리!C:C,B98,BTS_매출관리!I:I)</f>
        <v>0</v>
      </c>
      <c r="D98">
        <f t="shared" si="1"/>
        <v>22</v>
      </c>
    </row>
    <row r="99" spans="2:4" x14ac:dyDescent="0.3">
      <c r="B99" t="s">
        <v>1234</v>
      </c>
      <c r="C99" s="300">
        <f>SUMIF(BTS_매출관리!C:C,B99,BTS_매출관리!I:I)</f>
        <v>0</v>
      </c>
      <c r="D99">
        <f t="shared" si="1"/>
        <v>22</v>
      </c>
    </row>
    <row r="100" spans="2:4" x14ac:dyDescent="0.3">
      <c r="B100" t="s">
        <v>2944</v>
      </c>
      <c r="C100" s="52">
        <f>SUMIF(BTS_매출관리!C:C,B100,BTS_매출관리!I:I)</f>
        <v>0</v>
      </c>
      <c r="D100">
        <f t="shared" si="1"/>
        <v>22</v>
      </c>
    </row>
    <row r="101" spans="2:4" x14ac:dyDescent="0.3">
      <c r="B101" t="s">
        <v>2133</v>
      </c>
      <c r="C101" s="52">
        <f>SUMIF(BTS_매출관리!C:C,B101,BTS_매출관리!I:I)</f>
        <v>0</v>
      </c>
      <c r="D101">
        <f t="shared" si="1"/>
        <v>22</v>
      </c>
    </row>
    <row r="102" spans="2:4" x14ac:dyDescent="0.3">
      <c r="B102" t="s">
        <v>2148</v>
      </c>
      <c r="C102" s="52">
        <f>SUMIF(BTS_매출관리!C:C,B102,BTS_매출관리!I:I)</f>
        <v>0</v>
      </c>
      <c r="D102">
        <f t="shared" si="1"/>
        <v>22</v>
      </c>
    </row>
    <row r="103" spans="2:4" x14ac:dyDescent="0.3">
      <c r="B103" t="s">
        <v>2039</v>
      </c>
      <c r="C103" s="52">
        <f>SUMIF(BTS_매출관리!C:C,B103,BTS_매출관리!I:I)</f>
        <v>0</v>
      </c>
      <c r="D103">
        <f t="shared" si="1"/>
        <v>22</v>
      </c>
    </row>
    <row r="104" spans="2:4" x14ac:dyDescent="0.3">
      <c r="B104" t="s">
        <v>1191</v>
      </c>
      <c r="C104" s="52">
        <f>SUMIF(BTS_매출관리!C:C,B104,BTS_매출관리!I:I)</f>
        <v>0</v>
      </c>
      <c r="D104">
        <f t="shared" si="1"/>
        <v>22</v>
      </c>
    </row>
    <row r="105" spans="2:4" x14ac:dyDescent="0.3">
      <c r="B105" t="s">
        <v>1238</v>
      </c>
      <c r="C105" s="52">
        <f>SUMIF(BTS_매출관리!C:C,B105,BTS_매출관리!I:I)</f>
        <v>0</v>
      </c>
      <c r="D105">
        <f t="shared" si="1"/>
        <v>22</v>
      </c>
    </row>
    <row r="106" spans="2:4" x14ac:dyDescent="0.3">
      <c r="B106" t="s">
        <v>1329</v>
      </c>
      <c r="C106" s="52">
        <f>SUMIF(BTS_매출관리!C:C,B106,BTS_매출관리!I:I)</f>
        <v>0</v>
      </c>
      <c r="D106">
        <f t="shared" si="1"/>
        <v>22</v>
      </c>
    </row>
    <row r="107" spans="2:4" x14ac:dyDescent="0.3">
      <c r="B107" t="s">
        <v>1360</v>
      </c>
      <c r="C107" s="52">
        <f>SUMIF(BTS_매출관리!C:C,B107,BTS_매출관리!I:I)</f>
        <v>0</v>
      </c>
      <c r="D107">
        <f t="shared" si="1"/>
        <v>22</v>
      </c>
    </row>
    <row r="108" spans="2:4" x14ac:dyDescent="0.3">
      <c r="B108" t="s">
        <v>3190</v>
      </c>
      <c r="C108" s="52">
        <f>SUMIF(BTS_매출관리!C:C,B108,BTS_매출관리!I:I)</f>
        <v>0</v>
      </c>
      <c r="D108">
        <f t="shared" si="1"/>
        <v>22</v>
      </c>
    </row>
    <row r="109" spans="2:4" x14ac:dyDescent="0.3">
      <c r="B109" t="s">
        <v>1658</v>
      </c>
      <c r="C109" s="52">
        <f>SUMIF(BTS_매출관리!C:C,B109,BTS_매출관리!I:I)</f>
        <v>0</v>
      </c>
      <c r="D109">
        <f t="shared" si="1"/>
        <v>22</v>
      </c>
    </row>
    <row r="110" spans="2:4" x14ac:dyDescent="0.3">
      <c r="B110" t="s">
        <v>1316</v>
      </c>
      <c r="C110" s="52">
        <f>SUMIF(BTS_매출관리!C:C,B110,BTS_매출관리!I:I)</f>
        <v>0</v>
      </c>
      <c r="D110">
        <f t="shared" si="1"/>
        <v>22</v>
      </c>
    </row>
    <row r="111" spans="2:4" x14ac:dyDescent="0.3">
      <c r="B111" t="s">
        <v>1278</v>
      </c>
      <c r="C111" s="300">
        <f>SUMIF(BTS_매출관리!C:C,B111,BTS_매출관리!I:I)</f>
        <v>0</v>
      </c>
      <c r="D111">
        <f t="shared" si="1"/>
        <v>22</v>
      </c>
    </row>
    <row r="112" spans="2:4" x14ac:dyDescent="0.3">
      <c r="B112" t="s">
        <v>1319</v>
      </c>
      <c r="C112" s="52">
        <f>SUMIF(BTS_매출관리!C:C,B112,BTS_매출관리!I:I)</f>
        <v>0</v>
      </c>
      <c r="D112">
        <f t="shared" si="1"/>
        <v>22</v>
      </c>
    </row>
    <row r="113" spans="2:4" x14ac:dyDescent="0.3">
      <c r="B113" t="s">
        <v>2592</v>
      </c>
      <c r="C113" s="300">
        <f>SUMIF(BTS_매출관리!C:C,B113,BTS_매출관리!I:I)</f>
        <v>0</v>
      </c>
      <c r="D113">
        <f t="shared" si="1"/>
        <v>22</v>
      </c>
    </row>
    <row r="114" spans="2:4" x14ac:dyDescent="0.3">
      <c r="B114" t="s">
        <v>1308</v>
      </c>
      <c r="C114" s="300">
        <f>SUMIF(BTS_매출관리!C:C,B114,BTS_매출관리!I:I)</f>
        <v>0</v>
      </c>
      <c r="D114">
        <f t="shared" si="1"/>
        <v>22</v>
      </c>
    </row>
    <row r="115" spans="2:4" x14ac:dyDescent="0.3">
      <c r="B115" t="s">
        <v>3080</v>
      </c>
      <c r="C115" s="52">
        <f>SUMIF(BTS_매출관리!C:C,B115,BTS_매출관리!I:I)</f>
        <v>0</v>
      </c>
      <c r="D115">
        <f t="shared" si="1"/>
        <v>22</v>
      </c>
    </row>
    <row r="116" spans="2:4" x14ac:dyDescent="0.3">
      <c r="B116" t="s">
        <v>1348</v>
      </c>
      <c r="C116" s="52">
        <f>SUMIF(BTS_매출관리!C:C,B116,BTS_매출관리!I:I)</f>
        <v>0</v>
      </c>
      <c r="D116">
        <f t="shared" si="1"/>
        <v>22</v>
      </c>
    </row>
    <row r="117" spans="2:4" x14ac:dyDescent="0.3">
      <c r="B117" t="s">
        <v>3408</v>
      </c>
      <c r="C117" s="52">
        <f>SUMIF(BTS_매출관리!C:C,B117,BTS_매출관리!I:I)</f>
        <v>1550000</v>
      </c>
      <c r="D117">
        <f t="shared" si="1"/>
        <v>5</v>
      </c>
    </row>
    <row r="118" spans="2:4" x14ac:dyDescent="0.3">
      <c r="B118" t="s">
        <v>1322</v>
      </c>
      <c r="C118" s="52">
        <f>SUMIF(BTS_매출관리!C:C,B118,BTS_매출관리!I:I)</f>
        <v>0</v>
      </c>
      <c r="D118">
        <f t="shared" si="1"/>
        <v>22</v>
      </c>
    </row>
    <row r="119" spans="2:4" x14ac:dyDescent="0.3">
      <c r="B119" t="s">
        <v>1156</v>
      </c>
      <c r="C119" s="52">
        <f>SUMIF(BTS_매출관리!C:C,B119,BTS_매출관리!I:I)</f>
        <v>0</v>
      </c>
      <c r="D119">
        <f t="shared" si="1"/>
        <v>22</v>
      </c>
    </row>
    <row r="120" spans="2:4" x14ac:dyDescent="0.3">
      <c r="B120" t="s">
        <v>2034</v>
      </c>
      <c r="C120" s="52">
        <f>SUMIF(BTS_매출관리!C:C,B120,BTS_매출관리!I:I)</f>
        <v>0</v>
      </c>
      <c r="D120">
        <f t="shared" si="1"/>
        <v>22</v>
      </c>
    </row>
    <row r="121" spans="2:4" x14ac:dyDescent="0.3">
      <c r="B121" t="s">
        <v>3468</v>
      </c>
      <c r="C121" s="52">
        <f>SUMIF(BTS_매출관리!C:C,B121,BTS_매출관리!I:I)</f>
        <v>0</v>
      </c>
      <c r="D121">
        <f t="shared" si="1"/>
        <v>22</v>
      </c>
    </row>
    <row r="122" spans="2:4" x14ac:dyDescent="0.3">
      <c r="B122" t="s">
        <v>2875</v>
      </c>
      <c r="C122" s="52">
        <f>SUMIF(BTS_매출관리!C:C,B122,BTS_매출관리!I:I)</f>
        <v>0</v>
      </c>
      <c r="D122">
        <f t="shared" si="1"/>
        <v>22</v>
      </c>
    </row>
    <row r="123" spans="2:4" x14ac:dyDescent="0.3">
      <c r="B123" t="s">
        <v>3024</v>
      </c>
      <c r="C123" s="52">
        <f>SUMIF(BTS_매출관리!C:C,B123,BTS_매출관리!I:I)</f>
        <v>0</v>
      </c>
      <c r="D123">
        <f t="shared" si="1"/>
        <v>22</v>
      </c>
    </row>
    <row r="124" spans="2:4" x14ac:dyDescent="0.3">
      <c r="B124" t="s">
        <v>3584</v>
      </c>
      <c r="C124" s="52">
        <f>SUMIF(BTS_매출관리!C:C,B124,BTS_매출관리!I:I)</f>
        <v>0</v>
      </c>
      <c r="D124">
        <f t="shared" si="1"/>
        <v>22</v>
      </c>
    </row>
    <row r="125" spans="2:4" x14ac:dyDescent="0.3">
      <c r="B125" t="s">
        <v>1323</v>
      </c>
      <c r="C125" s="52">
        <f>SUMIF(BTS_매출관리!C:C,B125,BTS_매출관리!I:I)</f>
        <v>0</v>
      </c>
      <c r="D125">
        <f t="shared" si="1"/>
        <v>22</v>
      </c>
    </row>
    <row r="126" spans="2:4" x14ac:dyDescent="0.3">
      <c r="B126" t="s">
        <v>1188</v>
      </c>
      <c r="C126" s="52">
        <f>SUMIF(BTS_매출관리!C:C,B126,BTS_매출관리!I:I)</f>
        <v>0</v>
      </c>
      <c r="D126">
        <f t="shared" si="1"/>
        <v>22</v>
      </c>
    </row>
    <row r="127" spans="2:4" x14ac:dyDescent="0.3">
      <c r="B127" t="s">
        <v>2811</v>
      </c>
      <c r="C127" s="52">
        <f>SUMIF(BTS_매출관리!C:C,B127,BTS_매출관리!I:I)</f>
        <v>0</v>
      </c>
      <c r="D127">
        <f t="shared" si="1"/>
        <v>22</v>
      </c>
    </row>
    <row r="128" spans="2:4" x14ac:dyDescent="0.3">
      <c r="B128" t="s">
        <v>3213</v>
      </c>
      <c r="C128" s="52">
        <f>SUMIF(BTS_매출관리!C:C,B128,BTS_매출관리!I:I)</f>
        <v>0</v>
      </c>
      <c r="D128">
        <f t="shared" si="1"/>
        <v>22</v>
      </c>
    </row>
    <row r="129" spans="2:4" x14ac:dyDescent="0.3">
      <c r="B129" t="s">
        <v>2381</v>
      </c>
      <c r="C129" s="52">
        <f>SUMIF(BTS_매출관리!C:C,B129,BTS_매출관리!I:I)</f>
        <v>0</v>
      </c>
      <c r="D129">
        <f t="shared" si="1"/>
        <v>22</v>
      </c>
    </row>
    <row r="130" spans="2:4" x14ac:dyDescent="0.3">
      <c r="B130" t="s">
        <v>1301</v>
      </c>
      <c r="C130" s="300">
        <f>SUMIF(BTS_매출관리!C:C,B130,BTS_매출관리!I:I)</f>
        <v>0</v>
      </c>
      <c r="D130">
        <f t="shared" ref="D130:D193" si="2">RANK(C130,C:C,0)</f>
        <v>22</v>
      </c>
    </row>
    <row r="131" spans="2:4" x14ac:dyDescent="0.3">
      <c r="B131" t="s">
        <v>2491</v>
      </c>
      <c r="C131" s="52">
        <f>SUMIF(BTS_매출관리!C:C,B131,BTS_매출관리!I:I)</f>
        <v>0</v>
      </c>
      <c r="D131">
        <f t="shared" si="2"/>
        <v>22</v>
      </c>
    </row>
    <row r="132" spans="2:4" x14ac:dyDescent="0.3">
      <c r="B132" t="s">
        <v>1297</v>
      </c>
      <c r="C132" s="300">
        <f>SUMIF(BTS_매출관리!C:C,B132,BTS_매출관리!I:I)</f>
        <v>0</v>
      </c>
      <c r="D132">
        <f t="shared" si="2"/>
        <v>22</v>
      </c>
    </row>
    <row r="133" spans="2:4" x14ac:dyDescent="0.3">
      <c r="B133" t="s">
        <v>2468</v>
      </c>
      <c r="C133" s="52">
        <f>SUMIF(BTS_매출관리!C:C,B133,BTS_매출관리!I:I)</f>
        <v>0</v>
      </c>
      <c r="D133">
        <f t="shared" si="2"/>
        <v>22</v>
      </c>
    </row>
    <row r="134" spans="2:4" x14ac:dyDescent="0.3">
      <c r="B134" t="s">
        <v>1314</v>
      </c>
      <c r="C134" s="300">
        <f>SUMIF(BTS_매출관리!C:C,B134,BTS_매출관리!I:I)</f>
        <v>0</v>
      </c>
      <c r="D134">
        <f t="shared" si="2"/>
        <v>22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22</v>
      </c>
    </row>
    <row r="136" spans="2:4" x14ac:dyDescent="0.3">
      <c r="B136" t="s">
        <v>1344</v>
      </c>
      <c r="C136" s="52">
        <f>SUMIF(BTS_매출관리!C:C,B136,BTS_매출관리!I:I)</f>
        <v>0</v>
      </c>
      <c r="D136">
        <f t="shared" si="2"/>
        <v>22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22</v>
      </c>
    </row>
    <row r="138" spans="2:4" x14ac:dyDescent="0.3">
      <c r="B138" t="s">
        <v>3154</v>
      </c>
      <c r="C138" s="52">
        <f>SUMIF(BTS_매출관리!C:C,B138,BTS_매출관리!I:I)</f>
        <v>0</v>
      </c>
      <c r="D138">
        <f t="shared" si="2"/>
        <v>22</v>
      </c>
    </row>
    <row r="139" spans="2:4" x14ac:dyDescent="0.3">
      <c r="B139" t="s">
        <v>3464</v>
      </c>
      <c r="C139" s="52">
        <f>SUMIF(BTS_매출관리!C:C,B139,BTS_매출관리!I:I)</f>
        <v>0</v>
      </c>
      <c r="D139">
        <f t="shared" si="2"/>
        <v>22</v>
      </c>
    </row>
    <row r="140" spans="2:4" x14ac:dyDescent="0.3">
      <c r="B140" t="s">
        <v>1281</v>
      </c>
      <c r="C140" s="300">
        <f>SUMIF(BTS_매출관리!C:C,B140,BTS_매출관리!I:I)</f>
        <v>0</v>
      </c>
      <c r="D140">
        <f t="shared" si="2"/>
        <v>22</v>
      </c>
    </row>
    <row r="141" spans="2:4" x14ac:dyDescent="0.3">
      <c r="B141" t="s">
        <v>1324</v>
      </c>
      <c r="C141" s="52">
        <f>SUMIF(BTS_매출관리!C:C,B141,BTS_매출관리!I:I)</f>
        <v>0</v>
      </c>
      <c r="D141">
        <f t="shared" si="2"/>
        <v>22</v>
      </c>
    </row>
    <row r="142" spans="2:4" x14ac:dyDescent="0.3">
      <c r="B142" t="s">
        <v>2053</v>
      </c>
      <c r="C142" s="52">
        <f>SUMIF(BTS_매출관리!C:C,B142,BTS_매출관리!I:I)</f>
        <v>0</v>
      </c>
      <c r="D142">
        <f t="shared" si="2"/>
        <v>22</v>
      </c>
    </row>
    <row r="143" spans="2:4" x14ac:dyDescent="0.3">
      <c r="B143" t="s">
        <v>3457</v>
      </c>
      <c r="C143" s="52">
        <f>SUMIF(BTS_매출관리!C:C,B143,BTS_매출관리!I:I)</f>
        <v>0</v>
      </c>
      <c r="D143">
        <f t="shared" si="2"/>
        <v>22</v>
      </c>
    </row>
    <row r="144" spans="2:4" x14ac:dyDescent="0.3">
      <c r="B144" t="s">
        <v>3510</v>
      </c>
      <c r="C144" s="52">
        <f>SUMIF(BTS_매출관리!C:C,B144,BTS_매출관리!I:I)</f>
        <v>0</v>
      </c>
      <c r="D144">
        <f t="shared" si="2"/>
        <v>22</v>
      </c>
    </row>
    <row r="145" spans="2:4" x14ac:dyDescent="0.3">
      <c r="B145" t="s">
        <v>2966</v>
      </c>
      <c r="C145" s="52">
        <f>SUMIF(BTS_매출관리!C:C,B145,BTS_매출관리!I:I)</f>
        <v>0</v>
      </c>
      <c r="D145">
        <f t="shared" si="2"/>
        <v>22</v>
      </c>
    </row>
    <row r="146" spans="2:4" x14ac:dyDescent="0.3">
      <c r="B146" t="s">
        <v>3735</v>
      </c>
      <c r="C146" s="52">
        <f>SUMIF(BTS_매출관리!C:C,B146,BTS_매출관리!I:I)</f>
        <v>0</v>
      </c>
      <c r="D146">
        <f t="shared" si="2"/>
        <v>22</v>
      </c>
    </row>
    <row r="147" spans="2:4" x14ac:dyDescent="0.3">
      <c r="B147" t="s">
        <v>2635</v>
      </c>
      <c r="C147" s="52">
        <f>SUMIF(BTS_매출관리!C:C,B147,BTS_매출관리!I:I)</f>
        <v>0</v>
      </c>
      <c r="D147">
        <f t="shared" si="2"/>
        <v>22</v>
      </c>
    </row>
    <row r="148" spans="2:4" x14ac:dyDescent="0.3">
      <c r="B148" t="s">
        <v>2277</v>
      </c>
      <c r="C148" s="52">
        <f>SUMIF(BTS_매출관리!C:C,B148,BTS_매출관리!I:I)</f>
        <v>0</v>
      </c>
      <c r="D148">
        <f t="shared" si="2"/>
        <v>22</v>
      </c>
    </row>
    <row r="149" spans="2:4" x14ac:dyDescent="0.3">
      <c r="B149" t="s">
        <v>3354</v>
      </c>
      <c r="C149" s="52">
        <f>SUMIF(BTS_매출관리!C:C,B149,BTS_매출관리!I:I)</f>
        <v>0</v>
      </c>
      <c r="D149">
        <f t="shared" si="2"/>
        <v>22</v>
      </c>
    </row>
    <row r="150" spans="2:4" x14ac:dyDescent="0.3">
      <c r="B150" t="s">
        <v>1277</v>
      </c>
      <c r="C150" s="300">
        <f>SUMIF(BTS_매출관리!C:C,B150,BTS_매출관리!I:I)</f>
        <v>0</v>
      </c>
      <c r="D150">
        <f t="shared" si="2"/>
        <v>22</v>
      </c>
    </row>
    <row r="151" spans="2:4" x14ac:dyDescent="0.3">
      <c r="B151" t="s">
        <v>1310</v>
      </c>
      <c r="C151" s="300">
        <f>SUMIF(BTS_매출관리!C:C,B151,BTS_매출관리!I:I)</f>
        <v>0</v>
      </c>
      <c r="D151">
        <f t="shared" si="2"/>
        <v>22</v>
      </c>
    </row>
    <row r="152" spans="2:4" x14ac:dyDescent="0.3">
      <c r="B152" t="s">
        <v>3266</v>
      </c>
      <c r="C152" s="52">
        <f>SUMIF(BTS_매출관리!C:C,B152,BTS_매출관리!I:I)</f>
        <v>0</v>
      </c>
      <c r="D152">
        <f t="shared" si="2"/>
        <v>22</v>
      </c>
    </row>
    <row r="153" spans="2:4" x14ac:dyDescent="0.3">
      <c r="B153" t="s">
        <v>1838</v>
      </c>
      <c r="C153" s="52">
        <f>SUMIF(BTS_매출관리!C:C,B153,BTS_매출관리!I:I)</f>
        <v>0</v>
      </c>
      <c r="D153">
        <f t="shared" si="2"/>
        <v>22</v>
      </c>
    </row>
    <row r="154" spans="2:4" x14ac:dyDescent="0.3">
      <c r="B154" t="s">
        <v>2487</v>
      </c>
      <c r="C154" s="52">
        <f>SUMIF(BTS_매출관리!C:C,B154,BTS_매출관리!I:I)</f>
        <v>150000</v>
      </c>
      <c r="D154">
        <f t="shared" si="2"/>
        <v>18</v>
      </c>
    </row>
    <row r="155" spans="2:4" x14ac:dyDescent="0.3">
      <c r="B155" t="s">
        <v>2734</v>
      </c>
      <c r="C155" s="52">
        <f>SUMIF(BTS_매출관리!C:C,B155,BTS_매출관리!I:I)</f>
        <v>0</v>
      </c>
      <c r="D155">
        <f t="shared" si="2"/>
        <v>22</v>
      </c>
    </row>
    <row r="156" spans="2:4" x14ac:dyDescent="0.3">
      <c r="B156" t="s">
        <v>3186</v>
      </c>
      <c r="C156" s="52">
        <f>SUMIF(BTS_매출관리!C:C,B156,BTS_매출관리!I:I)</f>
        <v>0</v>
      </c>
      <c r="D156">
        <f t="shared" si="2"/>
        <v>22</v>
      </c>
    </row>
    <row r="157" spans="2:4" x14ac:dyDescent="0.3">
      <c r="B157" t="s">
        <v>1335</v>
      </c>
      <c r="C157" s="52">
        <f>SUMIF(BTS_매출관리!C:C,B157,BTS_매출관리!I:I)</f>
        <v>0</v>
      </c>
      <c r="D157">
        <f t="shared" si="2"/>
        <v>22</v>
      </c>
    </row>
    <row r="158" spans="2:4" x14ac:dyDescent="0.3">
      <c r="B158" t="s">
        <v>1291</v>
      </c>
      <c r="C158" s="52">
        <f>SUMIF(BTS_매출관리!C:C,B158,BTS_매출관리!I:I)</f>
        <v>0</v>
      </c>
      <c r="D158">
        <f t="shared" si="2"/>
        <v>22</v>
      </c>
    </row>
    <row r="159" spans="2:4" x14ac:dyDescent="0.3">
      <c r="B159" t="s">
        <v>1282</v>
      </c>
      <c r="C159" s="52">
        <f>SUMIF(BTS_매출관리!C:C,B159,BTS_매출관리!I:I)</f>
        <v>0</v>
      </c>
      <c r="D159">
        <f t="shared" si="2"/>
        <v>22</v>
      </c>
    </row>
    <row r="160" spans="2:4" x14ac:dyDescent="0.3">
      <c r="B160" t="s">
        <v>1286</v>
      </c>
      <c r="C160" s="52">
        <f>SUMIF(BTS_매출관리!C:C,B160,BTS_매출관리!I:I)</f>
        <v>0</v>
      </c>
      <c r="D160">
        <f t="shared" si="2"/>
        <v>22</v>
      </c>
    </row>
    <row r="161" spans="2:4" x14ac:dyDescent="0.3">
      <c r="B161" t="s">
        <v>1293</v>
      </c>
      <c r="C161" s="52">
        <f>SUMIF(BTS_매출관리!C:C,B161,BTS_매출관리!I:I)</f>
        <v>0</v>
      </c>
      <c r="D161">
        <f t="shared" si="2"/>
        <v>22</v>
      </c>
    </row>
    <row r="162" spans="2:4" x14ac:dyDescent="0.3">
      <c r="B162" t="s">
        <v>1077</v>
      </c>
      <c r="C162" s="52">
        <f>SUMIF(BTS_매출관리!C:C,B162,BTS_매출관리!I:I)</f>
        <v>0</v>
      </c>
      <c r="D162">
        <f t="shared" si="2"/>
        <v>22</v>
      </c>
    </row>
    <row r="163" spans="2:4" x14ac:dyDescent="0.3">
      <c r="B163" t="s">
        <v>1300</v>
      </c>
      <c r="C163" s="52">
        <f>SUMIF(BTS_매출관리!C:C,B163,BTS_매출관리!I:I)</f>
        <v>0</v>
      </c>
      <c r="D163">
        <f t="shared" si="2"/>
        <v>22</v>
      </c>
    </row>
    <row r="164" spans="2:4" x14ac:dyDescent="0.3">
      <c r="B164" t="s">
        <v>1304</v>
      </c>
      <c r="C164" s="52">
        <f>SUMIF(BTS_매출관리!C:C,B164,BTS_매출관리!I:I)</f>
        <v>0</v>
      </c>
      <c r="D164">
        <f t="shared" si="2"/>
        <v>22</v>
      </c>
    </row>
    <row r="165" spans="2:4" x14ac:dyDescent="0.3">
      <c r="B165" t="s">
        <v>1012</v>
      </c>
      <c r="C165" s="52">
        <f>SUMIF(BTS_매출관리!C:C,B165,BTS_매출관리!I:I)</f>
        <v>0</v>
      </c>
      <c r="D165">
        <f t="shared" si="2"/>
        <v>22</v>
      </c>
    </row>
    <row r="166" spans="2:4" x14ac:dyDescent="0.3">
      <c r="B166" t="s">
        <v>1309</v>
      </c>
      <c r="C166" s="52">
        <f>SUMIF(BTS_매출관리!C:C,B166,BTS_매출관리!I:I)</f>
        <v>0</v>
      </c>
      <c r="D166">
        <f t="shared" si="2"/>
        <v>22</v>
      </c>
    </row>
    <row r="167" spans="2:4" x14ac:dyDescent="0.3">
      <c r="B167" t="s">
        <v>1311</v>
      </c>
      <c r="C167" s="52">
        <f>SUMIF(BTS_매출관리!C:C,B167,BTS_매출관리!I:I)</f>
        <v>0</v>
      </c>
      <c r="D167">
        <f t="shared" si="2"/>
        <v>22</v>
      </c>
    </row>
    <row r="168" spans="2:4" x14ac:dyDescent="0.3">
      <c r="B168" t="s">
        <v>1312</v>
      </c>
      <c r="C168" s="52">
        <f>SUMIF(BTS_매출관리!C:C,B168,BTS_매출관리!I:I)</f>
        <v>0</v>
      </c>
      <c r="D168">
        <f t="shared" si="2"/>
        <v>22</v>
      </c>
    </row>
    <row r="169" spans="2:4" x14ac:dyDescent="0.3">
      <c r="B169" t="s">
        <v>1089</v>
      </c>
      <c r="C169" s="52">
        <f>SUMIF(BTS_매출관리!C:C,B169,BTS_매출관리!I:I)</f>
        <v>0</v>
      </c>
      <c r="D169">
        <f t="shared" si="2"/>
        <v>22</v>
      </c>
    </row>
    <row r="170" spans="2:4" x14ac:dyDescent="0.3">
      <c r="B170" t="s">
        <v>997</v>
      </c>
      <c r="C170" s="52">
        <f>SUMIF(BTS_매출관리!C:C,B170,BTS_매출관리!I:I)</f>
        <v>0</v>
      </c>
      <c r="D170">
        <f t="shared" si="2"/>
        <v>22</v>
      </c>
    </row>
    <row r="171" spans="2:4" x14ac:dyDescent="0.3">
      <c r="B171" t="s">
        <v>1320</v>
      </c>
      <c r="C171" s="52">
        <f>SUMIF(BTS_매출관리!C:C,B171,BTS_매출관리!I:I)</f>
        <v>0</v>
      </c>
      <c r="D171">
        <f t="shared" si="2"/>
        <v>22</v>
      </c>
    </row>
    <row r="172" spans="2:4" x14ac:dyDescent="0.3">
      <c r="B172" t="s">
        <v>1325</v>
      </c>
      <c r="C172" s="52">
        <f>SUMIF(BTS_매출관리!C:C,B172,BTS_매출관리!I:I)</f>
        <v>0</v>
      </c>
      <c r="D172">
        <f t="shared" si="2"/>
        <v>22</v>
      </c>
    </row>
    <row r="173" spans="2:4" x14ac:dyDescent="0.3">
      <c r="B173" t="s">
        <v>1327</v>
      </c>
      <c r="C173" s="52">
        <f>SUMIF(BTS_매출관리!C:C,B173,BTS_매출관리!I:I)</f>
        <v>0</v>
      </c>
      <c r="D173">
        <f t="shared" si="2"/>
        <v>22</v>
      </c>
    </row>
    <row r="174" spans="2:4" x14ac:dyDescent="0.3">
      <c r="B174" t="s">
        <v>1331</v>
      </c>
      <c r="C174" s="52">
        <f>SUMIF(BTS_매출관리!C:C,B174,BTS_매출관리!I:I)</f>
        <v>0</v>
      </c>
      <c r="D174">
        <f t="shared" si="2"/>
        <v>22</v>
      </c>
    </row>
    <row r="175" spans="2:4" x14ac:dyDescent="0.3">
      <c r="B175" t="s">
        <v>1337</v>
      </c>
      <c r="C175" s="52">
        <f>SUMIF(BTS_매출관리!C:C,B175,BTS_매출관리!I:I)</f>
        <v>0</v>
      </c>
      <c r="D175">
        <f t="shared" si="2"/>
        <v>22</v>
      </c>
    </row>
    <row r="176" spans="2:4" x14ac:dyDescent="0.3">
      <c r="B176" t="s">
        <v>1338</v>
      </c>
      <c r="C176" s="52">
        <f>SUMIF(BTS_매출관리!C:C,B176,BTS_매출관리!I:I)</f>
        <v>0</v>
      </c>
      <c r="D176">
        <f t="shared" si="2"/>
        <v>22</v>
      </c>
    </row>
    <row r="177" spans="2:4" x14ac:dyDescent="0.3">
      <c r="B177" t="s">
        <v>1340</v>
      </c>
      <c r="C177" s="52">
        <f>SUMIF(BTS_매출관리!C:C,B177,BTS_매출관리!I:I)</f>
        <v>0</v>
      </c>
      <c r="D177">
        <f t="shared" si="2"/>
        <v>22</v>
      </c>
    </row>
    <row r="178" spans="2:4" x14ac:dyDescent="0.3">
      <c r="B178" t="s">
        <v>1343</v>
      </c>
      <c r="C178" s="52">
        <f>SUMIF(BTS_매출관리!C:C,B178,BTS_매출관리!I:I)</f>
        <v>0</v>
      </c>
      <c r="D178">
        <f t="shared" si="2"/>
        <v>22</v>
      </c>
    </row>
    <row r="179" spans="2:4" x14ac:dyDescent="0.3">
      <c r="B179" t="s">
        <v>1347</v>
      </c>
      <c r="C179" s="52">
        <f>SUMIF(BTS_매출관리!C:C,B179,BTS_매출관리!I:I)</f>
        <v>0</v>
      </c>
      <c r="D179">
        <f t="shared" si="2"/>
        <v>22</v>
      </c>
    </row>
    <row r="180" spans="2:4" x14ac:dyDescent="0.3">
      <c r="B180" t="s">
        <v>1350</v>
      </c>
      <c r="C180" s="52">
        <f>SUMIF(BTS_매출관리!C:C,B180,BTS_매출관리!I:I)</f>
        <v>0</v>
      </c>
      <c r="D180">
        <f t="shared" si="2"/>
        <v>22</v>
      </c>
    </row>
    <row r="181" spans="2:4" x14ac:dyDescent="0.3">
      <c r="B181" t="s">
        <v>1355</v>
      </c>
      <c r="C181" s="52">
        <f>SUMIF(BTS_매출관리!C:C,B181,BTS_매출관리!I:I)</f>
        <v>0</v>
      </c>
      <c r="D181">
        <f t="shared" si="2"/>
        <v>22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22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22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22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22</v>
      </c>
    </row>
    <row r="186" spans="2:4" x14ac:dyDescent="0.3">
      <c r="B186" t="s">
        <v>2679</v>
      </c>
      <c r="C186" s="52">
        <f>SUMIF(BTS_매출관리!C:C,B186,BTS_매출관리!I:I)</f>
        <v>0</v>
      </c>
      <c r="D186">
        <f t="shared" si="2"/>
        <v>22</v>
      </c>
    </row>
    <row r="187" spans="2:4" x14ac:dyDescent="0.3">
      <c r="B187" t="s">
        <v>2932</v>
      </c>
      <c r="C187" s="52">
        <f>SUMIF(BTS_매출관리!C:C,B187,BTS_매출관리!I:I)</f>
        <v>0</v>
      </c>
      <c r="D187">
        <f t="shared" si="2"/>
        <v>22</v>
      </c>
    </row>
    <row r="188" spans="2:4" x14ac:dyDescent="0.3">
      <c r="C188" s="52">
        <f>SUMIF(BTS_매출관리!C:C,B188,BTS_매출관리!I:I)</f>
        <v>0</v>
      </c>
      <c r="D188">
        <f t="shared" si="2"/>
        <v>22</v>
      </c>
    </row>
    <row r="189" spans="2:4" x14ac:dyDescent="0.3">
      <c r="C189" s="52">
        <f>SUMIF(BTS_매출관리!C:C,B189,BTS_매출관리!I:I)</f>
        <v>0</v>
      </c>
      <c r="D189">
        <f t="shared" si="2"/>
        <v>22</v>
      </c>
    </row>
    <row r="190" spans="2:4" x14ac:dyDescent="0.3">
      <c r="C190" s="52">
        <f>SUMIF(BTS_매출관리!C:C,B190,BTS_매출관리!I:I)</f>
        <v>0</v>
      </c>
      <c r="D190">
        <f t="shared" si="2"/>
        <v>22</v>
      </c>
    </row>
    <row r="191" spans="2:4" x14ac:dyDescent="0.3">
      <c r="C191" s="52">
        <f>SUMIF(BTS_매출관리!C:C,B191,BTS_매출관리!I:I)</f>
        <v>0</v>
      </c>
      <c r="D191">
        <f t="shared" si="2"/>
        <v>22</v>
      </c>
    </row>
    <row r="192" spans="2:4" x14ac:dyDescent="0.3">
      <c r="C192" s="52">
        <f>SUMIF(BTS_매출관리!C:C,B192,BTS_매출관리!I:I)</f>
        <v>0</v>
      </c>
      <c r="D192">
        <f t="shared" si="2"/>
        <v>22</v>
      </c>
    </row>
    <row r="193" spans="3:4" x14ac:dyDescent="0.3">
      <c r="C193" s="52">
        <f>SUMIF(BTS_매출관리!C:C,B193,BTS_매출관리!I:I)</f>
        <v>0</v>
      </c>
      <c r="D193">
        <f t="shared" si="2"/>
        <v>22</v>
      </c>
    </row>
    <row r="194" spans="3:4" x14ac:dyDescent="0.3">
      <c r="C194" s="52">
        <f>SUMIF(BTS_매출관리!C:C,B194,BTS_매출관리!I:I)</f>
        <v>0</v>
      </c>
      <c r="D194">
        <f t="shared" ref="D194:D257" si="3">RANK(C194,C:C,0)</f>
        <v>22</v>
      </c>
    </row>
    <row r="195" spans="3:4" x14ac:dyDescent="0.3">
      <c r="C195" s="52">
        <f>SUMIF(BTS_매출관리!C:C,B195,BTS_매출관리!I:I)</f>
        <v>0</v>
      </c>
      <c r="D195">
        <f t="shared" si="3"/>
        <v>22</v>
      </c>
    </row>
    <row r="196" spans="3:4" x14ac:dyDescent="0.3">
      <c r="C196" s="52">
        <f>SUMIF(BTS_매출관리!C:C,B196,BTS_매출관리!I:I)</f>
        <v>0</v>
      </c>
      <c r="D196">
        <f t="shared" si="3"/>
        <v>22</v>
      </c>
    </row>
    <row r="197" spans="3:4" x14ac:dyDescent="0.3">
      <c r="C197" s="52">
        <f>SUMIF(BTS_매출관리!C:C,B197,BTS_매출관리!I:I)</f>
        <v>0</v>
      </c>
      <c r="D197">
        <f t="shared" si="3"/>
        <v>22</v>
      </c>
    </row>
    <row r="198" spans="3:4" x14ac:dyDescent="0.3">
      <c r="C198" s="52">
        <f>SUMIF(BTS_매출관리!C:C,B198,BTS_매출관리!I:I)</f>
        <v>0</v>
      </c>
      <c r="D198">
        <f t="shared" si="3"/>
        <v>22</v>
      </c>
    </row>
    <row r="199" spans="3:4" x14ac:dyDescent="0.3">
      <c r="C199" s="52">
        <f>SUMIF(BTS_매출관리!C:C,B199,BTS_매출관리!I:I)</f>
        <v>0</v>
      </c>
      <c r="D199">
        <f t="shared" si="3"/>
        <v>22</v>
      </c>
    </row>
    <row r="200" spans="3:4" x14ac:dyDescent="0.3">
      <c r="C200" s="52">
        <f>SUMIF(BTS_매출관리!C:C,B200,BTS_매출관리!I:I)</f>
        <v>0</v>
      </c>
      <c r="D200">
        <f t="shared" si="3"/>
        <v>22</v>
      </c>
    </row>
    <row r="201" spans="3:4" x14ac:dyDescent="0.3">
      <c r="C201" s="52">
        <f>SUMIF(BTS_매출관리!C:C,B201,BTS_매출관리!I:I)</f>
        <v>0</v>
      </c>
      <c r="D201">
        <f t="shared" si="3"/>
        <v>22</v>
      </c>
    </row>
    <row r="202" spans="3:4" x14ac:dyDescent="0.3">
      <c r="C202" s="52">
        <f>SUMIF(BTS_매출관리!C:C,B202,BTS_매출관리!I:I)</f>
        <v>0</v>
      </c>
      <c r="D202">
        <f t="shared" si="3"/>
        <v>22</v>
      </c>
    </row>
    <row r="203" spans="3:4" x14ac:dyDescent="0.3">
      <c r="C203" s="52">
        <f>SUMIF(BTS_매출관리!C:C,B203,BTS_매출관리!I:I)</f>
        <v>0</v>
      </c>
      <c r="D203">
        <f t="shared" si="3"/>
        <v>22</v>
      </c>
    </row>
    <row r="204" spans="3:4" x14ac:dyDescent="0.3">
      <c r="C204" s="52">
        <f>SUMIF(BTS_매출관리!C:C,B204,BTS_매출관리!I:I)</f>
        <v>0</v>
      </c>
      <c r="D204">
        <f t="shared" si="3"/>
        <v>22</v>
      </c>
    </row>
    <row r="205" spans="3:4" x14ac:dyDescent="0.3">
      <c r="C205" s="52">
        <f>SUMIF(BTS_매출관리!C:C,B205,BTS_매출관리!I:I)</f>
        <v>0</v>
      </c>
      <c r="D205">
        <f t="shared" si="3"/>
        <v>22</v>
      </c>
    </row>
    <row r="206" spans="3:4" x14ac:dyDescent="0.3">
      <c r="C206" s="52">
        <f>SUMIF(BTS_매출관리!C:C,B206,BTS_매출관리!I:I)</f>
        <v>0</v>
      </c>
      <c r="D206">
        <f t="shared" si="3"/>
        <v>22</v>
      </c>
    </row>
    <row r="207" spans="3:4" x14ac:dyDescent="0.3">
      <c r="C207" s="52">
        <f>SUMIF(BTS_매출관리!C:C,B207,BTS_매출관리!I:I)</f>
        <v>0</v>
      </c>
      <c r="D207">
        <f t="shared" si="3"/>
        <v>22</v>
      </c>
    </row>
    <row r="208" spans="3:4" x14ac:dyDescent="0.3">
      <c r="C208" s="52">
        <f>SUMIF(BTS_매출관리!C:C,B208,BTS_매출관리!I:I)</f>
        <v>0</v>
      </c>
      <c r="D208">
        <f t="shared" si="3"/>
        <v>22</v>
      </c>
    </row>
    <row r="209" spans="3:4" x14ac:dyDescent="0.3">
      <c r="C209" s="52">
        <f>SUMIF(BTS_매출관리!C:C,B209,BTS_매출관리!I:I)</f>
        <v>0</v>
      </c>
      <c r="D209">
        <f t="shared" si="3"/>
        <v>22</v>
      </c>
    </row>
    <row r="210" spans="3:4" x14ac:dyDescent="0.3">
      <c r="C210" s="52">
        <f>SUMIF(BTS_매출관리!C:C,B210,BTS_매출관리!I:I)</f>
        <v>0</v>
      </c>
      <c r="D210">
        <f t="shared" si="3"/>
        <v>22</v>
      </c>
    </row>
    <row r="211" spans="3:4" x14ac:dyDescent="0.3">
      <c r="C211" s="52">
        <f>SUMIF(BTS_매출관리!C:C,B211,BTS_매출관리!I:I)</f>
        <v>0</v>
      </c>
      <c r="D211">
        <f t="shared" si="3"/>
        <v>22</v>
      </c>
    </row>
    <row r="212" spans="3:4" x14ac:dyDescent="0.3">
      <c r="C212" s="52">
        <f>SUMIF(BTS_매출관리!C:C,B212,BTS_매출관리!I:I)</f>
        <v>0</v>
      </c>
      <c r="D212">
        <f t="shared" si="3"/>
        <v>22</v>
      </c>
    </row>
    <row r="213" spans="3:4" x14ac:dyDescent="0.3">
      <c r="C213" s="52">
        <f>SUMIF(BTS_매출관리!C:C,B213,BTS_매출관리!I:I)</f>
        <v>0</v>
      </c>
      <c r="D213">
        <f t="shared" si="3"/>
        <v>22</v>
      </c>
    </row>
    <row r="214" spans="3:4" x14ac:dyDescent="0.3">
      <c r="C214" s="52">
        <f>SUMIF(BTS_매출관리!C:C,B214,BTS_매출관리!I:I)</f>
        <v>0</v>
      </c>
      <c r="D214">
        <f t="shared" si="3"/>
        <v>22</v>
      </c>
    </row>
    <row r="215" spans="3:4" x14ac:dyDescent="0.3">
      <c r="C215" s="52">
        <f>SUMIF(BTS_매출관리!C:C,B215,BTS_매출관리!I:I)</f>
        <v>0</v>
      </c>
      <c r="D215">
        <f t="shared" si="3"/>
        <v>22</v>
      </c>
    </row>
    <row r="216" spans="3:4" x14ac:dyDescent="0.3">
      <c r="C216" s="52">
        <f>SUMIF(BTS_매출관리!C:C,B216,BTS_매출관리!I:I)</f>
        <v>0</v>
      </c>
      <c r="D216">
        <f t="shared" si="3"/>
        <v>22</v>
      </c>
    </row>
    <row r="217" spans="3:4" x14ac:dyDescent="0.3">
      <c r="C217" s="52">
        <f>SUMIF(BTS_매출관리!C:C,B217,BTS_매출관리!I:I)</f>
        <v>0</v>
      </c>
      <c r="D217">
        <f t="shared" si="3"/>
        <v>22</v>
      </c>
    </row>
    <row r="218" spans="3:4" x14ac:dyDescent="0.3">
      <c r="C218" s="52">
        <f>SUMIF(BTS_매출관리!C:C,B218,BTS_매출관리!I:I)</f>
        <v>0</v>
      </c>
      <c r="D218">
        <f t="shared" si="3"/>
        <v>22</v>
      </c>
    </row>
    <row r="219" spans="3:4" x14ac:dyDescent="0.3">
      <c r="C219" s="52">
        <f>SUMIF(BTS_매출관리!C:C,B219,BTS_매출관리!I:I)</f>
        <v>0</v>
      </c>
      <c r="D219">
        <f t="shared" si="3"/>
        <v>22</v>
      </c>
    </row>
    <row r="220" spans="3:4" x14ac:dyDescent="0.3">
      <c r="C220" s="52">
        <f>SUMIF(BTS_매출관리!C:C,B220,BTS_매출관리!I:I)</f>
        <v>0</v>
      </c>
      <c r="D220">
        <f t="shared" si="3"/>
        <v>22</v>
      </c>
    </row>
    <row r="221" spans="3:4" x14ac:dyDescent="0.3">
      <c r="C221" s="52">
        <f>SUMIF(BTS_매출관리!C:C,B221,BTS_매출관리!I:I)</f>
        <v>0</v>
      </c>
      <c r="D221">
        <f t="shared" si="3"/>
        <v>22</v>
      </c>
    </row>
    <row r="222" spans="3:4" x14ac:dyDescent="0.3">
      <c r="C222" s="52">
        <f>SUMIF(BTS_매출관리!C:C,B222,BTS_매출관리!I:I)</f>
        <v>0</v>
      </c>
      <c r="D222">
        <f t="shared" si="3"/>
        <v>22</v>
      </c>
    </row>
    <row r="223" spans="3:4" x14ac:dyDescent="0.3">
      <c r="C223" s="52">
        <f>SUMIF(BTS_매출관리!C:C,B223,BTS_매출관리!I:I)</f>
        <v>0</v>
      </c>
      <c r="D223">
        <f t="shared" si="3"/>
        <v>22</v>
      </c>
    </row>
    <row r="224" spans="3:4" x14ac:dyDescent="0.3">
      <c r="C224" s="52">
        <f>SUMIF(BTS_매출관리!C:C,B224,BTS_매출관리!I:I)</f>
        <v>0</v>
      </c>
      <c r="D224">
        <f t="shared" si="3"/>
        <v>22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9" t="s">
        <v>2</v>
      </c>
      <c r="B1" s="454" t="s">
        <v>2322</v>
      </c>
      <c r="C1" s="452" t="s">
        <v>2524</v>
      </c>
      <c r="D1" s="449" t="s">
        <v>2553</v>
      </c>
      <c r="E1" s="449" t="s">
        <v>36</v>
      </c>
      <c r="F1" s="449" t="s">
        <v>2710</v>
      </c>
      <c r="G1" s="449"/>
      <c r="H1" s="449" t="s">
        <v>2711</v>
      </c>
      <c r="I1" s="449"/>
      <c r="J1" s="449" t="s">
        <v>2712</v>
      </c>
      <c r="K1" s="449"/>
      <c r="L1" s="275"/>
    </row>
    <row r="2" spans="1:15" ht="17.25" thickBot="1" x14ac:dyDescent="0.35">
      <c r="A2" s="450"/>
      <c r="B2" s="455"/>
      <c r="C2" s="453"/>
      <c r="D2" s="450"/>
      <c r="E2" s="450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2975</v>
      </c>
      <c r="D48" s="252" t="s">
        <v>2976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3055</v>
      </c>
      <c r="D49" s="252" t="s">
        <v>3056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2976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3059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3057</v>
      </c>
      <c r="D52" s="252" t="s">
        <v>3058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3059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3060</v>
      </c>
      <c r="D54" s="252" t="s">
        <v>3061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1" t="s">
        <v>2552</v>
      </c>
      <c r="C149" s="451"/>
      <c r="D149" s="451"/>
      <c r="E149" s="451"/>
      <c r="F149" s="451"/>
      <c r="G149" s="45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4"/>
      <c r="B1" s="305"/>
      <c r="C1" s="305"/>
      <c r="D1" s="305"/>
      <c r="E1" s="305"/>
      <c r="F1" s="305"/>
      <c r="G1" s="30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6" t="s">
        <v>1197</v>
      </c>
      <c r="R1" s="306"/>
      <c r="S1" s="307"/>
      <c r="T1" s="307"/>
      <c r="U1" s="308"/>
    </row>
    <row r="2" spans="1:21" x14ac:dyDescent="0.3">
      <c r="A2" s="309" t="s">
        <v>65</v>
      </c>
      <c r="B2" s="310"/>
      <c r="C2" s="311" t="s">
        <v>2223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27" t="s">
        <v>1167</v>
      </c>
      <c r="B3" s="37" t="s">
        <v>59</v>
      </c>
      <c r="C3" s="487" t="s">
        <v>1541</v>
      </c>
      <c r="D3" s="488"/>
      <c r="E3" s="488"/>
      <c r="F3" s="488"/>
      <c r="G3" s="488"/>
      <c r="H3" s="488"/>
      <c r="I3" s="488"/>
      <c r="J3" s="489"/>
      <c r="K3" s="333" t="s">
        <v>1168</v>
      </c>
      <c r="L3" s="37" t="s">
        <v>59</v>
      </c>
      <c r="M3" s="484" t="s">
        <v>964</v>
      </c>
      <c r="N3" s="485"/>
      <c r="O3" s="485"/>
      <c r="P3" s="485"/>
      <c r="Q3" s="485"/>
      <c r="R3" s="485"/>
      <c r="S3" s="485"/>
      <c r="T3" s="485"/>
      <c r="U3" s="486"/>
    </row>
    <row r="4" spans="1:21" ht="24.95" customHeight="1" x14ac:dyDescent="0.3">
      <c r="A4" s="328"/>
      <c r="B4" s="37" t="s">
        <v>61</v>
      </c>
      <c r="C4" s="339"/>
      <c r="D4" s="340"/>
      <c r="E4" s="340"/>
      <c r="F4" s="340"/>
      <c r="G4" s="340"/>
      <c r="H4" s="340"/>
      <c r="I4" s="340"/>
      <c r="J4" s="341"/>
      <c r="K4" s="334"/>
      <c r="L4" s="37" t="s">
        <v>61</v>
      </c>
      <c r="M4" s="318" t="s">
        <v>962</v>
      </c>
      <c r="N4" s="319"/>
      <c r="O4" s="319"/>
      <c r="P4" s="319"/>
      <c r="Q4" s="319"/>
      <c r="R4" s="320"/>
      <c r="S4" s="38" t="s">
        <v>62</v>
      </c>
      <c r="T4" s="490" t="s">
        <v>73</v>
      </c>
      <c r="U4" s="491"/>
    </row>
    <row r="5" spans="1:21" ht="15.75" customHeight="1" x14ac:dyDescent="0.3">
      <c r="A5" s="328"/>
      <c r="B5" s="38" t="s">
        <v>60</v>
      </c>
      <c r="C5" s="318" t="s">
        <v>1093</v>
      </c>
      <c r="D5" s="319"/>
      <c r="E5" s="319"/>
      <c r="F5" s="319"/>
      <c r="G5" s="319"/>
      <c r="H5" s="319"/>
      <c r="I5" s="319"/>
      <c r="J5" s="320"/>
      <c r="K5" s="334"/>
      <c r="L5" s="38" t="s">
        <v>60</v>
      </c>
      <c r="M5" s="318" t="s">
        <v>74</v>
      </c>
      <c r="N5" s="319"/>
      <c r="O5" s="319"/>
      <c r="P5" s="319"/>
      <c r="Q5" s="319"/>
      <c r="R5" s="319"/>
      <c r="S5" s="319"/>
      <c r="T5" s="319"/>
      <c r="U5" s="321"/>
    </row>
    <row r="6" spans="1:21" ht="15.75" customHeight="1" x14ac:dyDescent="0.3">
      <c r="A6" s="329"/>
      <c r="B6" s="38" t="s">
        <v>75</v>
      </c>
      <c r="C6" s="318" t="s">
        <v>1092</v>
      </c>
      <c r="D6" s="319"/>
      <c r="E6" s="319"/>
      <c r="F6" s="319"/>
      <c r="G6" s="319"/>
      <c r="H6" s="319"/>
      <c r="I6" s="319"/>
      <c r="J6" s="320"/>
      <c r="K6" s="335"/>
      <c r="L6" s="38" t="s">
        <v>75</v>
      </c>
      <c r="M6" s="318" t="s">
        <v>66</v>
      </c>
      <c r="N6" s="319"/>
      <c r="O6" s="319"/>
      <c r="P6" s="319"/>
      <c r="Q6" s="319"/>
      <c r="R6" s="320"/>
      <c r="S6" s="38" t="s">
        <v>22</v>
      </c>
      <c r="T6" s="318" t="s">
        <v>973</v>
      </c>
      <c r="U6" s="321"/>
    </row>
    <row r="7" spans="1:21" ht="15.75" customHeight="1" x14ac:dyDescent="0.3">
      <c r="A7" s="322" t="s">
        <v>70</v>
      </c>
      <c r="B7" s="323"/>
      <c r="C7" s="323"/>
      <c r="D7" s="323"/>
      <c r="E7" s="324"/>
      <c r="F7" s="325" t="s">
        <v>78</v>
      </c>
      <c r="G7" s="323"/>
      <c r="H7" s="323"/>
      <c r="I7" s="324"/>
      <c r="J7" s="325" t="s">
        <v>67</v>
      </c>
      <c r="K7" s="324"/>
      <c r="L7" s="325" t="s">
        <v>42</v>
      </c>
      <c r="M7" s="323"/>
      <c r="N7" s="323"/>
      <c r="O7" s="323"/>
      <c r="P7" s="324"/>
      <c r="Q7" s="325" t="s">
        <v>68</v>
      </c>
      <c r="R7" s="323"/>
      <c r="S7" s="324"/>
      <c r="T7" s="325" t="s">
        <v>69</v>
      </c>
      <c r="U7" s="326"/>
    </row>
    <row r="8" spans="1:21" ht="15" customHeight="1" x14ac:dyDescent="0.3">
      <c r="A8" s="492" t="s">
        <v>1131</v>
      </c>
      <c r="B8" s="493"/>
      <c r="C8" s="493"/>
      <c r="D8" s="493"/>
      <c r="E8" s="494"/>
      <c r="F8" s="495"/>
      <c r="G8" s="493"/>
      <c r="H8" s="493"/>
      <c r="I8" s="494"/>
      <c r="J8" s="496">
        <v>1</v>
      </c>
      <c r="K8" s="353"/>
      <c r="L8" s="474">
        <v>1000000</v>
      </c>
      <c r="M8" s="475"/>
      <c r="N8" s="475"/>
      <c r="O8" s="475"/>
      <c r="P8" s="476"/>
      <c r="Q8" s="474">
        <v>1000000</v>
      </c>
      <c r="R8" s="475"/>
      <c r="S8" s="476"/>
      <c r="T8" s="360"/>
      <c r="U8" s="361"/>
    </row>
    <row r="9" spans="1:21" ht="15" customHeight="1" x14ac:dyDescent="0.3">
      <c r="A9" s="477"/>
      <c r="B9" s="478"/>
      <c r="C9" s="478"/>
      <c r="D9" s="478"/>
      <c r="E9" s="479"/>
      <c r="F9" s="480"/>
      <c r="G9" s="478"/>
      <c r="H9" s="478"/>
      <c r="I9" s="479"/>
      <c r="J9" s="345"/>
      <c r="K9" s="344"/>
      <c r="L9" s="481"/>
      <c r="M9" s="482"/>
      <c r="N9" s="482"/>
      <c r="O9" s="482"/>
      <c r="P9" s="483"/>
      <c r="Q9" s="481"/>
      <c r="R9" s="482"/>
      <c r="S9" s="483"/>
      <c r="T9" s="349"/>
      <c r="U9" s="350"/>
    </row>
    <row r="10" spans="1:21" ht="15" customHeight="1" x14ac:dyDescent="0.3">
      <c r="A10" s="477"/>
      <c r="B10" s="478"/>
      <c r="C10" s="478"/>
      <c r="D10" s="478"/>
      <c r="E10" s="479"/>
      <c r="F10" s="480"/>
      <c r="G10" s="478"/>
      <c r="H10" s="478"/>
      <c r="I10" s="479"/>
      <c r="J10" s="345"/>
      <c r="K10" s="344"/>
      <c r="L10" s="481"/>
      <c r="M10" s="482"/>
      <c r="N10" s="482"/>
      <c r="O10" s="482"/>
      <c r="P10" s="483"/>
      <c r="Q10" s="481"/>
      <c r="R10" s="482"/>
      <c r="S10" s="483"/>
      <c r="T10" s="349"/>
      <c r="U10" s="350"/>
    </row>
    <row r="11" spans="1:21" ht="15" customHeight="1" x14ac:dyDescent="0.3">
      <c r="A11" s="477"/>
      <c r="B11" s="478"/>
      <c r="C11" s="478"/>
      <c r="D11" s="478"/>
      <c r="E11" s="479"/>
      <c r="F11" s="480"/>
      <c r="G11" s="478"/>
      <c r="H11" s="478"/>
      <c r="I11" s="479"/>
      <c r="J11" s="345"/>
      <c r="K11" s="344"/>
      <c r="L11" s="481"/>
      <c r="M11" s="482"/>
      <c r="N11" s="482"/>
      <c r="O11" s="482"/>
      <c r="P11" s="483"/>
      <c r="Q11" s="481"/>
      <c r="R11" s="482"/>
      <c r="S11" s="483"/>
      <c r="T11" s="349"/>
      <c r="U11" s="350"/>
    </row>
    <row r="12" spans="1:21" ht="15" customHeight="1" x14ac:dyDescent="0.3">
      <c r="A12" s="477"/>
      <c r="B12" s="478"/>
      <c r="C12" s="478"/>
      <c r="D12" s="478"/>
      <c r="E12" s="479"/>
      <c r="F12" s="480"/>
      <c r="G12" s="478"/>
      <c r="H12" s="478"/>
      <c r="I12" s="479"/>
      <c r="J12" s="345"/>
      <c r="K12" s="344"/>
      <c r="L12" s="481"/>
      <c r="M12" s="482"/>
      <c r="N12" s="482"/>
      <c r="O12" s="482"/>
      <c r="P12" s="483"/>
      <c r="Q12" s="481"/>
      <c r="R12" s="482"/>
      <c r="S12" s="483"/>
      <c r="T12" s="349"/>
      <c r="U12" s="350"/>
    </row>
    <row r="13" spans="1:21" ht="15" customHeight="1" x14ac:dyDescent="0.3">
      <c r="A13" s="477"/>
      <c r="B13" s="478"/>
      <c r="C13" s="478"/>
      <c r="D13" s="478"/>
      <c r="E13" s="479"/>
      <c r="F13" s="497"/>
      <c r="G13" s="498"/>
      <c r="H13" s="498"/>
      <c r="I13" s="499"/>
      <c r="J13" s="345"/>
      <c r="K13" s="344"/>
      <c r="L13" s="481"/>
      <c r="M13" s="482"/>
      <c r="N13" s="482"/>
      <c r="O13" s="482"/>
      <c r="P13" s="483"/>
      <c r="Q13" s="481"/>
      <c r="R13" s="482"/>
      <c r="S13" s="483"/>
      <c r="T13" s="349"/>
      <c r="U13" s="350"/>
    </row>
    <row r="14" spans="1:21" ht="15" customHeight="1" x14ac:dyDescent="0.3">
      <c r="A14" s="477"/>
      <c r="B14" s="478"/>
      <c r="C14" s="478"/>
      <c r="D14" s="478"/>
      <c r="E14" s="479"/>
      <c r="F14" s="480"/>
      <c r="G14" s="478"/>
      <c r="H14" s="478"/>
      <c r="I14" s="479"/>
      <c r="J14" s="345"/>
      <c r="K14" s="344"/>
      <c r="L14" s="481"/>
      <c r="M14" s="482"/>
      <c r="N14" s="482"/>
      <c r="O14" s="482"/>
      <c r="P14" s="483"/>
      <c r="Q14" s="481"/>
      <c r="R14" s="482"/>
      <c r="S14" s="483"/>
      <c r="T14" s="349"/>
      <c r="U14" s="350"/>
    </row>
    <row r="15" spans="1:21" ht="15" customHeight="1" x14ac:dyDescent="0.3">
      <c r="A15" s="342"/>
      <c r="B15" s="343"/>
      <c r="C15" s="343"/>
      <c r="D15" s="343"/>
      <c r="E15" s="344"/>
      <c r="F15" s="345"/>
      <c r="G15" s="343"/>
      <c r="H15" s="343"/>
      <c r="I15" s="344"/>
      <c r="J15" s="345"/>
      <c r="K15" s="344"/>
      <c r="L15" s="500"/>
      <c r="M15" s="501"/>
      <c r="N15" s="501"/>
      <c r="O15" s="501"/>
      <c r="P15" s="502"/>
      <c r="Q15" s="500"/>
      <c r="R15" s="501"/>
      <c r="S15" s="502"/>
      <c r="T15" s="349"/>
      <c r="U15" s="350"/>
    </row>
    <row r="16" spans="1:21" ht="15" customHeight="1" x14ac:dyDescent="0.3">
      <c r="A16" s="342"/>
      <c r="B16" s="343"/>
      <c r="C16" s="343"/>
      <c r="D16" s="343"/>
      <c r="E16" s="344"/>
      <c r="F16" s="345"/>
      <c r="G16" s="343"/>
      <c r="H16" s="343"/>
      <c r="I16" s="344"/>
      <c r="J16" s="345"/>
      <c r="K16" s="344"/>
      <c r="L16" s="500"/>
      <c r="M16" s="501"/>
      <c r="N16" s="501"/>
      <c r="O16" s="501"/>
      <c r="P16" s="502"/>
      <c r="Q16" s="500"/>
      <c r="R16" s="501"/>
      <c r="S16" s="502"/>
      <c r="T16" s="349"/>
      <c r="U16" s="350"/>
    </row>
    <row r="17" spans="1:21" ht="15" customHeight="1" x14ac:dyDescent="0.3">
      <c r="A17" s="342"/>
      <c r="B17" s="343"/>
      <c r="C17" s="343"/>
      <c r="D17" s="343"/>
      <c r="E17" s="344"/>
      <c r="F17" s="345"/>
      <c r="G17" s="343"/>
      <c r="H17" s="343"/>
      <c r="I17" s="344"/>
      <c r="J17" s="345"/>
      <c r="K17" s="344"/>
      <c r="L17" s="500"/>
      <c r="M17" s="501"/>
      <c r="N17" s="501"/>
      <c r="O17" s="501"/>
      <c r="P17" s="502"/>
      <c r="Q17" s="500"/>
      <c r="R17" s="501"/>
      <c r="S17" s="502"/>
      <c r="T17" s="349"/>
      <c r="U17" s="350"/>
    </row>
    <row r="18" spans="1:21" ht="15" customHeight="1" x14ac:dyDescent="0.3">
      <c r="A18" s="342"/>
      <c r="B18" s="343"/>
      <c r="C18" s="343"/>
      <c r="D18" s="343"/>
      <c r="E18" s="344"/>
      <c r="F18" s="345"/>
      <c r="G18" s="343"/>
      <c r="H18" s="343"/>
      <c r="I18" s="344"/>
      <c r="J18" s="345"/>
      <c r="K18" s="344"/>
      <c r="L18" s="500"/>
      <c r="M18" s="501"/>
      <c r="N18" s="501"/>
      <c r="O18" s="501"/>
      <c r="P18" s="502"/>
      <c r="Q18" s="500"/>
      <c r="R18" s="501"/>
      <c r="S18" s="502"/>
      <c r="T18" s="349"/>
      <c r="U18" s="350"/>
    </row>
    <row r="19" spans="1:21" ht="15" customHeight="1" x14ac:dyDescent="0.3">
      <c r="A19" s="523"/>
      <c r="B19" s="524"/>
      <c r="C19" s="524"/>
      <c r="D19" s="524"/>
      <c r="E19" s="520"/>
      <c r="F19" s="519"/>
      <c r="G19" s="524"/>
      <c r="H19" s="524"/>
      <c r="I19" s="520"/>
      <c r="J19" s="519"/>
      <c r="K19" s="520"/>
      <c r="L19" s="470"/>
      <c r="M19" s="471"/>
      <c r="N19" s="471"/>
      <c r="O19" s="471"/>
      <c r="P19" s="472"/>
      <c r="Q19" s="470"/>
      <c r="R19" s="471"/>
      <c r="S19" s="472"/>
      <c r="T19" s="521"/>
      <c r="U19" s="522"/>
    </row>
    <row r="20" spans="1:21" x14ac:dyDescent="0.3">
      <c r="A20" s="322" t="s">
        <v>80</v>
      </c>
      <c r="B20" s="323"/>
      <c r="C20" s="323"/>
      <c r="D20" s="323"/>
      <c r="E20" s="323"/>
      <c r="F20" s="401">
        <v>2450000</v>
      </c>
      <c r="G20" s="401"/>
      <c r="H20" s="401"/>
      <c r="I20" s="402"/>
      <c r="J20" s="473">
        <f>SUM(J8:K19)</f>
        <v>1</v>
      </c>
      <c r="K20" s="473"/>
      <c r="L20" s="456" t="s">
        <v>959</v>
      </c>
      <c r="M20" s="457"/>
      <c r="N20" s="457"/>
      <c r="O20" s="457"/>
      <c r="P20" s="458"/>
      <c r="Q20" s="400">
        <f>SUM(Q8:S19)</f>
        <v>1000000</v>
      </c>
      <c r="R20" s="401"/>
      <c r="S20" s="401"/>
      <c r="T20" s="401"/>
      <c r="U20" s="403"/>
    </row>
    <row r="21" spans="1:21" ht="17.25" thickBot="1" x14ac:dyDescent="0.35">
      <c r="A21" s="425" t="s">
        <v>90</v>
      </c>
      <c r="B21" s="426"/>
      <c r="C21" s="426"/>
      <c r="D21" s="426"/>
      <c r="E21" s="426"/>
      <c r="F21" s="427">
        <f>F20+Q20</f>
        <v>3450000</v>
      </c>
      <c r="G21" s="427"/>
      <c r="H21" s="427"/>
      <c r="I21" s="428"/>
      <c r="J21" s="429" t="s">
        <v>965</v>
      </c>
      <c r="K21" s="426"/>
      <c r="L21" s="395" t="str">
        <f>T4</f>
        <v>장효주</v>
      </c>
      <c r="M21" s="395"/>
      <c r="N21" s="395"/>
      <c r="O21" s="429" t="s">
        <v>64</v>
      </c>
      <c r="P21" s="431"/>
      <c r="Q21" s="462" t="str">
        <f>C3</f>
        <v>제이오토(대구)</v>
      </c>
      <c r="R21" s="463"/>
      <c r="S21" s="463"/>
      <c r="T21" s="463"/>
      <c r="U21" s="464"/>
    </row>
    <row r="22" spans="1:21" ht="9" customHeight="1" x14ac:dyDescent="0.3">
      <c r="A22" s="445"/>
      <c r="B22" s="445"/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</row>
    <row r="23" spans="1:21" ht="11.25" customHeight="1" thickBot="1" x14ac:dyDescent="0.35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</row>
    <row r="24" spans="1:21" ht="24" customHeight="1" thickBot="1" x14ac:dyDescent="0.35">
      <c r="A24" s="516" t="s">
        <v>71</v>
      </c>
      <c r="B24" s="517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8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27" t="s">
        <v>1167</v>
      </c>
      <c r="B26" s="37" t="s">
        <v>59</v>
      </c>
      <c r="C26" s="506" t="str">
        <f>C3</f>
        <v>제이오토(대구)</v>
      </c>
      <c r="D26" s="507"/>
      <c r="E26" s="507"/>
      <c r="F26" s="507"/>
      <c r="G26" s="507"/>
      <c r="H26" s="507"/>
      <c r="I26" s="507"/>
      <c r="J26" s="508"/>
      <c r="K26" s="333" t="s">
        <v>1168</v>
      </c>
      <c r="L26" s="37" t="s">
        <v>59</v>
      </c>
      <c r="M26" s="484" t="str">
        <f>M3</f>
        <v>BTS&amp;P</v>
      </c>
      <c r="N26" s="485"/>
      <c r="O26" s="485"/>
      <c r="P26" s="485"/>
      <c r="Q26" s="485"/>
      <c r="R26" s="485"/>
      <c r="S26" s="485"/>
      <c r="T26" s="485"/>
      <c r="U26" s="486"/>
    </row>
    <row r="27" spans="1:21" ht="24.95" customHeight="1" x14ac:dyDescent="0.3">
      <c r="A27" s="328"/>
      <c r="B27" s="37" t="s">
        <v>61</v>
      </c>
      <c r="C27" s="467">
        <f>C4</f>
        <v>0</v>
      </c>
      <c r="D27" s="468"/>
      <c r="E27" s="468"/>
      <c r="F27" s="468"/>
      <c r="G27" s="468"/>
      <c r="H27" s="468"/>
      <c r="I27" s="468"/>
      <c r="J27" s="469"/>
      <c r="K27" s="334"/>
      <c r="L27" s="37" t="s">
        <v>61</v>
      </c>
      <c r="M27" s="318" t="str">
        <f>M4</f>
        <v>259-12-01768</v>
      </c>
      <c r="N27" s="319"/>
      <c r="O27" s="319"/>
      <c r="P27" s="319"/>
      <c r="Q27" s="319"/>
      <c r="R27" s="320"/>
      <c r="S27" s="38" t="s">
        <v>62</v>
      </c>
      <c r="T27" s="490" t="str">
        <f>T4</f>
        <v>장효주</v>
      </c>
      <c r="U27" s="491"/>
    </row>
    <row r="28" spans="1:21" ht="15.75" customHeight="1" x14ac:dyDescent="0.3">
      <c r="A28" s="328"/>
      <c r="B28" s="38" t="s">
        <v>10</v>
      </c>
      <c r="C28" s="318" t="str">
        <f>C5</f>
        <v>대구광역시 서구 가르뱅이로 53</v>
      </c>
      <c r="D28" s="319"/>
      <c r="E28" s="319"/>
      <c r="F28" s="319"/>
      <c r="G28" s="319"/>
      <c r="H28" s="319"/>
      <c r="I28" s="319"/>
      <c r="J28" s="320"/>
      <c r="K28" s="334"/>
      <c r="L28" s="38" t="s">
        <v>10</v>
      </c>
      <c r="M28" s="318" t="str">
        <f>M5</f>
        <v>대구 달서구 용산로 28(본리동)</v>
      </c>
      <c r="N28" s="319"/>
      <c r="O28" s="319"/>
      <c r="P28" s="319"/>
      <c r="Q28" s="319"/>
      <c r="R28" s="319"/>
      <c r="S28" s="319"/>
      <c r="T28" s="319"/>
      <c r="U28" s="321"/>
    </row>
    <row r="29" spans="1:21" ht="15.75" customHeight="1" x14ac:dyDescent="0.3">
      <c r="A29" s="329"/>
      <c r="B29" s="38" t="s">
        <v>75</v>
      </c>
      <c r="C29" s="318" t="str">
        <f>C6</f>
        <v>010-5102-8176</v>
      </c>
      <c r="D29" s="319"/>
      <c r="E29" s="319"/>
      <c r="F29" s="319"/>
      <c r="G29" s="319"/>
      <c r="H29" s="319"/>
      <c r="I29" s="319"/>
      <c r="J29" s="320"/>
      <c r="K29" s="335"/>
      <c r="L29" s="38" t="s">
        <v>75</v>
      </c>
      <c r="M29" s="318" t="str">
        <f>M6</f>
        <v>010-5168-3542</v>
      </c>
      <c r="N29" s="319"/>
      <c r="O29" s="319"/>
      <c r="P29" s="319"/>
      <c r="Q29" s="319"/>
      <c r="R29" s="320"/>
      <c r="S29" s="38" t="s">
        <v>22</v>
      </c>
      <c r="T29" s="318"/>
      <c r="U29" s="321"/>
    </row>
    <row r="30" spans="1:21" ht="15.75" customHeight="1" x14ac:dyDescent="0.3">
      <c r="A30" s="322" t="s">
        <v>70</v>
      </c>
      <c r="B30" s="323"/>
      <c r="C30" s="323"/>
      <c r="D30" s="323"/>
      <c r="E30" s="324"/>
      <c r="F30" s="325" t="s">
        <v>44</v>
      </c>
      <c r="G30" s="323"/>
      <c r="H30" s="323"/>
      <c r="I30" s="324"/>
      <c r="J30" s="325" t="s">
        <v>67</v>
      </c>
      <c r="K30" s="324"/>
      <c r="L30" s="325" t="s">
        <v>42</v>
      </c>
      <c r="M30" s="323"/>
      <c r="N30" s="323"/>
      <c r="O30" s="323"/>
      <c r="P30" s="324"/>
      <c r="Q30" s="325" t="s">
        <v>68</v>
      </c>
      <c r="R30" s="323"/>
      <c r="S30" s="324"/>
      <c r="T30" s="325" t="s">
        <v>69</v>
      </c>
      <c r="U30" s="326"/>
    </row>
    <row r="31" spans="1:21" ht="15" customHeight="1" x14ac:dyDescent="0.3">
      <c r="A31" s="511" t="str">
        <f>A8</f>
        <v>8HP70 VALBEBODY</v>
      </c>
      <c r="B31" s="509"/>
      <c r="C31" s="509"/>
      <c r="D31" s="509"/>
      <c r="E31" s="509"/>
      <c r="F31" s="509">
        <f>F8</f>
        <v>0</v>
      </c>
      <c r="G31" s="509"/>
      <c r="H31" s="509"/>
      <c r="I31" s="509"/>
      <c r="J31" s="509">
        <f>J8</f>
        <v>1</v>
      </c>
      <c r="K31" s="509"/>
      <c r="L31" s="465">
        <f>L8</f>
        <v>1000000</v>
      </c>
      <c r="M31" s="465"/>
      <c r="N31" s="465"/>
      <c r="O31" s="465"/>
      <c r="P31" s="465"/>
      <c r="Q31" s="465">
        <f>Q8</f>
        <v>1000000</v>
      </c>
      <c r="R31" s="465"/>
      <c r="S31" s="465"/>
      <c r="T31" s="509">
        <f>T8</f>
        <v>0</v>
      </c>
      <c r="U31" s="510"/>
    </row>
    <row r="32" spans="1:21" ht="15" customHeight="1" x14ac:dyDescent="0.3">
      <c r="A32" s="505">
        <f t="shared" ref="A32:A42" si="0">A9</f>
        <v>0</v>
      </c>
      <c r="B32" s="503"/>
      <c r="C32" s="503"/>
      <c r="D32" s="503"/>
      <c r="E32" s="503"/>
      <c r="F32" s="503">
        <f t="shared" ref="F32:F42" si="1">F9</f>
        <v>0</v>
      </c>
      <c r="G32" s="503"/>
      <c r="H32" s="503"/>
      <c r="I32" s="503"/>
      <c r="J32" s="503">
        <f t="shared" ref="J32:J42" si="2">J9</f>
        <v>0</v>
      </c>
      <c r="K32" s="503"/>
      <c r="L32" s="466">
        <f t="shared" ref="L32:L42" si="3">L9</f>
        <v>0</v>
      </c>
      <c r="M32" s="466"/>
      <c r="N32" s="466"/>
      <c r="O32" s="466"/>
      <c r="P32" s="466"/>
      <c r="Q32" s="466">
        <f t="shared" ref="Q32:Q42" si="4">Q9</f>
        <v>0</v>
      </c>
      <c r="R32" s="466"/>
      <c r="S32" s="466"/>
      <c r="T32" s="503">
        <f t="shared" ref="T32:T42" si="5">T9</f>
        <v>0</v>
      </c>
      <c r="U32" s="504"/>
    </row>
    <row r="33" spans="1:21" ht="15" customHeight="1" x14ac:dyDescent="0.3">
      <c r="A33" s="505">
        <f t="shared" si="0"/>
        <v>0</v>
      </c>
      <c r="B33" s="503"/>
      <c r="C33" s="503"/>
      <c r="D33" s="503"/>
      <c r="E33" s="503"/>
      <c r="F33" s="503">
        <f t="shared" si="1"/>
        <v>0</v>
      </c>
      <c r="G33" s="503"/>
      <c r="H33" s="503"/>
      <c r="I33" s="503"/>
      <c r="J33" s="503">
        <f t="shared" si="2"/>
        <v>0</v>
      </c>
      <c r="K33" s="503"/>
      <c r="L33" s="466">
        <f t="shared" si="3"/>
        <v>0</v>
      </c>
      <c r="M33" s="466"/>
      <c r="N33" s="466"/>
      <c r="O33" s="466"/>
      <c r="P33" s="466"/>
      <c r="Q33" s="466">
        <f t="shared" si="4"/>
        <v>0</v>
      </c>
      <c r="R33" s="466"/>
      <c r="S33" s="466"/>
      <c r="T33" s="503">
        <f t="shared" si="5"/>
        <v>0</v>
      </c>
      <c r="U33" s="504"/>
    </row>
    <row r="34" spans="1:21" ht="15" customHeight="1" x14ac:dyDescent="0.3">
      <c r="A34" s="505">
        <f t="shared" si="0"/>
        <v>0</v>
      </c>
      <c r="B34" s="503"/>
      <c r="C34" s="503"/>
      <c r="D34" s="503"/>
      <c r="E34" s="503"/>
      <c r="F34" s="503">
        <f t="shared" si="1"/>
        <v>0</v>
      </c>
      <c r="G34" s="503"/>
      <c r="H34" s="503"/>
      <c r="I34" s="503"/>
      <c r="J34" s="503">
        <v>1</v>
      </c>
      <c r="K34" s="503"/>
      <c r="L34" s="466">
        <f t="shared" si="3"/>
        <v>0</v>
      </c>
      <c r="M34" s="466"/>
      <c r="N34" s="466"/>
      <c r="O34" s="466"/>
      <c r="P34" s="466"/>
      <c r="Q34" s="466">
        <f t="shared" si="4"/>
        <v>0</v>
      </c>
      <c r="R34" s="466"/>
      <c r="S34" s="466"/>
      <c r="T34" s="503">
        <f t="shared" si="5"/>
        <v>0</v>
      </c>
      <c r="U34" s="504"/>
    </row>
    <row r="35" spans="1:21" ht="15" customHeight="1" x14ac:dyDescent="0.3">
      <c r="A35" s="505">
        <f t="shared" si="0"/>
        <v>0</v>
      </c>
      <c r="B35" s="503"/>
      <c r="C35" s="503"/>
      <c r="D35" s="503"/>
      <c r="E35" s="503"/>
      <c r="F35" s="503">
        <f t="shared" si="1"/>
        <v>0</v>
      </c>
      <c r="G35" s="503"/>
      <c r="H35" s="503"/>
      <c r="I35" s="503"/>
      <c r="J35" s="503">
        <f t="shared" si="2"/>
        <v>0</v>
      </c>
      <c r="K35" s="503"/>
      <c r="L35" s="466">
        <f t="shared" si="3"/>
        <v>0</v>
      </c>
      <c r="M35" s="466"/>
      <c r="N35" s="466"/>
      <c r="O35" s="466"/>
      <c r="P35" s="466"/>
      <c r="Q35" s="466">
        <f t="shared" si="4"/>
        <v>0</v>
      </c>
      <c r="R35" s="466"/>
      <c r="S35" s="466"/>
      <c r="T35" s="503">
        <f t="shared" si="5"/>
        <v>0</v>
      </c>
      <c r="U35" s="504"/>
    </row>
    <row r="36" spans="1:21" ht="15" customHeight="1" x14ac:dyDescent="0.3">
      <c r="A36" s="505">
        <f t="shared" si="0"/>
        <v>0</v>
      </c>
      <c r="B36" s="503"/>
      <c r="C36" s="503"/>
      <c r="D36" s="503"/>
      <c r="E36" s="503"/>
      <c r="F36" s="503">
        <f t="shared" si="1"/>
        <v>0</v>
      </c>
      <c r="G36" s="503"/>
      <c r="H36" s="503"/>
      <c r="I36" s="503"/>
      <c r="J36" s="503">
        <f t="shared" si="2"/>
        <v>0</v>
      </c>
      <c r="K36" s="503"/>
      <c r="L36" s="466">
        <f t="shared" si="3"/>
        <v>0</v>
      </c>
      <c r="M36" s="466"/>
      <c r="N36" s="466"/>
      <c r="O36" s="466"/>
      <c r="P36" s="466"/>
      <c r="Q36" s="466">
        <f t="shared" si="4"/>
        <v>0</v>
      </c>
      <c r="R36" s="466"/>
      <c r="S36" s="466"/>
      <c r="T36" s="503">
        <f t="shared" si="5"/>
        <v>0</v>
      </c>
      <c r="U36" s="504"/>
    </row>
    <row r="37" spans="1:21" ht="15" customHeight="1" x14ac:dyDescent="0.3">
      <c r="A37" s="505">
        <f t="shared" si="0"/>
        <v>0</v>
      </c>
      <c r="B37" s="503"/>
      <c r="C37" s="503"/>
      <c r="D37" s="503"/>
      <c r="E37" s="503"/>
      <c r="F37" s="503">
        <f t="shared" si="1"/>
        <v>0</v>
      </c>
      <c r="G37" s="503"/>
      <c r="H37" s="503"/>
      <c r="I37" s="503"/>
      <c r="J37" s="503">
        <f t="shared" si="2"/>
        <v>0</v>
      </c>
      <c r="K37" s="503"/>
      <c r="L37" s="466">
        <f t="shared" si="3"/>
        <v>0</v>
      </c>
      <c r="M37" s="466"/>
      <c r="N37" s="466"/>
      <c r="O37" s="466"/>
      <c r="P37" s="466"/>
      <c r="Q37" s="466">
        <f t="shared" si="4"/>
        <v>0</v>
      </c>
      <c r="R37" s="466"/>
      <c r="S37" s="466"/>
      <c r="T37" s="503">
        <f t="shared" si="5"/>
        <v>0</v>
      </c>
      <c r="U37" s="504"/>
    </row>
    <row r="38" spans="1:21" ht="15" customHeight="1" x14ac:dyDescent="0.3">
      <c r="A38" s="505">
        <f t="shared" si="0"/>
        <v>0</v>
      </c>
      <c r="B38" s="503"/>
      <c r="C38" s="503"/>
      <c r="D38" s="503"/>
      <c r="E38" s="503"/>
      <c r="F38" s="503">
        <f t="shared" si="1"/>
        <v>0</v>
      </c>
      <c r="G38" s="503"/>
      <c r="H38" s="503"/>
      <c r="I38" s="503"/>
      <c r="J38" s="503">
        <f t="shared" si="2"/>
        <v>0</v>
      </c>
      <c r="K38" s="503"/>
      <c r="L38" s="466">
        <f t="shared" si="3"/>
        <v>0</v>
      </c>
      <c r="M38" s="466"/>
      <c r="N38" s="466"/>
      <c r="O38" s="466"/>
      <c r="P38" s="466"/>
      <c r="Q38" s="466">
        <f t="shared" si="4"/>
        <v>0</v>
      </c>
      <c r="R38" s="466"/>
      <c r="S38" s="466"/>
      <c r="T38" s="503">
        <f t="shared" si="5"/>
        <v>0</v>
      </c>
      <c r="U38" s="504"/>
    </row>
    <row r="39" spans="1:21" ht="15" customHeight="1" x14ac:dyDescent="0.3">
      <c r="A39" s="505">
        <f t="shared" si="0"/>
        <v>0</v>
      </c>
      <c r="B39" s="503"/>
      <c r="C39" s="503"/>
      <c r="D39" s="503"/>
      <c r="E39" s="503"/>
      <c r="F39" s="503">
        <f t="shared" si="1"/>
        <v>0</v>
      </c>
      <c r="G39" s="503"/>
      <c r="H39" s="503"/>
      <c r="I39" s="503"/>
      <c r="J39" s="503">
        <f t="shared" si="2"/>
        <v>0</v>
      </c>
      <c r="K39" s="503"/>
      <c r="L39" s="466">
        <f t="shared" si="3"/>
        <v>0</v>
      </c>
      <c r="M39" s="466"/>
      <c r="N39" s="466"/>
      <c r="O39" s="466"/>
      <c r="P39" s="466"/>
      <c r="Q39" s="466">
        <f t="shared" si="4"/>
        <v>0</v>
      </c>
      <c r="R39" s="466"/>
      <c r="S39" s="466"/>
      <c r="T39" s="503">
        <f t="shared" si="5"/>
        <v>0</v>
      </c>
      <c r="U39" s="504"/>
    </row>
    <row r="40" spans="1:21" ht="15" customHeight="1" x14ac:dyDescent="0.3">
      <c r="A40" s="505">
        <f t="shared" si="0"/>
        <v>0</v>
      </c>
      <c r="B40" s="503"/>
      <c r="C40" s="503"/>
      <c r="D40" s="503"/>
      <c r="E40" s="503"/>
      <c r="F40" s="503">
        <f t="shared" si="1"/>
        <v>0</v>
      </c>
      <c r="G40" s="503"/>
      <c r="H40" s="503"/>
      <c r="I40" s="503"/>
      <c r="J40" s="503">
        <f t="shared" si="2"/>
        <v>0</v>
      </c>
      <c r="K40" s="503"/>
      <c r="L40" s="466">
        <f t="shared" si="3"/>
        <v>0</v>
      </c>
      <c r="M40" s="466"/>
      <c r="N40" s="466"/>
      <c r="O40" s="466"/>
      <c r="P40" s="466"/>
      <c r="Q40" s="466">
        <f t="shared" si="4"/>
        <v>0</v>
      </c>
      <c r="R40" s="466"/>
      <c r="S40" s="466"/>
      <c r="T40" s="503">
        <f t="shared" si="5"/>
        <v>0</v>
      </c>
      <c r="U40" s="504"/>
    </row>
    <row r="41" spans="1:21" ht="15" customHeight="1" x14ac:dyDescent="0.3">
      <c r="A41" s="505">
        <f t="shared" si="0"/>
        <v>0</v>
      </c>
      <c r="B41" s="503"/>
      <c r="C41" s="503"/>
      <c r="D41" s="503"/>
      <c r="E41" s="503"/>
      <c r="F41" s="503">
        <f t="shared" si="1"/>
        <v>0</v>
      </c>
      <c r="G41" s="503"/>
      <c r="H41" s="503"/>
      <c r="I41" s="503"/>
      <c r="J41" s="503">
        <f t="shared" si="2"/>
        <v>0</v>
      </c>
      <c r="K41" s="503"/>
      <c r="L41" s="466">
        <f t="shared" si="3"/>
        <v>0</v>
      </c>
      <c r="M41" s="466"/>
      <c r="N41" s="466"/>
      <c r="O41" s="466"/>
      <c r="P41" s="466"/>
      <c r="Q41" s="466">
        <f t="shared" si="4"/>
        <v>0</v>
      </c>
      <c r="R41" s="466"/>
      <c r="S41" s="466"/>
      <c r="T41" s="503">
        <f t="shared" si="5"/>
        <v>0</v>
      </c>
      <c r="U41" s="504"/>
    </row>
    <row r="42" spans="1:21" ht="15" customHeight="1" x14ac:dyDescent="0.3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 x14ac:dyDescent="0.3">
      <c r="A43" s="322" t="s">
        <v>80</v>
      </c>
      <c r="B43" s="323"/>
      <c r="C43" s="323"/>
      <c r="D43" s="323"/>
      <c r="E43" s="323"/>
      <c r="F43" s="401">
        <f>F20</f>
        <v>2450000</v>
      </c>
      <c r="G43" s="401"/>
      <c r="H43" s="401"/>
      <c r="I43" s="402"/>
      <c r="J43" s="473">
        <f>J20</f>
        <v>1</v>
      </c>
      <c r="K43" s="473"/>
      <c r="L43" s="456" t="s">
        <v>959</v>
      </c>
      <c r="M43" s="457"/>
      <c r="N43" s="457"/>
      <c r="O43" s="457"/>
      <c r="P43" s="458"/>
      <c r="Q43" s="459">
        <f>Q20</f>
        <v>1000000</v>
      </c>
      <c r="R43" s="460"/>
      <c r="S43" s="460"/>
      <c r="T43" s="460"/>
      <c r="U43" s="461"/>
    </row>
    <row r="44" spans="1:21" ht="17.25" thickBot="1" x14ac:dyDescent="0.35">
      <c r="A44" s="425" t="s">
        <v>90</v>
      </c>
      <c r="B44" s="426"/>
      <c r="C44" s="426"/>
      <c r="D44" s="426"/>
      <c r="E44" s="426"/>
      <c r="F44" s="427">
        <f>F21</f>
        <v>3450000</v>
      </c>
      <c r="G44" s="427"/>
      <c r="H44" s="427"/>
      <c r="I44" s="428"/>
      <c r="J44" s="429" t="s">
        <v>965</v>
      </c>
      <c r="K44" s="426"/>
      <c r="L44" s="395" t="str">
        <f>L21</f>
        <v>장효주</v>
      </c>
      <c r="M44" s="395"/>
      <c r="N44" s="395"/>
      <c r="O44" s="429" t="s">
        <v>64</v>
      </c>
      <c r="P44" s="431"/>
      <c r="Q44" s="462" t="str">
        <f>Q21</f>
        <v>제이오토(대구)</v>
      </c>
      <c r="R44" s="463"/>
      <c r="S44" s="463"/>
      <c r="T44" s="463"/>
      <c r="U44" s="46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9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1016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2625</v>
      </c>
      <c r="D425" t="s">
        <v>2626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2632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2633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2640</v>
      </c>
    </row>
    <row r="429" spans="1:4" x14ac:dyDescent="0.3">
      <c r="A429">
        <v>453</v>
      </c>
      <c r="B429" s="13">
        <v>45832</v>
      </c>
      <c r="C429" t="s">
        <v>2634</v>
      </c>
      <c r="D429" t="s">
        <v>2641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2642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2643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2650</v>
      </c>
    </row>
    <row r="433" spans="1:4" x14ac:dyDescent="0.3">
      <c r="A433">
        <v>457</v>
      </c>
      <c r="B433" s="13">
        <v>45833</v>
      </c>
      <c r="C433" t="s">
        <v>979</v>
      </c>
      <c r="D433" t="s">
        <v>2651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2652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2654</v>
      </c>
    </row>
    <row r="436" spans="1:4" x14ac:dyDescent="0.3">
      <c r="A436">
        <v>460</v>
      </c>
      <c r="B436" s="13">
        <v>45833</v>
      </c>
      <c r="C436" t="s">
        <v>2645</v>
      </c>
      <c r="D436" t="s">
        <v>2655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2657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2658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2663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2664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2667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2668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2670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2680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2683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2694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2695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2697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2698</v>
      </c>
    </row>
    <row r="450" spans="1:4" x14ac:dyDescent="0.3">
      <c r="A450">
        <v>474</v>
      </c>
      <c r="B450" s="13">
        <v>45835</v>
      </c>
      <c r="C450" t="s">
        <v>1722</v>
      </c>
      <c r="D450" t="s">
        <v>2700</v>
      </c>
    </row>
    <row r="451" spans="1:4" x14ac:dyDescent="0.3">
      <c r="A451">
        <v>475</v>
      </c>
      <c r="B451" s="13">
        <v>45835</v>
      </c>
      <c r="C451" t="s">
        <v>1473</v>
      </c>
      <c r="D451" t="s">
        <v>2701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2705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2713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2716</v>
      </c>
    </row>
    <row r="455" spans="1:4" x14ac:dyDescent="0.3">
      <c r="A455">
        <v>479</v>
      </c>
      <c r="B455" s="13">
        <v>45838</v>
      </c>
      <c r="C455" t="s">
        <v>2706</v>
      </c>
      <c r="D455" t="s">
        <v>2717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2718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2719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2720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2723</v>
      </c>
    </row>
    <row r="460" spans="1:4" x14ac:dyDescent="0.3">
      <c r="A460">
        <v>484</v>
      </c>
      <c r="B460" s="13">
        <v>45839</v>
      </c>
      <c r="C460" t="s">
        <v>2727</v>
      </c>
      <c r="D460" t="s">
        <v>2728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2729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2731</v>
      </c>
    </row>
    <row r="463" spans="1:4" x14ac:dyDescent="0.3">
      <c r="A463">
        <v>487</v>
      </c>
      <c r="B463" s="13">
        <v>45839</v>
      </c>
      <c r="C463" t="s">
        <v>2734</v>
      </c>
      <c r="D463" t="s">
        <v>2737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2738</v>
      </c>
    </row>
    <row r="465" spans="1:4" x14ac:dyDescent="0.3">
      <c r="A465">
        <v>489</v>
      </c>
      <c r="B465" s="13">
        <v>45840</v>
      </c>
      <c r="C465" t="s">
        <v>2742</v>
      </c>
      <c r="D465" t="s">
        <v>2743</v>
      </c>
    </row>
    <row r="466" spans="1:4" x14ac:dyDescent="0.3">
      <c r="A466">
        <v>490</v>
      </c>
      <c r="B466" s="13">
        <v>45840</v>
      </c>
      <c r="C466" t="s">
        <v>2744</v>
      </c>
      <c r="D466" t="s">
        <v>2748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2755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2756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2757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2758</v>
      </c>
    </row>
    <row r="471" spans="1:4" x14ac:dyDescent="0.3">
      <c r="A471">
        <v>495</v>
      </c>
      <c r="B471" s="13">
        <v>45841</v>
      </c>
      <c r="C471" t="s">
        <v>2764</v>
      </c>
      <c r="D471" t="s">
        <v>2767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2768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2769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2770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2775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2776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2778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2779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2781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2782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2783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2784</v>
      </c>
    </row>
    <row r="483" spans="1:4" x14ac:dyDescent="0.3">
      <c r="A483">
        <v>507</v>
      </c>
      <c r="B483" s="13">
        <v>45845</v>
      </c>
      <c r="C483" t="s">
        <v>2791</v>
      </c>
      <c r="D483" t="s">
        <v>2795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2796</v>
      </c>
    </row>
    <row r="485" spans="1:4" x14ac:dyDescent="0.3">
      <c r="A485">
        <v>509</v>
      </c>
      <c r="B485" s="13">
        <v>45845</v>
      </c>
      <c r="C485" t="s">
        <v>2785</v>
      </c>
      <c r="D485" t="s">
        <v>2797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2798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2799</v>
      </c>
    </row>
    <row r="488" spans="1:4" x14ac:dyDescent="0.3">
      <c r="A488">
        <v>512</v>
      </c>
      <c r="B488" s="13">
        <v>45845</v>
      </c>
      <c r="C488" t="s">
        <v>1444</v>
      </c>
      <c r="D488" t="s">
        <v>2800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2802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2805</v>
      </c>
    </row>
    <row r="491" spans="1:4" x14ac:dyDescent="0.3">
      <c r="A491">
        <v>515</v>
      </c>
      <c r="B491" s="13">
        <v>45846</v>
      </c>
      <c r="C491" t="s">
        <v>2791</v>
      </c>
      <c r="D491" t="s">
        <v>2808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2809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2810</v>
      </c>
    </row>
    <row r="494" spans="1:4" x14ac:dyDescent="0.3">
      <c r="A494">
        <v>518</v>
      </c>
      <c r="B494" s="13">
        <v>45846</v>
      </c>
      <c r="C494" t="s">
        <v>2811</v>
      </c>
      <c r="D494" t="s">
        <v>2815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2817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2818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2819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2820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2821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2823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2827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2828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2829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2830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2831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2832</v>
      </c>
    </row>
    <row r="507" spans="1:4" x14ac:dyDescent="0.3">
      <c r="A507">
        <v>531</v>
      </c>
      <c r="B507" s="13">
        <v>45848</v>
      </c>
      <c r="C507" t="s">
        <v>2727</v>
      </c>
      <c r="D507" t="s">
        <v>2837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2839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2840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2841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2843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2853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2854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2855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2856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2857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2858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2859</v>
      </c>
    </row>
    <row r="519" spans="1:4" x14ac:dyDescent="0.3">
      <c r="A519">
        <v>543</v>
      </c>
      <c r="B519" s="13">
        <v>45849</v>
      </c>
      <c r="C519" t="s">
        <v>2860</v>
      </c>
      <c r="D519" t="s">
        <v>2861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2864</v>
      </c>
    </row>
    <row r="521" spans="1:4" x14ac:dyDescent="0.3">
      <c r="A521">
        <v>545</v>
      </c>
      <c r="B521" s="13">
        <v>45850</v>
      </c>
      <c r="C521" t="s">
        <v>2727</v>
      </c>
      <c r="D521" t="s">
        <v>2866</v>
      </c>
    </row>
    <row r="522" spans="1:4" x14ac:dyDescent="0.3">
      <c r="A522">
        <v>546</v>
      </c>
      <c r="B522" s="13">
        <v>45852</v>
      </c>
      <c r="C522" t="s">
        <v>2871</v>
      </c>
      <c r="D522" t="s">
        <v>2874</v>
      </c>
    </row>
    <row r="523" spans="1:4" x14ac:dyDescent="0.3">
      <c r="A523">
        <v>547</v>
      </c>
      <c r="B523" s="13">
        <v>45852</v>
      </c>
      <c r="C523" t="s">
        <v>2875</v>
      </c>
      <c r="D523" t="s">
        <v>2879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2880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2881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2883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2884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2885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2896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2897</v>
      </c>
    </row>
    <row r="531" spans="1:4" x14ac:dyDescent="0.3">
      <c r="A531">
        <v>555</v>
      </c>
      <c r="B531" s="13">
        <v>45853</v>
      </c>
      <c r="C531" t="s">
        <v>2898</v>
      </c>
      <c r="D531" t="s">
        <v>2901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2902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2903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2904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2905</v>
      </c>
    </row>
    <row r="536" spans="1:4" x14ac:dyDescent="0.3">
      <c r="A536">
        <v>560</v>
      </c>
      <c r="B536" s="13">
        <v>45853</v>
      </c>
      <c r="C536" t="s">
        <v>2892</v>
      </c>
      <c r="D536" t="s">
        <v>2907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2908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2914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2916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2917</v>
      </c>
    </row>
    <row r="541" spans="1:4" x14ac:dyDescent="0.3">
      <c r="A541">
        <v>565</v>
      </c>
      <c r="B541" s="13">
        <v>45854</v>
      </c>
      <c r="C541" t="s">
        <v>2918</v>
      </c>
      <c r="D541" t="s">
        <v>2920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2927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2929</v>
      </c>
    </row>
    <row r="544" spans="1:4" x14ac:dyDescent="0.3">
      <c r="A544">
        <v>568</v>
      </c>
      <c r="B544" s="13">
        <v>45855</v>
      </c>
      <c r="C544" t="s">
        <v>2625</v>
      </c>
      <c r="D544" t="s">
        <v>2930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2931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2936</v>
      </c>
    </row>
    <row r="547" spans="1:4" x14ac:dyDescent="0.3">
      <c r="A547">
        <v>571</v>
      </c>
      <c r="B547" s="13">
        <v>45856</v>
      </c>
      <c r="C547" t="s">
        <v>2937</v>
      </c>
      <c r="D547" t="s">
        <v>2941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2943</v>
      </c>
    </row>
    <row r="549" spans="1:4" x14ac:dyDescent="0.3">
      <c r="A549">
        <v>573</v>
      </c>
      <c r="B549" s="13">
        <v>45856</v>
      </c>
      <c r="C549" t="s">
        <v>2944</v>
      </c>
      <c r="D549" t="s">
        <v>2946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2947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2948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2953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2955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2958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2959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2961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2962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2963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2964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2965</v>
      </c>
    </row>
    <row r="561" spans="1:4" x14ac:dyDescent="0.3">
      <c r="A561">
        <v>585</v>
      </c>
      <c r="B561" s="13">
        <v>45860</v>
      </c>
      <c r="C561" t="s">
        <v>2966</v>
      </c>
      <c r="D561" t="s">
        <v>2970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2971</v>
      </c>
    </row>
    <row r="563" spans="1:4" x14ac:dyDescent="0.3">
      <c r="A563">
        <v>587</v>
      </c>
      <c r="B563" s="13">
        <v>45860</v>
      </c>
      <c r="C563" t="s">
        <v>2892</v>
      </c>
      <c r="D563" t="s">
        <v>2972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2978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2979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2980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2981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2982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2983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2984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2991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2992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2993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2994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2995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2998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2999</v>
      </c>
    </row>
    <row r="578" spans="1:4" x14ac:dyDescent="0.3">
      <c r="A578">
        <v>602</v>
      </c>
      <c r="B578" s="13">
        <v>45862</v>
      </c>
      <c r="C578" t="s">
        <v>3000</v>
      </c>
      <c r="D578" t="s">
        <v>3001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3004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3008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3009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3010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3011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3014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3015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3016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3018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3019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3020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3021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3022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3023</v>
      </c>
    </row>
    <row r="595" spans="1:4" x14ac:dyDescent="0.3">
      <c r="A595">
        <v>619</v>
      </c>
      <c r="B595" s="13">
        <v>45866</v>
      </c>
      <c r="C595" t="s">
        <v>3024</v>
      </c>
      <c r="D595" t="s">
        <v>3027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3028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3029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3030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3031</v>
      </c>
    </row>
    <row r="600" spans="1:4" x14ac:dyDescent="0.3">
      <c r="A600">
        <v>624</v>
      </c>
      <c r="B600" s="13">
        <v>45866</v>
      </c>
      <c r="C600" t="s">
        <v>3032</v>
      </c>
      <c r="D600" t="s">
        <v>3037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3064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3066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3067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3068</v>
      </c>
    </row>
    <row r="606" spans="1:4" x14ac:dyDescent="0.3">
      <c r="A606">
        <v>630</v>
      </c>
      <c r="B606" s="13">
        <v>45867</v>
      </c>
      <c r="C606" t="s">
        <v>2918</v>
      </c>
      <c r="D606" t="s">
        <v>3069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3070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3071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3074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3075</v>
      </c>
    </row>
    <row r="611" spans="1:4" x14ac:dyDescent="0.3">
      <c r="A611">
        <v>635</v>
      </c>
      <c r="B611" s="13">
        <v>45868</v>
      </c>
      <c r="C611" t="s">
        <v>2791</v>
      </c>
      <c r="D611" t="s">
        <v>3076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3078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3079</v>
      </c>
    </row>
    <row r="614" spans="1:4" x14ac:dyDescent="0.3">
      <c r="A614">
        <v>638</v>
      </c>
      <c r="B614" s="13">
        <v>45868</v>
      </c>
      <c r="C614" t="s">
        <v>3080</v>
      </c>
      <c r="D614" t="s">
        <v>3084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3085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3088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3089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3090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3091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3092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3095</v>
      </c>
    </row>
    <row r="622" spans="1:4" x14ac:dyDescent="0.3">
      <c r="A622">
        <v>646</v>
      </c>
      <c r="B622" s="13">
        <v>45870</v>
      </c>
      <c r="C622" t="s">
        <v>3096</v>
      </c>
      <c r="D622" t="s">
        <v>3097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3098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3099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3103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3104</v>
      </c>
    </row>
    <row r="627" spans="1:4" x14ac:dyDescent="0.3">
      <c r="A627">
        <v>651</v>
      </c>
      <c r="B627" s="13">
        <v>45873</v>
      </c>
      <c r="C627" t="s">
        <v>2875</v>
      </c>
      <c r="D627" t="s">
        <v>3105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3106</v>
      </c>
    </row>
    <row r="629" spans="1:4" x14ac:dyDescent="0.3">
      <c r="A629">
        <v>653</v>
      </c>
      <c r="B629" s="13">
        <v>45873</v>
      </c>
      <c r="C629" t="s">
        <v>2875</v>
      </c>
      <c r="D629" t="s">
        <v>3107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3109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3110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3111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3112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3114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3115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3117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3130</v>
      </c>
    </row>
    <row r="641" spans="1:4" x14ac:dyDescent="0.3">
      <c r="A641">
        <v>665</v>
      </c>
      <c r="B641" s="13">
        <v>45875</v>
      </c>
      <c r="C641" t="s">
        <v>3123</v>
      </c>
      <c r="D641" t="s">
        <v>3135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3137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3138</v>
      </c>
    </row>
    <row r="644" spans="1:4" x14ac:dyDescent="0.3">
      <c r="A644">
        <v>668</v>
      </c>
      <c r="B644" s="13">
        <v>45875</v>
      </c>
      <c r="C644" t="s">
        <v>3139</v>
      </c>
      <c r="D644" t="s">
        <v>3140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3141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3143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3144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3148</v>
      </c>
    </row>
    <row r="649" spans="1:4" x14ac:dyDescent="0.3">
      <c r="A649">
        <v>673</v>
      </c>
      <c r="B649" s="13">
        <v>45876</v>
      </c>
      <c r="C649" t="s">
        <v>2785</v>
      </c>
      <c r="D649" t="s">
        <v>3149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3150</v>
      </c>
    </row>
    <row r="651" spans="1:4" x14ac:dyDescent="0.3">
      <c r="A651">
        <v>675</v>
      </c>
      <c r="B651" s="13">
        <v>45877</v>
      </c>
      <c r="C651" t="s">
        <v>3152</v>
      </c>
      <c r="D651" t="s">
        <v>3153</v>
      </c>
    </row>
    <row r="652" spans="1:4" x14ac:dyDescent="0.3">
      <c r="A652">
        <v>676</v>
      </c>
      <c r="B652" s="13">
        <v>45877</v>
      </c>
      <c r="C652" t="s">
        <v>3154</v>
      </c>
      <c r="D652" t="s">
        <v>3158</v>
      </c>
    </row>
    <row r="653" spans="1:4" x14ac:dyDescent="0.3">
      <c r="A653">
        <v>677</v>
      </c>
      <c r="B653" s="13">
        <v>45877</v>
      </c>
      <c r="C653" t="s">
        <v>3152</v>
      </c>
      <c r="D653" t="s">
        <v>3159</v>
      </c>
    </row>
    <row r="654" spans="1:4" x14ac:dyDescent="0.3">
      <c r="A654">
        <v>678</v>
      </c>
      <c r="B654" s="13">
        <v>45877</v>
      </c>
      <c r="C654" t="s">
        <v>3154</v>
      </c>
      <c r="D654" t="s">
        <v>3160</v>
      </c>
    </row>
    <row r="655" spans="1:4" x14ac:dyDescent="0.3">
      <c r="A655">
        <v>679</v>
      </c>
      <c r="B655" s="13">
        <v>45877</v>
      </c>
      <c r="C655" t="s">
        <v>3152</v>
      </c>
      <c r="D655" t="s">
        <v>3161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3163</v>
      </c>
    </row>
    <row r="657" spans="1:4" x14ac:dyDescent="0.3">
      <c r="A657">
        <v>681</v>
      </c>
      <c r="B657" s="13">
        <v>45878</v>
      </c>
      <c r="C657" t="s">
        <v>3164</v>
      </c>
      <c r="D657" t="s">
        <v>3165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3166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3167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3168</v>
      </c>
    </row>
    <row r="661" spans="1:4" x14ac:dyDescent="0.3">
      <c r="A661">
        <v>685</v>
      </c>
      <c r="B661" t="s">
        <v>3170</v>
      </c>
      <c r="C661" t="s">
        <v>1494</v>
      </c>
      <c r="D661" t="s">
        <v>3171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3172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3173</v>
      </c>
    </row>
    <row r="664" spans="1:4" x14ac:dyDescent="0.3">
      <c r="A664">
        <v>688</v>
      </c>
      <c r="B664" s="13">
        <v>45880</v>
      </c>
      <c r="C664" t="s">
        <v>2918</v>
      </c>
      <c r="D664" t="s">
        <v>3174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3175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3176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3177</v>
      </c>
    </row>
    <row r="668" spans="1:4" x14ac:dyDescent="0.3">
      <c r="A668">
        <v>692</v>
      </c>
      <c r="B668" s="13">
        <v>45881</v>
      </c>
      <c r="C668" t="s">
        <v>3000</v>
      </c>
      <c r="D668" t="s">
        <v>3179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3181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3182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3183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3185</v>
      </c>
    </row>
    <row r="674" spans="1:4" x14ac:dyDescent="0.3">
      <c r="A674">
        <v>698</v>
      </c>
      <c r="B674" s="13">
        <v>45882</v>
      </c>
      <c r="C674" t="s">
        <v>3189</v>
      </c>
      <c r="D674" t="s">
        <v>3193</v>
      </c>
    </row>
    <row r="675" spans="1:4" x14ac:dyDescent="0.3">
      <c r="A675">
        <v>699</v>
      </c>
      <c r="B675" s="13">
        <v>45882</v>
      </c>
      <c r="C675" t="s">
        <v>3186</v>
      </c>
      <c r="D675" t="s">
        <v>3195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3196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3198</v>
      </c>
    </row>
    <row r="678" spans="1:4" x14ac:dyDescent="0.3">
      <c r="A678">
        <v>702</v>
      </c>
      <c r="B678" s="13">
        <v>45883</v>
      </c>
      <c r="C678" t="s">
        <v>987</v>
      </c>
      <c r="D678" t="s">
        <v>3200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3201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3203</v>
      </c>
    </row>
    <row r="681" spans="1:4" x14ac:dyDescent="0.3">
      <c r="A681">
        <v>705</v>
      </c>
      <c r="B681" s="13">
        <v>45883</v>
      </c>
      <c r="C681" t="s">
        <v>3204</v>
      </c>
      <c r="D681" t="s">
        <v>3206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3207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3208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3211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3212</v>
      </c>
    </row>
    <row r="686" spans="1:4" x14ac:dyDescent="0.3">
      <c r="A686">
        <v>710</v>
      </c>
      <c r="B686" s="13">
        <v>45884</v>
      </c>
      <c r="C686" t="s">
        <v>3213</v>
      </c>
      <c r="D686" t="s">
        <v>3216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3217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3218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3222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3223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3224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3227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3228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3229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3231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3233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3235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3237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3238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3239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3240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3242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3244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3245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3246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3248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3249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3251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3252</v>
      </c>
    </row>
    <row r="710" spans="1:4" x14ac:dyDescent="0.3">
      <c r="A710">
        <v>734</v>
      </c>
      <c r="B710" s="13">
        <v>45890</v>
      </c>
      <c r="C710" t="s">
        <v>2918</v>
      </c>
      <c r="D710" t="s">
        <v>3253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3254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3255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3257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3260</v>
      </c>
    </row>
    <row r="715" spans="1:4" x14ac:dyDescent="0.3">
      <c r="A715">
        <v>739</v>
      </c>
      <c r="B715" s="13">
        <v>45890</v>
      </c>
      <c r="C715" t="s">
        <v>3123</v>
      </c>
      <c r="D715" t="s">
        <v>3261</v>
      </c>
    </row>
    <row r="716" spans="1:4" x14ac:dyDescent="0.3">
      <c r="A716">
        <v>740</v>
      </c>
      <c r="B716" s="13">
        <v>45891</v>
      </c>
      <c r="C716" t="s">
        <v>2860</v>
      </c>
      <c r="D716" t="s">
        <v>3263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3265</v>
      </c>
    </row>
    <row r="718" spans="1:4" x14ac:dyDescent="0.3">
      <c r="A718">
        <v>742</v>
      </c>
      <c r="B718" s="13">
        <v>45891</v>
      </c>
      <c r="C718" t="s">
        <v>3266</v>
      </c>
      <c r="D718" t="s">
        <v>3270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3271</v>
      </c>
    </row>
    <row r="720" spans="1:4" x14ac:dyDescent="0.3">
      <c r="A720">
        <v>744</v>
      </c>
      <c r="B720" s="13">
        <v>45891</v>
      </c>
      <c r="C720" t="s">
        <v>3272</v>
      </c>
      <c r="D720" t="s">
        <v>3275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3277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3282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3283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3284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3285</v>
      </c>
    </row>
    <row r="726" spans="1:4" x14ac:dyDescent="0.3">
      <c r="A726">
        <v>750</v>
      </c>
      <c r="B726" s="13">
        <v>45894</v>
      </c>
      <c r="C726" t="s">
        <v>3123</v>
      </c>
      <c r="D726" t="s">
        <v>3289</v>
      </c>
    </row>
    <row r="727" spans="1:4" x14ac:dyDescent="0.3">
      <c r="A727">
        <v>751</v>
      </c>
      <c r="B727" s="13">
        <v>45894</v>
      </c>
      <c r="C727" t="s">
        <v>2918</v>
      </c>
      <c r="D727" t="s">
        <v>3290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3291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3292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3293</v>
      </c>
    </row>
    <row r="731" spans="1:4" x14ac:dyDescent="0.3">
      <c r="A731">
        <v>755</v>
      </c>
      <c r="B731" s="13">
        <v>45894</v>
      </c>
      <c r="C731" t="s">
        <v>3294</v>
      </c>
      <c r="D731" t="s">
        <v>3298</v>
      </c>
    </row>
    <row r="732" spans="1:4" x14ac:dyDescent="0.3">
      <c r="A732">
        <v>756</v>
      </c>
      <c r="B732" s="13">
        <v>45894</v>
      </c>
      <c r="C732" t="s">
        <v>3294</v>
      </c>
      <c r="D732" t="s">
        <v>3299</v>
      </c>
    </row>
    <row r="733" spans="1:4" x14ac:dyDescent="0.3">
      <c r="A733">
        <v>757</v>
      </c>
      <c r="B733" s="13">
        <v>45894</v>
      </c>
      <c r="C733" t="s">
        <v>987</v>
      </c>
      <c r="D733" t="s">
        <v>3300</v>
      </c>
    </row>
    <row r="734" spans="1:4" x14ac:dyDescent="0.3">
      <c r="A734">
        <v>758</v>
      </c>
      <c r="B734" s="13">
        <v>45894</v>
      </c>
      <c r="C734" t="s">
        <v>2410</v>
      </c>
      <c r="D734" t="s">
        <v>3302</v>
      </c>
    </row>
    <row r="735" spans="1:4" x14ac:dyDescent="0.3">
      <c r="A735">
        <v>759</v>
      </c>
      <c r="B735" s="13">
        <v>45894</v>
      </c>
      <c r="C735" t="s">
        <v>2306</v>
      </c>
      <c r="D735" t="s">
        <v>3303</v>
      </c>
    </row>
    <row r="736" spans="1:4" x14ac:dyDescent="0.3">
      <c r="A736">
        <v>760</v>
      </c>
      <c r="B736" s="13">
        <v>45894</v>
      </c>
      <c r="C736" t="s">
        <v>1577</v>
      </c>
      <c r="D736" t="s">
        <v>3304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3305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3306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3310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3311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3312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3314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3315</v>
      </c>
    </row>
    <row r="744" spans="1:4" x14ac:dyDescent="0.3">
      <c r="A744">
        <v>768</v>
      </c>
      <c r="B744" s="13">
        <v>45895</v>
      </c>
      <c r="C744" t="s">
        <v>2860</v>
      </c>
      <c r="D744" t="s">
        <v>3318</v>
      </c>
    </row>
    <row r="745" spans="1:4" x14ac:dyDescent="0.3">
      <c r="A745">
        <v>769</v>
      </c>
      <c r="B745" s="13">
        <v>45895</v>
      </c>
      <c r="C745" t="s">
        <v>2860</v>
      </c>
      <c r="D745" t="s">
        <v>3319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3323</v>
      </c>
    </row>
    <row r="747" spans="1:4" x14ac:dyDescent="0.3">
      <c r="A747">
        <v>771</v>
      </c>
      <c r="B747" s="13">
        <v>45896</v>
      </c>
      <c r="C747" t="s">
        <v>3118</v>
      </c>
      <c r="D747" t="s">
        <v>3325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3326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3327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3328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3336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3337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3338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3339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3340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3341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3342</v>
      </c>
    </row>
    <row r="758" spans="1:4" x14ac:dyDescent="0.3">
      <c r="A758">
        <v>782</v>
      </c>
      <c r="B758" s="13">
        <v>45898</v>
      </c>
      <c r="C758" t="s">
        <v>3000</v>
      </c>
      <c r="D758" t="s">
        <v>3347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3348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3349</v>
      </c>
    </row>
    <row r="761" spans="1:4" x14ac:dyDescent="0.3">
      <c r="A761">
        <v>785</v>
      </c>
      <c r="B761" s="13">
        <v>45898</v>
      </c>
      <c r="C761" t="s">
        <v>3204</v>
      </c>
      <c r="D761" t="s">
        <v>3350</v>
      </c>
    </row>
    <row r="762" spans="1:4" x14ac:dyDescent="0.3">
      <c r="A762">
        <v>786</v>
      </c>
      <c r="B762" s="13">
        <v>45899</v>
      </c>
      <c r="C762" t="s">
        <v>2871</v>
      </c>
      <c r="D762" t="s">
        <v>3351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3352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3359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3360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3361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3362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3363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3364</v>
      </c>
    </row>
    <row r="770" spans="1:4" x14ac:dyDescent="0.3">
      <c r="A770">
        <v>794</v>
      </c>
      <c r="B770" s="13">
        <v>45901</v>
      </c>
      <c r="C770" t="s">
        <v>2764</v>
      </c>
      <c r="D770" t="s">
        <v>3365</v>
      </c>
    </row>
    <row r="771" spans="1:4" x14ac:dyDescent="0.3">
      <c r="A771">
        <v>795</v>
      </c>
      <c r="B771" s="13">
        <v>45901</v>
      </c>
      <c r="C771" t="s">
        <v>3353</v>
      </c>
      <c r="D771" t="s">
        <v>3366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3367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3371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3372</v>
      </c>
    </row>
    <row r="775" spans="1:4" x14ac:dyDescent="0.3">
      <c r="A775">
        <v>799</v>
      </c>
      <c r="B775" s="13">
        <v>45902</v>
      </c>
      <c r="C775" t="s">
        <v>3000</v>
      </c>
      <c r="D775" t="s">
        <v>3373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3374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3375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3377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3378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3379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3380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3381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3383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3385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3388</v>
      </c>
    </row>
    <row r="786" spans="1:4" x14ac:dyDescent="0.3">
      <c r="A786">
        <v>810</v>
      </c>
      <c r="B786" s="13">
        <v>45903</v>
      </c>
      <c r="C786" t="s">
        <v>3294</v>
      </c>
      <c r="D786" t="s">
        <v>3389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3393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3394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3398</v>
      </c>
    </row>
    <row r="790" spans="1:4" x14ac:dyDescent="0.3">
      <c r="A790">
        <v>814</v>
      </c>
      <c r="B790" s="13">
        <v>45903</v>
      </c>
      <c r="C790" t="s">
        <v>3395</v>
      </c>
      <c r="D790" t="s">
        <v>3399</v>
      </c>
    </row>
    <row r="791" spans="1:4" x14ac:dyDescent="0.3">
      <c r="A791">
        <v>815</v>
      </c>
      <c r="B791" s="13">
        <v>45903</v>
      </c>
      <c r="C791" t="s">
        <v>1747</v>
      </c>
      <c r="D791" t="s">
        <v>3400</v>
      </c>
    </row>
    <row r="792" spans="1:4" x14ac:dyDescent="0.3">
      <c r="A792">
        <v>816</v>
      </c>
      <c r="B792" s="13">
        <v>45903</v>
      </c>
      <c r="C792" t="s">
        <v>2319</v>
      </c>
      <c r="D792" t="s">
        <v>3401</v>
      </c>
    </row>
    <row r="793" spans="1:4" x14ac:dyDescent="0.3">
      <c r="A793">
        <v>817</v>
      </c>
      <c r="B793" s="13">
        <v>45903</v>
      </c>
      <c r="C793" t="s">
        <v>1847</v>
      </c>
      <c r="D793" t="s">
        <v>3403</v>
      </c>
    </row>
    <row r="794" spans="1:4" x14ac:dyDescent="0.3">
      <c r="A794">
        <v>818</v>
      </c>
      <c r="B794" s="13">
        <v>45903</v>
      </c>
      <c r="C794" t="s">
        <v>1747</v>
      </c>
      <c r="D794" t="s">
        <v>3405</v>
      </c>
    </row>
    <row r="795" spans="1:4" x14ac:dyDescent="0.3">
      <c r="A795">
        <v>819</v>
      </c>
      <c r="B795" s="13">
        <v>45899</v>
      </c>
      <c r="C795" t="s">
        <v>1747</v>
      </c>
      <c r="D795" t="s">
        <v>3406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3415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3416</v>
      </c>
    </row>
    <row r="798" spans="1:4" x14ac:dyDescent="0.3">
      <c r="A798">
        <v>822</v>
      </c>
      <c r="B798" s="13">
        <v>45904</v>
      </c>
      <c r="C798" t="s">
        <v>2918</v>
      </c>
      <c r="D798" t="s">
        <v>3417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3418</v>
      </c>
    </row>
    <row r="800" spans="1:4" x14ac:dyDescent="0.3">
      <c r="A800">
        <v>824</v>
      </c>
      <c r="B800" s="13">
        <v>45904</v>
      </c>
      <c r="C800" t="s">
        <v>3411</v>
      </c>
      <c r="D800" t="s">
        <v>3419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3422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3423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3424</v>
      </c>
    </row>
    <row r="804" spans="1:4" x14ac:dyDescent="0.3">
      <c r="A804">
        <v>828</v>
      </c>
      <c r="B804" s="13">
        <v>45904</v>
      </c>
      <c r="C804" t="s">
        <v>3404</v>
      </c>
      <c r="D804" t="s">
        <v>3425</v>
      </c>
    </row>
    <row r="805" spans="1:4" x14ac:dyDescent="0.3">
      <c r="A805">
        <v>829</v>
      </c>
      <c r="B805" s="13">
        <v>45904</v>
      </c>
      <c r="C805" t="s">
        <v>3404</v>
      </c>
      <c r="D805" t="s">
        <v>3426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3427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3428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3429</v>
      </c>
    </row>
    <row r="809" spans="1:4" x14ac:dyDescent="0.3">
      <c r="A809">
        <v>833</v>
      </c>
      <c r="B809" s="13">
        <v>45904</v>
      </c>
      <c r="C809" t="s">
        <v>3411</v>
      </c>
      <c r="D809" t="s">
        <v>3430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3431</v>
      </c>
    </row>
    <row r="811" spans="1:4" x14ac:dyDescent="0.3">
      <c r="A811">
        <v>835</v>
      </c>
      <c r="B811" s="13">
        <v>45904</v>
      </c>
      <c r="C811" t="s">
        <v>2918</v>
      </c>
      <c r="D811" t="s">
        <v>3432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3433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3434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3441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3442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3444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3445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3447</v>
      </c>
    </row>
    <row r="819" spans="1:4" x14ac:dyDescent="0.3">
      <c r="A819">
        <v>843</v>
      </c>
      <c r="B819" s="13">
        <v>45905</v>
      </c>
      <c r="C819" t="s">
        <v>3152</v>
      </c>
      <c r="D819" t="s">
        <v>3448</v>
      </c>
    </row>
    <row r="820" spans="1:4" x14ac:dyDescent="0.3">
      <c r="A820">
        <v>844</v>
      </c>
      <c r="B820" s="13">
        <v>45905</v>
      </c>
      <c r="C820" t="s">
        <v>3449</v>
      </c>
      <c r="D820" t="s">
        <v>3450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3451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3463</v>
      </c>
    </row>
    <row r="823" spans="1:4" x14ac:dyDescent="0.3">
      <c r="A823">
        <v>847</v>
      </c>
      <c r="B823" s="13">
        <v>45906</v>
      </c>
      <c r="C823" t="s">
        <v>3464</v>
      </c>
      <c r="D823" t="s">
        <v>3473</v>
      </c>
    </row>
    <row r="824" spans="1:4" x14ac:dyDescent="0.3">
      <c r="A824">
        <v>848</v>
      </c>
      <c r="B824" s="13">
        <v>45906</v>
      </c>
      <c r="C824" t="s">
        <v>3000</v>
      </c>
      <c r="D824" t="s">
        <v>3475</v>
      </c>
    </row>
    <row r="825" spans="1:4" x14ac:dyDescent="0.3">
      <c r="A825">
        <v>849</v>
      </c>
      <c r="B825" s="13">
        <v>45906</v>
      </c>
      <c r="C825" t="s">
        <v>3467</v>
      </c>
      <c r="D825" t="s">
        <v>3477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3479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3480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3481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3482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3485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3486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3487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3488</v>
      </c>
    </row>
    <row r="834" spans="1:4" x14ac:dyDescent="0.3">
      <c r="A834">
        <v>858</v>
      </c>
      <c r="B834" s="13">
        <v>45909</v>
      </c>
      <c r="C834" t="s">
        <v>2625</v>
      </c>
      <c r="D834" t="s">
        <v>3502</v>
      </c>
    </row>
    <row r="835" spans="1:4" x14ac:dyDescent="0.3">
      <c r="A835">
        <v>859</v>
      </c>
      <c r="B835" s="13">
        <v>45909</v>
      </c>
      <c r="C835" t="s">
        <v>2410</v>
      </c>
      <c r="D835" t="s">
        <v>3503</v>
      </c>
    </row>
    <row r="836" spans="1:4" x14ac:dyDescent="0.3">
      <c r="A836">
        <v>860</v>
      </c>
      <c r="B836" s="13">
        <v>45909</v>
      </c>
      <c r="C836" t="s">
        <v>987</v>
      </c>
      <c r="D836" t="s">
        <v>3504</v>
      </c>
    </row>
    <row r="837" spans="1:4" x14ac:dyDescent="0.3">
      <c r="A837">
        <v>861</v>
      </c>
      <c r="B837" s="13">
        <v>45909</v>
      </c>
      <c r="C837" t="s">
        <v>2467</v>
      </c>
      <c r="D837" t="s">
        <v>3505</v>
      </c>
    </row>
    <row r="838" spans="1:4" x14ac:dyDescent="0.3">
      <c r="A838">
        <v>862</v>
      </c>
      <c r="B838" s="13">
        <v>45909</v>
      </c>
      <c r="C838" t="s">
        <v>1867</v>
      </c>
      <c r="D838" t="s">
        <v>3506</v>
      </c>
    </row>
    <row r="839" spans="1:4" x14ac:dyDescent="0.3">
      <c r="A839">
        <v>863</v>
      </c>
      <c r="B839" s="13">
        <v>45910</v>
      </c>
      <c r="C839" t="s">
        <v>1449</v>
      </c>
      <c r="D839" t="s">
        <v>3507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3508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3509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3512</v>
      </c>
    </row>
    <row r="843" spans="1:4" x14ac:dyDescent="0.3">
      <c r="A843">
        <v>867</v>
      </c>
      <c r="B843" s="13">
        <v>45910</v>
      </c>
      <c r="C843" t="s">
        <v>3510</v>
      </c>
      <c r="D843" t="s">
        <v>3516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3517</v>
      </c>
    </row>
    <row r="845" spans="1:4" x14ac:dyDescent="0.3">
      <c r="A845">
        <v>869</v>
      </c>
      <c r="B845" s="13">
        <v>45910</v>
      </c>
      <c r="C845" t="s">
        <v>3395</v>
      </c>
      <c r="D845" t="s">
        <v>3518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3519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3520</v>
      </c>
    </row>
    <row r="848" spans="1:4" x14ac:dyDescent="0.3">
      <c r="A848">
        <v>872</v>
      </c>
      <c r="B848" s="13">
        <v>45910</v>
      </c>
      <c r="C848" t="s">
        <v>2785</v>
      </c>
      <c r="D848" t="s">
        <v>3521</v>
      </c>
    </row>
    <row r="849" spans="1:4" x14ac:dyDescent="0.3">
      <c r="A849">
        <v>873</v>
      </c>
      <c r="B849" s="13">
        <v>45910</v>
      </c>
      <c r="C849" t="s">
        <v>2785</v>
      </c>
      <c r="D849" t="s">
        <v>3522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3523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3524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3525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3532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3533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3534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3535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3536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3539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3540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3541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3542</v>
      </c>
    </row>
    <row r="862" spans="1:4" x14ac:dyDescent="0.3">
      <c r="A862">
        <v>886</v>
      </c>
      <c r="B862" s="13">
        <v>45911</v>
      </c>
      <c r="C862" t="s">
        <v>3118</v>
      </c>
      <c r="D862" t="s">
        <v>3543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3545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3546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3547</v>
      </c>
    </row>
    <row r="866" spans="1:4" x14ac:dyDescent="0.3">
      <c r="A866">
        <v>890</v>
      </c>
      <c r="B866" s="13">
        <v>45912</v>
      </c>
      <c r="C866" t="s">
        <v>2918</v>
      </c>
      <c r="D866" t="s">
        <v>3548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3550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3551</v>
      </c>
    </row>
    <row r="869" spans="1:4" x14ac:dyDescent="0.3">
      <c r="A869">
        <v>893</v>
      </c>
      <c r="B869" s="13">
        <v>45912</v>
      </c>
      <c r="C869" t="s">
        <v>3552</v>
      </c>
      <c r="D869" t="s">
        <v>3553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3556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3559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3560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3561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3562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3563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3564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3566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3568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3569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3571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3572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3573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3574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3575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3576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3577</v>
      </c>
    </row>
    <row r="887" spans="1:4" x14ac:dyDescent="0.3">
      <c r="A887">
        <v>911</v>
      </c>
      <c r="B887" s="13">
        <v>45917</v>
      </c>
      <c r="C887" t="s">
        <v>3583</v>
      </c>
      <c r="D887" t="s">
        <v>3590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3591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3592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3594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3595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3596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3597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3609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3610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3611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3612</v>
      </c>
    </row>
    <row r="898" spans="1:4" x14ac:dyDescent="0.3">
      <c r="A898">
        <v>922</v>
      </c>
      <c r="B898" s="13">
        <v>45918</v>
      </c>
      <c r="C898" t="s">
        <v>3123</v>
      </c>
      <c r="D898" t="s">
        <v>3614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3615</v>
      </c>
    </row>
    <row r="900" spans="1:4" x14ac:dyDescent="0.3">
      <c r="A900">
        <v>924</v>
      </c>
      <c r="B900" s="13">
        <v>45918</v>
      </c>
      <c r="C900" t="s">
        <v>3456</v>
      </c>
      <c r="D900" t="s">
        <v>3616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3617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3618</v>
      </c>
    </row>
    <row r="903" spans="1:4" x14ac:dyDescent="0.3">
      <c r="A903">
        <v>927</v>
      </c>
      <c r="B903" s="13">
        <v>45918</v>
      </c>
      <c r="C903" t="s">
        <v>2811</v>
      </c>
      <c r="D903" t="s">
        <v>3619</v>
      </c>
    </row>
    <row r="904" spans="1:4" x14ac:dyDescent="0.3">
      <c r="A904">
        <v>928</v>
      </c>
      <c r="B904" s="13">
        <v>45918</v>
      </c>
      <c r="C904" t="s">
        <v>3118</v>
      </c>
      <c r="D904" t="s">
        <v>3620</v>
      </c>
    </row>
    <row r="905" spans="1:4" x14ac:dyDescent="0.3">
      <c r="A905">
        <v>929</v>
      </c>
      <c r="B905" s="13">
        <v>45918</v>
      </c>
      <c r="C905" t="s">
        <v>2706</v>
      </c>
      <c r="D905" t="s">
        <v>3621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3622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3629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3630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3631</v>
      </c>
    </row>
    <row r="910" spans="1:4" x14ac:dyDescent="0.3">
      <c r="A910">
        <v>934</v>
      </c>
      <c r="B910" s="13">
        <v>45919</v>
      </c>
      <c r="C910" t="s">
        <v>2744</v>
      </c>
      <c r="D910" t="s">
        <v>3633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3641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3646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3647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3648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3649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3650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3651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3652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3657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3659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3660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3661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3662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3663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3664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3666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3668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3675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3677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3678</v>
      </c>
    </row>
    <row r="931" spans="1:4" x14ac:dyDescent="0.3">
      <c r="A931">
        <v>955</v>
      </c>
      <c r="B931" s="13">
        <v>45924</v>
      </c>
      <c r="C931" t="s">
        <v>2744</v>
      </c>
      <c r="D931" t="s">
        <v>3679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3680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3728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3729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3730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3731</v>
      </c>
    </row>
    <row r="937" spans="1:4" x14ac:dyDescent="0.3">
      <c r="A937">
        <v>961</v>
      </c>
      <c r="B937" s="13">
        <v>45926</v>
      </c>
      <c r="C937" t="s">
        <v>3732</v>
      </c>
      <c r="D937" t="s">
        <v>3734</v>
      </c>
    </row>
    <row r="938" spans="1:4" x14ac:dyDescent="0.3">
      <c r="A938">
        <v>962</v>
      </c>
      <c r="B938" s="13">
        <v>45927</v>
      </c>
      <c r="C938" t="s">
        <v>3735</v>
      </c>
      <c r="D938" t="s">
        <v>3739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3742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3747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3753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3755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3756</v>
      </c>
    </row>
    <row r="944" spans="1:4" x14ac:dyDescent="0.3">
      <c r="A944">
        <v>968</v>
      </c>
      <c r="B944" s="13">
        <v>45929</v>
      </c>
      <c r="C944" t="s">
        <v>2860</v>
      </c>
      <c r="D944" t="s">
        <v>3757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3758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3760</v>
      </c>
    </row>
    <row r="947" spans="1:4" x14ac:dyDescent="0.3">
      <c r="A947">
        <v>971</v>
      </c>
      <c r="B947" s="13">
        <v>45929</v>
      </c>
      <c r="C947" t="s">
        <v>3272</v>
      </c>
      <c r="D947" t="s">
        <v>3762</v>
      </c>
    </row>
    <row r="948" spans="1:4" x14ac:dyDescent="0.3">
      <c r="A948">
        <v>972</v>
      </c>
      <c r="B948" s="13">
        <v>45929</v>
      </c>
      <c r="C948" t="s">
        <v>3467</v>
      </c>
      <c r="D948" t="s">
        <v>3764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3765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3766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3767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3768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3769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3780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3781</v>
      </c>
    </row>
    <row r="956" spans="1:4" x14ac:dyDescent="0.3">
      <c r="A956">
        <v>980</v>
      </c>
      <c r="B956" s="13">
        <v>45930</v>
      </c>
      <c r="C956" t="s">
        <v>2625</v>
      </c>
      <c r="D956" t="s">
        <v>3783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3784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3785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3786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3787</v>
      </c>
    </row>
    <row r="961" spans="1:4" x14ac:dyDescent="0.3">
      <c r="A961">
        <v>985</v>
      </c>
      <c r="B961" s="13">
        <v>45930</v>
      </c>
      <c r="C961" t="s">
        <v>3772</v>
      </c>
      <c r="D961" t="s">
        <v>3788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3823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3824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3825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3826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3828</v>
      </c>
    </row>
    <row r="967" spans="1:4" x14ac:dyDescent="0.3">
      <c r="A967">
        <v>991</v>
      </c>
      <c r="B967" s="13">
        <v>45931</v>
      </c>
      <c r="C967" t="s">
        <v>3829</v>
      </c>
      <c r="D967" t="s">
        <v>3830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3835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3836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3841</v>
      </c>
    </row>
    <row r="971" spans="1:4" x14ac:dyDescent="0.3">
      <c r="A971">
        <v>995</v>
      </c>
      <c r="B971" s="13">
        <v>45932</v>
      </c>
      <c r="C971" t="s">
        <v>3832</v>
      </c>
      <c r="D971" t="s">
        <v>3843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3844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3850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3853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3854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3856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3857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3862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3868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3869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3870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3872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3873</v>
      </c>
    </row>
    <row r="984" spans="1:4" x14ac:dyDescent="0.3">
      <c r="A984">
        <v>1008</v>
      </c>
      <c r="B984" s="13">
        <v>45940</v>
      </c>
      <c r="C984" t="s">
        <v>3404</v>
      </c>
      <c r="D984" t="s">
        <v>3874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3875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3876</v>
      </c>
    </row>
    <row r="987" spans="1:4" x14ac:dyDescent="0.3">
      <c r="A987">
        <v>1011</v>
      </c>
      <c r="B987" s="13">
        <v>45940</v>
      </c>
      <c r="C987" t="s">
        <v>3829</v>
      </c>
      <c r="D987" t="s">
        <v>3877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3878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3879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3889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3890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189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637999.60000000149</v>
      </c>
      <c r="I2" s="194" t="s">
        <v>3880</v>
      </c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3653</v>
      </c>
      <c r="E4" t="s">
        <v>3654</v>
      </c>
      <c r="F4" t="s">
        <v>963</v>
      </c>
      <c r="G4" t="s">
        <v>3655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1220000</v>
      </c>
      <c r="I10" s="52" t="s">
        <v>3880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963</v>
      </c>
      <c r="G11" t="s">
        <v>3005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3330</v>
      </c>
      <c r="F13" t="s">
        <v>32</v>
      </c>
      <c r="G13" t="s">
        <v>3320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3810</v>
      </c>
      <c r="F14" t="s">
        <v>3805</v>
      </c>
      <c r="G14" t="s">
        <v>3811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15502000.199999999</v>
      </c>
      <c r="I17" s="52" t="s">
        <v>3880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I19" s="52" t="s">
        <v>3880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8799999.6999999993</v>
      </c>
      <c r="I20" s="52" t="s">
        <v>3880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3209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3396</v>
      </c>
      <c r="E24" t="s">
        <v>3397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3530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2050000</v>
      </c>
      <c r="I31" s="52" t="s">
        <v>3880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3331</v>
      </c>
      <c r="E33" t="s">
        <v>3332</v>
      </c>
      <c r="F33" t="s">
        <v>3333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3628</v>
      </c>
      <c r="J33" t="s">
        <v>3628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1800000</v>
      </c>
      <c r="I37" s="52" t="s">
        <v>3880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3819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-9.999999962747097E-2</v>
      </c>
      <c r="I38" s="52" t="s">
        <v>3489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3771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3530</v>
      </c>
    </row>
    <row r="44" spans="1:10" x14ac:dyDescent="0.3">
      <c r="A44" s="47">
        <v>43</v>
      </c>
      <c r="B44" t="s">
        <v>1308</v>
      </c>
      <c r="C44" t="s">
        <v>2646</v>
      </c>
      <c r="E44" t="s">
        <v>2647</v>
      </c>
      <c r="F44" t="s">
        <v>963</v>
      </c>
      <c r="G44" t="s">
        <v>2648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1429000</v>
      </c>
      <c r="I50" s="52" t="s">
        <v>3880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1789</v>
      </c>
      <c r="E54" t="s">
        <v>2628</v>
      </c>
      <c r="F54" t="s">
        <v>32</v>
      </c>
      <c r="G54" t="s">
        <v>2629</v>
      </c>
      <c r="H54" s="194">
        <f>SUMIF(주문_리스트!C:C,거래처!B54,주문_리스트!K:K)+SUMIF(주문_리스트!C:C,거래처!B54,주문_리스트!L:L)-4015000</f>
        <v>0</v>
      </c>
      <c r="I54" s="52" t="s">
        <v>3771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3276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2622</v>
      </c>
      <c r="G65" t="s">
        <v>2623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3578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3578</v>
      </c>
    </row>
    <row r="73" spans="1:10" x14ac:dyDescent="0.3">
      <c r="A73" s="47">
        <v>72</v>
      </c>
      <c r="B73" t="s">
        <v>1488</v>
      </c>
      <c r="C73" t="s">
        <v>1489</v>
      </c>
      <c r="E73" t="s">
        <v>3804</v>
      </c>
      <c r="F73" t="s">
        <v>3805</v>
      </c>
      <c r="G73" t="s">
        <v>3806</v>
      </c>
      <c r="H73" s="194">
        <f>SUMIF(주문_리스트!C:C,거래처!B73,주문_리스트!K:K)+SUMIF(주문_리스트!C:C,거래처!B73,주문_리스트!L:L)-3100000+1500000</f>
        <v>0</v>
      </c>
      <c r="I73" s="52" t="s">
        <v>3345</v>
      </c>
      <c r="J73" t="s">
        <v>3370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3865</v>
      </c>
      <c r="H74" s="194">
        <f>SUMIF(주문_리스트!C:C,거래처!B74,주문_리스트!K:K)+SUMIF(주문_리스트!C:C,거래처!B74,주문_리스트!L:L)-1500000</f>
        <v>1550000</v>
      </c>
      <c r="I74" s="52" t="s">
        <v>3880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1335</v>
      </c>
      <c r="C78" t="s">
        <v>3412</v>
      </c>
      <c r="E78" t="s">
        <v>3413</v>
      </c>
      <c r="F78" t="s">
        <v>963</v>
      </c>
      <c r="G78" t="s">
        <v>3414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755000</v>
      </c>
      <c r="I79" s="52" t="s">
        <v>3880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3386</v>
      </c>
      <c r="E82" t="s">
        <v>3387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3093</v>
      </c>
      <c r="K82" t="s">
        <v>3407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3817</v>
      </c>
      <c r="F84" t="s">
        <v>3805</v>
      </c>
      <c r="G84" t="s">
        <v>3818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3880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3771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2949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  <c r="I94" s="52" t="s">
        <v>3880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3812</v>
      </c>
      <c r="F95" t="s">
        <v>3805</v>
      </c>
      <c r="G95" t="s">
        <v>3813</v>
      </c>
      <c r="H95" s="194">
        <f>SUMIF(주문_리스트!C:C,거래처!B95,주문_리스트!K:K)+SUMIF(주문_리스트!C:C,거래처!B95,주문_리스트!L:L)-715000</f>
        <v>0</v>
      </c>
      <c r="I95" s="52" t="s">
        <v>3578</v>
      </c>
    </row>
    <row r="96" spans="1:11" x14ac:dyDescent="0.3">
      <c r="A96" s="47">
        <v>95</v>
      </c>
      <c r="B96" t="s">
        <v>1352</v>
      </c>
      <c r="C96" t="s">
        <v>3606</v>
      </c>
      <c r="E96" t="s">
        <v>3607</v>
      </c>
      <c r="F96" t="s">
        <v>963</v>
      </c>
      <c r="G96" t="s">
        <v>3608</v>
      </c>
      <c r="H96" s="194">
        <f>SUMIF(주문_리스트!C:C,거래처!B96,주문_리스트!K:K)+SUMIF(주문_리스트!C:C,거래처!B96,주문_리스트!L:L)</f>
        <v>3600000</v>
      </c>
      <c r="I96" s="52" t="s">
        <v>3880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987000</v>
      </c>
      <c r="I97" s="52" t="s">
        <v>3880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3501</v>
      </c>
      <c r="H99" s="194">
        <f>SUMIF(주문_리스트!C:C,거래처!B99,주문_리스트!K:K)+SUMIF(주문_리스트!C:C,거래처!B99,주문_리스트!L:L)</f>
        <v>0</v>
      </c>
      <c r="I99" s="52" t="s">
        <v>3656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3578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3530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3860</v>
      </c>
      <c r="H106" s="194">
        <f>SUMIF(주문_리스트!C:C,거래처!B106,주문_리스트!K:K)+SUMIF(주문_리스트!C:C,거래처!B106,주문_리스트!L:L)</f>
        <v>0</v>
      </c>
      <c r="J106" t="s">
        <v>3884</v>
      </c>
    </row>
    <row r="107" spans="1:10" x14ac:dyDescent="0.3">
      <c r="A107" s="47">
        <v>106</v>
      </c>
      <c r="B107" t="s">
        <v>3131</v>
      </c>
      <c r="C107" t="s">
        <v>3132</v>
      </c>
      <c r="E107" t="s">
        <v>3133</v>
      </c>
      <c r="F107" t="s">
        <v>963</v>
      </c>
      <c r="G107" t="s">
        <v>3134</v>
      </c>
      <c r="H107" s="194">
        <f>SUMIF(주문_리스트!C:C,거래처!B107,주문_리스트!K:K)+SUMIF(주문_리스트!C:C,거래처!B107,주문_리스트!L:L)-450000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3400000</v>
      </c>
      <c r="I109" s="52" t="s">
        <v>3880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3656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3628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650000</v>
      </c>
      <c r="I116" s="52" t="s">
        <v>3880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2865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150000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3100</v>
      </c>
      <c r="E126" t="s">
        <v>3101</v>
      </c>
      <c r="F126" t="s">
        <v>963</v>
      </c>
      <c r="G126" t="s">
        <v>3102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2786</v>
      </c>
      <c r="C132" t="s">
        <v>2787</v>
      </c>
      <c r="E132" t="s">
        <v>2788</v>
      </c>
      <c r="F132" t="s">
        <v>2789</v>
      </c>
      <c r="G132" t="s">
        <v>2790</v>
      </c>
      <c r="H132" s="194">
        <f>SUMIF(주문_리스트!C:C,거래처!B132,주문_리스트!K:K)+SUMIF(주문_리스트!C:C,거래처!B132,주문_리스트!L:L)</f>
        <v>0</v>
      </c>
      <c r="I132" s="52" t="s">
        <v>3530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3309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3628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2759</v>
      </c>
      <c r="C138" t="s">
        <v>2760</v>
      </c>
      <c r="E138" t="s">
        <v>2761</v>
      </c>
      <c r="F138" t="s">
        <v>2762</v>
      </c>
      <c r="G138" t="s">
        <v>2763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2472</v>
      </c>
      <c r="C145" t="s">
        <v>2950</v>
      </c>
      <c r="E145" t="s">
        <v>2951</v>
      </c>
      <c r="F145" t="s">
        <v>963</v>
      </c>
      <c r="G145" t="s">
        <v>2952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150000</v>
      </c>
      <c r="J146" t="s">
        <v>3886</v>
      </c>
    </row>
    <row r="147" spans="1:10" x14ac:dyDescent="0.3">
      <c r="A147" s="47">
        <v>146</v>
      </c>
      <c r="B147" t="s">
        <v>2679</v>
      </c>
      <c r="C147" t="s">
        <v>2677</v>
      </c>
      <c r="E147" t="s">
        <v>2678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2561</v>
      </c>
      <c r="C148" t="s">
        <v>2562</v>
      </c>
      <c r="E148" t="s">
        <v>3807</v>
      </c>
      <c r="F148" t="s">
        <v>3808</v>
      </c>
      <c r="G148" t="s">
        <v>3809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2635</v>
      </c>
      <c r="C149" t="s">
        <v>2636</v>
      </c>
      <c r="D149" t="s">
        <v>2637</v>
      </c>
      <c r="E149" t="s">
        <v>2638</v>
      </c>
      <c r="F149" t="s">
        <v>32</v>
      </c>
      <c r="G149" t="s">
        <v>2639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2706</v>
      </c>
      <c r="C150" t="s">
        <v>2707</v>
      </c>
      <c r="E150" t="s">
        <v>2708</v>
      </c>
      <c r="F150" t="s">
        <v>963</v>
      </c>
      <c r="G150" t="s">
        <v>2709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2734</v>
      </c>
      <c r="C151" t="s">
        <v>2735</v>
      </c>
      <c r="E151" t="s">
        <v>2736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2744</v>
      </c>
      <c r="C152" t="s">
        <v>2745</v>
      </c>
      <c r="E152" t="s">
        <v>2746</v>
      </c>
      <c r="F152" t="s">
        <v>963</v>
      </c>
      <c r="G152" t="s">
        <v>2747</v>
      </c>
      <c r="H152" s="194">
        <f>SUMIF(주문_리스트!C:C,거래처!B152,주문_리스트!K:K)+SUMIF(주문_리스트!C:C,거래처!B152,주문_리스트!L:L)</f>
        <v>0</v>
      </c>
    </row>
    <row r="153" spans="1:10" x14ac:dyDescent="0.3">
      <c r="A153" s="47">
        <v>152</v>
      </c>
      <c r="B153" t="s">
        <v>2764</v>
      </c>
      <c r="C153" t="s">
        <v>2765</v>
      </c>
      <c r="E153" t="s">
        <v>2766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2771</v>
      </c>
      <c r="C154" t="s">
        <v>2772</v>
      </c>
      <c r="E154" t="s">
        <v>2773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2791</v>
      </c>
      <c r="C155" t="s">
        <v>2792</v>
      </c>
      <c r="E155" t="s">
        <v>2793</v>
      </c>
      <c r="F155" t="s">
        <v>1181</v>
      </c>
      <c r="G155" t="s">
        <v>2794</v>
      </c>
      <c r="H155" s="194">
        <f>SUMIF(주문_리스트!C:C,거래처!B155,주문_리스트!K:K)+SUMIF(주문_리스트!C:C,거래처!B155,주문_리스트!L:L)</f>
        <v>0</v>
      </c>
      <c r="I155" s="52" t="s">
        <v>3086</v>
      </c>
    </row>
    <row r="156" spans="1:10" x14ac:dyDescent="0.3">
      <c r="A156" s="47">
        <v>155</v>
      </c>
      <c r="B156" t="s">
        <v>2811</v>
      </c>
      <c r="C156" t="s">
        <v>2812</v>
      </c>
      <c r="E156" t="s">
        <v>2813</v>
      </c>
      <c r="F156" t="s">
        <v>976</v>
      </c>
      <c r="G156" t="s">
        <v>2814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2862</v>
      </c>
      <c r="C157" t="s">
        <v>2868</v>
      </c>
      <c r="E157" t="s">
        <v>2869</v>
      </c>
      <c r="F157" t="s">
        <v>976</v>
      </c>
      <c r="G157" t="s">
        <v>3262</v>
      </c>
      <c r="H157" s="194">
        <f>SUMIF(주문_리스트!C:C,거래처!B157,주문_리스트!K:K)+SUMIF(주문_리스트!C:C,거래처!B157,주문_리스트!L:L)</f>
        <v>0</v>
      </c>
      <c r="I157" s="52" t="s">
        <v>3771</v>
      </c>
    </row>
    <row r="158" spans="1:10" x14ac:dyDescent="0.3">
      <c r="A158" s="47">
        <v>157</v>
      </c>
      <c r="B158" t="s">
        <v>2871</v>
      </c>
      <c r="C158" t="s">
        <v>2872</v>
      </c>
      <c r="E158" t="s">
        <v>2873</v>
      </c>
      <c r="F158" t="s">
        <v>1181</v>
      </c>
      <c r="G158" t="s">
        <v>2882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2875</v>
      </c>
      <c r="C159" t="s">
        <v>2876</v>
      </c>
      <c r="E159" t="s">
        <v>2877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2892</v>
      </c>
      <c r="C160" t="s">
        <v>2893</v>
      </c>
      <c r="E160" t="s">
        <v>2894</v>
      </c>
      <c r="F160" t="s">
        <v>963</v>
      </c>
      <c r="G160" t="s">
        <v>2895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2898</v>
      </c>
      <c r="C161" t="s">
        <v>2899</v>
      </c>
      <c r="E161" t="s">
        <v>2900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2918</v>
      </c>
      <c r="C162" t="s">
        <v>2919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2932</v>
      </c>
      <c r="C163" t="s">
        <v>2933</v>
      </c>
      <c r="E163" t="s">
        <v>2934</v>
      </c>
      <c r="F163" t="s">
        <v>976</v>
      </c>
      <c r="G163" t="s">
        <v>2935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2937</v>
      </c>
      <c r="C164" t="s">
        <v>2938</v>
      </c>
      <c r="E164" t="s">
        <v>2939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2949</v>
      </c>
    </row>
    <row r="165" spans="1:10" x14ac:dyDescent="0.3">
      <c r="A165" s="47">
        <v>164</v>
      </c>
      <c r="B165" t="s">
        <v>2944</v>
      </c>
      <c r="C165" t="s">
        <v>2933</v>
      </c>
      <c r="E165" t="s">
        <v>2934</v>
      </c>
      <c r="F165" t="s">
        <v>976</v>
      </c>
      <c r="G165" t="s">
        <v>2935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2966</v>
      </c>
      <c r="C166" t="s">
        <v>2967</v>
      </c>
      <c r="E166" t="s">
        <v>2968</v>
      </c>
      <c r="F166" t="s">
        <v>963</v>
      </c>
      <c r="G166" t="s">
        <v>2969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3024</v>
      </c>
      <c r="C167" t="s">
        <v>3025</v>
      </c>
      <c r="E167" t="s">
        <v>3026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3032</v>
      </c>
      <c r="C168" t="s">
        <v>3033</v>
      </c>
      <c r="D168" t="s">
        <v>3034</v>
      </c>
      <c r="E168" t="s">
        <v>3035</v>
      </c>
      <c r="F168" t="s">
        <v>976</v>
      </c>
      <c r="G168" t="s">
        <v>3036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3080</v>
      </c>
      <c r="C169" t="s">
        <v>3081</v>
      </c>
      <c r="E169" t="s">
        <v>3082</v>
      </c>
      <c r="F169" t="s">
        <v>976</v>
      </c>
      <c r="G169" t="s">
        <v>3083</v>
      </c>
      <c r="H169" s="194">
        <f>SUMIF(주문_리스트!C:C,거래처!B169,주문_리스트!K:K)+SUMIF(주문_리스트!C:C,거래처!B169,주문_리스트!L:L)</f>
        <v>0</v>
      </c>
      <c r="I169" s="52" t="s">
        <v>3086</v>
      </c>
    </row>
    <row r="170" spans="1:10" x14ac:dyDescent="0.3">
      <c r="A170" s="47">
        <v>169</v>
      </c>
      <c r="B170" t="s">
        <v>3123</v>
      </c>
      <c r="C170" t="s">
        <v>3124</v>
      </c>
      <c r="E170" t="s">
        <v>3125</v>
      </c>
      <c r="F170" t="s">
        <v>963</v>
      </c>
      <c r="G170" t="s">
        <v>3126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3154</v>
      </c>
      <c r="C171" t="s">
        <v>3155</v>
      </c>
      <c r="E171" t="s">
        <v>3156</v>
      </c>
      <c r="F171" t="s">
        <v>976</v>
      </c>
      <c r="G171" t="s">
        <v>3157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3186</v>
      </c>
      <c r="C172" t="s">
        <v>3187</v>
      </c>
      <c r="E172" t="s">
        <v>3188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3190</v>
      </c>
      <c r="C173" t="s">
        <v>3191</v>
      </c>
      <c r="E173" t="s">
        <v>3192</v>
      </c>
      <c r="F173" t="s">
        <v>32</v>
      </c>
      <c r="G173" t="s">
        <v>3197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3213</v>
      </c>
      <c r="C174" t="s">
        <v>3214</v>
      </c>
      <c r="E174" t="s">
        <v>3215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3266</v>
      </c>
      <c r="C175" t="s">
        <v>3267</v>
      </c>
      <c r="E175" t="s">
        <v>3268</v>
      </c>
      <c r="F175" t="s">
        <v>1181</v>
      </c>
      <c r="G175" t="s">
        <v>2794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3748</v>
      </c>
      <c r="C176" t="s">
        <v>3749</v>
      </c>
      <c r="E176" t="s">
        <v>3750</v>
      </c>
      <c r="F176" t="s">
        <v>3751</v>
      </c>
      <c r="G176" t="s">
        <v>3750</v>
      </c>
      <c r="H176" s="194">
        <f>SUMIF(주문_리스트!C:C,거래처!B176,주문_리스트!K:K)+SUMIF(주문_리스트!C:C,거래처!B176,주문_리스트!L:L)</f>
        <v>0</v>
      </c>
      <c r="J176" t="s">
        <v>3771</v>
      </c>
    </row>
    <row r="177" spans="1:11" x14ac:dyDescent="0.3">
      <c r="A177" s="47">
        <v>176</v>
      </c>
      <c r="B177" t="s">
        <v>3294</v>
      </c>
      <c r="C177" t="s">
        <v>3295</v>
      </c>
      <c r="E177" t="s">
        <v>3296</v>
      </c>
      <c r="F177" t="s">
        <v>976</v>
      </c>
      <c r="G177" t="s">
        <v>3297</v>
      </c>
      <c r="H177" s="194">
        <f>SUMIF(주문_리스트!C:C,거래처!B177,주문_리스트!K:K)+SUMIF(주문_리스트!C:C,거래처!B177,주문_리스트!L:L)</f>
        <v>0</v>
      </c>
      <c r="K177" t="s">
        <v>3407</v>
      </c>
    </row>
    <row r="178" spans="1:11" x14ac:dyDescent="0.3">
      <c r="A178" s="47">
        <v>177</v>
      </c>
      <c r="B178" t="s">
        <v>3354</v>
      </c>
      <c r="C178" t="s">
        <v>3355</v>
      </c>
      <c r="E178" t="s">
        <v>3356</v>
      </c>
      <c r="F178" t="s">
        <v>3357</v>
      </c>
      <c r="G178" t="s">
        <v>3358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3408</v>
      </c>
      <c r="C179" t="s">
        <v>3409</v>
      </c>
      <c r="E179" t="s">
        <v>3410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J179" t="s">
        <v>3888</v>
      </c>
    </row>
    <row r="180" spans="1:11" x14ac:dyDescent="0.3">
      <c r="A180" s="47">
        <v>179</v>
      </c>
      <c r="B180" t="s">
        <v>3457</v>
      </c>
      <c r="C180" t="s">
        <v>3458</v>
      </c>
      <c r="E180" t="s">
        <v>3459</v>
      </c>
      <c r="F180" t="s">
        <v>3460</v>
      </c>
      <c r="G180" t="s">
        <v>3461</v>
      </c>
      <c r="H180" s="194">
        <f>SUMIF(주문_리스트!C:C,거래처!B180,주문_리스트!K:K)+SUMIF(주문_리스트!C:C,거래처!B180,주문_리스트!L:L)</f>
        <v>0</v>
      </c>
      <c r="J180" t="s">
        <v>3628</v>
      </c>
    </row>
    <row r="181" spans="1:11" x14ac:dyDescent="0.3">
      <c r="A181" s="47">
        <v>180</v>
      </c>
      <c r="B181" t="s">
        <v>3464</v>
      </c>
      <c r="C181" t="s">
        <v>3465</v>
      </c>
      <c r="E181" t="s">
        <v>3466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3468</v>
      </c>
      <c r="C182" t="s">
        <v>3469</v>
      </c>
      <c r="E182" t="s">
        <v>3470</v>
      </c>
      <c r="F182" t="s">
        <v>1181</v>
      </c>
      <c r="G182" t="s">
        <v>2794</v>
      </c>
      <c r="H182" s="194">
        <f>SUMIF(주문_리스트!C:C,거래처!B182,주문_리스트!K:K)+SUMIF(주문_리스트!C:C,거래처!B182,주문_리스트!L:L)</f>
        <v>0</v>
      </c>
      <c r="J182" t="s">
        <v>3771</v>
      </c>
    </row>
    <row r="183" spans="1:11" x14ac:dyDescent="0.3">
      <c r="A183" s="47">
        <v>182</v>
      </c>
      <c r="B183" t="s">
        <v>3773</v>
      </c>
      <c r="C183" t="s">
        <v>3774</v>
      </c>
      <c r="E183" t="s">
        <v>3775</v>
      </c>
      <c r="F183" t="s">
        <v>3776</v>
      </c>
      <c r="G183" t="s">
        <v>3777</v>
      </c>
      <c r="H183" s="194">
        <f>SUMIF(주문_리스트!C:C,거래처!B183,주문_리스트!K:K)+SUMIF(주문_리스트!C:C,거래처!B183,주문_리스트!L:L)</f>
        <v>0</v>
      </c>
      <c r="I183" s="52" t="s">
        <v>3530</v>
      </c>
    </row>
    <row r="184" spans="1:11" x14ac:dyDescent="0.3">
      <c r="A184" s="47">
        <v>183</v>
      </c>
      <c r="B184" t="s">
        <v>3510</v>
      </c>
      <c r="C184" t="s">
        <v>3511</v>
      </c>
      <c r="E184" t="s">
        <v>3515</v>
      </c>
      <c r="F184" t="s">
        <v>973</v>
      </c>
      <c r="H184" s="194">
        <v>0</v>
      </c>
      <c r="I184" s="52" t="s">
        <v>3530</v>
      </c>
    </row>
    <row r="185" spans="1:11" x14ac:dyDescent="0.3">
      <c r="A185" s="47">
        <v>184</v>
      </c>
      <c r="B185" t="s">
        <v>3584</v>
      </c>
      <c r="C185" t="s">
        <v>3585</v>
      </c>
      <c r="E185" t="s">
        <v>3586</v>
      </c>
      <c r="F185" t="s">
        <v>963</v>
      </c>
      <c r="G185" t="s">
        <v>3587</v>
      </c>
      <c r="H185" s="194">
        <f>SUMIF(주문_리스트!C:C,거래처!B185,주문_리스트!K:K)+SUMIF(주문_리스트!C:C,거래처!B185,주문_리스트!L:L)</f>
        <v>0</v>
      </c>
      <c r="J185" t="s">
        <v>3628</v>
      </c>
    </row>
    <row r="186" spans="1:11" x14ac:dyDescent="0.3">
      <c r="A186" s="47">
        <v>185</v>
      </c>
      <c r="B186" t="s">
        <v>3643</v>
      </c>
      <c r="C186" t="s">
        <v>3644</v>
      </c>
      <c r="E186" t="s">
        <v>3645</v>
      </c>
      <c r="F186" t="s">
        <v>1181</v>
      </c>
      <c r="G186" t="s">
        <v>3642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3735</v>
      </c>
      <c r="C187" t="s">
        <v>3736</v>
      </c>
      <c r="E187" t="s">
        <v>3737</v>
      </c>
      <c r="F187" t="s">
        <v>1181</v>
      </c>
      <c r="G187" t="s">
        <v>3738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3832</v>
      </c>
      <c r="C188" t="s">
        <v>3833</v>
      </c>
      <c r="E188" t="s">
        <v>3834</v>
      </c>
      <c r="F188" t="s">
        <v>1181</v>
      </c>
      <c r="G188" t="s">
        <v>3834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8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242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-2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-4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-41</v>
      </c>
      <c r="I8"/>
    </row>
    <row r="9" spans="1:11" x14ac:dyDescent="0.3">
      <c r="A9">
        <v>8</v>
      </c>
      <c r="B9">
        <v>2</v>
      </c>
      <c r="C9" s="288" t="s">
        <v>3858</v>
      </c>
      <c r="D9" s="288" t="s">
        <v>1140</v>
      </c>
      <c r="E9" s="288" t="s">
        <v>3858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2923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3859</v>
      </c>
      <c r="D15" s="288" t="s">
        <v>1654</v>
      </c>
      <c r="E15" s="288" t="s">
        <v>3676</v>
      </c>
      <c r="F15" s="52">
        <v>1100000</v>
      </c>
      <c r="H15">
        <f>SUMIF(재고!D:D,제품!D15,재고!F:F)-SUMIF(주문_리스트!E:E,제품!D15,주문_리스트!H:H)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2684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2688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-82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-95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3472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-10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-11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-32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-43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2722</v>
      </c>
      <c r="D47" s="288" t="s">
        <v>2338</v>
      </c>
      <c r="E47" s="288" t="s">
        <v>2722</v>
      </c>
      <c r="F47" s="52">
        <v>350000</v>
      </c>
      <c r="H47">
        <f>SUMIF(재고!D:D,제품!D47,재고!F:F)-SUMIF(주문_리스트!E:E,제품!D47,주문_리스트!H:H)</f>
        <v>-44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-24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-17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-4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-30</v>
      </c>
    </row>
    <row r="58" spans="1:9" x14ac:dyDescent="0.3">
      <c r="A58">
        <v>57</v>
      </c>
      <c r="B58">
        <v>3</v>
      </c>
      <c r="C58" s="288" t="s">
        <v>2750</v>
      </c>
      <c r="D58" s="288" t="s">
        <v>2206</v>
      </c>
      <c r="E58" s="288" t="s">
        <v>2750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-11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2686</v>
      </c>
      <c r="E61" s="288">
        <v>2820403</v>
      </c>
      <c r="F61" s="52">
        <v>800000</v>
      </c>
      <c r="H61">
        <f>SUMIF(재고!D:D,제품!D61,재고!F:F)-SUMIF(주문_리스트!E:E,제품!D61,주문_리스트!H:H)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-41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-41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-9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0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2752</v>
      </c>
      <c r="D85" s="288" t="s">
        <v>2739</v>
      </c>
      <c r="E85" s="288" t="s">
        <v>2752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-42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-5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-9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-34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-43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2836</v>
      </c>
      <c r="D98" s="288" t="s">
        <v>2498</v>
      </c>
      <c r="E98" s="288" t="s">
        <v>2836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-64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-13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-95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-11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-9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-9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-17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-1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2826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-4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-3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3859</v>
      </c>
      <c r="D139" s="288" t="s">
        <v>2687</v>
      </c>
      <c r="E139" s="288" t="s">
        <v>3859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3588</v>
      </c>
      <c r="D140" s="288" t="s">
        <v>2685</v>
      </c>
      <c r="E140" s="288" t="s">
        <v>3588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C145" s="288">
        <v>2830401</v>
      </c>
      <c r="D145" s="288" t="s">
        <v>2211</v>
      </c>
      <c r="E145" s="288">
        <v>2830401</v>
      </c>
      <c r="F145" s="52">
        <v>1100000</v>
      </c>
      <c r="H145">
        <f>SUMIF(재고!D:D,제품!D145,재고!F:F)-SUMIF(주문_리스트!E:E,제품!D145,주문_리스트!H:H)</f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3778</v>
      </c>
      <c r="D148" s="288" t="s">
        <v>2685</v>
      </c>
      <c r="E148" s="288" t="s">
        <v>3778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2689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3589</v>
      </c>
      <c r="D152" s="288" t="s">
        <v>2518</v>
      </c>
      <c r="E152" s="288" t="s">
        <v>3589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2696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0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3073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2669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-2</v>
      </c>
    </row>
    <row r="176" spans="1:9" x14ac:dyDescent="0.3">
      <c r="A176">
        <v>175</v>
      </c>
      <c r="B176">
        <v>3</v>
      </c>
      <c r="C176" s="288" t="s">
        <v>2889</v>
      </c>
      <c r="D176" s="288" t="s">
        <v>2890</v>
      </c>
      <c r="E176" s="288" t="s">
        <v>2889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2891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2824</v>
      </c>
      <c r="D188" s="288" t="s">
        <v>2825</v>
      </c>
      <c r="E188" s="288" t="s">
        <v>2824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2624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2653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2691</v>
      </c>
      <c r="D192" s="288" t="s">
        <v>2692</v>
      </c>
      <c r="E192" s="288" t="s">
        <v>2691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2714</v>
      </c>
      <c r="D193" s="288" t="s">
        <v>2715</v>
      </c>
      <c r="E193" s="288" t="s">
        <v>2714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2726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2751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2753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2754</v>
      </c>
    </row>
    <row r="197" spans="1:9" x14ac:dyDescent="0.3">
      <c r="A197">
        <v>196</v>
      </c>
      <c r="B197">
        <v>14</v>
      </c>
      <c r="C197" s="288" t="s">
        <v>2844</v>
      </c>
      <c r="D197" s="288" t="s">
        <v>2845</v>
      </c>
      <c r="E197" s="288" t="s">
        <v>2844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2846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2850</v>
      </c>
      <c r="D199" s="288" t="s">
        <v>2852</v>
      </c>
      <c r="E199" s="288" t="s">
        <v>2850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2924</v>
      </c>
      <c r="D200" s="288" t="s">
        <v>2925</v>
      </c>
      <c r="E200" s="288" t="s">
        <v>2924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2886</v>
      </c>
      <c r="D201" s="288" t="s">
        <v>2887</v>
      </c>
      <c r="E201" s="288" t="s">
        <v>2886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2888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2906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2926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3120</v>
      </c>
      <c r="D206" s="288" t="s">
        <v>3544</v>
      </c>
      <c r="E206" s="288" t="s">
        <v>3120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2956</v>
      </c>
      <c r="D207" s="288" t="s">
        <v>2957</v>
      </c>
      <c r="E207" s="288" t="s">
        <v>2956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2960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2989</v>
      </c>
      <c r="D209" s="288" t="s">
        <v>2990</v>
      </c>
      <c r="E209" s="288" t="s">
        <v>2989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2921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3127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3169</v>
      </c>
      <c r="D215" s="288" t="s">
        <v>2384</v>
      </c>
      <c r="E215" s="288" t="s">
        <v>3169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3579</v>
      </c>
      <c r="D216" s="288" t="s">
        <v>3580</v>
      </c>
      <c r="E216" s="288" t="s">
        <v>3579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3219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3280</v>
      </c>
      <c r="D218" s="288" t="s">
        <v>3220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3281</v>
      </c>
      <c r="D219" s="288" t="s">
        <v>3278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3279</v>
      </c>
    </row>
    <row r="220" spans="1:9" x14ac:dyDescent="0.3">
      <c r="A220">
        <v>219</v>
      </c>
      <c r="B220">
        <v>4</v>
      </c>
      <c r="C220" s="288" t="s">
        <v>3287</v>
      </c>
      <c r="D220" s="288" t="s">
        <v>3288</v>
      </c>
      <c r="E220" s="288" t="s">
        <v>3287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3316</v>
      </c>
      <c r="D221" s="288" t="s">
        <v>3317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3390</v>
      </c>
      <c r="D222" s="288" t="s">
        <v>3391</v>
      </c>
      <c r="E222" s="288" t="s">
        <v>3390</v>
      </c>
      <c r="H222">
        <f>SUMIF(재고!D:D,제품!D222,재고!F:F)-SUMIF(주문_리스트!E:E,제품!D222,주문_리스트!H:H)</f>
        <v>-1</v>
      </c>
      <c r="I222" s="52" t="s">
        <v>3392</v>
      </c>
    </row>
    <row r="223" spans="1:9" x14ac:dyDescent="0.3">
      <c r="A223">
        <v>222</v>
      </c>
      <c r="B223">
        <v>1</v>
      </c>
      <c r="C223" s="288" t="s">
        <v>3420</v>
      </c>
      <c r="D223" s="288" t="s">
        <v>3421</v>
      </c>
      <c r="E223" s="288" t="s">
        <v>3420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3446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3483</v>
      </c>
      <c r="D225" s="288" t="s">
        <v>3484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3531</v>
      </c>
      <c r="D226" s="288" t="s">
        <v>3225</v>
      </c>
      <c r="E226" s="288" t="s">
        <v>3531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3557</v>
      </c>
      <c r="D227" s="288" t="s">
        <v>3558</v>
      </c>
      <c r="E227" s="288" t="s">
        <v>3557</v>
      </c>
    </row>
    <row r="228" spans="1:8" x14ac:dyDescent="0.3">
      <c r="A228">
        <v>227</v>
      </c>
      <c r="B228">
        <v>3</v>
      </c>
      <c r="D228" s="288" t="s">
        <v>3565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3581</v>
      </c>
      <c r="D229" s="288" t="s">
        <v>3582</v>
      </c>
      <c r="E229" s="288" t="s">
        <v>3581</v>
      </c>
      <c r="H229" s="52">
        <v>0</v>
      </c>
    </row>
    <row r="230" spans="1:8" x14ac:dyDescent="0.3">
      <c r="A230">
        <v>229</v>
      </c>
      <c r="B230">
        <v>3</v>
      </c>
      <c r="D230" s="288" t="s">
        <v>3593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3598</v>
      </c>
      <c r="D231" s="288" t="s">
        <v>3599</v>
      </c>
      <c r="E231" s="288" t="s">
        <v>3598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3601</v>
      </c>
      <c r="D232" s="288" t="s">
        <v>3602</v>
      </c>
      <c r="E232" s="288" t="s">
        <v>3601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3603</v>
      </c>
      <c r="D233" s="288" t="s">
        <v>3593</v>
      </c>
      <c r="E233" s="288" t="s">
        <v>3603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3604</v>
      </c>
      <c r="D234" s="288" t="s">
        <v>3605</v>
      </c>
      <c r="E234" s="288" t="s">
        <v>3604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3639</v>
      </c>
      <c r="D235" s="288" t="s">
        <v>3640</v>
      </c>
      <c r="E235" s="288" t="s">
        <v>3639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3839</v>
      </c>
      <c r="D236" s="288" t="s">
        <v>3840</v>
      </c>
      <c r="E236" s="288" t="s">
        <v>3839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3851</v>
      </c>
      <c r="D237" s="288" t="s">
        <v>3851</v>
      </c>
      <c r="E237" s="288" t="s">
        <v>3852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3866</v>
      </c>
      <c r="E238" s="288" t="s">
        <v>3867</v>
      </c>
      <c r="F238" s="52">
        <v>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2923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2684</v>
      </c>
      <c r="E16" s="190">
        <v>2830506</v>
      </c>
    </row>
    <row r="17" spans="1:5" x14ac:dyDescent="0.3">
      <c r="A17">
        <v>16</v>
      </c>
      <c r="D17" s="190" t="s">
        <v>2688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2722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2750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2686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2739</v>
      </c>
      <c r="E86" s="190" t="s">
        <v>2752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2836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2826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2687</v>
      </c>
      <c r="E142" s="190">
        <v>2830406</v>
      </c>
    </row>
    <row r="143" spans="1:5" x14ac:dyDescent="0.3">
      <c r="A143">
        <v>142</v>
      </c>
      <c r="D143" s="190" t="s">
        <v>2685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2689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2669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2890</v>
      </c>
      <c r="E179" s="190" t="s">
        <v>2889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2825</v>
      </c>
      <c r="E191" s="190" t="s">
        <v>2824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2624</v>
      </c>
    </row>
    <row r="194" spans="1:5" x14ac:dyDescent="0.3">
      <c r="A194">
        <v>193</v>
      </c>
      <c r="D194" s="190" t="s">
        <v>2653</v>
      </c>
    </row>
    <row r="195" spans="1:5" x14ac:dyDescent="0.3">
      <c r="A195">
        <v>194</v>
      </c>
      <c r="D195" s="190" t="s">
        <v>2692</v>
      </c>
      <c r="E195" s="190" t="s">
        <v>2691</v>
      </c>
    </row>
    <row r="196" spans="1:5" x14ac:dyDescent="0.3">
      <c r="A196">
        <v>195</v>
      </c>
      <c r="D196" s="190" t="s">
        <v>2715</v>
      </c>
      <c r="E196" s="190" t="s">
        <v>2714</v>
      </c>
    </row>
    <row r="197" spans="1:5" x14ac:dyDescent="0.3">
      <c r="A197">
        <v>196</v>
      </c>
      <c r="D197" s="190" t="s">
        <v>2726</v>
      </c>
    </row>
    <row r="198" spans="1:5" x14ac:dyDescent="0.3">
      <c r="A198">
        <v>197</v>
      </c>
      <c r="D198" s="190" t="s">
        <v>2751</v>
      </c>
      <c r="E198" s="190">
        <v>7252703114</v>
      </c>
    </row>
    <row r="199" spans="1:5" x14ac:dyDescent="0.3">
      <c r="A199">
        <v>198</v>
      </c>
      <c r="D199" s="190" t="s">
        <v>2753</v>
      </c>
      <c r="E199" s="190">
        <v>1094302044</v>
      </c>
    </row>
    <row r="200" spans="1:5" x14ac:dyDescent="0.3">
      <c r="A200">
        <v>199</v>
      </c>
      <c r="D200" s="190" t="s">
        <v>2845</v>
      </c>
      <c r="E200" s="190" t="s">
        <v>2844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2852</v>
      </c>
      <c r="E202" s="190" t="s">
        <v>2850</v>
      </c>
    </row>
    <row r="203" spans="1:5" x14ac:dyDescent="0.3">
      <c r="A203">
        <v>202</v>
      </c>
      <c r="D203" s="190" t="s">
        <v>2925</v>
      </c>
      <c r="E203" s="190" t="s">
        <v>2924</v>
      </c>
    </row>
    <row r="204" spans="1:5" x14ac:dyDescent="0.3">
      <c r="A204">
        <v>203</v>
      </c>
      <c r="D204" s="190" t="s">
        <v>2887</v>
      </c>
      <c r="E204" s="190" t="s">
        <v>2886</v>
      </c>
    </row>
    <row r="205" spans="1:5" x14ac:dyDescent="0.3">
      <c r="A205">
        <v>204</v>
      </c>
      <c r="D205" s="190" t="s">
        <v>2888</v>
      </c>
      <c r="E205" s="190">
        <v>709013001</v>
      </c>
    </row>
    <row r="206" spans="1:5" x14ac:dyDescent="0.3">
      <c r="A206">
        <v>205</v>
      </c>
      <c r="D206" s="190" t="s">
        <v>2906</v>
      </c>
    </row>
    <row r="207" spans="1:5" x14ac:dyDescent="0.3">
      <c r="A207">
        <v>206</v>
      </c>
      <c r="D207" s="190" t="s">
        <v>2926</v>
      </c>
    </row>
    <row r="208" spans="1:5" x14ac:dyDescent="0.3">
      <c r="A208">
        <v>207</v>
      </c>
      <c r="D208" s="190" t="s">
        <v>3128</v>
      </c>
      <c r="E208" s="190">
        <v>6058008117</v>
      </c>
    </row>
    <row r="209" spans="1:5" x14ac:dyDescent="0.3">
      <c r="A209">
        <v>208</v>
      </c>
      <c r="D209" s="190" t="s">
        <v>2942</v>
      </c>
    </row>
    <row r="210" spans="1:5" x14ac:dyDescent="0.3">
      <c r="D210" s="190" t="s">
        <v>2957</v>
      </c>
      <c r="E210" s="190" t="s">
        <v>2956</v>
      </c>
    </row>
    <row r="211" spans="1:5" x14ac:dyDescent="0.3">
      <c r="D211" s="190" t="s">
        <v>2960</v>
      </c>
      <c r="E211" s="190">
        <v>33108841535</v>
      </c>
    </row>
    <row r="212" spans="1:5" x14ac:dyDescent="0.3">
      <c r="D212" s="190" t="s">
        <v>2990</v>
      </c>
      <c r="E212" s="190" t="s">
        <v>2989</v>
      </c>
    </row>
    <row r="213" spans="1:5" x14ac:dyDescent="0.3">
      <c r="D213" s="190" t="s">
        <v>3077</v>
      </c>
    </row>
    <row r="214" spans="1:5" x14ac:dyDescent="0.3">
      <c r="D214" s="190" t="s">
        <v>2921</v>
      </c>
      <c r="E214" s="190">
        <v>2212500301</v>
      </c>
    </row>
    <row r="215" spans="1:5" x14ac:dyDescent="0.3">
      <c r="D215" s="190" t="s">
        <v>3127</v>
      </c>
      <c r="E215" s="190">
        <v>6058008122</v>
      </c>
    </row>
    <row r="216" spans="1:5" x14ac:dyDescent="0.3">
      <c r="D216" s="190" t="s">
        <v>3127</v>
      </c>
      <c r="E216" s="190">
        <v>6058008068</v>
      </c>
    </row>
    <row r="217" spans="1:5" x14ac:dyDescent="0.3">
      <c r="D217" s="190" t="s">
        <v>3136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2676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5" t="s">
        <v>12</v>
      </c>
      <c r="C4" s="52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3042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2816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2921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2921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2921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2922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2835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3050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2777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3038</v>
      </c>
      <c r="J86" s="53" t="s">
        <v>2179</v>
      </c>
      <c r="K86" s="17" t="s">
        <v>3038</v>
      </c>
      <c r="L86" s="17">
        <v>2200000</v>
      </c>
    </row>
    <row r="87" spans="6:12" ht="18" customHeight="1" x14ac:dyDescent="0.3">
      <c r="F87" s="17">
        <v>72</v>
      </c>
      <c r="I87" s="17" t="s">
        <v>3039</v>
      </c>
      <c r="J87" s="53" t="s">
        <v>3051</v>
      </c>
      <c r="K87" s="17" t="s">
        <v>3039</v>
      </c>
      <c r="L87" s="17">
        <v>1500000</v>
      </c>
    </row>
    <row r="88" spans="6:12" ht="18" customHeight="1" x14ac:dyDescent="0.3">
      <c r="F88" s="17">
        <v>73</v>
      </c>
      <c r="I88" s="17" t="s">
        <v>3040</v>
      </c>
      <c r="J88" s="53" t="s">
        <v>2198</v>
      </c>
      <c r="K88" s="17" t="s">
        <v>3040</v>
      </c>
      <c r="L88" s="17">
        <v>50000</v>
      </c>
    </row>
    <row r="89" spans="6:12" ht="18" customHeight="1" x14ac:dyDescent="0.3">
      <c r="F89" s="17">
        <v>58</v>
      </c>
      <c r="I89" s="17" t="s">
        <v>2750</v>
      </c>
      <c r="J89" s="53" t="s">
        <v>2418</v>
      </c>
      <c r="K89" s="17" t="s">
        <v>2750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2752</v>
      </c>
      <c r="J103" s="53" t="s">
        <v>2842</v>
      </c>
      <c r="K103" s="17" t="s">
        <v>2752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2878</v>
      </c>
      <c r="J110" s="53" t="s">
        <v>2384</v>
      </c>
      <c r="K110" s="17" t="s">
        <v>2878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3052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2699</v>
      </c>
      <c r="J115" s="53" t="s">
        <v>1561</v>
      </c>
      <c r="K115" s="17" t="s">
        <v>2699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3041</v>
      </c>
      <c r="J118" s="53" t="s">
        <v>3053</v>
      </c>
      <c r="K118" s="17" t="s">
        <v>3041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2681</v>
      </c>
      <c r="J122" s="53" t="s">
        <v>1496</v>
      </c>
      <c r="K122" s="17" t="s">
        <v>2681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3054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2836</v>
      </c>
      <c r="J128" s="53" t="s">
        <v>1737</v>
      </c>
      <c r="K128" s="17" t="s">
        <v>2836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2644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2025-10-10T12:16:09Z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