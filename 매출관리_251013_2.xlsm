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17ED32F6-FCAC-4964-B541-68DD2F22C55E}" xr6:coauthVersionLast="47" xr6:coauthVersionMax="47" xr10:uidLastSave="{00000000-0000-0000-0000-000000000000}"/>
  <bookViews>
    <workbookView xWindow="-120" yWindow="-120" windowWidth="29040" windowHeight="15840" tabRatio="716" activeTab="6" xr2:uid="{17F36E22-0BD4-4C4C-A7DC-D6B626B4DE69}"/>
  </bookViews>
  <sheets>
    <sheet name="Home" sheetId="35" r:id="rId1"/>
    <sheet name="경비처리" sheetId="47" r:id="rId2"/>
    <sheet name="거래명세서" sheetId="53" r:id="rId3"/>
    <sheet name="주문" sheetId="19" state="hidden" r:id="rId4"/>
    <sheet name="Login" sheetId="46" state="hidden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거래처!$A$1:$I$221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3" hidden="1">주문!$A$15:$J$25</definedName>
    <definedName name="_xlnm._FilterDatabase" localSheetId="6" hidden="1">주문_리스트!$A$1:$L$1847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2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3" i="1" l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L48" i="56"/>
  <c r="L47" i="56"/>
  <c r="H186" i="4" l="1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G2" i="1" l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C159" i="56" s="1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<sst xmlns="http://schemas.openxmlformats.org/spreadsheetml/2006/main" count="11273" uniqueCount="4005">
  <si>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</si>
  <si>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</si>
  <si>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</si>
  <si>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</si>
  <si>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</si>
  <si>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</si>
  <si>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</si>
  <si>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</si>
  <si>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</si>
  <si>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</si>
  <si>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</si>
  <si>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</si>
  <si>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</si>
  <si>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</si>
  <si>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</si>
  <si>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</si>
  <si>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</si>
  <si>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</si>
  <si>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</si>
  <si>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</si>
  <si>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</si>
  <si>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</si>
  <si>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</si>
  <si>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</si>
  <si>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</si>
  <si>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</si>
  <si>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</si>
  <si>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</si>
  <si>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</si>
  <si>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</si>
  <si>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</si>
  <si>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</si>
  <si>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</si>
  <si>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</si>
  <si>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</si>
  <si>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</si>
  <si>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</si>
  <si>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</si>
  <si>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</si>
  <si>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</si>
  <si>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</si>
  <si>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</si>
  <si>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</si>
  <si>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</si>
  <si>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</si>
  <si>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</si>
  <si>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</si>
  <si>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</si>
  <si>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</si>
  <si>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</si>
  <si>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</si>
  <si>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</si>
  <si>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</si>
  <si>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</si>
  <si>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</si>
  <si>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</si>
  <si>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</si>
  <si>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</si>
  <si>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</si>
  <si>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</si>
  <si>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</si>
  <si>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</si>
  <si>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</si>
  <si>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</si>
  <si>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</si>
  <si>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</si>
  <si>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</si>
  <si>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</si>
  <si>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</si>
  <si>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</si>
  <si>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</si>
  <si>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</si>
  <si>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</si>
  <si>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</si>
  <si>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</si>
  <si>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</si>
  <si>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</si>
  <si>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</si>
  <si>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</si>
  <si>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</si>
  <si>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</si>
  <si>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</si>
  <si>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</si>
  <si>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</si>
  <si>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</si>
  <si>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</si>
  <si>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</si>
  <si>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</si>
  <si>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</si>
  <si>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</si>
  <si>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</si>
  <si>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</si>
  <si>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</si>
  <si>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</si>
  <si>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</si>
  <si>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</si>
  <si>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</si>
  <si>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</si>
  <si>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</si>
  <si>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</si>
  <si>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</si>
  <si>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</si>
  <si>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</si>
  <si>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</si>
  <si>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</si>
  <si>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</si>
  <si>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</si>
  <si>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</si>
  <si>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</si>
  <si>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</si>
  <si>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</si>
  <si>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</si>
  <si>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</si>
  <si>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</si>
  <si>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</si>
  <si>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</si>
  <si>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</si>
  <si>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</si>
  <si>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</si>
  <si>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</si>
  <si>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</si>
  <si>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</si>
  <si>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</si>
  <si>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</si>
  <si>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</si>
  <si>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</si>
  <si>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</si>
  <si>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</si>
  <si>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</si>
  <si>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</si>
  <si>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</si>
  <si>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</si>
  <si>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</si>
  <si>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</si>
  <si>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</si>
  <si>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</si>
  <si>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</si>
  <si>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</si>
  <si>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</si>
  <si>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</si>
  <si>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</si>
  <si>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</si>
  <si>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</si>
  <si>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</si>
  <si>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</si>
  <si>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</si>
  <si>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</si>
  <si>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</si>
  <si>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</si>
  <si>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</si>
  <si>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</si>
  <si>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</si>
  <si>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</si>
  <si>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</si>
  <si>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</si>
  <si>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</si>
  <si>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</si>
  <si>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</si>
  <si>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</si>
  <si>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</si>
  <si>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</si>
  <si>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</si>
  <si>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</si>
  <si>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</si>
  <si>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</si>
  <si>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</si>
  <si>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</si>
  <si>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</si>
  <si>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</si>
  <si>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</si>
  <si>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</si>
  <si>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</si>
  <si>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</si>
  <si>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</si>
  <si>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</si>
  <si>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</si>
  <si>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</si>
  <si>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</si>
  <si>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</si>
  <si>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</si>
  <si>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</si>
  <si>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</si>
  <si>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</si>
  <si>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</si>
  <si>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</si>
  <si>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</si>
  <si>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</si>
  <si>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</si>
  <si>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</si>
  <si>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</si>
  <si>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</si>
  <si>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</si>
  <si>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</si>
  <si>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</si>
  <si>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</si>
  <si>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</si>
  <si>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</si>
  <si>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</si>
  <si>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</si>
  <si>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</si>
  <si>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</si>
  <si>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</si>
  <si>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</si>
  <si>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</si>
  <si>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</si>
  <si>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</si>
  <si>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</si>
  <si>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</si>
  <si>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</si>
  <si>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</si>
  <si>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</si>
  <si>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</si>
  <si>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</si>
  <si>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</si>
  <si>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</si>
  <si>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</si>
  <si>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</si>
  <si>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</si>
  <si>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</si>
  <si>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</si>
  <si>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</si>
  <si>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</si>
  <si>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</si>
  <si>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</si>
  <si>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</si>
  <si>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</si>
  <si>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</si>
  <si>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</si>
  <si>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</si>
  <si>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</si>
  <si>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</si>
  <si>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</si>
  <si>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</si>
  <si>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</si>
  <si>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</si>
  <si>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</si>
  <si>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</si>
  <si>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</si>
  <si>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</si>
  <si>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</si>
  <si>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</si>
  <si>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</si>
  <si>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</si>
  <si>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</si>
  <si>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</si>
  <si>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</si>
  <si>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</si>
  <si>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</si>
  <si>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</si>
  <si>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</si>
  <si>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</si>
  <si>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</si>
  <si>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</si>
  <si>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</si>
  <si>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</si>
  <si>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</si>
  <si>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</si>
  <si>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</si>
  <si>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</si>
  <si>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</si>
  <si>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</si>
  <si>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</si>
  <si>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</si>
  <si>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</si>
  <si>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</si>
  <si>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</si>
  <si>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</si>
  <si>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</si>
  <si>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</si>
  <si>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</si>
  <si>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</si>
  <si>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</si>
  <si>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</si>
  <si>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</si>
  <si>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</si>
  <si>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</si>
  <si>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</si>
  <si>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</si>
  <si>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</si>
  <si>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</si>
  <si>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</si>
  <si>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</si>
  <si>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</si>
  <si>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</si>
  <si>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</si>
  <si>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</si>
  <si>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</si>
  <si>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</si>
  <si>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</si>
  <si>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</si>
  <si>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</si>
  <si>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</si>
  <si>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</si>
  <si>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</si>
  <si>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</si>
  <si>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</si>
  <si>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</si>
  <si>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</si>
  <si>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</si>
  <si>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</si>
  <si>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</si>
  <si>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</si>
  <si>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</si>
  <si>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</si>
  <si>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</si>
  <si>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</si>
  <si>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</si>
  <si>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</si>
  <si>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</si>
  <si>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</si>
  <si>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</si>
  <si>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</si>
  <si>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</si>
  <si>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</si>
  <si>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</si>
  <si>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</si>
  <si>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</si>
  <si>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</si>
  <si>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</si>
  <si>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</si>
  <si>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</si>
  <si>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</si>
  <si>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</si>
  <si>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</si>
  <si>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</si>
  <si>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</si>
  <si>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</si>
  <si>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</si>
  <si>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</si>
  <si>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</si>
  <si>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</si>
  <si>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</si>
  <si>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</si>
  <si>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</si>
  <si>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</si>
  <si>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</si>
  <si>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</si>
  <si>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</si>
  <si>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</si>
  <si>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</si>
  <si>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</si>
  <si>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</si>
  <si>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</si>
  <si>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</si>
  <si>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</si>
  <si>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</si>
  <si>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</si>
  <si>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</si>
  <si>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</si>
  <si>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</si>
  <si>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</si>
  <si>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</si>
  <si>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</si>
  <si>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</si>
  <si>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</si>
  <si>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</si>
  <si>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</si>
  <si>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</si>
  <si>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</si>
  <si>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</si>
  <si>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</si>
  <si>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</si>
  <si>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</si>
  <si>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</si>
  <si>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</si>
  <si>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</si>
  <si>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</si>
  <si>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</si>
  <si>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</si>
  <si>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</si>
  <si>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</si>
  <si>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</si>
  <si>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</si>
  <si>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</si>
  <si>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</si>
  <si>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</si>
  <si>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</si>
  <si>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</si>
  <si>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</si>
  <si>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</si>
  <si>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</si>
  <si>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</si>
  <si>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</si>
  <si>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</si>
  <si>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</si>
  <si>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</si>
  <si>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</si>
  <si>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</si>
  <si>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</si>
  <si>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</si>
  <si>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</si>
  <si>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</si>
  <si>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</si>
  <si>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</si>
  <si>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</si>
  <si>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</si>
  <si>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</si>
  <si>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</si>
  <si>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</si>
  <si>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</si>
  <si>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</si>
  <si>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</si>
  <si>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</si>
  <si>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</si>
  <si>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</si>
  <si>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</si>
  <si>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</si>
  <si>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</si>
  <si>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</si>
  <si>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</si>
  <si>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</si>
  <si>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</si>
  <si>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</si>
  <si>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</si>
  <si>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</si>
  <si>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</si>
  <si>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</si>
  <si>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</si>
  <si>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</si>
  <si>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</si>
  <si>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</si>
  <si>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</si>
  <si>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</si>
  <si>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</si>
  <si>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</si>
  <si>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</si>
  <si>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</si>
  <si>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</si>
  <si>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</si>
  <si>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</si>
  <si>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</si>
  <si>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</si>
  <si>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</si>
  <si>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</si>
  <si>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</si>
  <si>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</si>
  <si>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</si>
  <si>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</si>
  <si>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</si>
  <si>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</si>
  <si>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</si>
  <si>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</si>
  <si>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</si>
  <si>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</si>
  <si>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</si>
  <si>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</si>
  <si>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</si>
  <si>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</si>
  <si>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</si>
  <si>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</si>
  <si>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</si>
  <si>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</si>
  <si>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</si>
  <si>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</si>
  <si>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</si>
  <si>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</si>
  <si>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</si>
  <si>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</si>
  <si>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</si>
  <si>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</si>
  <si>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</si>
  <si>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</si>
  <si>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</si>
  <si>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</si>
  <si>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</si>
  <si>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</si>
  <si>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</si>
  <si>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</si>
  <si>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</si>
  <si>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</si>
  <si>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</si>
  <si>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</si>
  <si>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</si>
  <si>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</si>
  <si>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</si>
  <si>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</si>
  <si>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</si>
  <si>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</si>
  <si>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</si>
  <si>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</si>
  <si>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</si>
  <si>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</si>
  <si>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</si>
  <si>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</si>
  <si>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</si>
  <si>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</si>
  <si>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</si>
  <si>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</si>
  <si>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</si>
  <si>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</si>
  <si>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</si>
  <si>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</si>
  <si>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</si>
  <si>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</si>
  <si>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</si>
  <si>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</si>
  <si>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</si>
  <si>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</si>
  <si>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</si>
  <si>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</si>
  <si>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</si>
  <si>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</si>
  <si>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</si>
  <si>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</si>
  <si>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</si>
  <si>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</si>
  <si>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</si>
  <si>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</si>
  <si>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</si>
  <si>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</si>
  <si>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</si>
  <si>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</si>
  <si>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</si>
  <si>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</si>
  <si>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</si>
  <si>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</si>
  <si>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</si>
  <si>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</si>
  <si>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</si>
  <si>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</si>
  <si>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</si>
  <si>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</si>
  <si>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</si>
  <si>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</si>
  <si>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</si>
  <si>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</si>
  <si>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</si>
  <si>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</si>
  <si>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</si>
  <si>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</si>
  <si>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</si>
  <si>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</si>
  <si>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</si>
  <si>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</si>
  <si>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</si>
  <si>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</si>
  <si>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</si>
  <si>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</si>
  <si>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</si>
  <si>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</si>
  <si>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</si>
  <si>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</si>
  <si>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</si>
  <si>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</si>
  <si>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</si>
  <si>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</si>
  <si>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</si>
  <si>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</si>
  <si>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</si>
  <si>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</si>
  <si>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</si>
  <si>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</si>
  <si>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</si>
  <si>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</si>
  <si>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</si>
  <si>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</si>
  <si>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</si>
  <si>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</si>
  <si>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</si>
  <si>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</si>
  <si>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</si>
  <si>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</si>
  <si>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</si>
  <si>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</si>
  <si>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</si>
  <si>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</si>
  <si>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</si>
  <si>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</si>
  <si>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</si>
  <si>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</si>
  <si>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</si>
  <si>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</si>
  <si>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</si>
  <si>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</si>
  <si>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</si>
  <si>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</si>
  <si>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</si>
  <si>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</si>
  <si>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</si>
  <si>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</si>
  <si>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</si>
  <si>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</si>
  <si>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</si>
  <si>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</si>
  <si>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</si>
  <si>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</si>
  <si>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</si>
  <si>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</si>
  <si>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</si>
  <si>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</si>
  <si>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</si>
  <si>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</si>
  <si>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</si>
  <si>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</si>
  <si>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</si>
  <si>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</si>
  <si>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</si>
  <si>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</si>
  <si>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</si>
  <si>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</si>
  <si>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</si>
  <si>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</si>
  <si>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</si>
  <si>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</si>
  <si>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</si>
  <si>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</si>
  <si>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</si>
  <si>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</si>
  <si>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</si>
  <si>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</si>
  <si>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</si>
  <si>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</si>
  <si>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</si>
  <si>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</si>
  <si>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</si>
  <si>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</si>
  <si>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</si>
  <si>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</si>
  <si>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</si>
  <si>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</si>
  <si>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</si>
  <si>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</si>
  <si>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</si>
  <si>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</si>
  <si>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</si>
  <si>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</si>
  <si>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</si>
  <si>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</si>
  <si>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</si>
  <si>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</si>
  <si>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</si>
  <si>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</si>
  <si>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</si>
  <si>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</si>
  <si>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</si>
  <si>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</si>
  <si>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</si>
  <si>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</si>
  <si>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</si>
  <si>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</si>
  <si>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</si>
  <si>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</si>
  <si>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</si>
  <si>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</si>
  <si>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</si>
  <si>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</si>
  <si>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</si>
  <si>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</si>
  <si>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</si>
  <si>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</si>
  <si>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</si>
  <si>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</si>
  <si>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</si>
  <si>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</si>
  <si>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</si>
  <si>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</si>
  <si>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</si>
  <si>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</si>
  <si>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</si>
  <si>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</si>
  <si>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</si>
  <si>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</si>
  <si>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</si>
  <si>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</si>
  <si>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</si>
  <si>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</si>
  <si>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</si>
  <si>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</si>
  <si>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</si>
  <si>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</si>
  <si>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</si>
  <si>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</si>
  <si>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</si>
  <si>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</si>
  <si>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</si>
  <si>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</si>
  <si>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</si>
  <si>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</si>
  <si>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</si>
  <si>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</si>
  <si>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</si>
  <si>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</si>
  <si>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</si>
  <si>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</si>
  <si>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</si>
  <si>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</si>
  <si>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</si>
  <si>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</si>
  <si>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</si>
  <si>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</si>
  <si>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</si>
  <si>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</si>
  <si>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</si>
  <si>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</si>
  <si>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</si>
  <si>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</si>
  <si>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</si>
  <si>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</si>
  <si>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</si>
  <si>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</si>
  <si>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</si>
  <si>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</si>
  <si>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</si>
  <si>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</si>
  <si>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</si>
  <si>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</si>
  <si>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</si>
  <si>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</si>
  <si>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</si>
  <si>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</si>
  <si>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</si>
  <si>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</si>
  <si>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</si>
  <si>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</si>
  <si>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</si>
  <si>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</si>
  <si>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</si>
  <si>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</si>
  <si>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</si>
  <si>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</si>
  <si>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</si>
  <si>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</si>
  <si>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</si>
  <si>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</si>
  <si>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</si>
  <si>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</si>
  <si>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</si>
  <si>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</si>
  <si>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</si>
  <si>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</si>
  <si>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</si>
  <si>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</si>
  <si>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</si>
  <si>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</si>
  <si>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</si>
  <si>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</si>
  <si>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</si>
  <si>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</si>
  <si>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</si>
  <si>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</si>
  <si>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</si>
  <si>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</si>
  <si>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</si>
  <si>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</si>
  <si>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</si>
  <si>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</si>
  <si>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</si>
  <si>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</si>
  <si>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</si>
  <si>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</si>
  <si>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</si>
  <si>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</si>
  <si>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</si>
  <si>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</si>
  <si>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</si>
  <si>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</si>
  <si>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</si>
  <si>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</si>
  <si>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</si>
  <si>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</si>
  <si>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</si>
  <si>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</si>
  <si>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</si>
  <si>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</si>
  <si>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</si>
  <si>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</si>
  <si>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</si>
  <si>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</si>
  <si>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</si>
  <si>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</si>
  <si>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</si>
  <si>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</si>
  <si>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</si>
  <si>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</si>
  <si>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</si>
  <si>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</si>
  <si>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</si>
  <si>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</si>
  <si>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</si>
  <si>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</si>
  <si>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</si>
  <si>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</si>
  <si>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</si>
  <si>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</si>
  <si>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</si>
  <si>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</si>
  <si>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</si>
  <si>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</si>
  <si>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</si>
  <si>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</si>
  <si>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</si>
  <si>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</si>
  <si>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</si>
  <si>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</si>
  <si>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</si>
  <si>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</si>
  <si>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</si>
  <si>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</si>
  <si>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</si>
  <si>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</si>
  <si>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</si>
  <si>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</si>
  <si>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</si>
  <si>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</si>
  <si>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</si>
  <si>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</si>
  <si>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</si>
  <si>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</si>
  <si>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</si>
  <si>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</si>
  <si>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</si>
  <si>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</si>
  <si>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</si>
  <si>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</si>
  <si>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</si>
  <si>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</si>
  <si>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</si>
  <si>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</si>
  <si>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</si>
  <si>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</si>
  <si>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</si>
  <si>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</si>
  <si>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</si>
  <si>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</si>
  <si>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</si>
  <si>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</si>
  <si>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</si>
  <si>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</si>
  <si>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</si>
  <si>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</si>
  <si>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</si>
  <si>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</si>
  <si>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</si>
  <si>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</si>
  <si>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</si>
  <si>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</si>
  <si>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</si>
  <si>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</si>
  <si>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</si>
  <si>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</si>
  <si>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</si>
  <si>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</si>
  <si>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</si>
  <si>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</si>
  <si>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</si>
  <si>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</si>
  <si>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</si>
  <si>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</si>
  <si>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</si>
  <si>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</si>
  <si>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</si>
  <si>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</si>
  <si>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</si>
  <si>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</si>
  <si>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</si>
  <si>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</si>
  <si>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</si>
  <si>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</si>
  <si>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</si>
  <si>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</si>
  <si>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</si>
  <si>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</si>
  <si>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</si>
  <si>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</si>
  <si>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</si>
  <si>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</si>
  <si>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</si>
  <si>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</si>
  <si>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</si>
  <si>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</si>
  <si>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</si>
  <si>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</si>
  <si>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</si>
  <si>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</si>
  <si>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</si>
  <si>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</si>
  <si>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</si>
  <si>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</si>
  <si>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</si>
  <si>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</si>
  <si>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</si>
  <si>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</si>
  <si>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</si>
  <si>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</si>
  <si>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</si>
  <si>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</si>
  <si>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</si>
  <si>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</si>
  <si>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</si>
  <si>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</si>
  <si>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</si>
  <si>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</si>
  <si>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</si>
  <si>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</si>
  <si>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</si>
  <si>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</si>
  <si>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</si>
  <si>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</si>
  <si>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</si>
  <si>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</si>
  <si>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</si>
  <si>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</si>
  <si>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</si>
  <si>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</si>
  <si>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</si>
  <si>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</si>
  <si>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</si>
  <si>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</si>
  <si>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</si>
  <si>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</si>
  <si>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</si>
  <si>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</si>
  <si>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</si>
  <si>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</si>
  <si>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</si>
  <si>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</si>
  <si>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</si>
  <si>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</si>
  <si>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</si>
  <si>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</si>
  <si>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</si>
  <si>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</si>
  <si>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</si>
  <si>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</si>
  <si>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</si>
  <si>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</si>
  <si>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</si>
  <si>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</si>
  <si>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</si>
  <si>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</si>
  <si>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</si>
  <si>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</si>
  <si>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</si>
  <si>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</si>
  <si>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</si>
  <si>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</si>
  <si>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</si>
  <si>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</si>
  <si>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</si>
  <si>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</si>
  <si>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</si>
  <si>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</si>
  <si>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</si>
  <si>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</si>
  <si>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</si>
  <si>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</si>
  <si>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</si>
  <si>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</si>
  <si>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</si>
  <si>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</si>
  <si>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</si>
  <si>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</si>
  <si>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</si>
  <si>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</si>
  <si>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</si>
  <si>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</si>
  <si>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</si>
  <si>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</si>
  <si>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</si>
  <si>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</si>
  <si>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</si>
  <si>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</si>
  <si>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</si>
  <si>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</si>
  <si>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</si>
  <si>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</si>
  <si>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</si>
  <si>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</si>
  <si>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</si>
  <si>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</si>
  <si>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</si>
  <si>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</si>
  <si>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</si>
  <si>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</si>
  <si>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</si>
  <si>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</si>
  <si>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</si>
  <si>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</si>
  <si>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</si>
  <si>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</si>
  <si>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</si>
  <si>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</si>
  <si>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</si>
  <si>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</si>
  <si>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</si>
  <si>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</si>
  <si>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</si>
  <si>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</si>
  <si>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</si>
  <si>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</si>
  <si>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</si>
  <si>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</si>
  <si>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</si>
  <si>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</si>
  <si>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</si>
  <si>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</si>
  <si>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</si>
  <si>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</si>
  <si>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</si>
  <si>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</si>
  <si>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</si>
  <si>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</si>
  <si>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</si>
  <si>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</si>
  <si>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</si>
  <si>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</si>
  <si>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</si>
  <si>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</si>
  <si>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</si>
  <si>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</si>
  <si>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</si>
  <si>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</si>
  <si>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</si>
  <si>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</si>
  <si>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</si>
  <si>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</si>
  <si>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</si>
  <si>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</si>
  <si>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</si>
  <si>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</si>
  <si>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</si>
  <si>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</si>
  <si>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</si>
  <si>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</si>
  <si>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</si>
  <si>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</si>
  <si>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</si>
  <si>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</si>
  <si>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</si>
  <si>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</si>
  <si>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</si>
  <si>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</si>
  <si>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</si>
  <si>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</si>
  <si>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</si>
  <si>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</si>
  <si>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</si>
  <si>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</si>
  <si>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</si>
  <si>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</si>
  <si>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</si>
  <si>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</si>
  <si>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</si>
  <si>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</si>
  <si>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</si>
  <si>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</si>
  <si>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</si>
  <si>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</si>
  <si>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</si>
  <si>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</si>
  <si>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</si>
  <si>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</si>
  <si>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</si>
  <si>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</si>
  <si>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</si>
  <si>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</si>
  <si>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</si>
  <si>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</si>
  <si>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</si>
  <si>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</si>
  <si>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</si>
  <si>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</si>
  <si>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</si>
  <si>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</si>
  <si>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</si>
  <si>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</si>
  <si>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</si>
  <si>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</si>
  <si>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</si>
  <si>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</si>
  <si>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</si>
  <si>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</si>
  <si>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</si>
  <si>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</si>
  <si>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</si>
  <si>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</si>
  <si>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</si>
  <si>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</si>
  <si>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</si>
  <si>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</si>
  <si>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</si>
  <si>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</si>
  <si>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</si>
  <si>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</si>
  <si>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</si>
  <si>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</si>
  <si>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</si>
  <si>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</si>
  <si>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</si>
  <si>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</si>
  <si>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</si>
  <si>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</si>
  <si>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</si>
  <si>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</si>
  <si>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</si>
  <si>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</si>
  <si>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</si>
  <si>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</si>
  <si>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</si>
  <si>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</si>
  <si>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</si>
  <si>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</si>
  <si>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</si>
  <si>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</si>
  <si>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</si>
  <si>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</si>
  <si>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</si>
  <si>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</si>
  <si>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</si>
  <si>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</si>
  <si>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</si>
  <si>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</si>
  <si>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</si>
  <si>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</si>
  <si>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</si>
  <si>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</si>
  <si>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</si>
  <si>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</si>
  <si>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</si>
  <si>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</si>
  <si>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</si>
  <si>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</si>
  <si>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</si>
  <si>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</si>
  <si>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</si>
  <si>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</si>
  <si>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</si>
  <si>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</si>
  <si>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</si>
  <si>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</si>
  <si>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</si>
  <si>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</si>
  <si>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</si>
  <si>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</si>
  <si>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</si>
  <si>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</si>
  <si>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</si>
  <si>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</si>
  <si>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</si>
  <si>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</si>
  <si>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</si>
  <si>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</si>
  <si>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</si>
  <si>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</si>
  <si>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</si>
  <si>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</si>
  <si>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</si>
  <si>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</si>
  <si>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</si>
  <si>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</si>
  <si>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</si>
  <si>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</si>
  <si>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</si>
  <si>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</si>
  <si>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</si>
  <si>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</si>
  <si>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</si>
  <si>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</si>
  <si>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</si>
  <si>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</si>
  <si>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</si>
  <si>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</si>
  <si>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</si>
  <si>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</si>
  <si>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</si>
  <si>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</si>
  <si>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</si>
  <si>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</si>
  <si>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</si>
  <si>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</si>
  <si>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</si>
  <si>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</si>
  <si>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</si>
  <si>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</si>
  <si>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</si>
  <si>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</si>
  <si>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</si>
  <si>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</si>
  <si>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</si>
  <si>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</si>
  <si>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</si>
  <si>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</si>
  <si>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</si>
  <si>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</si>
  <si>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</si>
  <si>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</si>
  <si>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</si>
  <si>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</si>
  <si>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</si>
  <si>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</si>
  <si>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</si>
  <si>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</si>
  <si>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</si>
  <si>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</si>
  <si>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</si>
  <si>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</si>
  <si>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</si>
  <si>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</si>
  <si>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</si>
  <si>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</si>
  <si>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</si>
  <si>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</si>
  <si>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</si>
  <si>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</si>
  <si>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</si>
  <si>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</si>
  <si>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</si>
  <si>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</si>
  <si>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</si>
  <si>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</si>
  <si>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</si>
  <si>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</si>
  <si>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</si>
  <si>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</si>
  <si>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</si>
  <si>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</si>
  <si>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</si>
  <si>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</si>
  <si>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</si>
  <si>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</si>
  <si>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</si>
  <si>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</si>
  <si>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</si>
  <si>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</si>
  <si>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</si>
  <si>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</si>
  <si>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</si>
  <si>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</si>
  <si>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</si>
  <si>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</si>
  <si>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</si>
  <si>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</si>
  <si>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</si>
  <si>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</si>
  <si>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</si>
  <si>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</si>
  <si>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</si>
  <si>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</si>
  <si>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</si>
  <si>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</si>
  <si>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</si>
  <si>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</si>
  <si>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</si>
  <si>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</si>
  <si>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</si>
  <si>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</si>
  <si>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</si>
  <si>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</si>
  <si>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</si>
  <si>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</si>
  <si>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</si>
  <si>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</si>
  <si>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</si>
  <si>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</si>
  <si>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</si>
  <si>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</si>
  <si>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</si>
  <si>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</si>
  <si>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</si>
  <si>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</si>
  <si>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</si>
  <si>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</si>
  <si>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</si>
  <si>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</si>
  <si>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</si>
  <si>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</si>
  <si>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</si>
  <si>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</si>
  <si>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</si>
  <si>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</si>
  <si>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</si>
  <si>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</si>
  <si>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</si>
  <si>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</si>
  <si>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</si>
  <si>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</si>
  <si>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</si>
  <si>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</si>
  <si>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</si>
  <si>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</si>
  <si>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</si>
  <si>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</si>
  <si>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</si>
  <si>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</si>
  <si>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</si>
  <si>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</si>
  <si>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</si>
  <si>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</si>
  <si>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</si>
  <si>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</si>
  <si>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</si>
  <si>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</si>
  <si>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</si>
  <si>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</si>
  <si>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</si>
  <si>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</si>
  <si>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</si>
  <si>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</si>
  <si>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</si>
  <si>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</si>
  <si>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</si>
  <si>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</si>
  <si>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</si>
  <si>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</si>
  <si>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</si>
  <si>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</si>
  <si>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</si>
  <si>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</si>
  <si>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</si>
  <si>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</si>
  <si>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</si>
  <si>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</si>
  <si>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</si>
  <si>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</si>
  <si>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</si>
  <si>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</si>
  <si>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</si>
  <si>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</si>
  <si>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</si>
  <si>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</si>
  <si>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</si>
  <si>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</si>
  <si>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</si>
  <si>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</si>
  <si>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</si>
  <si>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</si>
  <si>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</si>
  <si>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</si>
  <si>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</si>
  <si>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</si>
  <si>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</si>
  <si>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</si>
  <si>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</si>
  <si>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</si>
  <si>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</si>
  <si>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</si>
  <si>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</si>
  <si>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</si>
  <si>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</si>
  <si>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</si>
  <si>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</si>
  <si>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</si>
  <si>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</si>
  <si>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</si>
  <si>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</si>
  <si>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</si>
  <si>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</si>
  <si>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</si>
  <si>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</si>
  <si>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</si>
  <si>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</si>
  <si>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</si>
  <si>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</si>
  <si>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</si>
  <si>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</si>
  <si>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</si>
  <si>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</si>
  <si>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</si>
  <si>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</si>
  <si>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</si>
  <si>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</si>
  <si>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</si>
  <si>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</si>
  <si>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</si>
  <si>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</si>
  <si>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</si>
  <si>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</si>
  <si>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</si>
  <si>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</si>
  <si>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</si>
  <si>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</si>
  <si>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</si>
  <si>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</si>
  <si>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</si>
  <si>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</si>
  <si>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</si>
  <si>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</si>
  <si>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</si>
  <si>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</si>
  <si>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</si>
  <si>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</si>
  <si>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</si>
  <si>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</si>
  <si>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</si>
  <si>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</si>
  <si>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</si>
  <si>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</si>
  <si>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</si>
  <si>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</si>
  <si>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</si>
  <si>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</si>
  <si>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</si>
  <si>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</si>
  <si>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</si>
  <si>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</si>
  <si>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</si>
  <si>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</si>
  <si>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</si>
  <si>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</si>
  <si>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</si>
  <si>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</si>
  <si>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</si>
  <si>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</si>
  <si>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</si>
  <si>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</si>
  <si>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</si>
  <si>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</si>
  <si>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</si>
  <si>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</si>
  <si>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</si>
  <si>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</si>
  <si>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</si>
  <si>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</si>
  <si>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</si>
  <si>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</si>
  <si>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</si>
  <si>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</si>
  <si>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</si>
  <si>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</si>
  <si>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</si>
  <si>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</si>
  <si>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</si>
  <si>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</si>
  <si>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</si>
  <si>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</si>
  <si>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</si>
  <si>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</si>
  <si>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</si>
  <si>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</si>
  <si>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</si>
  <si>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</si>
  <si>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</si>
  <si>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</si>
  <si>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</si>
  <si>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</si>
  <si>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</si>
  <si>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</si>
  <si>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</si>
  <si>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</si>
  <si>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</si>
  <si>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</si>
  <si>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</si>
  <si>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</si>
  <si>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</si>
  <si>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</si>
  <si>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</si>
  <si>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</si>
  <si>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</si>
  <si>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</si>
  <si>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</si>
  <si>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</si>
  <si>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</si>
  <si>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</si>
  <si>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</si>
  <si>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</si>
  <si>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</si>
  <si>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</si>
  <si>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</si>
  <si>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</si>
  <si>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</si>
  <si>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</si>
  <si>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</si>
  <si>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</si>
  <si>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</si>
  <si>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</si>
  <si>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</si>
  <si>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</si>
  <si>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</si>
  <si>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</si>
  <si>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</si>
  <si>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</si>
  <si>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</si>
  <si>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</si>
  <si>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</si>
  <si>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</si>
  <si>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</si>
  <si>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</si>
  <si>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</si>
  <si>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</si>
  <si>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</si>
  <si>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</si>
  <si>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</si>
  <si>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</si>
  <si>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</si>
  <si>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</si>
  <si>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</si>
  <si>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</si>
  <si>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</si>
  <si>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</si>
  <si>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</si>
  <si>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</si>
  <si>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</si>
  <si>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</si>
  <si>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</si>
  <si>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</si>
  <si>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</si>
  <si>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</si>
  <si>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</si>
  <si>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</si>
  <si>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</si>
  <si>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</si>
  <si>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</si>
  <si>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</si>
  <si>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</si>
  <si>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</si>
  <si>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</si>
  <si>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</si>
  <si>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</si>
  <si>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</si>
  <si>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</si>
  <si>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</si>
  <si>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</si>
  <si>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</si>
  <si>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</si>
  <si>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</si>
  <si>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</si>
  <si>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</si>
  <si>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</si>
  <si>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</si>
  <si>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</si>
  <si>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</si>
  <si>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</si>
  <si>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</si>
  <si>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</si>
  <si>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</si>
  <si>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</si>
  <si>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</si>
  <si>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</si>
  <si>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</si>
  <si>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</si>
  <si>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</si>
  <si>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</si>
  <si>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</si>
  <si>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</si>
  <si>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</si>
  <si>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</si>
  <si>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</si>
  <si>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</si>
  <si>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</si>
  <si>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</si>
  <si>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</si>
  <si>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</si>
  <si>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</si>
  <si>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</si>
  <si>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</si>
  <si>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</si>
  <si>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</si>
  <si>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</si>
  <si>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</si>
  <si>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</si>
  <si>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</si>
  <si>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</si>
  <si>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</si>
  <si>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</si>
  <si>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</si>
  <si>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</si>
  <si>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</si>
  <si>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</si>
  <si>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</si>
  <si>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</si>
  <si>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</si>
  <si>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</si>
  <si>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</si>
  <si>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</si>
  <si>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</si>
  <si>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</si>
  <si>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</si>
  <si>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</si>
  <si>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</si>
  <si>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</si>
  <si>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</si>
  <si>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</si>
  <si>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</si>
  <si>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</si>
  <si>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</si>
  <si>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</si>
  <si>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</si>
  <si>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</si>
  <si>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</si>
  <si>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</si>
  <si>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</si>
  <si>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</si>
  <si>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</si>
  <si>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</si>
  <si>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</si>
  <si>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</si>
  <si>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</si>
  <si>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</si>
  <si>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</si>
  <si>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</si>
  <si>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</si>
  <si>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</si>
  <si>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</si>
  <si>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</si>
  <si>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</si>
  <si>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</si>
  <si>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</si>
  <si>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</si>
  <si>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</si>
  <si>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</si>
  <si>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</si>
  <si>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</si>
  <si>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</si>
  <si>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</si>
  <si>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</si>
  <si>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</si>
  <si>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</si>
  <si>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</si>
  <si>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</si>
  <si>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</si>
  <si>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</si>
  <si>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</si>
  <si>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</si>
  <si>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</si>
  <si>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</si>
  <si>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</si>
  <si>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</si>
  <si>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</si>
  <si>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</si>
  <si>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</si>
  <si>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</si>
  <si>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</si>
  <si>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</si>
  <si>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</si>
  <si>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</si>
  <si>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</si>
  <si>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</si>
  <si>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</si>
  <si>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</si>
  <si>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</si>
  <si>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</si>
  <si>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</si>
  <si>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</si>
  <si>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</si>
  <si>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</si>
  <si>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</si>
  <si>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</si>
  <si>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</si>
  <si>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</si>
  <si>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</si>
  <si>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</si>
  <si>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</si>
  <si>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</si>
  <si>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</si>
  <si>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</si>
  <si>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</si>
  <si>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</si>
  <si>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</si>
  <si>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</si>
  <si>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</si>
  <si>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</si>
  <si>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</si>
  <si>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</si>
  <si>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</si>
  <si>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</si>
  <si>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</si>
  <si>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</si>
  <si>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</si>
  <si>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</si>
  <si>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</si>
  <si>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</si>
  <si>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</si>
  <si>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</si>
  <si>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</si>
  <si>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</si>
  <si>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</si>
  <si>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</si>
  <si>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</si>
  <si>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</si>
  <si>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</si>
  <si>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</si>
  <si>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</si>
  <si>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</si>
  <si>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</si>
  <si>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</si>
  <si>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</si>
  <si>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</si>
  <si>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</si>
  <si>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</si>
  <si>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</si>
  <si>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</si>
  <si>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</si>
  <si>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</si>
  <si>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</si>
  <si>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</si>
  <si>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</si>
  <si>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</si>
  <si>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</si>
  <si>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</si>
  <si>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</si>
  <si>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</si>
  <si>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</si>
  <si>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</si>
  <si>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</si>
  <si>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</si>
  <si>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</si>
  <si>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</si>
  <si>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</si>
  <si>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</si>
  <si>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</si>
  <si>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</si>
  <si>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</si>
  <si>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</si>
  <si>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</si>
  <si>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</si>
  <si>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</si>
  <si>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</si>
  <si>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</si>
  <si>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</si>
  <si>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</si>
  <si>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</si>
  <si>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</si>
  <si>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</si>
  <si>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</si>
  <si>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</si>
  <si>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</si>
  <si>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</si>
  <si>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</si>
  <si>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</si>
  <si>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</si>
  <si>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</si>
  <si>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</si>
  <si>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</si>
  <si>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</si>
  <si>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</si>
  <si>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</si>
  <si>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</si>
  <si>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</si>
  <si>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</si>
  <si>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</si>
  <si>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</si>
  <si>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</si>
  <si>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</si>
  <si>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</si>
  <si>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</si>
  <si>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</si>
  <si>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</si>
  <si>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</si>
  <si>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</si>
  <si>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</si>
  <si>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</si>
  <si>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</si>
  <si>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</si>
  <si>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</si>
  <si>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</si>
  <si>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</si>
  <si>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</si>
  <si>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</si>
  <si>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</si>
  <si>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</si>
  <si>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</si>
  <si>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</si>
  <si>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</si>
  <si>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</si>
  <si>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</si>
  <si>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</si>
  <si>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</si>
  <si>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</si>
  <si>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</si>
  <si>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</si>
  <si>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</si>
  <si>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</si>
  <si>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</si>
  <si>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</si>
  <si>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</si>
  <si>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</si>
  <si>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</si>
  <si>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</si>
  <si>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</si>
  <si>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</si>
  <si>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</si>
  <si>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</si>
  <si>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</si>
  <si>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</si>
  <si>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</si>
  <si>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</si>
  <si>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</si>
  <si>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</si>
  <si>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</si>
  <si>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</si>
  <si>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</si>
  <si>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</si>
  <si>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</si>
  <si>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</si>
  <si>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</si>
  <si>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</si>
  <si>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</si>
  <si>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</si>
  <si>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</si>
  <si>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</si>
  <si>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</si>
  <si>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</si>
  <si>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</si>
  <si>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</si>
  <si>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</si>
  <si>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</si>
  <si>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</si>
  <si>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</si>
  <si>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</si>
  <si>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</si>
  <si>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</si>
  <si>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</si>
  <si>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</si>
  <si>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</si>
  <si>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</si>
  <si>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</si>
  <si>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</si>
  <si>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</si>
  <si>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</si>
  <si>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</si>
  <si>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</si>
  <si>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</si>
  <si>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</si>
  <si>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</si>
  <si>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</si>
  <si>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</si>
  <si>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</si>
  <si>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</si>
  <si>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</si>
  <si>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</si>
  <si>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</si>
  <si>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</si>
  <si>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</si>
  <si>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</si>
  <si>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</si>
  <si>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</si>
  <si>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</si>
  <si>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</si>
  <si>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</si>
  <si>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</si>
  <si>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</si>
  <si>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</si>
  <si>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</si>
  <si>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</si>
  <si>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</si>
  <si>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</si>
  <si>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</si>
  <si>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</si>
  <si>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</si>
  <si>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</si>
  <si>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</si>
  <si>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</si>
  <si>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</si>
  <si>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</si>
  <si>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</si>
  <si>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</si>
  <si>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</si>
  <si>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</si>
  <si>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</si>
  <si>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</si>
  <si>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</si>
  <si>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</si>
  <si>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</si>
  <si>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</si>
  <si>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</si>
  <si>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</si>
  <si>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</si>
  <si>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</si>
  <si>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</si>
  <si>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</si>
  <si>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</si>
  <si>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</si>
  <si>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</si>
  <si>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</si>
  <si>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</si>
  <si>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</si>
  <si>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</si>
  <si>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</si>
  <si>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</si>
  <si>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</si>
  <si>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</si>
  <si>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</si>
  <si>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</si>
  <si>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</si>
  <si>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</si>
  <si>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</si>
  <si>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</si>
  <si>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</si>
  <si>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</si>
  <si>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</si>
  <si>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</si>
  <si>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</si>
  <si>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</si>
  <si>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</si>
  <si>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</si>
  <si>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</si>
  <si>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</si>
  <si>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</si>
  <si>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</si>
  <si>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</si>
  <si>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</si>
  <si>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</si>
  <si>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</si>
  <si>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</si>
  <si>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</si>
  <si>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</si>
  <si>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</si>
  <si>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</si>
  <si>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</si>
  <si>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</si>
  <si>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</si>
  <si>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</si>
  <si>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</si>
  <si>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</si>
  <si>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</si>
  <si>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</si>
  <si>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</si>
  <si>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</si>
  <si>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</si>
  <si>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</si>
  <si>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</si>
  <si>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</si>
  <si>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</si>
  <si>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</si>
  <si>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</si>
  <si>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</si>
  <si>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</si>
  <si>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</si>
  <si>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</si>
  <si>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</si>
  <si>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</si>
  <si>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</si>
  <si>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</si>
  <si>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</si>
  <si>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</si>
  <si>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</si>
  <si>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</si>
  <si>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</si>
  <si>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</si>
  <si>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</si>
  <si>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</si>
  <si>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</si>
  <si>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</si>
  <si>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</si>
  <si>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</si>
  <si>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</si>
  <si>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</si>
  <si>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</si>
  <si>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</si>
  <si>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</si>
  <si>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</si>
  <si>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</si>
  <si>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</si>
  <si>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</si>
  <si>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</si>
  <si>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</si>
  <si>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</si>
  <si>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</si>
  <si>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</si>
  <si>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</si>
  <si>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</si>
  <si>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</si>
  <si>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</si>
  <si>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</si>
  <si>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</si>
  <si>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</si>
  <si>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</si>
  <si>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</si>
  <si>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</si>
  <si>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</si>
  <si>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</si>
  <si>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</si>
  <si>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</si>
  <si>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</si>
  <si>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</si>
  <si>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</si>
  <si>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</si>
  <si>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</si>
  <si>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</si>
  <si>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</si>
  <si>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</si>
  <si>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</si>
  <si>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</si>
  <si>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</si>
  <si>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</si>
  <si>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</si>
  <si>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</si>
  <si>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</si>
  <si>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</si>
  <si>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</si>
  <si>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</si>
  <si>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</si>
  <si>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</si>
  <si>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</si>
  <si>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</si>
  <si>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</si>
  <si>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</si>
  <si>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</si>
  <si>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</si>
  <si>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</si>
  <si>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</si>
  <si>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</si>
  <si>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</si>
  <si>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</si>
  <si>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</si>
  <si>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</si>
  <si>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</si>
  <si>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</si>
  <si>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</si>
  <si>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</si>
  <si>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</si>
  <si>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</si>
  <si>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</si>
  <si>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</si>
  <si>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</si>
  <si>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</si>
  <si>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</si>
  <si>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</si>
  <si>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</si>
  <si>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</si>
  <si>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</si>
  <si>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</si>
  <si>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</si>
  <si>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</si>
  <si>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</si>
  <si>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</si>
  <si>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</si>
  <si>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</si>
  <si>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</si>
  <si>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</si>
  <si>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</si>
  <si>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</si>
  <si>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</si>
  <si>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</si>
  <si>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</si>
  <si>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</si>
  <si>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</si>
  <si>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</si>
  <si>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</si>
  <si>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</si>
  <si>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</si>
  <si>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</si>
  <si>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</si>
  <si>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</si>
  <si>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</si>
  <si>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</si>
  <si>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</si>
  <si>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</si>
  <si>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</si>
  <si>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</si>
  <si>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</si>
  <si>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</si>
  <si>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</si>
  <si>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</si>
  <si>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</si>
  <si>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</si>
  <si>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</si>
  <si>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</si>
  <si>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</si>
  <si>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</si>
  <si>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</si>
  <si>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</si>
  <si>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</si>
  <si>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</si>
  <si>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</si>
  <si>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</si>
  <si>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</si>
  <si>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</si>
  <si>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</si>
  <si>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</si>
  <si>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</si>
  <si>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</si>
  <si>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</si>
  <si>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</si>
  <si>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</si>
  <si>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</si>
  <si>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</si>
  <si>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</si>
  <si>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</si>
  <si>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</si>
  <si>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</si>
  <si>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</si>
  <si>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</si>
  <si>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</si>
  <si>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</si>
  <si>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</si>
  <si>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</si>
  <si>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</si>
  <si>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</si>
  <si>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</si>
  <si>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</si>
  <si>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</si>
  <si>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</si>
  <si>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</si>
  <si>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</si>
  <si>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</si>
  <si>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</si>
  <si>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</si>
  <si>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</si>
  <si>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</si>
  <si>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</si>
  <si>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</si>
  <si>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</si>
  <si>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</si>
  <si>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</si>
  <si>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</si>
  <si>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</si>
  <si>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</si>
  <si>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</si>
  <si>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</si>
  <si>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</si>
  <si>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</si>
  <si>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</si>
  <si>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</si>
  <si>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</si>
  <si>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</si>
  <si>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</si>
  <si>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</si>
  <si>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</si>
  <si>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</si>
  <si>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</si>
  <si>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</si>
  <si>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</si>
  <si>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</si>
  <si>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</si>
  <si>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</si>
  <si>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</si>
  <si>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</si>
  <si>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</si>
  <si>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</si>
  <si>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</si>
  <si>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</si>
  <si>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</si>
  <si>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</si>
  <si>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</si>
  <si>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</si>
  <si>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</si>
  <si>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</si>
  <si>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</si>
  <si>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</si>
  <si>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</si>
  <si>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</si>
  <si>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</si>
  <si>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</si>
  <si>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</si>
  <si>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</si>
  <si>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</si>
  <si>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</si>
  <si>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</si>
  <si>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</si>
  <si>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</si>
  <si>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</si>
  <si>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</si>
  <si>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</si>
  <si>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</si>
  <si>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</si>
  <si>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</si>
  <si>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</si>
  <si>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</si>
  <si>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</si>
  <si>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</si>
  <si>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</si>
  <si>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</si>
  <si>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</si>
  <si>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</si>
  <si>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</si>
  <si>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</si>
  <si>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</si>
  <si>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</si>
  <si>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</si>
  <si>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</si>
  <si>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</si>
  <si>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</si>
  <si>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</si>
  <si>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</si>
  <si>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</si>
  <si>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</si>
  <si>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</si>
  <si>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</si>
  <si>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</si>
  <si>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</si>
  <si>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</si>
  <si>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</si>
  <si>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</si>
  <si>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</si>
  <si>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</si>
  <si>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</si>
  <si>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</si>
  <si>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</si>
  <si>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</si>
  <si>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</si>
  <si>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</si>
  <si>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</si>
  <si>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</si>
  <si>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</si>
  <si>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</si>
  <si>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</si>
  <si>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</si>
  <si>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</si>
  <si>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</si>
  <si>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</si>
  <si>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</si>
  <si>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</si>
  <si>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</si>
  <si>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</si>
  <si>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</si>
  <si>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</si>
  <si>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</si>
  <si>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</si>
  <si>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</si>
  <si>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</si>
  <si>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</si>
  <si>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</si>
  <si>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</si>
  <si>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</si>
  <si>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</si>
  <si>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</si>
  <si>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</si>
  <si>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</si>
  <si>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</si>
  <si>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</si>
  <si>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</si>
  <si>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</si>
  <si>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</si>
  <si>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</si>
  <si>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</si>
  <si>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</si>
  <si>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</si>
  <si>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</si>
  <si>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</si>
  <si>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</si>
  <si>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</si>
  <si>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</si>
  <si>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</si>
  <si>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</si>
  <si>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</si>
  <si>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</si>
  <si>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</si>
  <si>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</si>
  <si>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</si>
  <si>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</si>
  <si>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</si>
  <si>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</si>
  <si>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</si>
  <si>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</si>
  <si>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</si>
  <si>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</si>
  <si>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</si>
  <si>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</si>
  <si>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</si>
  <si>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</si>
  <si>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</si>
  <si>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</si>
  <si>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</si>
  <si>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</si>
  <si>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</si>
  <si>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</si>
  <si>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</si>
  <si>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</si>
  <si>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</si>
  <si>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</si>
  <si>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</si>
  <si>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</si>
  <si>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</si>
  <si>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</si>
  <si>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</si>
  <si>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</si>
  <si>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</si>
  <si>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</si>
  <si>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</si>
  <si>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</si>
  <si>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</si>
  <si>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</si>
  <si>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</si>
  <si>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</si>
  <si>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</si>
  <si>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</si>
  <si>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</si>
  <si>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</si>
  <si>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</si>
  <si>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</si>
  <si>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</si>
  <si>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</si>
  <si>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</si>
  <si>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</si>
  <si>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</si>
  <si>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</si>
  <si>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</si>
  <si>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</si>
  <si>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</si>
  <si>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</si>
  <si>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</si>
  <si>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</si>
  <si>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</si>
  <si>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</si>
  <si>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</si>
  <si>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</si>
  <si>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</si>
  <si>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</si>
  <si>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</si>
  <si>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</si>
  <si>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</si>
  <si>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</si>
  <si>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</si>
  <si>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</si>
  <si>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</si>
  <si>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</si>
  <si>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</si>
  <si>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</si>
  <si>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</si>
  <si>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</si>
  <si>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</si>
  <si>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</si>
  <si>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</si>
  <si>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</si>
  <si>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</si>
  <si>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</si>
  <si>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</si>
  <si>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</si>
  <si>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</si>
  <si>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</si>
  <si>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</si>
  <si>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</si>
  <si>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</si>
  <si>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</si>
  <si>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</si>
  <si>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</si>
  <si>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</si>
  <si>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</si>
  <si>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</si>
  <si>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</si>
  <si>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</si>
  <si>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</si>
  <si>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</si>
  <si>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</si>
  <si>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</si>
  <si>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</si>
  <si>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</si>
  <si>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</si>
  <si>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</si>
  <si>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</si>
  <si>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</si>
  <si>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</si>
  <si>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</si>
  <si>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</si>
  <si>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</si>
  <si>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</si>
  <si>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</si>
  <si>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</si>
  <si>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</si>
  <si>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</si>
  <si>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</si>
  <si>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</si>
  <si>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</si>
  <si>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</si>
  <si>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</si>
  <si>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</si>
  <si>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</si>
  <si>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</si>
  <si>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</si>
  <si>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</si>
  <si>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</si>
  <si>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</si>
  <si>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</si>
  <si>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</si>
  <si>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</si>
  <si>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</si>
  <si>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</si>
  <si>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</si>
  <si>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</si>
  <si>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</si>
  <si>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</si>
  <si>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</si>
  <si>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</si>
  <si>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</si>
  <si>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</si>
  <si>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</si>
  <si>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</si>
  <si>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</si>
  <si>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</si>
  <si>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</si>
  <si>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</si>
  <si>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</si>
  <si>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</si>
  <si>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</si>
  <si>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</si>
  <si>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</si>
  <si>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</si>
  <si>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</si>
  <si>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</si>
  <si>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</si>
  <si>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</si>
  <si>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</si>
  <si>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</si>
  <si>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</si>
  <si>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</si>
  <si>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</si>
  <si>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</si>
  <si>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</si>
  <si>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</si>
  <si>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</si>
  <si>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</si>
  <si>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</si>
  <si>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</si>
  <si>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</si>
  <si>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</si>
  <si>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</si>
  <si>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</si>
  <si>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</si>
  <si>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</si>
  <si>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</si>
  <si>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</si>
  <si>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</si>
  <si>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</si>
  <si>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</si>
  <si>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</si>
  <si>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</si>
  <si>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</si>
  <si>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</si>
  <si>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</si>
  <si>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</si>
  <si>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</si>
  <si>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</si>
  <si>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</si>
  <si>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</si>
  <si>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</si>
  <si>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</si>
  <si>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</si>
  <si>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</si>
  <si>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</si>
  <si>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</si>
  <si>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</si>
  <si>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</si>
  <si>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</si>
  <si>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</si>
  <si>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</si>
  <si>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</si>
  <si>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</si>
  <si>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</si>
  <si>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</si>
  <si>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</si>
  <si>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</si>
  <si>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</si>
  <si>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</si>
  <si>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</si>
  <si>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</si>
  <si>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</si>
  <si>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</si>
  <si>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</si>
  <si>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</si>
  <si>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</si>
  <si>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</si>
  <si>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</si>
  <si>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</si>
  <si>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</si>
  <si>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</si>
  <si>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</si>
  <si>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</si>
  <si>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</si>
  <si>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</si>
  <si>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</si>
  <si>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</si>
  <si>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</si>
  <si>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</si>
  <si>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</si>
  <si>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</si>
  <si>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</si>
  <si>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</si>
  <si>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</si>
  <si>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</si>
  <si>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</si>
  <si>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</si>
  <si>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</si>
  <si>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</si>
  <si>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</si>
  <si>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</si>
  <si>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</si>
  <si>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</si>
  <si>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</si>
  <si>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</si>
  <si>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</si>
  <si>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</si>
  <si>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</si>
  <si>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</si>
  <si>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</si>
  <si>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</si>
  <si>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</si>
  <si>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</si>
  <si>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</si>
  <si>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</si>
  <si>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</si>
  <si>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</si>
  <si>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</si>
  <si>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</si>
  <si>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</si>
  <si>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</si>
  <si>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</si>
  <si>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</si>
  <si>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</si>
  <si>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</si>
  <si>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</si>
  <si>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</si>
  <si>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</si>
  <si>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</si>
  <si>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</si>
  <si>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</si>
  <si>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</si>
  <si>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</si>
  <si>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</si>
  <si>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</si>
  <si>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</si>
  <si>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</si>
  <si>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</si>
  <si>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</si>
  <si>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</si>
  <si>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</si>
  <si>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</si>
  <si>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</si>
  <si>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</si>
  <si>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</si>
  <si>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</si>
  <si>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</si>
  <si>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</si>
  <si>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</si>
  <si>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</si>
  <si>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</si>
  <si>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</si>
  <si>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</si>
  <si>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</si>
  <si>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</si>
  <si>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</si>
  <si>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</si>
  <si>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</si>
  <si>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</si>
  <si>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</si>
  <si>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</si>
  <si>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</si>
  <si>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</si>
  <si>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</si>
  <si>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</si>
  <si>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</si>
  <si>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</si>
  <si>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</si>
  <si>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</si>
  <si>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</si>
  <si>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</si>
  <si>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</si>
  <si>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</si>
  <si>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</si>
  <si>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</si>
  <si>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</si>
  <si>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</si>
  <si>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</si>
  <si>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</si>
  <si>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</si>
  <si>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</si>
  <si>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</si>
  <si>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</si>
  <si>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</si>
  <si>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</si>
  <si>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</si>
  <si>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</si>
  <si>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</si>
  <si>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</si>
  <si>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</si>
  <si>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</si>
  <si>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</si>
  <si>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</si>
  <si>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</si>
  <si>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</si>
  <si>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</si>
  <si>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</si>
  <si>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</si>
  <si>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</si>
  <si>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</si>
  <si>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</si>
  <si>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</si>
  <si>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</si>
  <si>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</si>
  <si>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</si>
  <si>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</si>
  <si>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</si>
  <si>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</si>
  <si>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</si>
  <si>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</si>
  <si>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</si>
  <si>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</si>
  <si>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</si>
  <si>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</si>
  <si>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</si>
  <si>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</si>
  <si>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</si>
  <si>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</si>
  <si>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</si>
  <si>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</si>
  <si>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</si>
  <si>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</si>
  <si>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</si>
  <si>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</si>
  <si>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</si>
  <si>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</si>
  <si>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</si>
  <si>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</si>
  <si>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</si>
  <si>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</si>
  <si>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</si>
  <si>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</si>
  <si>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</si>
  <si>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</si>
  <si>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</si>
  <si>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</si>
  <si>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</si>
  <si>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</si>
  <si>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</si>
  <si>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</si>
  <si>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</si>
  <si>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</si>
  <si>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</si>
  <si>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</si>
  <si>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</si>
  <si>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</si>
  <si>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</si>
  <si>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</si>
  <si>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</si>
  <si>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</si>
  <si>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</si>
  <si>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</si>
  <si>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</si>
  <si>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</si>
  <si>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</si>
  <si>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</si>
  <si>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</si>
  <si>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</si>
  <si>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</si>
  <si>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</si>
  <si>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</si>
  <si>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</si>
  <si>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</si>
  <si>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</si>
  <si>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</si>
  <si>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</si>
  <si>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</si>
  <si>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</si>
  <si>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</si>
  <si>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</si>
  <si>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</si>
  <si>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</si>
  <si>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</si>
  <si>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</si>
  <si>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</si>
  <si>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</si>
  <si>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</si>
  <si>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</si>
  <si>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</si>
  <si>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</si>
  <si>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</si>
  <si>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</si>
  <si>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</si>
  <si>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</si>
  <si>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</si>
  <si>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</si>
  <si>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</si>
  <si>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</si>
  <si>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</si>
  <si>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</si>
  <si>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</si>
  <si>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</si>
  <si>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</si>
  <si>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</si>
  <si>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</si>
  <si>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</si>
  <si>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</si>
  <si>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</si>
  <si>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</si>
  <si>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</si>
  <si>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</si>
  <si>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</si>
  <si>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</si>
  <si>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</si>
  <si>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</si>
  <si>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</si>
  <si>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</si>
  <si>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</si>
  <si>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</si>
  <si>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</si>
  <si>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</si>
  <si>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</si>
  <si>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</si>
  <si>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</si>
  <si>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</si>
  <si>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</si>
  <si>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</si>
  <si>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</si>
  <si>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</si>
  <si>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</si>
  <si>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</si>
  <si>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</si>
  <si>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</si>
  <si>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</si>
  <si>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</si>
  <si>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</si>
  <si>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</si>
  <si>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</si>
  <si>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</si>
  <si>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</si>
  <si>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</si>
  <si>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</si>
  <si>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</si>
  <si>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</si>
  <si>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</si>
  <si>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</si>
  <si>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</si>
  <si>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</si>
  <si>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</si>
  <si>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</si>
  <si>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</si>
  <si>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</si>
  <si>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</si>
  <si>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</si>
  <si>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</si>
  <si>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</si>
  <si>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</si>
  <si>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</si>
  <si>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</si>
  <si>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</si>
  <si>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</si>
  <si>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</si>
  <si>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</si>
  <si>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</si>
  <si>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</si>
  <si>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</si>
  <si>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</si>
  <si>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</si>
  <si>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</si>
  <si>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</si>
  <si>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</si>
  <si>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</si>
  <si>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</si>
  <si>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</si>
  <si>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</si>
  <si>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</si>
  <si>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</si>
  <si>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</si>
  <si>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</si>
  <si>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</si>
  <si>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</si>
  <si>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</si>
  <si>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</si>
  <si>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</si>
  <si>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</si>
  <si>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</si>
  <si>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</si>
  <si>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</si>
  <si>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</si>
  <si>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</si>
  <si>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</si>
  <si>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</si>
  <si>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</si>
  <si>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</si>
  <si>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</si>
  <si>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</si>
  <si>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</si>
  <si>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</si>
  <si>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</si>
  <si>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</si>
  <si>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</si>
  <si>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</si>
  <si>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</si>
  <si>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</si>
  <si>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</si>
  <si>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</si>
  <si>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</si>
  <si>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</si>
  <si>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</si>
  <si>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</si>
  <si>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</si>
  <si>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</si>
  <si>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</si>
  <si>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</si>
  <si>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</si>
  <si>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</si>
  <si>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</si>
  <si>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</si>
  <si>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</si>
  <si>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</si>
  <si>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</si>
  <si>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</si>
  <si>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</si>
  <si>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</si>
  <si>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</si>
  <si>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</si>
  <si>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</si>
  <si>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</si>
  <si>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</si>
  <si>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</si>
  <si>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</si>
  <si>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</si>
  <si>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</si>
  <si>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</si>
  <si>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</si>
  <si>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</si>
  <si>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</si>
  <si>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</si>
  <si>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</si>
  <si>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</si>
  <si>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</si>
  <si>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</si>
  <si>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</si>
  <si>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</si>
  <si>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</si>
  <si>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</si>
  <si>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</si>
  <si>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</si>
  <si>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</si>
  <si>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</si>
  <si>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</si>
  <si>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</si>
  <si>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</si>
  <si>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</si>
  <si>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</si>
  <si>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</si>
  <si>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</si>
  <si>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</si>
  <si>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</si>
  <si>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</si>
  <si>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</si>
  <si>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</si>
  <si>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</si>
  <si>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</si>
  <si>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</si>
  <si>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</si>
  <si>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</si>
  <si>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</si>
  <si>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</si>
  <si>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</si>
  <si>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</si>
  <si>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</si>
  <si>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</si>
  <si>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</si>
  <si>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</si>
  <si>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</si>
  <si>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</si>
  <si>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</si>
  <si>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</si>
  <si>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</si>
  <si>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</si>
  <si>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</si>
  <si>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</si>
  <si>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</si>
  <si>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</si>
  <si>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</si>
  <si>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</si>
  <si>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</si>
  <si>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</si>
  <si>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</si>
  <si>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</si>
  <si>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</si>
  <si>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</si>
  <si>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</si>
  <si>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</si>
  <si>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</si>
  <si>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</si>
  <si>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</si>
  <si>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</si>
  <si>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</si>
  <si>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</si>
  <si>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</si>
  <si>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</si>
  <si>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</si>
  <si>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</si>
  <si>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</si>
  <si>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</si>
  <si>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</si>
  <si>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</si>
  <si>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</si>
  <si>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</si>
  <si>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</si>
  <si>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</si>
  <si>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</si>
  <si>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</si>
  <si>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</si>
  <si>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</si>
  <si>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</si>
  <si>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</si>
  <si>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</si>
  <si>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</si>
  <si>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</si>
  <si>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</si>
  <si>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</si>
  <si>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</si>
  <si>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</si>
  <si>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</si>
  <si>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</si>
  <si>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</si>
  <si>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</si>
  <si>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</si>
  <si>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</si>
  <si>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</si>
  <si>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</si>
  <si>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</si>
  <si>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</si>
  <si>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</si>
  <si>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</si>
  <si>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</si>
  <si>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</si>
  <si>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</si>
  <si>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</si>
  <si>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</si>
  <si>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</si>
  <si>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</si>
  <si>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</si>
  <si>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</si>
  <si>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</si>
  <si>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</si>
  <si>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</si>
  <si>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</si>
  <si>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</si>
  <si>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</si>
  <si>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</si>
  <si>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</si>
  <si>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</si>
  <si>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</si>
  <si>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</si>
  <si>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</si>
  <si>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</si>
  <si>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</si>
  <si>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</si>
  <si>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</si>
  <si>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</si>
  <si>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</si>
  <si>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</si>
  <si>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</si>
  <si>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</si>
  <si>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</si>
  <si>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</si>
  <si>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</si>
  <si>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</si>
  <si>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</si>
  <si>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</si>
  <si>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</si>
  <si>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</si>
  <si>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</si>
  <si>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</si>
  <si>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</si>
  <si>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</si>
  <si>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</si>
  <si>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</si>
  <si>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</si>
  <si>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</si>
  <si>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</si>
  <si>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</si>
  <si>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</si>
  <si>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</si>
  <si>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</si>
  <si>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</si>
  <si>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</si>
  <si>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</si>
  <si>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</si>
  <si>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</si>
  <si>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</si>
  <si>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</si>
  <si>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</si>
  <si>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</si>
  <si>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</si>
  <si>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</si>
  <si>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</si>
  <si>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</si>
  <si>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</si>
  <si>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</si>
  <si>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</si>
  <si>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</si>
  <si>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</si>
  <si>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</si>
  <si>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</si>
  <si>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</si>
  <si>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</si>
  <si>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</si>
  <si>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</si>
  <si>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</si>
  <si>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</si>
  <si>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</si>
  <si>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</si>
  <si>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</si>
  <si>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</si>
  <si>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</si>
  <si>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</si>
  <si>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</si>
  <si>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</si>
  <si>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</si>
  <si>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</si>
  <si>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</si>
  <si>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</si>
  <si>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</si>
  <si>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</si>
  <si>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</si>
  <si>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</si>
  <si>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</si>
  <si>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</si>
  <si>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</si>
  <si>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</si>
  <si>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</si>
  <si>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</si>
  <si>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</si>
  <si>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</si>
  <si>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</si>
  <si>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</si>
  <si>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</si>
  <si>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</si>
  <si>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</si>
  <si>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</si>
  <si>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</si>
  <si>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</si>
  <si>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</si>
  <si>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</si>
  <si>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</si>
  <si>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</si>
  <si>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</si>
  <si>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</si>
  <si>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</si>
  <si>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</si>
  <si>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</si>
  <si>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</si>
  <si>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</si>
  <si>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</si>
  <si>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</si>
  <si>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</si>
  <si>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</si>
  <si>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</si>
  <si>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</si>
  <si>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</si>
  <si>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</si>
  <si>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</si>
  <si>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</si>
  <si>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</si>
  <si>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</si>
  <si>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</si>
  <si>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</si>
  <si>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</si>
  <si>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</si>
  <si>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</si>
  <si>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</si>
  <si>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</si>
  <si>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</si>
  <si>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</si>
  <si>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</si>
  <si>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</si>
  <si>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</si>
  <si>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</si>
  <si>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</si>
  <si>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</si>
  <si>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</si>
  <si>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</si>
  <si>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</si>
  <si>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</si>
  <si>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</si>
  <si>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</si>
  <si>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</si>
  <si>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</si>
  <si>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</si>
  <si>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</si>
  <si>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</si>
  <si>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</si>
  <si>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</si>
  <si>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</si>
  <si>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</si>
  <si>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</si>
  <si>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</si>
  <si>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</si>
  <si>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</si>
  <si>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</si>
  <si>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</si>
  <si>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</si>
  <si>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</si>
  <si>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</si>
  <si>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</si>
  <si>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</si>
  <si>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</si>
  <si>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</si>
  <si>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</si>
  <si>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</si>
  <si>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</si>
  <si>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</si>
  <si>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</si>
  <si>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</si>
  <si>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</si>
  <si>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</si>
  <si>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</si>
  <si>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</si>
  <si>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</si>
  <si>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</si>
  <si>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</si>
  <si>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</si>
  <si>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</si>
  <si>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</si>
  <si>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</si>
  <si>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</si>
  <si>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</si>
  <si>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</si>
  <si>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</si>
  <si>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</si>
  <si>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</si>
  <si>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</si>
  <si>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</si>
  <si>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</si>
  <si>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</si>
  <si>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</si>
  <si>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</si>
  <si>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</si>
  <si>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</si>
  <si>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</si>
  <si>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</si>
  <si>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</si>
  <si>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</si>
  <si>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</si>
  <si>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</si>
  <si>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</si>
  <si>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</si>
  <si>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</si>
  <si>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</si>
  <si>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</si>
  <si>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</si>
  <si>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</si>
  <si>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</si>
  <si>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</si>
  <si>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</si>
  <si>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</si>
  <si>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</si>
  <si>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</si>
  <si>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</si>
  <si>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</si>
  <si>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</si>
  <si>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</si>
  <si>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</si>
  <si>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</si>
  <si>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</si>
  <si>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</si>
  <si>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</si>
  <si>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</si>
  <si>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</si>
  <si>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</si>
  <si>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</si>
  <si>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</si>
  <si>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</si>
  <si>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</si>
  <si>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</si>
  <si>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</si>
  <si>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</si>
  <si>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</si>
  <si>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</si>
  <si>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</si>
  <si>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</si>
  <si>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</si>
  <si>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</si>
  <si>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</si>
  <si>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</si>
  <si>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</si>
  <si>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</si>
  <si>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</si>
  <si>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</si>
  <si>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</si>
  <si>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</si>
  <si>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</si>
  <si>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</si>
  <si>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</si>
  <si>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</si>
  <si>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</si>
  <si>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</si>
  <si>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</si>
  <si>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</si>
  <si>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</si>
  <si>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</si>
  <si>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</si>
  <si>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</si>
  <si>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</si>
  <si>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</si>
  <si>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</si>
  <si>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</si>
  <si>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</si>
  <si>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</si>
  <si>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</si>
  <si>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</si>
  <si>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</si>
  <si>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</si>
  <si>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</si>
  <si>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</si>
  <si>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</si>
  <si>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</si>
  <si>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</si>
  <si>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</si>
  <si>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</si>
  <si>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</si>
  <si>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</si>
  <si>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</si>
  <si>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</si>
  <si>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</si>
  <si>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</si>
  <si>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</si>
  <si>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</si>
  <si>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</si>
  <si>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</si>
  <si>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</si>
  <si>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</si>
  <si>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</si>
  <si>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</si>
  <si>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</si>
  <si>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</si>
  <si>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</si>
  <si>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</si>
  <si>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</si>
  <si>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</si>
  <si>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</si>
  <si>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</si>
  <si>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</si>
  <si>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</si>
  <si>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</si>
  <si>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</si>
  <si>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</si>
  <si>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</si>
  <si>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</si>
  <si>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</si>
  <si>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</si>
  <si>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</si>
  <si>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</si>
  <si>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</si>
  <si>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</si>
  <si>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</si>
  <si>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</si>
  <si>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</si>
  <si>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</si>
  <si>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</si>
  <si>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</si>
  <si>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</si>
  <si>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</si>
  <si>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</si>
  <si>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</si>
  <si>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</si>
  <si>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</si>
  <si>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</si>
  <si>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</si>
  <si>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</si>
  <si>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</si>
  <si>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</si>
  <si>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</si>
  <si>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</si>
  <si>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</si>
  <si>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</si>
  <si>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</si>
  <si>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</si>
  <si>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</si>
  <si>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</si>
  <si>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</si>
  <si>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</si>
  <si>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</si>
  <si>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</si>
  <si>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</si>
  <si>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</si>
  <si>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</si>
  <si>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</si>
  <si>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</si>
  <si>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</si>
  <si>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</si>
  <si>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</si>
  <si>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</si>
  <si>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</si>
  <si>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</si>
  <si>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</si>
  <si>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</si>
  <si>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</si>
  <si>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</si>
  <si>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</si>
  <si>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</si>
  <si>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</si>
  <si>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</si>
  <si>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</si>
  <si>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</si>
  <si>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</si>
  <si>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</si>
  <si>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</si>
  <si>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</si>
  <si>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</si>
  <si>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</si>
  <si>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</si>
  <si>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</si>
  <si>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</si>
  <si>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</si>
  <si>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</si>
  <si>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</si>
  <si>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</si>
  <si>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</si>
  <si>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</si>
  <si>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</si>
  <si>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</si>
  <si>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</si>
  <si>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</si>
  <si>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</si>
  <si>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</si>
  <si>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</si>
  <si>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</si>
  <si>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</si>
  <si>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</si>
  <si>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</si>
  <si>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</si>
  <si>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</si>
  <si>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</si>
  <si>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</si>
  <si>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</si>
  <si>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</si>
  <si>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</si>
  <si>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</si>
  <si>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</si>
  <si>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</si>
  <si>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</si>
  <si>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</si>
  <si>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</si>
  <si>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</si>
  <si>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</si>
  <si>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</si>
  <si>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</si>
  <si>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</si>
  <si>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</si>
  <si>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</si>
  <si>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</si>
  <si>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</si>
  <si>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</si>
  <si>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</si>
  <si>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</si>
  <si>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</si>
  <si>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</si>
  <si>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</si>
  <si>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</si>
  <si>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</si>
  <si>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</si>
  <si>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</si>
  <si>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</si>
  <si>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</si>
  <si>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</si>
  <si>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</si>
  <si>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</si>
  <si>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</si>
  <si>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</si>
  <si>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</si>
  <si>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</si>
  <si>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</si>
  <si>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</si>
  <si>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</si>
  <si>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</si>
  <si>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</si>
  <si>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</si>
  <si>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</si>
  <si>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</si>
  <si>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</si>
  <si>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</si>
  <si>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</si>
  <si>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</si>
  <si>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</si>
  <si>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</si>
  <si>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</si>
  <si>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</si>
  <si>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</si>
  <si>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</si>
  <si>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</si>
  <si>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</si>
  <si>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</si>
  <si>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</si>
  <si>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</si>
  <si>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</si>
  <si>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</si>
  <si>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</si>
  <si>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</si>
  <si>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</si>
  <si>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</si>
  <si>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</si>
  <si>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</si>
  <si>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</si>
  <si>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</si>
  <si>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</si>
  <si>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</si>
  <si>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</si>
  <si>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</si>
  <si>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</si>
  <si>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</si>
  <si>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</si>
  <si>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</si>
  <si>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</si>
  <si>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</si>
  <si>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</si>
  <si>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</si>
  <si>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</si>
  <si>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</si>
  <si>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</si>
  <si>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</si>
  <si>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</si>
  <si>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</si>
  <si>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</si>
  <si>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</si>
  <si>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</si>
  <si>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</si>
  <si>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</si>
  <si>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</si>
  <si>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</si>
  <si>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</si>
  <si>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</si>
  <si>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</si>
  <si>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</si>
  <si>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</si>
  <si>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</si>
  <si>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</si>
  <si>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</si>
  <si>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</si>
  <si>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</si>
  <si>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</si>
  <si>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</si>
  <si>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</si>
  <si>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</si>
  <si>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</si>
  <si>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</si>
  <si>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</si>
  <si>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</si>
  <si>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</si>
  <si>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</si>
  <si>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</si>
  <si>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</si>
  <si>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</si>
  <si>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</si>
  <si>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</si>
  <si>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</si>
  <si>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</si>
  <si>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</si>
  <si>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</si>
  <si>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</si>
  <si>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</si>
  <si>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</si>
  <si>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</si>
  <si>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</si>
  <si>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</si>
  <si>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</si>
  <si>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</si>
  <si>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</si>
  <si>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</si>
  <si>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</si>
  <si>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</si>
  <si>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</si>
  <si>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</si>
  <si>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</si>
  <si>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</si>
  <si>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</si>
  <si>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</si>
  <si>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</si>
  <si>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</si>
  <si>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</si>
  <si>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</si>
  <si>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</si>
  <si>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</si>
  <si>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</si>
  <si>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</si>
  <si>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</si>
  <si>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</si>
  <si>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</si>
  <si>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</si>
  <si>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</si>
  <si>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</si>
  <si>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</si>
  <si>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</si>
  <si>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</si>
  <si>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</si>
  <si>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</si>
  <si>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</si>
  <si>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</si>
  <si>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</si>
  <si>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</si>
  <si>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</si>
  <si>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</si>
  <si>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</si>
  <si>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</si>
  <si>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</si>
  <si>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</si>
  <si>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</si>
  <si>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</si>
  <si>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</si>
  <si>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</si>
  <si>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</si>
  <si>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</si>
  <si>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</si>
  <si>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</si>
  <si>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</si>
  <si>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</si>
  <si>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</si>
  <si>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</si>
  <si>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</si>
  <si>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</si>
  <si>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</si>
  <si>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</si>
  <si>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</si>
  <si>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</si>
  <si>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</si>
  <si>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</si>
  <si>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</si>
  <si>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</si>
  <si>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</si>
  <si>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</si>
  <si>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</si>
  <si>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</si>
  <si>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</si>
  <si>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</si>
  <si>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</si>
  <si>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</si>
  <si>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</si>
  <si>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</si>
  <si>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</si>
  <si>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</si>
  <si>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</si>
  <si>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</si>
  <si>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</si>
  <si>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</si>
  <si>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</si>
  <si>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</si>
  <si>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</si>
  <si>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</si>
  <si>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</si>
  <si>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</si>
  <si>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</si>
  <si>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</si>
  <si>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</si>
  <si>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</si>
  <si>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</si>
  <si>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</si>
  <si>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</si>
  <si>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</si>
  <si>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</si>
  <si>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</si>
  <si>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</si>
  <si>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</si>
  <si>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</si>
  <si>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</si>
  <si>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</si>
  <si>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</si>
  <si>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</si>
  <si>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</si>
  <si>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</si>
  <si>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</si>
  <si>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</si>
  <si>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</si>
  <si>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</si>
  <si>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</si>
  <si>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</si>
  <si>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</si>
  <si>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</si>
  <si>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</si>
  <si>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</si>
  <si>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</si>
  <si>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</si>
  <si>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</si>
  <si>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</si>
  <si>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</si>
  <si>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</si>
  <si>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</si>
  <si>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</si>
  <si>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</si>
  <si>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</si>
  <si>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</si>
  <si>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</si>
  <si>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</si>
  <si>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</si>
  <si>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</si>
  <si>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</si>
  <si>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</si>
  <si>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</si>
  <si>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</si>
  <si>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</si>
  <si>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</si>
  <si>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</si>
  <si>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</si>
  <si>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</si>
  <si>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</si>
  <si>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</si>
  <si>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</si>
  <si>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</si>
  <si>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</si>
  <si>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</si>
  <si>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</si>
  <si>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</si>
  <si>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</si>
  <si>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</si>
  <si>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</si>
  <si>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</si>
  <si>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</si>
  <si>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</si>
  <si>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</si>
  <si>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</si>
  <si>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</si>
  <si>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</si>
  <si>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</si>
  <si>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</si>
  <si>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</si>
  <si>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</si>
  <si>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</si>
  <si>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</si>
  <si>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</si>
  <si>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</si>
  <si>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</si>
  <si>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</si>
  <si>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</si>
  <si>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</si>
  <si>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</si>
  <si>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</si>
  <si>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</si>
  <si>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</si>
  <si>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</si>
  <si>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</si>
  <si>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</si>
  <si>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</si>
  <si>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</si>
  <si>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</si>
  <si>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</si>
  <si>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</si>
  <si>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</si>
  <si>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</si>
  <si>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</si>
  <si>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</si>
  <si>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</si>
  <si>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</si>
  <si>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</si>
  <si>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</si>
  <si>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</si>
  <si>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</si>
  <si>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</si>
  <si>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</si>
  <si>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</si>
  <si>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</si>
  <si>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</si>
  <si>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</si>
  <si>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</si>
  <si>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</si>
  <si>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</si>
  <si>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</si>
  <si>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</si>
  <si>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</si>
  <si>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</si>
  <si>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</si>
  <si>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</si>
  <si>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</si>
  <si>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</si>
  <si>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</si>
  <si>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</si>
  <si>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</si>
  <si>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</si>
  <si>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</si>
  <si>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</si>
  <si>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</si>
  <si>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</si>
  <si>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</si>
  <si>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</si>
  <si>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</si>
  <si>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</si>
  <si>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</si>
  <si>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</si>
  <si>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</si>
  <si>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</si>
  <si>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</si>
  <si>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</si>
  <si>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</si>
  <si>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</si>
  <si>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</si>
  <si>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</si>
  <si>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</si>
  <si>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</si>
  <si>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</si>
  <si>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</si>
  <si>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</si>
  <si>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</si>
  <si>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</si>
  <si>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</si>
  <si>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</si>
  <si>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</si>
  <si>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</si>
  <si>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</si>
  <si>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</si>
  <si>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</si>
  <si>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</si>
  <si>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</si>
  <si>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</si>
  <si>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</si>
  <si>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</si>
  <si>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</si>
  <si>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</si>
  <si>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</si>
  <si>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</si>
  <si>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</si>
  <si>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</si>
  <si>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</si>
  <si>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</si>
  <si>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</si>
  <si>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</si>
  <si>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</si>
  <si>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</si>
  <si>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</si>
  <si>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</si>
  <si>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</si>
  <si>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</si>
  <si>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</si>
  <si>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</si>
  <si>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</si>
  <si>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</si>
  <si>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</si>
  <si>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</si>
  <si>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</si>
  <si>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</si>
  <si>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</si>
  <si>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</si>
  <si>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</si>
  <si>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</si>
  <si>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</si>
  <si>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</si>
  <si>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</si>
  <si>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</si>
  <si>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</si>
  <si>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</si>
  <si>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</si>
  <si>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</si>
  <si>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</si>
  <si>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</si>
  <si>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</si>
  <si>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</si>
  <si>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</si>
  <si>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</si>
  <si>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</si>
  <si>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</si>
  <si>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</si>
  <si>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</si>
  <si>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</si>
  <si>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</si>
  <si>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</si>
  <si>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</si>
  <si>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</si>
  <si>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</si>
  <si>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</si>
  <si>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</si>
  <si>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</si>
  <si>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</si>
  <si>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</si>
  <si>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</si>
  <si>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</si>
  <si>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</si>
  <si>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</si>
  <si>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</si>
  <si>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</si>
  <si>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</si>
  <si>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</si>
  <si>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</si>
  <si>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</si>
  <si>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</si>
  <si>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</si>
  <si>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</si>
  <si>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</si>
  <si>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</si>
  <si>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</si>
  <si>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</si>
  <si>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</si>
  <si>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</si>
  <si>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</si>
  <si>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</si>
  <si>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</si>
  <si>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</si>
  <si>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</si>
  <si>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</si>
  <si>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</si>
  <si>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</si>
  <si>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</si>
  <si>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</si>
  <si>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</si>
  <si>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</si>
  <si>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</si>
  <si>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</si>
  <si>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</si>
  <si>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</si>
  <si>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</si>
  <si>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</si>
  <si>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</si>
  <si>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</si>
  <si>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</si>
  <si>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</si>
  <si>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</si>
  <si>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</si>
  <si>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</si>
  <si>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</si>
  <si>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</si>
  <si>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</si>
  <si>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</si>
  <si>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</si>
  <si>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</si>
  <si>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</si>
  <si>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</si>
  <si>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</si>
  <si>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</si>
  <si>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</si>
  <si>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</si>
  <si>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</si>
  <si>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</si>
  <si>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</si>
  <si>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</si>
  <si>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</si>
  <si>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</si>
  <si>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</si>
  <si>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</si>
  <si>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</si>
  <si>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</si>
  <si>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</si>
  <si>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</si>
  <si>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</si>
  <si>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</si>
  <si>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</si>
  <si>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</si>
  <si>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</si>
  <si>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</si>
  <si>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</si>
  <si>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</si>
  <si>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</si>
  <si>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</si>
  <si>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</si>
  <si>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</si>
  <si>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</si>
  <si>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</si>
  <si>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</si>
  <si>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</si>
  <si>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</si>
  <si>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</si>
  <si>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</si>
  <si>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</si>
  <si>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</si>
  <si>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</si>
  <si>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</si>
  <si>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</si>
  <si>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</si>
  <si>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</si>
  <si>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</si>
  <si>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</si>
  <si>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</si>
  <si>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</si>
  <si>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</si>
  <si>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</si>
  <si>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</si>
  <si>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</si>
  <si>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</si>
  <si>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</si>
  <si>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</si>
  <si>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</si>
  <si>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</si>
  <si>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</si>
  <si>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</si>
  <si>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</si>
  <si>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</si>
  <si>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</si>
  <si>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</si>
  <si>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</si>
  <si>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</si>
  <si>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</si>
  <si>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</si>
  <si>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</si>
  <si>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</si>
  <si>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</si>
  <si>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</si>
  <si>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</si>
  <si>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</si>
  <si>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</si>
  <si>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</si>
  <si>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</si>
  <si>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</si>
  <si>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</si>
  <si>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</si>
  <si>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</si>
  <si>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</si>
  <si>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</si>
  <si>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</si>
  <si>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</si>
  <si>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</si>
  <si>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</si>
  <si>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</si>
  <si>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</si>
  <si>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</si>
  <si>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</si>
  <si>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</si>
  <si>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</si>
  <si>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</si>
  <si>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</si>
  <si>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</si>
  <si>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</si>
  <si>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</si>
  <si>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</si>
  <si>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</si>
  <si>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</si>
  <si>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</si>
  <si>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</si>
  <si>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</si>
  <si>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</si>
  <si>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</si>
  <si>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</si>
  <si>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</si>
  <si>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</si>
  <si>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</si>
  <si>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</si>
  <si>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</si>
  <si>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</si>
  <si>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</si>
  <si>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</si>
  <si>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</si>
  <si>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</si>
  <si>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</si>
  <si>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</si>
  <si>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</si>
  <si>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</si>
  <si>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</si>
  <si>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</si>
  <si>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</si>
  <si>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</si>
  <si>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</si>
  <si>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</si>
  <si>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</si>
  <si>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</si>
  <si>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</si>
  <si>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</si>
  <si>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</si>
  <si>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</si>
  <si>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</si>
  <si>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</si>
  <si>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</si>
  <si>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</si>
  <si>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</si>
  <si>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</si>
  <si>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</si>
  <si>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오류코드</t>
    <phoneticPr fontId="2" type="noConversion"/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</si>
  <si>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</si>
  <si>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</si>
  <si>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</si>
  <si>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</si>
  <si>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상태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</si>
  <si>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</si>
  <si>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</si>
  <si>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</si>
  <si>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</si>
  <si>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09G_Solenoid</t>
    <phoneticPr fontId="2" type="noConversion"/>
  </si>
  <si>
    <t>qqq</t>
  </si>
  <si>
    <t>GM</t>
    <phoneticPr fontId="2" type="noConversion"/>
  </si>
  <si>
    <t>0250</t>
    <phoneticPr fontId="2" type="noConversion"/>
  </si>
  <si>
    <t>0561</t>
  </si>
  <si>
    <t>1485</t>
  </si>
  <si>
    <t>단가</t>
    <phoneticPr fontId="2" type="noConversion"/>
  </si>
  <si>
    <t>927156AA</t>
    <phoneticPr fontId="2" type="noConversion"/>
  </si>
  <si>
    <t>구분</t>
    <phoneticPr fontId="2" type="noConversion"/>
  </si>
  <si>
    <t>10024757</t>
  </si>
  <si>
    <t>10066707</t>
  </si>
  <si>
    <t>10595629</t>
  </si>
  <si>
    <t>0069</t>
  </si>
  <si>
    <t>0329</t>
  </si>
  <si>
    <t>배송상태</t>
    <phoneticPr fontId="2" type="noConversion"/>
  </si>
  <si>
    <t>45D22405210338</t>
  </si>
  <si>
    <t>117812</t>
  </si>
  <si>
    <t>110212</t>
  </si>
  <si>
    <t>118512</t>
  </si>
  <si>
    <t>113412</t>
  </si>
  <si>
    <t>104412</t>
  </si>
  <si>
    <t>118712</t>
  </si>
  <si>
    <t>117012</t>
  </si>
  <si>
    <t>001004</t>
  </si>
  <si>
    <t>45D22510250088</t>
  </si>
  <si>
    <t>45D22510250062</t>
  </si>
  <si>
    <t>01J_TCU</t>
    <phoneticPr fontId="2" type="noConversion"/>
  </si>
  <si>
    <t>01J927156JG</t>
    <phoneticPr fontId="2" type="noConversion"/>
  </si>
  <si>
    <t>0312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</si>
  <si>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</si>
  <si>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</si>
  <si>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</si>
  <si>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</si>
  <si>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</si>
  <si>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</si>
  <si>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</si>
  <si>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</si>
  <si>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</si>
  <si>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0605</t>
  </si>
  <si>
    <t>1363</t>
  </si>
  <si>
    <t>0887</t>
  </si>
  <si>
    <t>0396</t>
  </si>
  <si>
    <t>0547</t>
  </si>
  <si>
    <t>제이오토(대구)_251111_115410.xlsx</t>
  </si>
  <si>
    <t>1962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</si>
  <si>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</si>
  <si>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</si>
  <si>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</si>
  <si>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</si>
  <si>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0CK_TCU</t>
    <phoneticPr fontId="2" type="noConversion"/>
  </si>
  <si>
    <t>927156AA</t>
    <phoneticPr fontId="2" type="noConversion"/>
  </si>
  <si>
    <t>제이오토(대구)_251114_190009.xlsx</t>
  </si>
  <si>
    <t>1962</t>
    <phoneticPr fontId="2" type="noConversion"/>
  </si>
  <si>
    <t>제이오토(대구)_251114_190142.xlsx</t>
  </si>
  <si>
    <t>0250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</si>
  <si>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</si>
  <si>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</si>
  <si>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</si>
  <si>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</si>
  <si>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</si>
  <si>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비비고비비고</t>
  </si>
  <si>
    <t>AP오토서비스(수원)_251115_124245.xlsx</t>
  </si>
  <si>
    <t>미르오토(대구)_251222_093956.xlsx</t>
  </si>
  <si>
    <t>비비고</t>
  </si>
  <si>
    <t>차가안감</t>
  </si>
  <si>
    <t>365모터스(안동)_251222_094228.xlsx</t>
  </si>
  <si>
    <t>365모터스(안동)_251222_094832.xlsx</t>
  </si>
  <si>
    <t>WDWD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</si>
  <si>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</si>
  <si>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</si>
  <si>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</si>
  <si>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</si>
  <si>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경기도 수원시 권선구 매송고색로 804번길 33</t>
    <phoneticPr fontId="2" type="noConversion"/>
  </si>
  <si>
    <t>010-5057-4492</t>
    <phoneticPr fontId="2" type="noConversion"/>
  </si>
  <si>
    <t>AP오토서비스(수원)_260108_201750.xlsx</t>
  </si>
  <si>
    <t>AP오토서비스(수원)_260108_201750.xlsx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</si>
</sst>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0" fontId="30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181" fontId="0" fillId="0" borderId="5" xfId="0" applyNumberFormat="1" applyBorder="1">
      <alignment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49" fontId="3" fillId="14" borderId="79" xfId="0" applyNumberFormat="1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3600000</c:v>
                </c:pt>
                <c:pt idx="1">
                  <c:v>2450000</c:v>
                </c:pt>
                <c:pt idx="2">
                  <c:v>1650000</c:v>
                </c:pt>
                <c:pt idx="3">
                  <c:v>2970000</c:v>
                </c:pt>
                <c:pt idx="4">
                  <c:v>1220000</c:v>
                </c:pt>
                <c:pt idx="5">
                  <c:v>2305000</c:v>
                </c:pt>
                <c:pt idx="6">
                  <c:v>650000</c:v>
                </c:pt>
                <c:pt idx="7">
                  <c:v>1158000</c:v>
                </c:pt>
                <c:pt idx="8">
                  <c:v>540000</c:v>
                </c:pt>
                <c:pt idx="9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4</c:v>
                      </c:pt>
                      <c:pt idx="2">
                        <c:v>7</c:v>
                      </c:pt>
                      <c:pt idx="3">
                        <c:v>2</c:v>
                      </c:pt>
                      <c:pt idx="4">
                        <c:v>11</c:v>
                      </c:pt>
                      <c:pt idx="5">
                        <c:v>5</c:v>
                      </c:pt>
                      <c:pt idx="6">
                        <c:v>17</c:v>
                      </c:pt>
                      <c:pt idx="7">
                        <c:v>13</c:v>
                      </c:pt>
                      <c:pt idx="8">
                        <c:v>21</c:v>
                      </c:pt>
                      <c:pt idx="9">
                        <c:v>24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C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2368</v>
      </c>
    </row>
    <row r="4" spans="14:17">
      <c r="Q4" s="95" t="s">
        <v>3083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2368</v>
      </c>
      <c r="Q21" s="225"/>
    </row>
    <row r="22" spans="3:19">
      <c r="C22" s="95" t="s">
        <v>3596</v>
      </c>
    </row>
    <row r="23" spans="3:19"/>
    <row r="24" spans="3:19"/>
    <row r="25" spans="3:19"/>
    <row r="26" spans="3:19"/>
    <row r="27" spans="3:19"/>
    <row r="28" spans="3:19">
      <c r="S28" s="95" t="s">
        <v>2368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1623</v>
      </c>
      <c r="D1" s="179" t="s">
        <v>36</v>
      </c>
      <c r="E1" s="179" t="s">
        <v>1624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2005</v>
      </c>
      <c r="D2" t="s">
        <v>1999</v>
      </c>
      <c r="E2" s="224">
        <v>21000</v>
      </c>
    </row>
    <row r="3" spans="1:7">
      <c r="A3">
        <v>2</v>
      </c>
      <c r="B3" s="13">
        <v>45747</v>
      </c>
      <c r="C3" t="s">
        <v>2006</v>
      </c>
      <c r="D3" t="s">
        <v>2003</v>
      </c>
      <c r="E3" s="224">
        <v>48210</v>
      </c>
    </row>
    <row r="4" spans="1:7">
      <c r="A4">
        <v>3</v>
      </c>
      <c r="B4" s="13">
        <v>45749</v>
      </c>
      <c r="C4" t="s">
        <v>2002</v>
      </c>
      <c r="D4" t="s">
        <v>2002</v>
      </c>
      <c r="E4" s="224">
        <v>16600</v>
      </c>
      <c r="F4" t="s">
        <v>2007</v>
      </c>
    </row>
    <row r="5" spans="1:7">
      <c r="A5">
        <v>4</v>
      </c>
      <c r="B5" s="13">
        <v>45749</v>
      </c>
      <c r="C5" t="s">
        <v>1637</v>
      </c>
      <c r="D5" t="s">
        <v>2000</v>
      </c>
      <c r="E5">
        <v>19500</v>
      </c>
    </row>
    <row r="6" spans="1:7">
      <c r="A6">
        <v>5</v>
      </c>
      <c r="B6" s="13">
        <v>45749</v>
      </c>
      <c r="C6" t="s">
        <v>2002</v>
      </c>
      <c r="D6" t="s">
        <v>1634</v>
      </c>
      <c r="E6">
        <v>8000</v>
      </c>
      <c r="F6" t="s">
        <v>2008</v>
      </c>
    </row>
    <row r="7" spans="1:7">
      <c r="A7">
        <v>6</v>
      </c>
      <c r="B7" s="13">
        <v>45750</v>
      </c>
      <c r="C7" t="s">
        <v>1637</v>
      </c>
      <c r="D7" t="s">
        <v>2000</v>
      </c>
      <c r="E7">
        <v>22000</v>
      </c>
    </row>
    <row r="8" spans="1:7">
      <c r="A8">
        <v>7</v>
      </c>
      <c r="B8" s="13">
        <v>45751</v>
      </c>
      <c r="C8" t="s">
        <v>1693</v>
      </c>
      <c r="D8" t="s">
        <v>2000</v>
      </c>
      <c r="E8">
        <v>7900</v>
      </c>
    </row>
    <row r="9" spans="1:7">
      <c r="A9">
        <v>8</v>
      </c>
      <c r="B9" s="13">
        <v>45751</v>
      </c>
      <c r="C9" t="s">
        <v>1709</v>
      </c>
      <c r="D9" t="s">
        <v>2000</v>
      </c>
      <c r="E9">
        <v>5400</v>
      </c>
      <c r="F9" t="s">
        <v>1710</v>
      </c>
    </row>
    <row r="10" spans="1:7">
      <c r="A10">
        <v>9</v>
      </c>
      <c r="B10" s="13">
        <v>45754</v>
      </c>
      <c r="C10" t="s">
        <v>1518</v>
      </c>
      <c r="D10" t="s">
        <v>2002</v>
      </c>
      <c r="E10">
        <v>8000</v>
      </c>
      <c r="F10" t="s">
        <v>1750</v>
      </c>
    </row>
    <row r="11" spans="1:7">
      <c r="A11">
        <v>10</v>
      </c>
      <c r="B11" s="13">
        <v>45754</v>
      </c>
      <c r="C11" t="s">
        <v>1637</v>
      </c>
      <c r="D11" t="s">
        <v>2000</v>
      </c>
      <c r="E11">
        <v>11000</v>
      </c>
    </row>
    <row r="12" spans="1:7">
      <c r="A12">
        <v>11</v>
      </c>
      <c r="B12" s="13">
        <v>45754</v>
      </c>
      <c r="C12" t="s">
        <v>1622</v>
      </c>
      <c r="D12" t="s">
        <v>2004</v>
      </c>
      <c r="E12">
        <v>47970</v>
      </c>
    </row>
    <row r="13" spans="1:7">
      <c r="A13">
        <v>12</v>
      </c>
      <c r="B13" s="13">
        <v>45755</v>
      </c>
      <c r="C13" t="s">
        <v>1709</v>
      </c>
      <c r="D13" t="s">
        <v>2000</v>
      </c>
      <c r="E13">
        <v>5400</v>
      </c>
      <c r="F13" t="s">
        <v>1800</v>
      </c>
    </row>
    <row r="14" spans="1:7">
      <c r="A14">
        <v>13</v>
      </c>
      <c r="B14" s="13">
        <v>45756</v>
      </c>
      <c r="C14" t="s">
        <v>1824</v>
      </c>
      <c r="D14" t="s">
        <v>2001</v>
      </c>
      <c r="E14">
        <v>44600</v>
      </c>
    </row>
    <row r="15" spans="1:7">
      <c r="A15">
        <v>14</v>
      </c>
      <c r="B15" s="13">
        <v>45756</v>
      </c>
      <c r="C15" t="s">
        <v>1637</v>
      </c>
      <c r="D15" t="s">
        <v>2000</v>
      </c>
      <c r="E15">
        <v>11000</v>
      </c>
    </row>
    <row r="16" spans="1:7">
      <c r="A16">
        <v>15</v>
      </c>
      <c r="B16" s="13">
        <v>45758</v>
      </c>
      <c r="C16" t="s">
        <v>1693</v>
      </c>
      <c r="D16" t="s">
        <v>2000</v>
      </c>
      <c r="E16">
        <v>7900</v>
      </c>
    </row>
    <row r="17" spans="1:6">
      <c r="A17">
        <v>16</v>
      </c>
      <c r="B17" s="13">
        <v>45762</v>
      </c>
      <c r="C17" t="s">
        <v>1622</v>
      </c>
      <c r="D17" t="s">
        <v>2004</v>
      </c>
      <c r="E17">
        <v>47550</v>
      </c>
    </row>
    <row r="18" spans="1:6">
      <c r="A18">
        <v>17</v>
      </c>
      <c r="B18" s="13">
        <v>45762</v>
      </c>
      <c r="C18" t="s">
        <v>1622</v>
      </c>
      <c r="D18" t="s">
        <v>2004</v>
      </c>
      <c r="E18">
        <v>5000</v>
      </c>
      <c r="F18" t="s">
        <v>1880</v>
      </c>
    </row>
    <row r="19" spans="1:6">
      <c r="A19">
        <v>18</v>
      </c>
      <c r="B19" s="13">
        <v>45762</v>
      </c>
      <c r="C19" t="s">
        <v>1881</v>
      </c>
      <c r="D19" t="s">
        <v>2000</v>
      </c>
      <c r="E19">
        <v>40600</v>
      </c>
    </row>
    <row r="20" spans="1:6">
      <c r="A20">
        <v>19</v>
      </c>
      <c r="B20" s="13">
        <v>45771</v>
      </c>
      <c r="C20" t="s">
        <v>1622</v>
      </c>
      <c r="D20" t="s">
        <v>2004</v>
      </c>
      <c r="E20">
        <v>47550</v>
      </c>
    </row>
    <row r="21" spans="1:6">
      <c r="A21">
        <v>20</v>
      </c>
      <c r="B21" s="13">
        <v>45771</v>
      </c>
      <c r="C21" t="s">
        <v>1970</v>
      </c>
      <c r="D21" t="s">
        <v>2004</v>
      </c>
      <c r="E21">
        <v>5000</v>
      </c>
      <c r="F21" t="s">
        <v>1880</v>
      </c>
    </row>
    <row r="22" spans="1:6">
      <c r="A22">
        <v>21</v>
      </c>
      <c r="B22" s="13">
        <v>45772</v>
      </c>
      <c r="C22" t="s">
        <v>1518</v>
      </c>
      <c r="D22" t="s">
        <v>2002</v>
      </c>
      <c r="E22">
        <v>7000</v>
      </c>
      <c r="F22" t="s">
        <v>1987</v>
      </c>
    </row>
    <row r="23" spans="1:6">
      <c r="A23">
        <v>22</v>
      </c>
      <c r="B23" s="13">
        <v>45775</v>
      </c>
      <c r="C23" t="s">
        <v>1995</v>
      </c>
      <c r="D23" t="s">
        <v>2000</v>
      </c>
      <c r="E23">
        <v>8000</v>
      </c>
    </row>
    <row r="24" spans="1:6">
      <c r="A24">
        <v>23</v>
      </c>
      <c r="B24" s="13">
        <v>45775</v>
      </c>
      <c r="C24" t="s">
        <v>1518</v>
      </c>
      <c r="D24" t="s">
        <v>2002</v>
      </c>
      <c r="E24">
        <v>5000</v>
      </c>
      <c r="F24" t="s">
        <v>1146</v>
      </c>
    </row>
    <row r="25" spans="1:6">
      <c r="A25">
        <v>24</v>
      </c>
      <c r="B25" s="13">
        <v>45778</v>
      </c>
      <c r="C25" t="s">
        <v>2056</v>
      </c>
      <c r="D25" t="s">
        <v>1782</v>
      </c>
      <c r="E25">
        <v>2000</v>
      </c>
      <c r="F25" t="s">
        <v>2057</v>
      </c>
    </row>
    <row r="26" spans="1:6">
      <c r="A26">
        <v>25</v>
      </c>
      <c r="B26" s="13">
        <v>45778</v>
      </c>
      <c r="C26" t="s">
        <v>2056</v>
      </c>
      <c r="D26" t="s">
        <v>1782</v>
      </c>
      <c r="E26">
        <v>2000</v>
      </c>
      <c r="F26" t="s">
        <v>2057</v>
      </c>
    </row>
    <row r="27" spans="1:6">
      <c r="A27">
        <v>26</v>
      </c>
      <c r="B27" s="13">
        <v>45777</v>
      </c>
      <c r="C27" t="s">
        <v>2058</v>
      </c>
      <c r="D27" t="s">
        <v>1999</v>
      </c>
      <c r="E27">
        <v>32000</v>
      </c>
    </row>
    <row r="28" spans="1:6">
      <c r="A28">
        <v>27</v>
      </c>
      <c r="B28" s="13">
        <v>45778</v>
      </c>
      <c r="C28" t="s">
        <v>1995</v>
      </c>
      <c r="D28" t="s">
        <v>1999</v>
      </c>
      <c r="E28" s="224">
        <v>8000</v>
      </c>
    </row>
    <row r="29" spans="1:6">
      <c r="A29">
        <v>28</v>
      </c>
      <c r="B29" s="13">
        <v>45779</v>
      </c>
      <c r="C29" t="s">
        <v>2056</v>
      </c>
      <c r="D29" t="s">
        <v>1782</v>
      </c>
      <c r="E29">
        <v>6000</v>
      </c>
      <c r="F29" t="s">
        <v>2061</v>
      </c>
    </row>
    <row r="30" spans="1:6">
      <c r="A30">
        <v>29</v>
      </c>
      <c r="B30" s="13">
        <v>45779</v>
      </c>
      <c r="C30" t="s">
        <v>2072</v>
      </c>
      <c r="D30" t="s">
        <v>1998</v>
      </c>
      <c r="E30">
        <v>74100</v>
      </c>
      <c r="F30" t="s">
        <v>2073</v>
      </c>
    </row>
    <row r="31" spans="1:6">
      <c r="A31">
        <v>30</v>
      </c>
      <c r="B31" s="13">
        <v>45780</v>
      </c>
      <c r="C31" t="s">
        <v>2070</v>
      </c>
      <c r="D31" t="s">
        <v>1998</v>
      </c>
      <c r="E31">
        <v>7000</v>
      </c>
      <c r="F31" t="s">
        <v>2071</v>
      </c>
    </row>
    <row r="32" spans="1:6">
      <c r="A32">
        <v>31</v>
      </c>
      <c r="B32" s="13">
        <v>45780</v>
      </c>
      <c r="C32" t="s">
        <v>2056</v>
      </c>
      <c r="D32" t="s">
        <v>1782</v>
      </c>
      <c r="E32">
        <v>7000</v>
      </c>
      <c r="F32" t="s">
        <v>1888</v>
      </c>
    </row>
    <row r="33" spans="1:6">
      <c r="A33">
        <v>32</v>
      </c>
      <c r="B33" s="13">
        <v>45784</v>
      </c>
      <c r="C33" t="s">
        <v>1637</v>
      </c>
      <c r="D33" t="s">
        <v>1999</v>
      </c>
      <c r="E33">
        <v>9500</v>
      </c>
    </row>
    <row r="34" spans="1:6">
      <c r="A34">
        <v>33</v>
      </c>
      <c r="B34" s="13">
        <v>45785</v>
      </c>
      <c r="C34" t="s">
        <v>2115</v>
      </c>
      <c r="D34" t="s">
        <v>1999</v>
      </c>
      <c r="E34">
        <v>14000</v>
      </c>
    </row>
    <row r="35" spans="1:6">
      <c r="A35">
        <v>34</v>
      </c>
      <c r="B35" s="13">
        <v>45786</v>
      </c>
      <c r="C35" t="s">
        <v>2115</v>
      </c>
      <c r="D35" t="s">
        <v>1999</v>
      </c>
      <c r="E35">
        <v>14000</v>
      </c>
    </row>
    <row r="36" spans="1:6">
      <c r="A36">
        <v>35</v>
      </c>
      <c r="B36" s="13">
        <v>45789</v>
      </c>
      <c r="C36" t="s">
        <v>2056</v>
      </c>
      <c r="D36" t="s">
        <v>1782</v>
      </c>
      <c r="E36">
        <v>2000</v>
      </c>
      <c r="F36" t="s">
        <v>2117</v>
      </c>
    </row>
    <row r="37" spans="1:6">
      <c r="A37">
        <v>36</v>
      </c>
      <c r="B37" s="13">
        <v>45789</v>
      </c>
      <c r="C37" t="s">
        <v>2056</v>
      </c>
      <c r="D37" t="s">
        <v>1782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2115</v>
      </c>
      <c r="D39" t="s">
        <v>1999</v>
      </c>
      <c r="E39">
        <v>14000</v>
      </c>
    </row>
    <row r="40" spans="1:6">
      <c r="A40">
        <v>39</v>
      </c>
      <c r="B40" s="13">
        <v>45790</v>
      </c>
      <c r="C40" t="s">
        <v>1709</v>
      </c>
      <c r="D40" t="s">
        <v>1999</v>
      </c>
      <c r="E40">
        <v>9600</v>
      </c>
    </row>
    <row r="41" spans="1:6">
      <c r="A41">
        <v>40</v>
      </c>
      <c r="B41" s="13">
        <v>45790</v>
      </c>
      <c r="C41" t="s">
        <v>2168</v>
      </c>
      <c r="D41" t="s">
        <v>2002</v>
      </c>
      <c r="E41">
        <v>7000</v>
      </c>
      <c r="F41" t="s">
        <v>2169</v>
      </c>
    </row>
    <row r="42" spans="1:6">
      <c r="A42">
        <v>41</v>
      </c>
      <c r="B42" s="13">
        <v>45790</v>
      </c>
      <c r="C42" t="s">
        <v>2166</v>
      </c>
      <c r="D42" t="s">
        <v>1782</v>
      </c>
      <c r="E42">
        <v>14000</v>
      </c>
      <c r="F42" t="s">
        <v>2167</v>
      </c>
    </row>
    <row r="43" spans="1:6">
      <c r="A43">
        <v>42</v>
      </c>
      <c r="B43" s="13">
        <v>45791</v>
      </c>
      <c r="C43" t="s">
        <v>2056</v>
      </c>
      <c r="D43" t="s">
        <v>1782</v>
      </c>
      <c r="E43">
        <v>6000</v>
      </c>
      <c r="F43" t="s">
        <v>2170</v>
      </c>
    </row>
    <row r="44" spans="1:6">
      <c r="A44">
        <v>43</v>
      </c>
      <c r="B44" s="13">
        <v>45791</v>
      </c>
      <c r="C44" t="s">
        <v>2056</v>
      </c>
      <c r="D44" t="s">
        <v>1782</v>
      </c>
      <c r="E44">
        <v>6000</v>
      </c>
      <c r="F44" t="s">
        <v>2171</v>
      </c>
    </row>
    <row r="45" spans="1:6">
      <c r="A45">
        <v>44</v>
      </c>
      <c r="B45" s="13">
        <v>45791</v>
      </c>
      <c r="C45" t="s">
        <v>2174</v>
      </c>
      <c r="D45" t="s">
        <v>2003</v>
      </c>
      <c r="E45">
        <v>46590</v>
      </c>
    </row>
    <row r="46" spans="1:6">
      <c r="A46">
        <v>45</v>
      </c>
      <c r="B46" s="13">
        <v>45791</v>
      </c>
      <c r="C46" t="s">
        <v>1518</v>
      </c>
      <c r="D46" t="s">
        <v>1634</v>
      </c>
      <c r="E46">
        <v>7000</v>
      </c>
      <c r="F46" t="s">
        <v>2165</v>
      </c>
    </row>
    <row r="47" spans="1:6">
      <c r="A47">
        <v>46</v>
      </c>
      <c r="B47" s="13">
        <v>45791</v>
      </c>
      <c r="C47" t="s">
        <v>2056</v>
      </c>
      <c r="D47" t="s">
        <v>1782</v>
      </c>
      <c r="E47">
        <v>4100</v>
      </c>
      <c r="F47" t="s">
        <v>2170</v>
      </c>
    </row>
    <row r="48" spans="1:6">
      <c r="A48">
        <v>47</v>
      </c>
      <c r="B48" s="13">
        <v>45792</v>
      </c>
      <c r="C48" t="s">
        <v>2056</v>
      </c>
      <c r="D48" t="s">
        <v>1782</v>
      </c>
      <c r="E48">
        <v>6000</v>
      </c>
      <c r="F48" t="s">
        <v>2206</v>
      </c>
    </row>
    <row r="49" spans="1:6">
      <c r="A49">
        <v>48</v>
      </c>
      <c r="B49" s="13">
        <v>45793</v>
      </c>
      <c r="C49" t="s">
        <v>1709</v>
      </c>
      <c r="D49" t="s">
        <v>1999</v>
      </c>
      <c r="E49">
        <v>5400</v>
      </c>
    </row>
    <row r="50" spans="1:6">
      <c r="A50">
        <v>49</v>
      </c>
      <c r="B50" s="13">
        <v>45794</v>
      </c>
      <c r="C50" t="s">
        <v>2233</v>
      </c>
      <c r="D50" t="s">
        <v>1782</v>
      </c>
      <c r="E50">
        <v>8000</v>
      </c>
      <c r="F50" t="s">
        <v>2234</v>
      </c>
    </row>
    <row r="51" spans="1:6">
      <c r="A51">
        <v>50</v>
      </c>
      <c r="B51" s="13">
        <v>45796</v>
      </c>
      <c r="C51" t="s">
        <v>1995</v>
      </c>
      <c r="D51" t="s">
        <v>1999</v>
      </c>
      <c r="E51">
        <v>8000</v>
      </c>
    </row>
    <row r="52" spans="1:6">
      <c r="A52">
        <v>51</v>
      </c>
      <c r="B52" s="13">
        <v>45796</v>
      </c>
      <c r="C52" t="s">
        <v>2174</v>
      </c>
      <c r="D52" t="s">
        <v>2003</v>
      </c>
      <c r="E52">
        <v>46300</v>
      </c>
    </row>
    <row r="53" spans="1:6">
      <c r="A53">
        <v>52</v>
      </c>
      <c r="B53" s="13">
        <v>45796</v>
      </c>
      <c r="C53" t="s">
        <v>2247</v>
      </c>
      <c r="D53" t="s">
        <v>1999</v>
      </c>
      <c r="E53">
        <v>1800</v>
      </c>
    </row>
    <row r="54" spans="1:6">
      <c r="A54">
        <v>53</v>
      </c>
      <c r="B54" s="13">
        <v>45797</v>
      </c>
      <c r="C54" t="s">
        <v>1995</v>
      </c>
      <c r="D54" t="s">
        <v>1999</v>
      </c>
      <c r="E54" s="224">
        <v>8000</v>
      </c>
    </row>
    <row r="55" spans="1:6">
      <c r="A55">
        <v>54</v>
      </c>
      <c r="B55" s="13">
        <v>45798</v>
      </c>
      <c r="C55" t="s">
        <v>1995</v>
      </c>
      <c r="D55" t="s">
        <v>1999</v>
      </c>
      <c r="E55">
        <v>8000</v>
      </c>
    </row>
    <row r="56" spans="1:6">
      <c r="A56">
        <v>55</v>
      </c>
      <c r="B56" s="13">
        <v>45798</v>
      </c>
      <c r="C56" t="s">
        <v>2056</v>
      </c>
      <c r="D56" t="s">
        <v>1782</v>
      </c>
      <c r="E56">
        <v>6500</v>
      </c>
    </row>
    <row r="57" spans="1:6">
      <c r="A57">
        <v>56</v>
      </c>
      <c r="B57" s="13">
        <v>45799</v>
      </c>
      <c r="C57" t="s">
        <v>2302</v>
      </c>
      <c r="D57" t="s">
        <v>2000</v>
      </c>
      <c r="E57">
        <v>9500</v>
      </c>
    </row>
    <row r="58" spans="1:6">
      <c r="A58">
        <v>57</v>
      </c>
      <c r="B58" s="13">
        <v>45800</v>
      </c>
      <c r="C58" t="s">
        <v>1995</v>
      </c>
      <c r="D58" t="s">
        <v>1999</v>
      </c>
      <c r="E58">
        <v>8000</v>
      </c>
    </row>
    <row r="59" spans="1:6">
      <c r="A59">
        <v>58</v>
      </c>
      <c r="B59" s="13">
        <v>45803</v>
      </c>
      <c r="C59" t="s">
        <v>2303</v>
      </c>
      <c r="D59" t="s">
        <v>1999</v>
      </c>
      <c r="E59">
        <v>7500</v>
      </c>
    </row>
    <row r="60" spans="1:6">
      <c r="A60">
        <v>59</v>
      </c>
      <c r="B60" s="13">
        <v>45804</v>
      </c>
      <c r="C60" t="s">
        <v>1637</v>
      </c>
      <c r="D60" t="s">
        <v>1999</v>
      </c>
      <c r="E60">
        <v>10000</v>
      </c>
    </row>
    <row r="61" spans="1:6">
      <c r="A61">
        <v>60</v>
      </c>
      <c r="B61" s="13">
        <v>45805</v>
      </c>
      <c r="C61" t="s">
        <v>1995</v>
      </c>
      <c r="D61" t="s">
        <v>1999</v>
      </c>
      <c r="E61">
        <v>8000</v>
      </c>
    </row>
    <row r="62" spans="1:6">
      <c r="A62">
        <v>61</v>
      </c>
      <c r="B62" s="13">
        <v>45806</v>
      </c>
      <c r="C62" t="s">
        <v>2056</v>
      </c>
      <c r="D62" t="s">
        <v>1782</v>
      </c>
      <c r="E62">
        <v>11000</v>
      </c>
    </row>
    <row r="63" spans="1:6">
      <c r="A63">
        <v>62</v>
      </c>
      <c r="B63" s="13">
        <v>45806</v>
      </c>
      <c r="C63" t="s">
        <v>1995</v>
      </c>
      <c r="D63" t="s">
        <v>1999</v>
      </c>
      <c r="E63">
        <v>8000</v>
      </c>
    </row>
    <row r="64" spans="1:6">
      <c r="A64">
        <v>63</v>
      </c>
      <c r="B64" s="13">
        <v>45807</v>
      </c>
      <c r="C64" t="s">
        <v>1622</v>
      </c>
      <c r="D64" t="s">
        <v>2003</v>
      </c>
      <c r="E64">
        <v>46950</v>
      </c>
    </row>
    <row r="65" spans="1:6">
      <c r="A65">
        <v>64</v>
      </c>
      <c r="B65" s="13">
        <v>45807</v>
      </c>
      <c r="C65" t="s">
        <v>2329</v>
      </c>
      <c r="D65" t="s">
        <v>1782</v>
      </c>
      <c r="E65">
        <v>6000</v>
      </c>
      <c r="F65" t="s">
        <v>2171</v>
      </c>
    </row>
    <row r="66" spans="1:6">
      <c r="A66">
        <v>65</v>
      </c>
      <c r="B66" s="13">
        <v>45807</v>
      </c>
      <c r="C66" t="s">
        <v>2056</v>
      </c>
      <c r="D66" t="s">
        <v>1782</v>
      </c>
      <c r="E66">
        <v>6000</v>
      </c>
      <c r="F66" t="s">
        <v>1954</v>
      </c>
    </row>
    <row r="67" spans="1:6">
      <c r="A67">
        <v>66</v>
      </c>
      <c r="B67" s="13">
        <v>45812</v>
      </c>
      <c r="C67" t="s">
        <v>2056</v>
      </c>
      <c r="D67" t="s">
        <v>1782</v>
      </c>
      <c r="E67">
        <v>6000</v>
      </c>
    </row>
    <row r="68" spans="1:6">
      <c r="A68">
        <v>67</v>
      </c>
      <c r="B68" s="13">
        <v>45811</v>
      </c>
      <c r="C68" t="s">
        <v>1995</v>
      </c>
      <c r="D68" t="s">
        <v>1999</v>
      </c>
      <c r="E68">
        <v>8000</v>
      </c>
    </row>
    <row r="69" spans="1:6">
      <c r="A69">
        <v>68</v>
      </c>
      <c r="B69" s="13">
        <v>45817</v>
      </c>
      <c r="C69" t="s">
        <v>2056</v>
      </c>
      <c r="D69" t="s">
        <v>1782</v>
      </c>
      <c r="E69">
        <v>6000</v>
      </c>
      <c r="F69" t="s">
        <v>2407</v>
      </c>
    </row>
    <row r="70" spans="1:6">
      <c r="A70">
        <v>69</v>
      </c>
      <c r="B70" s="13">
        <v>45815</v>
      </c>
      <c r="C70" t="s">
        <v>2056</v>
      </c>
      <c r="D70" t="s">
        <v>1782</v>
      </c>
      <c r="E70">
        <v>6000</v>
      </c>
      <c r="F70" t="s">
        <v>2407</v>
      </c>
    </row>
    <row r="71" spans="1:6">
      <c r="A71">
        <v>70</v>
      </c>
      <c r="B71" s="13">
        <v>45813</v>
      </c>
      <c r="C71" t="s">
        <v>2056</v>
      </c>
      <c r="D71" t="s">
        <v>1782</v>
      </c>
      <c r="E71">
        <v>4000</v>
      </c>
      <c r="F71" t="s">
        <v>2171</v>
      </c>
    </row>
    <row r="72" spans="1:6">
      <c r="A72">
        <v>71</v>
      </c>
      <c r="B72" s="13">
        <v>45817</v>
      </c>
      <c r="C72" t="s">
        <v>2056</v>
      </c>
      <c r="D72" t="s">
        <v>1782</v>
      </c>
      <c r="E72">
        <v>4600</v>
      </c>
      <c r="F72" t="s">
        <v>2444</v>
      </c>
    </row>
    <row r="73" spans="1:6">
      <c r="A73">
        <v>72</v>
      </c>
      <c r="B73" s="13">
        <v>45817</v>
      </c>
      <c r="C73" t="s">
        <v>2056</v>
      </c>
      <c r="D73" t="s">
        <v>1782</v>
      </c>
      <c r="E73">
        <v>9600</v>
      </c>
      <c r="F73" t="s">
        <v>2445</v>
      </c>
    </row>
    <row r="74" spans="1:6">
      <c r="A74">
        <v>73</v>
      </c>
      <c r="B74" s="13">
        <v>45818</v>
      </c>
      <c r="C74" t="s">
        <v>2056</v>
      </c>
      <c r="D74" t="s">
        <v>1782</v>
      </c>
      <c r="E74">
        <v>6000</v>
      </c>
      <c r="F74" t="s">
        <v>2446</v>
      </c>
    </row>
    <row r="75" spans="1:6">
      <c r="A75">
        <v>74</v>
      </c>
      <c r="B75" s="13">
        <v>45818</v>
      </c>
      <c r="C75" t="s">
        <v>2247</v>
      </c>
      <c r="D75" t="s">
        <v>1999</v>
      </c>
      <c r="E75">
        <v>2200</v>
      </c>
    </row>
    <row r="76" spans="1:6">
      <c r="A76">
        <v>75</v>
      </c>
      <c r="B76" s="13">
        <v>45818</v>
      </c>
      <c r="C76" t="s">
        <v>2233</v>
      </c>
      <c r="D76" t="s">
        <v>1634</v>
      </c>
      <c r="E76">
        <v>10000</v>
      </c>
      <c r="F76" t="s">
        <v>2447</v>
      </c>
    </row>
    <row r="77" spans="1:6">
      <c r="A77">
        <v>76</v>
      </c>
      <c r="B77" s="13">
        <v>45818</v>
      </c>
      <c r="C77" t="s">
        <v>2056</v>
      </c>
      <c r="D77" t="s">
        <v>1782</v>
      </c>
      <c r="E77" s="224">
        <v>6000</v>
      </c>
      <c r="F77" t="s">
        <v>987</v>
      </c>
    </row>
    <row r="78" spans="1:6">
      <c r="A78">
        <v>77</v>
      </c>
      <c r="B78" s="13">
        <v>45819</v>
      </c>
      <c r="C78" t="s">
        <v>2166</v>
      </c>
      <c r="D78" t="s">
        <v>1782</v>
      </c>
      <c r="E78">
        <v>6000</v>
      </c>
      <c r="F78" t="s">
        <v>2476</v>
      </c>
    </row>
    <row r="79" spans="1:6">
      <c r="A79">
        <v>78</v>
      </c>
      <c r="B79" s="13">
        <v>45820</v>
      </c>
      <c r="C79" t="s">
        <v>2056</v>
      </c>
      <c r="D79" t="s">
        <v>1782</v>
      </c>
      <c r="E79" s="224">
        <v>6000</v>
      </c>
      <c r="F79" t="s">
        <v>1820</v>
      </c>
    </row>
    <row r="80" spans="1:6">
      <c r="A80">
        <v>79</v>
      </c>
      <c r="B80" s="13">
        <v>45820</v>
      </c>
      <c r="C80" t="s">
        <v>2056</v>
      </c>
      <c r="D80" t="s">
        <v>1782</v>
      </c>
      <c r="E80">
        <v>7600</v>
      </c>
      <c r="F80" t="s">
        <v>2408</v>
      </c>
    </row>
    <row r="81" spans="1:6">
      <c r="A81">
        <v>80</v>
      </c>
      <c r="B81" s="13">
        <v>45824</v>
      </c>
      <c r="C81" t="s">
        <v>2174</v>
      </c>
      <c r="D81" t="s">
        <v>2003</v>
      </c>
      <c r="E81">
        <v>47970</v>
      </c>
    </row>
    <row r="82" spans="1:6">
      <c r="A82">
        <v>81</v>
      </c>
      <c r="B82" s="13">
        <v>45824</v>
      </c>
      <c r="C82" t="s">
        <v>1995</v>
      </c>
      <c r="D82" t="s">
        <v>1999</v>
      </c>
      <c r="E82">
        <v>8000</v>
      </c>
    </row>
    <row r="83" spans="1:6">
      <c r="A83">
        <v>82</v>
      </c>
      <c r="B83" s="13">
        <v>45824</v>
      </c>
      <c r="C83" t="s">
        <v>2056</v>
      </c>
      <c r="D83" t="s">
        <v>1782</v>
      </c>
      <c r="E83">
        <v>4600</v>
      </c>
      <c r="F83" t="s">
        <v>2508</v>
      </c>
    </row>
    <row r="84" spans="1:6">
      <c r="A84">
        <v>83</v>
      </c>
      <c r="B84" s="13">
        <v>45825</v>
      </c>
      <c r="C84" t="s">
        <v>1377</v>
      </c>
      <c r="D84" t="s">
        <v>1782</v>
      </c>
      <c r="E84">
        <v>7000</v>
      </c>
      <c r="F84" t="s">
        <v>2515</v>
      </c>
    </row>
    <row r="85" spans="1:6">
      <c r="A85">
        <v>84</v>
      </c>
      <c r="B85" s="13">
        <v>45825</v>
      </c>
      <c r="C85" t="s">
        <v>2233</v>
      </c>
      <c r="D85" t="s">
        <v>1634</v>
      </c>
      <c r="E85">
        <v>9000</v>
      </c>
      <c r="F85" t="s">
        <v>2515</v>
      </c>
    </row>
    <row r="86" spans="1:6">
      <c r="A86">
        <v>85</v>
      </c>
      <c r="B86" s="13">
        <v>45825</v>
      </c>
      <c r="C86" t="s">
        <v>1693</v>
      </c>
      <c r="D86" t="s">
        <v>1999</v>
      </c>
      <c r="E86">
        <v>7000</v>
      </c>
    </row>
    <row r="87" spans="1:6">
      <c r="A87">
        <v>86</v>
      </c>
      <c r="B87" s="13">
        <v>45826</v>
      </c>
      <c r="C87" t="s">
        <v>2056</v>
      </c>
      <c r="D87" t="s">
        <v>1782</v>
      </c>
      <c r="E87">
        <v>2000</v>
      </c>
      <c r="F87" t="s">
        <v>2408</v>
      </c>
    </row>
    <row r="88" spans="1:6">
      <c r="A88">
        <v>87</v>
      </c>
      <c r="B88" s="13">
        <v>45826</v>
      </c>
      <c r="C88" t="s">
        <v>2056</v>
      </c>
      <c r="D88" t="s">
        <v>1782</v>
      </c>
      <c r="E88">
        <v>2000</v>
      </c>
      <c r="F88" t="s">
        <v>2408</v>
      </c>
    </row>
    <row r="89" spans="1:6">
      <c r="A89">
        <v>88</v>
      </c>
      <c r="B89" s="13">
        <v>45826</v>
      </c>
      <c r="C89" t="s">
        <v>2056</v>
      </c>
      <c r="D89" t="s">
        <v>1782</v>
      </c>
      <c r="E89">
        <v>7500</v>
      </c>
      <c r="F89" t="s">
        <v>2561</v>
      </c>
    </row>
    <row r="90" spans="1:6">
      <c r="A90">
        <v>89</v>
      </c>
      <c r="B90" s="13">
        <v>45826</v>
      </c>
      <c r="C90" t="s">
        <v>1637</v>
      </c>
      <c r="D90" t="s">
        <v>1999</v>
      </c>
      <c r="E90">
        <v>9500</v>
      </c>
    </row>
    <row r="91" spans="1:6">
      <c r="A91">
        <v>90</v>
      </c>
      <c r="B91" s="13">
        <v>45827</v>
      </c>
      <c r="C91" t="s">
        <v>2056</v>
      </c>
      <c r="D91" t="s">
        <v>1782</v>
      </c>
      <c r="E91">
        <v>6000</v>
      </c>
      <c r="F91" t="s">
        <v>2446</v>
      </c>
    </row>
    <row r="92" spans="1:6">
      <c r="A92">
        <v>91</v>
      </c>
      <c r="B92" s="13">
        <v>45827</v>
      </c>
      <c r="C92" t="s">
        <v>2056</v>
      </c>
      <c r="D92" t="s">
        <v>1782</v>
      </c>
      <c r="E92">
        <v>2000</v>
      </c>
      <c r="F92" t="s">
        <v>2571</v>
      </c>
    </row>
    <row r="93" spans="1:6">
      <c r="A93">
        <v>92</v>
      </c>
      <c r="B93" s="13">
        <v>45827</v>
      </c>
      <c r="C93" t="s">
        <v>2056</v>
      </c>
      <c r="D93" t="s">
        <v>1782</v>
      </c>
      <c r="E93">
        <v>4600</v>
      </c>
      <c r="F93" t="s">
        <v>2589</v>
      </c>
    </row>
    <row r="94" spans="1:6">
      <c r="A94">
        <v>93</v>
      </c>
      <c r="B94" s="13">
        <v>45828</v>
      </c>
      <c r="C94" t="s">
        <v>2056</v>
      </c>
      <c r="D94" t="s">
        <v>1782</v>
      </c>
      <c r="E94">
        <v>4500</v>
      </c>
      <c r="F94" t="s">
        <v>2607</v>
      </c>
    </row>
    <row r="95" spans="1:6">
      <c r="A95">
        <v>94</v>
      </c>
      <c r="B95" s="13">
        <v>45829</v>
      </c>
      <c r="C95" t="s">
        <v>2174</v>
      </c>
      <c r="D95" t="s">
        <v>2003</v>
      </c>
      <c r="E95">
        <v>48750</v>
      </c>
    </row>
    <row r="96" spans="1:6">
      <c r="A96">
        <v>95</v>
      </c>
      <c r="B96" s="13">
        <v>45829</v>
      </c>
      <c r="C96" t="s">
        <v>2056</v>
      </c>
      <c r="D96" t="s">
        <v>1782</v>
      </c>
      <c r="E96">
        <v>7600</v>
      </c>
      <c r="F96" t="s">
        <v>2500</v>
      </c>
    </row>
    <row r="97" spans="1:6">
      <c r="A97">
        <v>96</v>
      </c>
      <c r="B97" s="13">
        <v>45829</v>
      </c>
      <c r="C97" t="s">
        <v>2056</v>
      </c>
      <c r="D97" t="s">
        <v>1782</v>
      </c>
      <c r="E97">
        <v>6100</v>
      </c>
      <c r="F97" t="s">
        <v>2500</v>
      </c>
    </row>
    <row r="98" spans="1:6">
      <c r="A98">
        <v>97</v>
      </c>
      <c r="B98" s="13">
        <v>45831</v>
      </c>
      <c r="C98" t="s">
        <v>1518</v>
      </c>
      <c r="D98" t="s">
        <v>1634</v>
      </c>
      <c r="E98">
        <v>12000</v>
      </c>
      <c r="F98" t="s">
        <v>1015</v>
      </c>
    </row>
    <row r="99" spans="1:6">
      <c r="A99">
        <v>98</v>
      </c>
      <c r="B99" s="13">
        <v>45832</v>
      </c>
      <c r="C99" t="s">
        <v>2070</v>
      </c>
      <c r="D99" t="s">
        <v>1998</v>
      </c>
      <c r="E99">
        <v>2200</v>
      </c>
      <c r="F99" t="s">
        <v>2626</v>
      </c>
    </row>
    <row r="100" spans="1:6">
      <c r="A100">
        <v>99</v>
      </c>
      <c r="B100" s="13">
        <v>45832</v>
      </c>
      <c r="C100" t="s">
        <v>2056</v>
      </c>
      <c r="D100" t="s">
        <v>1782</v>
      </c>
      <c r="E100">
        <v>7700</v>
      </c>
      <c r="F100" t="s">
        <v>1015</v>
      </c>
    </row>
    <row r="101" spans="1:6">
      <c r="A101">
        <v>100</v>
      </c>
      <c r="B101" s="13">
        <v>45833</v>
      </c>
      <c r="C101" t="s">
        <v>2056</v>
      </c>
      <c r="D101" t="s">
        <v>1782</v>
      </c>
      <c r="E101">
        <v>6600</v>
      </c>
      <c r="F101" t="s">
        <v>1820</v>
      </c>
    </row>
    <row r="102" spans="1:6">
      <c r="A102">
        <v>101</v>
      </c>
      <c r="B102" s="13">
        <v>45833</v>
      </c>
      <c r="C102" t="s">
        <v>2056</v>
      </c>
      <c r="D102" t="s">
        <v>1782</v>
      </c>
      <c r="E102">
        <v>2200</v>
      </c>
      <c r="F102" t="s">
        <v>2641</v>
      </c>
    </row>
    <row r="103" spans="1:6">
      <c r="A103">
        <v>102</v>
      </c>
      <c r="B103" s="13">
        <v>45833</v>
      </c>
      <c r="C103" t="s">
        <v>2056</v>
      </c>
      <c r="D103" t="s">
        <v>1782</v>
      </c>
      <c r="E103">
        <v>2200</v>
      </c>
      <c r="F103" t="s">
        <v>979</v>
      </c>
    </row>
    <row r="104" spans="1:6">
      <c r="A104">
        <v>103</v>
      </c>
      <c r="B104" s="13">
        <v>45833</v>
      </c>
      <c r="C104" t="s">
        <v>2056</v>
      </c>
      <c r="D104" t="s">
        <v>1782</v>
      </c>
      <c r="E104">
        <v>4400</v>
      </c>
      <c r="F104" t="s">
        <v>2645</v>
      </c>
    </row>
    <row r="105" spans="1:6">
      <c r="A105">
        <v>104</v>
      </c>
      <c r="B105" s="13">
        <v>45833</v>
      </c>
      <c r="C105" t="s">
        <v>2056</v>
      </c>
      <c r="D105" t="s">
        <v>1782</v>
      </c>
      <c r="E105">
        <v>4400</v>
      </c>
      <c r="F105" t="s">
        <v>2645</v>
      </c>
    </row>
    <row r="106" spans="1:6">
      <c r="A106">
        <v>105</v>
      </c>
      <c r="B106" s="13">
        <v>45833</v>
      </c>
      <c r="C106" t="s">
        <v>2656</v>
      </c>
      <c r="D106" t="s">
        <v>2657</v>
      </c>
      <c r="E106">
        <v>24800</v>
      </c>
      <c r="F106" t="s">
        <v>2658</v>
      </c>
    </row>
    <row r="107" spans="1:6">
      <c r="A107">
        <v>106</v>
      </c>
      <c r="B107" s="13">
        <v>45833</v>
      </c>
      <c r="C107" t="s">
        <v>1637</v>
      </c>
      <c r="D107" t="s">
        <v>1999</v>
      </c>
      <c r="E107">
        <v>10000</v>
      </c>
    </row>
    <row r="108" spans="1:6">
      <c r="A108">
        <v>107</v>
      </c>
      <c r="B108" s="13">
        <v>45835</v>
      </c>
      <c r="C108" t="s">
        <v>2689</v>
      </c>
      <c r="D108" t="s">
        <v>1999</v>
      </c>
      <c r="E108">
        <v>22000</v>
      </c>
    </row>
    <row r="109" spans="1:6">
      <c r="A109">
        <v>108</v>
      </c>
      <c r="B109" s="13">
        <v>45839</v>
      </c>
      <c r="C109" t="s">
        <v>2056</v>
      </c>
      <c r="D109" t="s">
        <v>1782</v>
      </c>
      <c r="E109">
        <v>2200</v>
      </c>
      <c r="F109" t="s">
        <v>2726</v>
      </c>
    </row>
    <row r="110" spans="1:6">
      <c r="A110">
        <v>109</v>
      </c>
      <c r="B110" s="13">
        <v>45840</v>
      </c>
      <c r="C110" t="s">
        <v>2056</v>
      </c>
      <c r="D110" t="s">
        <v>1782</v>
      </c>
      <c r="E110">
        <v>6600</v>
      </c>
      <c r="F110" t="s">
        <v>2736</v>
      </c>
    </row>
    <row r="111" spans="1:6">
      <c r="A111">
        <v>110</v>
      </c>
      <c r="B111" s="13">
        <v>45840</v>
      </c>
      <c r="C111" t="s">
        <v>2056</v>
      </c>
      <c r="D111" t="s">
        <v>1782</v>
      </c>
      <c r="E111">
        <v>2200</v>
      </c>
      <c r="F111" t="s">
        <v>1053</v>
      </c>
    </row>
    <row r="112" spans="1:6">
      <c r="A112">
        <v>111</v>
      </c>
      <c r="B112" s="13">
        <v>45840</v>
      </c>
      <c r="C112" t="s">
        <v>2056</v>
      </c>
      <c r="D112" t="s">
        <v>1782</v>
      </c>
      <c r="E112">
        <v>7150</v>
      </c>
      <c r="F112" t="s">
        <v>2737</v>
      </c>
    </row>
    <row r="113" spans="1:6">
      <c r="A113">
        <v>112</v>
      </c>
      <c r="B113" s="13">
        <v>45840</v>
      </c>
      <c r="C113" t="s">
        <v>2056</v>
      </c>
      <c r="D113" t="s">
        <v>1782</v>
      </c>
      <c r="E113">
        <v>2200</v>
      </c>
      <c r="F113" t="s">
        <v>1377</v>
      </c>
    </row>
    <row r="114" spans="1:6">
      <c r="A114">
        <v>113</v>
      </c>
      <c r="B114" s="13">
        <v>45842</v>
      </c>
      <c r="C114" t="s">
        <v>2115</v>
      </c>
      <c r="D114" t="s">
        <v>1999</v>
      </c>
      <c r="E114">
        <v>24000</v>
      </c>
    </row>
    <row r="115" spans="1:6">
      <c r="A115">
        <v>114</v>
      </c>
      <c r="B115" s="13">
        <v>45845</v>
      </c>
      <c r="C115" t="s">
        <v>1622</v>
      </c>
      <c r="D115" t="s">
        <v>2003</v>
      </c>
      <c r="E115">
        <v>47800</v>
      </c>
    </row>
    <row r="116" spans="1:6">
      <c r="A116">
        <v>115</v>
      </c>
      <c r="B116" s="13">
        <v>45846</v>
      </c>
      <c r="C116" t="s">
        <v>2056</v>
      </c>
      <c r="D116" t="s">
        <v>1782</v>
      </c>
      <c r="E116">
        <v>6000</v>
      </c>
      <c r="F116" t="s">
        <v>1585</v>
      </c>
    </row>
    <row r="117" spans="1:6">
      <c r="A117">
        <v>116</v>
      </c>
      <c r="B117" s="13">
        <v>45846</v>
      </c>
      <c r="C117" t="s">
        <v>2056</v>
      </c>
      <c r="D117" t="s">
        <v>1782</v>
      </c>
      <c r="E117">
        <v>6500</v>
      </c>
      <c r="F117" t="s">
        <v>1820</v>
      </c>
    </row>
    <row r="118" spans="1:6">
      <c r="A118">
        <v>117</v>
      </c>
      <c r="B118" s="13">
        <v>45846</v>
      </c>
      <c r="C118" t="s">
        <v>2056</v>
      </c>
      <c r="D118" t="s">
        <v>1782</v>
      </c>
      <c r="E118">
        <v>6000</v>
      </c>
      <c r="F118" t="s">
        <v>2446</v>
      </c>
    </row>
    <row r="119" spans="1:6">
      <c r="A119">
        <v>118</v>
      </c>
      <c r="B119" s="13">
        <v>45846</v>
      </c>
      <c r="C119" t="s">
        <v>2056</v>
      </c>
      <c r="D119" t="s">
        <v>1782</v>
      </c>
      <c r="E119">
        <v>2000</v>
      </c>
      <c r="F119" t="s">
        <v>2800</v>
      </c>
    </row>
    <row r="120" spans="1:6">
      <c r="A120">
        <v>119</v>
      </c>
      <c r="B120" s="13">
        <v>45847</v>
      </c>
      <c r="C120" t="s">
        <v>2056</v>
      </c>
      <c r="D120" t="s">
        <v>1782</v>
      </c>
      <c r="E120">
        <v>2000</v>
      </c>
      <c r="F120" t="s">
        <v>1746</v>
      </c>
    </row>
    <row r="121" spans="1:6">
      <c r="A121">
        <v>120</v>
      </c>
      <c r="B121" s="13">
        <v>45847</v>
      </c>
      <c r="C121" t="s">
        <v>2056</v>
      </c>
      <c r="D121" t="s">
        <v>1782</v>
      </c>
      <c r="E121">
        <v>6000</v>
      </c>
      <c r="F121" t="s">
        <v>2818</v>
      </c>
    </row>
    <row r="122" spans="1:6">
      <c r="A122">
        <v>121</v>
      </c>
      <c r="B122" s="13">
        <v>45847</v>
      </c>
      <c r="C122" t="s">
        <v>1518</v>
      </c>
      <c r="D122" t="s">
        <v>1782</v>
      </c>
      <c r="E122">
        <v>8000</v>
      </c>
      <c r="F122" t="s">
        <v>1746</v>
      </c>
    </row>
    <row r="123" spans="1:6">
      <c r="A123">
        <v>122</v>
      </c>
      <c r="B123" s="13">
        <v>45849</v>
      </c>
      <c r="C123" t="s">
        <v>2056</v>
      </c>
      <c r="D123" t="s">
        <v>1782</v>
      </c>
      <c r="E123">
        <v>6000</v>
      </c>
      <c r="F123" t="s">
        <v>1585</v>
      </c>
    </row>
    <row r="124" spans="1:6">
      <c r="A124">
        <v>123</v>
      </c>
      <c r="B124" s="13">
        <v>45852</v>
      </c>
      <c r="C124" t="s">
        <v>1518</v>
      </c>
      <c r="D124" t="s">
        <v>1782</v>
      </c>
      <c r="E124">
        <v>12000</v>
      </c>
      <c r="F124" t="s">
        <v>2866</v>
      </c>
    </row>
    <row r="125" spans="1:6">
      <c r="A125">
        <v>124</v>
      </c>
      <c r="B125" s="13">
        <v>45852</v>
      </c>
      <c r="C125" t="s">
        <v>1693</v>
      </c>
      <c r="D125" t="s">
        <v>1999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S1" sqref="S1:U1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5"/>
      <c r="B1" s="336"/>
      <c r="C1" s="336"/>
      <c r="D1" s="336"/>
      <c r="E1" s="336"/>
      <c r="F1" s="336"/>
      <c r="G1" s="33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7" t="s">
        <v>1196</v>
      </c>
      <c r="R1" s="337"/>
      <c r="S1" s="447"/>
      <c r="T1" s="447"/>
      <c r="U1" s="448"/>
    </row>
    <row r="2" spans="1:21">
      <c r="A2" s="315" t="s">
        <v>65</v>
      </c>
      <c r="B2" s="316"/>
      <c r="C2" s="317" t="s">
        <v>2222</v>
      </c>
      <c r="D2" s="318"/>
      <c r="E2" s="318"/>
      <c r="F2" s="318"/>
      <c r="G2" s="319"/>
      <c r="H2" s="317" t="s">
        <v>77</v>
      </c>
      <c r="I2" s="318"/>
      <c r="J2" s="318"/>
      <c r="K2" s="318"/>
      <c r="L2" s="318"/>
      <c r="M2" s="318"/>
      <c r="N2" s="318"/>
      <c r="O2" s="319"/>
      <c r="P2" s="320" t="s">
        <v>63</v>
      </c>
      <c r="Q2" s="321"/>
      <c r="R2" s="321"/>
      <c r="S2" s="316"/>
      <c r="T2" s="322">
        <v>46030</v>
      </c>
      <c r="U2" s="323"/>
    </row>
    <row r="3" spans="1:21" ht="24.95" customHeight="1">
      <c r="A3" s="390" t="s">
        <v>1166</v>
      </c>
      <c r="B3" s="37" t="s">
        <v>59</v>
      </c>
      <c r="C3" s="393" t="s">
        <v>3793</v>
      </c>
      <c r="D3" s="394"/>
      <c r="E3" s="394"/>
      <c r="F3" s="394"/>
      <c r="G3" s="394"/>
      <c r="H3" s="394"/>
      <c r="I3" s="394"/>
      <c r="J3" s="395"/>
      <c r="K3" s="396" t="s">
        <v>1167</v>
      </c>
      <c r="L3" s="37" t="s">
        <v>59</v>
      </c>
      <c r="M3" s="399" t="s">
        <v>964</v>
      </c>
      <c r="N3" s="400"/>
      <c r="O3" s="400"/>
      <c r="P3" s="400"/>
      <c r="Q3" s="400"/>
      <c r="R3" s="400"/>
      <c r="S3" s="400"/>
      <c r="T3" s="400"/>
      <c r="U3" s="401"/>
    </row>
    <row r="4" spans="1:21" ht="24.95" customHeight="1">
      <c r="A4" s="391"/>
      <c r="B4" s="37" t="s">
        <v>61</v>
      </c>
      <c r="C4" s="444"/>
      <c r="D4" s="445"/>
      <c r="E4" s="445"/>
      <c r="F4" s="445"/>
      <c r="G4" s="445"/>
      <c r="H4" s="445"/>
      <c r="I4" s="445"/>
      <c r="J4" s="446"/>
      <c r="K4" s="397"/>
      <c r="L4" s="37" t="s">
        <v>61</v>
      </c>
      <c r="M4" s="405" t="s">
        <v>962</v>
      </c>
      <c r="N4" s="406"/>
      <c r="O4" s="406"/>
      <c r="P4" s="406"/>
      <c r="Q4" s="406"/>
      <c r="R4" s="407"/>
      <c r="S4" s="38" t="s">
        <v>62</v>
      </c>
      <c r="T4" s="405" t="s">
        <v>73</v>
      </c>
      <c r="U4" s="408"/>
    </row>
    <row r="5" spans="1:21" ht="24.95" customHeight="1">
      <c r="A5" s="391"/>
      <c r="B5" s="38" t="s">
        <v>10</v>
      </c>
      <c r="C5" s="405" t="s">
        <v>4001</v>
      </c>
      <c r="D5" s="406"/>
      <c r="E5" s="406"/>
      <c r="F5" s="406"/>
      <c r="G5" s="406"/>
      <c r="H5" s="406"/>
      <c r="I5" s="406"/>
      <c r="J5" s="407"/>
      <c r="K5" s="397"/>
      <c r="L5" s="38" t="s">
        <v>10</v>
      </c>
      <c r="M5" s="405" t="s">
        <v>74</v>
      </c>
      <c r="N5" s="406"/>
      <c r="O5" s="406"/>
      <c r="P5" s="406"/>
      <c r="Q5" s="406"/>
      <c r="R5" s="406"/>
      <c r="S5" s="406"/>
      <c r="T5" s="406"/>
      <c r="U5" s="408"/>
    </row>
    <row r="6" spans="1:21" ht="24.95" customHeight="1">
      <c r="A6" s="392"/>
      <c r="B6" s="38" t="s">
        <v>75</v>
      </c>
      <c r="C6" s="405" t="s">
        <v>4002</v>
      </c>
      <c r="D6" s="406"/>
      <c r="E6" s="406"/>
      <c r="F6" s="406"/>
      <c r="G6" s="406"/>
      <c r="H6" s="406"/>
      <c r="I6" s="406"/>
      <c r="J6" s="407"/>
      <c r="K6" s="398"/>
      <c r="L6" s="38" t="s">
        <v>75</v>
      </c>
      <c r="M6" s="405" t="s">
        <v>66</v>
      </c>
      <c r="N6" s="406"/>
      <c r="O6" s="406"/>
      <c r="P6" s="406"/>
      <c r="Q6" s="406"/>
      <c r="R6" s="407"/>
      <c r="S6" s="38" t="s">
        <v>22</v>
      </c>
      <c r="T6" s="405"/>
      <c r="U6" s="408"/>
    </row>
    <row r="7" spans="1:21" ht="15.75" customHeight="1">
      <c r="A7" s="324" t="s">
        <v>70</v>
      </c>
      <c r="B7" s="325"/>
      <c r="C7" s="325"/>
      <c r="D7" s="325"/>
      <c r="E7" s="387"/>
      <c r="F7" s="388" t="s">
        <v>44</v>
      </c>
      <c r="G7" s="325"/>
      <c r="H7" s="325"/>
      <c r="I7" s="387"/>
      <c r="J7" s="388" t="s">
        <v>42</v>
      </c>
      <c r="K7" s="325"/>
      <c r="L7" s="325"/>
      <c r="M7" s="325"/>
      <c r="N7" s="387"/>
      <c r="O7" s="325" t="s">
        <v>50</v>
      </c>
      <c r="P7" s="387"/>
      <c r="Q7" s="388" t="s">
        <v>69</v>
      </c>
      <c r="R7" s="325"/>
      <c r="S7" s="387"/>
      <c r="T7" s="388" t="s">
        <v>68</v>
      </c>
      <c r="U7" s="389"/>
    </row>
    <row r="8" spans="1:21" ht="15.6" customHeight="1">
      <c r="A8" s="431" t="s">
        <v>1218</v>
      </c>
      <c r="B8" s="432"/>
      <c r="C8" s="432"/>
      <c r="D8" s="432"/>
      <c r="E8" s="433"/>
      <c r="F8" s="434" t="s">
        <v>2161</v>
      </c>
      <c r="G8" s="435"/>
      <c r="H8" s="435"/>
      <c r="I8" s="436"/>
      <c r="J8" s="442">
        <v>1200000</v>
      </c>
      <c r="K8" s="442"/>
      <c r="L8" s="442"/>
      <c r="M8" s="442"/>
      <c r="N8" s="442"/>
      <c r="O8" s="443">
        <v>1</v>
      </c>
      <c r="P8" s="443"/>
      <c r="Q8" s="437"/>
      <c r="R8" s="438"/>
      <c r="S8" s="439"/>
      <c r="T8" s="440">
        <v>1200000</v>
      </c>
      <c r="U8" s="441"/>
    </row>
    <row r="9" spans="1:21" ht="15.6" customHeight="1">
      <c r="A9" s="420"/>
      <c r="B9" s="421"/>
      <c r="C9" s="421"/>
      <c r="D9" s="421"/>
      <c r="E9" s="422"/>
      <c r="F9" s="423"/>
      <c r="G9" s="421"/>
      <c r="H9" s="421"/>
      <c r="I9" s="422"/>
      <c r="J9" s="429"/>
      <c r="K9" s="429"/>
      <c r="L9" s="429"/>
      <c r="M9" s="429"/>
      <c r="N9" s="429"/>
      <c r="O9" s="430"/>
      <c r="P9" s="430"/>
      <c r="Q9" s="424"/>
      <c r="R9" s="425"/>
      <c r="S9" s="426"/>
      <c r="T9" s="427"/>
      <c r="U9" s="428"/>
    </row>
    <row r="10" spans="1:21" ht="15.6" customHeight="1">
      <c r="A10" s="420"/>
      <c r="B10" s="421"/>
      <c r="C10" s="421"/>
      <c r="D10" s="421"/>
      <c r="E10" s="422"/>
      <c r="F10" s="423"/>
      <c r="G10" s="421"/>
      <c r="H10" s="421"/>
      <c r="I10" s="422"/>
      <c r="J10" s="429"/>
      <c r="K10" s="429"/>
      <c r="L10" s="429"/>
      <c r="M10" s="429"/>
      <c r="N10" s="429"/>
      <c r="O10" s="430"/>
      <c r="P10" s="430"/>
      <c r="Q10" s="424"/>
      <c r="R10" s="425"/>
      <c r="S10" s="426"/>
      <c r="T10" s="427"/>
      <c r="U10" s="428"/>
    </row>
    <row r="11" spans="1:21" ht="15.6" customHeight="1">
      <c r="A11" s="420"/>
      <c r="B11" s="421"/>
      <c r="C11" s="421"/>
      <c r="D11" s="421"/>
      <c r="E11" s="422"/>
      <c r="F11" s="423"/>
      <c r="G11" s="421"/>
      <c r="H11" s="421"/>
      <c r="I11" s="422"/>
      <c r="J11" s="429"/>
      <c r="K11" s="429"/>
      <c r="L11" s="429"/>
      <c r="M11" s="429"/>
      <c r="N11" s="429"/>
      <c r="O11" s="430"/>
      <c r="P11" s="430"/>
      <c r="Q11" s="424"/>
      <c r="R11" s="425"/>
      <c r="S11" s="426"/>
      <c r="T11" s="427"/>
      <c r="U11" s="428"/>
    </row>
    <row r="12" spans="1:21" ht="15.6" customHeight="1">
      <c r="A12" s="420"/>
      <c r="B12" s="421"/>
      <c r="C12" s="421"/>
      <c r="D12" s="421"/>
      <c r="E12" s="422"/>
      <c r="F12" s="423"/>
      <c r="G12" s="421"/>
      <c r="H12" s="421"/>
      <c r="I12" s="422"/>
      <c r="J12" s="429"/>
      <c r="K12" s="429"/>
      <c r="L12" s="429"/>
      <c r="M12" s="429"/>
      <c r="N12" s="429"/>
      <c r="O12" s="430"/>
      <c r="P12" s="430"/>
      <c r="Q12" s="424"/>
      <c r="R12" s="425"/>
      <c r="S12" s="426"/>
      <c r="T12" s="427"/>
      <c r="U12" s="428"/>
    </row>
    <row r="13" spans="1:21" ht="15.6" customHeight="1">
      <c r="A13" s="420"/>
      <c r="B13" s="421"/>
      <c r="C13" s="421"/>
      <c r="D13" s="421"/>
      <c r="E13" s="422"/>
      <c r="F13" s="423"/>
      <c r="G13" s="421"/>
      <c r="H13" s="421"/>
      <c r="I13" s="422"/>
      <c r="J13" s="429"/>
      <c r="K13" s="429"/>
      <c r="L13" s="429"/>
      <c r="M13" s="429"/>
      <c r="N13" s="429"/>
      <c r="O13" s="430"/>
      <c r="P13" s="430"/>
      <c r="Q13" s="424"/>
      <c r="R13" s="425"/>
      <c r="S13" s="426"/>
      <c r="T13" s="427"/>
      <c r="U13" s="428"/>
    </row>
    <row r="14" spans="1:21" ht="15.6" customHeight="1">
      <c r="A14" s="420"/>
      <c r="B14" s="421"/>
      <c r="C14" s="421"/>
      <c r="D14" s="421"/>
      <c r="E14" s="422"/>
      <c r="F14" s="423"/>
      <c r="G14" s="421"/>
      <c r="H14" s="421"/>
      <c r="I14" s="422"/>
      <c r="J14" s="429"/>
      <c r="K14" s="429"/>
      <c r="L14" s="429"/>
      <c r="M14" s="429"/>
      <c r="N14" s="429"/>
      <c r="O14" s="430"/>
      <c r="P14" s="430"/>
      <c r="Q14" s="424"/>
      <c r="R14" s="425"/>
      <c r="S14" s="426"/>
      <c r="T14" s="427"/>
      <c r="U14" s="428"/>
    </row>
    <row r="15" spans="1:21" ht="15.6" customHeight="1" thickBot="1">
      <c r="A15" s="409"/>
      <c r="B15" s="410"/>
      <c r="C15" s="410"/>
      <c r="D15" s="410"/>
      <c r="E15" s="411"/>
      <c r="F15" s="412"/>
      <c r="G15" s="410"/>
      <c r="H15" s="410"/>
      <c r="I15" s="411"/>
      <c r="J15" s="418"/>
      <c r="K15" s="418"/>
      <c r="L15" s="418"/>
      <c r="M15" s="418"/>
      <c r="N15" s="418"/>
      <c r="O15" s="419"/>
      <c r="P15" s="419"/>
      <c r="Q15" s="413"/>
      <c r="R15" s="414"/>
      <c r="S15" s="415"/>
      <c r="T15" s="416"/>
      <c r="U15" s="417"/>
    </row>
    <row r="16" spans="1:21" ht="15" customHeight="1" thickTop="1">
      <c r="A16" s="340" t="s">
        <v>2316</v>
      </c>
      <c r="B16" s="341"/>
      <c r="C16" s="341"/>
      <c r="D16" s="341"/>
      <c r="E16" s="342"/>
      <c r="F16" s="349"/>
      <c r="G16" s="350"/>
      <c r="H16" s="350"/>
      <c r="I16" s="350"/>
      <c r="J16" s="350"/>
      <c r="K16" s="350"/>
      <c r="L16" s="350"/>
      <c r="M16" s="350"/>
      <c r="N16" s="350"/>
      <c r="O16" s="350"/>
      <c r="P16" s="350"/>
      <c r="Q16" s="350"/>
      <c r="R16" s="350"/>
      <c r="S16" s="350"/>
      <c r="T16" s="350"/>
      <c r="U16" s="351"/>
    </row>
    <row r="17" spans="1:21" ht="15" customHeight="1">
      <c r="A17" s="343"/>
      <c r="B17" s="344"/>
      <c r="C17" s="344"/>
      <c r="D17" s="344"/>
      <c r="E17" s="345"/>
      <c r="F17" s="352"/>
      <c r="G17" s="353"/>
      <c r="H17" s="353"/>
      <c r="I17" s="353"/>
      <c r="J17" s="353"/>
      <c r="K17" s="353"/>
      <c r="L17" s="353"/>
      <c r="M17" s="353"/>
      <c r="N17" s="353"/>
      <c r="O17" s="353"/>
      <c r="P17" s="353"/>
      <c r="Q17" s="353"/>
      <c r="R17" s="353"/>
      <c r="S17" s="353"/>
      <c r="T17" s="353"/>
      <c r="U17" s="354"/>
    </row>
    <row r="18" spans="1:21" ht="15" customHeight="1">
      <c r="A18" s="343"/>
      <c r="B18" s="344"/>
      <c r="C18" s="344"/>
      <c r="D18" s="344"/>
      <c r="E18" s="345"/>
      <c r="F18" s="352"/>
      <c r="G18" s="353"/>
      <c r="H18" s="353"/>
      <c r="I18" s="353"/>
      <c r="J18" s="353"/>
      <c r="K18" s="353"/>
      <c r="L18" s="353"/>
      <c r="M18" s="353"/>
      <c r="N18" s="353"/>
      <c r="O18" s="353"/>
      <c r="P18" s="353"/>
      <c r="Q18" s="353"/>
      <c r="R18" s="353"/>
      <c r="S18" s="353"/>
      <c r="T18" s="353"/>
      <c r="U18" s="354"/>
    </row>
    <row r="19" spans="1:21" ht="15" customHeight="1">
      <c r="A19" s="346"/>
      <c r="B19" s="347"/>
      <c r="C19" s="347"/>
      <c r="D19" s="347"/>
      <c r="E19" s="348"/>
      <c r="F19" s="355"/>
      <c r="G19" s="356"/>
      <c r="H19" s="356"/>
      <c r="I19" s="356"/>
      <c r="J19" s="356"/>
      <c r="K19" s="356"/>
      <c r="L19" s="356"/>
      <c r="M19" s="356"/>
      <c r="N19" s="356"/>
      <c r="O19" s="356"/>
      <c r="P19" s="356"/>
      <c r="Q19" s="356"/>
      <c r="R19" s="356"/>
      <c r="S19" s="356"/>
      <c r="T19" s="356"/>
      <c r="U19" s="357"/>
    </row>
    <row r="20" spans="1:21" ht="20.100000000000001" customHeight="1">
      <c r="A20" s="324" t="s">
        <v>80</v>
      </c>
      <c r="B20" s="325"/>
      <c r="C20" s="325"/>
      <c r="D20" s="325"/>
      <c r="E20" s="325"/>
      <c r="F20" s="326">
        <v>-9.9999999627470998E-2</v>
      </c>
      <c r="G20" s="326"/>
      <c r="H20" s="326"/>
      <c r="I20" s="327"/>
      <c r="J20" s="363">
        <f>SUM(J8:N19)</f>
        <v>1200000</v>
      </c>
      <c r="K20" s="364"/>
      <c r="L20" s="364"/>
      <c r="M20" s="364"/>
      <c r="N20" s="365"/>
      <c r="O20" s="328">
        <f>SUM(O8:P19)</f>
        <v>1</v>
      </c>
      <c r="P20" s="328"/>
      <c r="Q20" s="366">
        <f>SUM(Q8:S19)</f>
        <v>0</v>
      </c>
      <c r="R20" s="326"/>
      <c r="S20" s="327"/>
      <c r="T20" s="326">
        <f>SUM(T8:U15)</f>
        <v>1200000</v>
      </c>
      <c r="U20" s="367"/>
    </row>
    <row r="21" spans="1:21" ht="20.100000000000001" customHeight="1" thickBot="1">
      <c r="A21" s="329" t="s">
        <v>90</v>
      </c>
      <c r="B21" s="330"/>
      <c r="C21" s="330"/>
      <c r="D21" s="330"/>
      <c r="E21" s="330"/>
      <c r="F21" s="331">
        <f>F20+T20</f>
        <v>1199999.9000000004</v>
      </c>
      <c r="G21" s="331"/>
      <c r="H21" s="331"/>
      <c r="I21" s="332"/>
      <c r="J21" s="333" t="s">
        <v>965</v>
      </c>
      <c r="K21" s="330"/>
      <c r="L21" s="334" t="str">
        <f>T4</f>
        <v>장효주</v>
      </c>
      <c r="M21" s="334"/>
      <c r="N21" s="334"/>
      <c r="O21" s="333" t="s">
        <v>64</v>
      </c>
      <c r="P21" s="330"/>
      <c r="Q21" s="334" t="str">
        <f>C3</f>
        <v>AP오토서비스(수원)</v>
      </c>
      <c r="R21" s="334"/>
      <c r="S21" s="334"/>
      <c r="T21" s="334"/>
      <c r="U21" s="386"/>
    </row>
    <row r="22" spans="1:21" ht="20.100000000000001" customHeight="1">
      <c r="A22" s="313" t="s">
        <v>4004</v>
      </c>
      <c r="B22" s="313"/>
      <c r="C22" s="313"/>
      <c r="D22" s="313"/>
      <c r="E22" s="313"/>
      <c r="F22" s="313"/>
      <c r="G22" s="313"/>
      <c r="H22" s="313"/>
      <c r="I22" s="313"/>
      <c r="J22" s="313"/>
      <c r="K22" s="313"/>
      <c r="L22" s="313"/>
      <c r="M22" s="313"/>
      <c r="N22" s="313"/>
      <c r="O22" s="313"/>
      <c r="P22" s="313"/>
      <c r="Q22" s="313"/>
      <c r="R22" s="313"/>
      <c r="S22" s="313"/>
      <c r="T22" s="313"/>
      <c r="U22" s="313"/>
    </row>
    <row r="23" spans="1:21" ht="20.100000000000001" customHeight="1" thickBot="1">
      <c r="A23" s="314"/>
      <c r="B23" s="314"/>
      <c r="C23" s="314"/>
      <c r="D23" s="314"/>
      <c r="E23" s="314"/>
      <c r="F23" s="314"/>
      <c r="G23" s="314"/>
      <c r="H23" s="314"/>
      <c r="I23" s="314"/>
      <c r="J23" s="314"/>
      <c r="K23" s="314"/>
      <c r="L23" s="314"/>
      <c r="M23" s="314"/>
      <c r="N23" s="314"/>
      <c r="O23" s="314"/>
      <c r="P23" s="314"/>
      <c r="Q23" s="314"/>
      <c r="R23" s="314"/>
      <c r="S23" s="314"/>
      <c r="T23" s="314"/>
      <c r="U23" s="314"/>
    </row>
    <row r="24" spans="1:21" ht="24" customHeight="1" thickBot="1">
      <c r="A24" s="335"/>
      <c r="B24" s="336"/>
      <c r="C24" s="336"/>
      <c r="D24" s="336"/>
      <c r="E24" s="336"/>
      <c r="F24" s="336"/>
      <c r="G24" s="336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7" t="s">
        <v>1196</v>
      </c>
      <c r="R24" s="337"/>
      <c r="S24" s="338">
        <f>S1</f>
        <v>0</v>
      </c>
      <c r="T24" s="338"/>
      <c r="U24" s="339"/>
    </row>
    <row r="25" spans="1:21">
      <c r="A25" s="315" t="s">
        <v>65</v>
      </c>
      <c r="B25" s="316"/>
      <c r="C25" s="317" t="str">
        <f>C2</f>
        <v>카카오뱅크 3333181865047</v>
      </c>
      <c r="D25" s="318"/>
      <c r="E25" s="318"/>
      <c r="F25" s="318"/>
      <c r="G25" s="319"/>
      <c r="H25" s="317" t="s">
        <v>76</v>
      </c>
      <c r="I25" s="318"/>
      <c r="J25" s="318"/>
      <c r="K25" s="318"/>
      <c r="L25" s="318"/>
      <c r="M25" s="318"/>
      <c r="N25" s="318"/>
      <c r="O25" s="319"/>
      <c r="P25" s="320" t="s">
        <v>63</v>
      </c>
      <c r="Q25" s="321"/>
      <c r="R25" s="321"/>
      <c r="S25" s="316"/>
      <c r="T25" s="322">
        <f>T2</f>
        <v>46030</v>
      </c>
      <c r="U25" s="323"/>
    </row>
    <row r="26" spans="1:21" ht="24.95" customHeight="1">
      <c r="A26" s="390" t="s">
        <v>1166</v>
      </c>
      <c r="B26" s="37" t="s">
        <v>59</v>
      </c>
      <c r="C26" s="393" t="str">
        <f>C3</f>
        <v>AP오토서비스(수원)</v>
      </c>
      <c r="D26" s="394"/>
      <c r="E26" s="394"/>
      <c r="F26" s="394"/>
      <c r="G26" s="394"/>
      <c r="H26" s="394"/>
      <c r="I26" s="394"/>
      <c r="J26" s="395"/>
      <c r="K26" s="396" t="s">
        <v>1167</v>
      </c>
      <c r="L26" s="37" t="s">
        <v>59</v>
      </c>
      <c r="M26" s="399" t="s">
        <v>964</v>
      </c>
      <c r="N26" s="400"/>
      <c r="O26" s="400"/>
      <c r="P26" s="400"/>
      <c r="Q26" s="400"/>
      <c r="R26" s="400"/>
      <c r="S26" s="400"/>
      <c r="T26" s="400"/>
      <c r="U26" s="401"/>
    </row>
    <row r="27" spans="1:21" ht="24.95" customHeight="1">
      <c r="A27" s="391"/>
      <c r="B27" s="37" t="s">
        <v>61</v>
      </c>
      <c r="C27" s="402">
        <f>C4</f>
        <v>0</v>
      </c>
      <c r="D27" s="403"/>
      <c r="E27" s="403"/>
      <c r="F27" s="403"/>
      <c r="G27" s="403"/>
      <c r="H27" s="403"/>
      <c r="I27" s="403"/>
      <c r="J27" s="404"/>
      <c r="K27" s="397"/>
      <c r="L27" s="37" t="s">
        <v>61</v>
      </c>
      <c r="M27" s="405" t="s">
        <v>962</v>
      </c>
      <c r="N27" s="406"/>
      <c r="O27" s="406"/>
      <c r="P27" s="406"/>
      <c r="Q27" s="406"/>
      <c r="R27" s="407"/>
      <c r="S27" s="38" t="s">
        <v>62</v>
      </c>
      <c r="T27" s="405" t="s">
        <v>73</v>
      </c>
      <c r="U27" s="408"/>
    </row>
    <row r="28" spans="1:21" ht="24.95" customHeight="1">
      <c r="A28" s="391"/>
      <c r="B28" s="38" t="s">
        <v>10</v>
      </c>
      <c r="C28" s="405" t="str">
        <f>C5</f>
        <v>경기도 수원시 권선구 매송고색로 804번길 33</v>
      </c>
      <c r="D28" s="406"/>
      <c r="E28" s="406"/>
      <c r="F28" s="406"/>
      <c r="G28" s="406"/>
      <c r="H28" s="406"/>
      <c r="I28" s="406"/>
      <c r="J28" s="407"/>
      <c r="K28" s="397"/>
      <c r="L28" s="38" t="s">
        <v>10</v>
      </c>
      <c r="M28" s="405" t="s">
        <v>74</v>
      </c>
      <c r="N28" s="406"/>
      <c r="O28" s="406"/>
      <c r="P28" s="406"/>
      <c r="Q28" s="406"/>
      <c r="R28" s="406"/>
      <c r="S28" s="406"/>
      <c r="T28" s="406"/>
      <c r="U28" s="408"/>
    </row>
    <row r="29" spans="1:21" ht="24.95" customHeight="1">
      <c r="A29" s="392"/>
      <c r="B29" s="38" t="s">
        <v>75</v>
      </c>
      <c r="C29" s="405" t="str">
        <f>C6</f>
        <v>010-5057-4492</v>
      </c>
      <c r="D29" s="406"/>
      <c r="E29" s="406"/>
      <c r="F29" s="406"/>
      <c r="G29" s="406"/>
      <c r="H29" s="406"/>
      <c r="I29" s="406"/>
      <c r="J29" s="407"/>
      <c r="K29" s="398"/>
      <c r="L29" s="38" t="s">
        <v>75</v>
      </c>
      <c r="M29" s="405" t="s">
        <v>66</v>
      </c>
      <c r="N29" s="406"/>
      <c r="O29" s="406"/>
      <c r="P29" s="406"/>
      <c r="Q29" s="406"/>
      <c r="R29" s="407"/>
      <c r="S29" s="38" t="s">
        <v>22</v>
      </c>
      <c r="T29" s="405">
        <f>T6</f>
        <v>0</v>
      </c>
      <c r="U29" s="408"/>
    </row>
    <row r="30" spans="1:21" ht="15.6" customHeight="1">
      <c r="A30" s="324" t="s">
        <v>70</v>
      </c>
      <c r="B30" s="325"/>
      <c r="C30" s="325"/>
      <c r="D30" s="325"/>
      <c r="E30" s="387"/>
      <c r="F30" s="388" t="s">
        <v>44</v>
      </c>
      <c r="G30" s="325"/>
      <c r="H30" s="325"/>
      <c r="I30" s="387"/>
      <c r="J30" s="388" t="s">
        <v>42</v>
      </c>
      <c r="K30" s="325"/>
      <c r="L30" s="325"/>
      <c r="M30" s="325"/>
      <c r="N30" s="387"/>
      <c r="O30" s="325" t="s">
        <v>50</v>
      </c>
      <c r="P30" s="387"/>
      <c r="Q30" s="388" t="s">
        <v>69</v>
      </c>
      <c r="R30" s="325"/>
      <c r="S30" s="387"/>
      <c r="T30" s="388" t="s">
        <v>68</v>
      </c>
      <c r="U30" s="389"/>
    </row>
    <row r="31" spans="1:21" ht="15.6" customHeight="1">
      <c r="A31" s="380" t="str">
        <f>A8</f>
        <v>VGSNAG3</v>
      </c>
      <c r="B31" s="381"/>
      <c r="C31" s="381"/>
      <c r="D31" s="381"/>
      <c r="E31" s="381"/>
      <c r="F31" s="381" t="str">
        <f>F8</f>
        <v>A7252709011-1</v>
      </c>
      <c r="G31" s="381"/>
      <c r="H31" s="381"/>
      <c r="I31" s="381"/>
      <c r="J31" s="385">
        <f>J8</f>
        <v>1200000</v>
      </c>
      <c r="K31" s="385"/>
      <c r="L31" s="385"/>
      <c r="M31" s="385"/>
      <c r="N31" s="385"/>
      <c r="O31" s="385">
        <f>O8</f>
        <v>1</v>
      </c>
      <c r="P31" s="385"/>
      <c r="Q31" s="382">
        <f>Q8</f>
        <v>0</v>
      </c>
      <c r="R31" s="382"/>
      <c r="S31" s="382"/>
      <c r="T31" s="383">
        <f>T8</f>
        <v>1200000</v>
      </c>
      <c r="U31" s="384"/>
    </row>
    <row r="32" spans="1:21" ht="15.6" customHeight="1">
      <c r="A32" s="373">
        <f t="shared" ref="A32:A38" si="0">A9</f>
        <v>0</v>
      </c>
      <c r="B32" s="374"/>
      <c r="C32" s="374"/>
      <c r="D32" s="374"/>
      <c r="E32" s="374"/>
      <c r="F32" s="374">
        <f t="shared" ref="F32:F38" si="1">F9</f>
        <v>0</v>
      </c>
      <c r="G32" s="374"/>
      <c r="H32" s="374"/>
      <c r="I32" s="374"/>
      <c r="J32" s="378">
        <f t="shared" ref="J32:J38" si="2">J9</f>
        <v>0</v>
      </c>
      <c r="K32" s="378"/>
      <c r="L32" s="378"/>
      <c r="M32" s="378"/>
      <c r="N32" s="378"/>
      <c r="O32" s="378">
        <f t="shared" ref="O32:O38" si="3">O9</f>
        <v>0</v>
      </c>
      <c r="P32" s="378"/>
      <c r="Q32" s="375">
        <f t="shared" ref="Q32:Q38" si="4">Q9</f>
        <v>0</v>
      </c>
      <c r="R32" s="375"/>
      <c r="S32" s="375"/>
      <c r="T32" s="376">
        <f t="shared" ref="T32:T38" si="5">T9</f>
        <v>0</v>
      </c>
      <c r="U32" s="377"/>
    </row>
    <row r="33" spans="1:21" ht="15.6" customHeight="1">
      <c r="A33" s="373">
        <f t="shared" si="0"/>
        <v>0</v>
      </c>
      <c r="B33" s="374"/>
      <c r="C33" s="374"/>
      <c r="D33" s="374"/>
      <c r="E33" s="374"/>
      <c r="F33" s="374">
        <f t="shared" si="1"/>
        <v>0</v>
      </c>
      <c r="G33" s="374"/>
      <c r="H33" s="374"/>
      <c r="I33" s="374"/>
      <c r="J33" s="378">
        <f t="shared" si="2"/>
        <v>0</v>
      </c>
      <c r="K33" s="378"/>
      <c r="L33" s="378"/>
      <c r="M33" s="378"/>
      <c r="N33" s="378"/>
      <c r="O33" s="378">
        <f t="shared" si="3"/>
        <v>0</v>
      </c>
      <c r="P33" s="378"/>
      <c r="Q33" s="375">
        <f t="shared" si="4"/>
        <v>0</v>
      </c>
      <c r="R33" s="375"/>
      <c r="S33" s="375"/>
      <c r="T33" s="376">
        <f t="shared" si="5"/>
        <v>0</v>
      </c>
      <c r="U33" s="377"/>
    </row>
    <row r="34" spans="1:21" ht="15.6" customHeight="1">
      <c r="A34" s="373">
        <f t="shared" si="0"/>
        <v>0</v>
      </c>
      <c r="B34" s="374"/>
      <c r="C34" s="374"/>
      <c r="D34" s="374"/>
      <c r="E34" s="374"/>
      <c r="F34" s="374">
        <f t="shared" si="1"/>
        <v>0</v>
      </c>
      <c r="G34" s="374"/>
      <c r="H34" s="374"/>
      <c r="I34" s="374"/>
      <c r="J34" s="378">
        <f t="shared" si="2"/>
        <v>0</v>
      </c>
      <c r="K34" s="378"/>
      <c r="L34" s="378"/>
      <c r="M34" s="378"/>
      <c r="N34" s="378"/>
      <c r="O34" s="378">
        <f t="shared" si="3"/>
        <v>0</v>
      </c>
      <c r="P34" s="378"/>
      <c r="Q34" s="375">
        <f t="shared" si="4"/>
        <v>0</v>
      </c>
      <c r="R34" s="375"/>
      <c r="S34" s="375"/>
      <c r="T34" s="376">
        <f t="shared" si="5"/>
        <v>0</v>
      </c>
      <c r="U34" s="377"/>
    </row>
    <row r="35" spans="1:21" ht="15.6" customHeight="1">
      <c r="A35" s="373">
        <f t="shared" si="0"/>
        <v>0</v>
      </c>
      <c r="B35" s="374"/>
      <c r="C35" s="374"/>
      <c r="D35" s="374"/>
      <c r="E35" s="374"/>
      <c r="F35" s="374">
        <f t="shared" si="1"/>
        <v>0</v>
      </c>
      <c r="G35" s="374"/>
      <c r="H35" s="374"/>
      <c r="I35" s="374"/>
      <c r="J35" s="378">
        <f t="shared" si="2"/>
        <v>0</v>
      </c>
      <c r="K35" s="378"/>
      <c r="L35" s="378"/>
      <c r="M35" s="378"/>
      <c r="N35" s="378"/>
      <c r="O35" s="378">
        <f t="shared" si="3"/>
        <v>0</v>
      </c>
      <c r="P35" s="378"/>
      <c r="Q35" s="375">
        <f t="shared" si="4"/>
        <v>0</v>
      </c>
      <c r="R35" s="375"/>
      <c r="S35" s="375"/>
      <c r="T35" s="376">
        <f t="shared" si="5"/>
        <v>0</v>
      </c>
      <c r="U35" s="377"/>
    </row>
    <row r="36" spans="1:21" ht="15.6" customHeight="1">
      <c r="A36" s="373">
        <f t="shared" si="0"/>
        <v>0</v>
      </c>
      <c r="B36" s="374"/>
      <c r="C36" s="374"/>
      <c r="D36" s="374"/>
      <c r="E36" s="374"/>
      <c r="F36" s="374">
        <f t="shared" si="1"/>
        <v>0</v>
      </c>
      <c r="G36" s="374"/>
      <c r="H36" s="374"/>
      <c r="I36" s="374"/>
      <c r="J36" s="378">
        <f t="shared" si="2"/>
        <v>0</v>
      </c>
      <c r="K36" s="378"/>
      <c r="L36" s="378"/>
      <c r="M36" s="378"/>
      <c r="N36" s="378"/>
      <c r="O36" s="378">
        <f t="shared" si="3"/>
        <v>0</v>
      </c>
      <c r="P36" s="378"/>
      <c r="Q36" s="375">
        <f t="shared" si="4"/>
        <v>0</v>
      </c>
      <c r="R36" s="375"/>
      <c r="S36" s="375"/>
      <c r="T36" s="376">
        <f t="shared" si="5"/>
        <v>0</v>
      </c>
      <c r="U36" s="377"/>
    </row>
    <row r="37" spans="1:21" ht="15.6" customHeight="1">
      <c r="A37" s="373">
        <f t="shared" si="0"/>
        <v>0</v>
      </c>
      <c r="B37" s="374"/>
      <c r="C37" s="374"/>
      <c r="D37" s="374"/>
      <c r="E37" s="374"/>
      <c r="F37" s="374">
        <f t="shared" si="1"/>
        <v>0</v>
      </c>
      <c r="G37" s="374"/>
      <c r="H37" s="374"/>
      <c r="I37" s="374"/>
      <c r="J37" s="378">
        <f t="shared" si="2"/>
        <v>0</v>
      </c>
      <c r="K37" s="378"/>
      <c r="L37" s="378"/>
      <c r="M37" s="378"/>
      <c r="N37" s="378"/>
      <c r="O37" s="378">
        <f t="shared" si="3"/>
        <v>0</v>
      </c>
      <c r="P37" s="378"/>
      <c r="Q37" s="375">
        <f t="shared" si="4"/>
        <v>0</v>
      </c>
      <c r="R37" s="375"/>
      <c r="S37" s="375"/>
      <c r="T37" s="376">
        <f t="shared" si="5"/>
        <v>0</v>
      </c>
      <c r="U37" s="377"/>
    </row>
    <row r="38" spans="1:21" ht="15.6" customHeight="1" thickBot="1">
      <c r="A38" s="368">
        <f t="shared" si="0"/>
        <v>0</v>
      </c>
      <c r="B38" s="369"/>
      <c r="C38" s="369"/>
      <c r="D38" s="369"/>
      <c r="E38" s="369"/>
      <c r="F38" s="369">
        <f t="shared" si="1"/>
        <v>0</v>
      </c>
      <c r="G38" s="369"/>
      <c r="H38" s="369"/>
      <c r="I38" s="369"/>
      <c r="J38" s="379">
        <f t="shared" si="2"/>
        <v>0</v>
      </c>
      <c r="K38" s="379"/>
      <c r="L38" s="379"/>
      <c r="M38" s="379"/>
      <c r="N38" s="379"/>
      <c r="O38" s="379">
        <f t="shared" si="3"/>
        <v>0</v>
      </c>
      <c r="P38" s="379"/>
      <c r="Q38" s="370">
        <f t="shared" si="4"/>
        <v>0</v>
      </c>
      <c r="R38" s="370"/>
      <c r="S38" s="370"/>
      <c r="T38" s="371">
        <f t="shared" si="5"/>
        <v>0</v>
      </c>
      <c r="U38" s="372"/>
    </row>
    <row r="39" spans="1:21" ht="15" customHeight="1" thickTop="1">
      <c r="A39" s="340" t="s">
        <v>2316</v>
      </c>
      <c r="B39" s="341"/>
      <c r="C39" s="341"/>
      <c r="D39" s="341"/>
      <c r="E39" s="342"/>
      <c r="F39" s="349">
        <f>F16</f>
        <v>0</v>
      </c>
      <c r="G39" s="350"/>
      <c r="H39" s="350"/>
      <c r="I39" s="350"/>
      <c r="J39" s="350"/>
      <c r="K39" s="350"/>
      <c r="L39" s="350"/>
      <c r="M39" s="350"/>
      <c r="N39" s="350"/>
      <c r="O39" s="350"/>
      <c r="P39" s="350"/>
      <c r="Q39" s="350"/>
      <c r="R39" s="350"/>
      <c r="S39" s="350"/>
      <c r="T39" s="350"/>
      <c r="U39" s="351"/>
    </row>
    <row r="40" spans="1:21" ht="15" customHeight="1">
      <c r="A40" s="343"/>
      <c r="B40" s="344"/>
      <c r="C40" s="344"/>
      <c r="D40" s="344"/>
      <c r="E40" s="345"/>
      <c r="F40" s="352"/>
      <c r="G40" s="353"/>
      <c r="H40" s="353"/>
      <c r="I40" s="353"/>
      <c r="J40" s="353"/>
      <c r="K40" s="353"/>
      <c r="L40" s="353"/>
      <c r="M40" s="353"/>
      <c r="N40" s="353"/>
      <c r="O40" s="353"/>
      <c r="P40" s="353"/>
      <c r="Q40" s="353"/>
      <c r="R40" s="353"/>
      <c r="S40" s="353"/>
      <c r="T40" s="353"/>
      <c r="U40" s="354"/>
    </row>
    <row r="41" spans="1:21" ht="15" customHeight="1">
      <c r="A41" s="343"/>
      <c r="B41" s="344"/>
      <c r="C41" s="344"/>
      <c r="D41" s="344"/>
      <c r="E41" s="345"/>
      <c r="F41" s="352"/>
      <c r="G41" s="353"/>
      <c r="H41" s="353"/>
      <c r="I41" s="353"/>
      <c r="J41" s="353"/>
      <c r="K41" s="353"/>
      <c r="L41" s="353"/>
      <c r="M41" s="353"/>
      <c r="N41" s="353"/>
      <c r="O41" s="353"/>
      <c r="P41" s="353"/>
      <c r="Q41" s="353"/>
      <c r="R41" s="353"/>
      <c r="S41" s="353"/>
      <c r="T41" s="353"/>
      <c r="U41" s="354"/>
    </row>
    <row r="42" spans="1:21" ht="15" customHeight="1">
      <c r="A42" s="346"/>
      <c r="B42" s="347"/>
      <c r="C42" s="347"/>
      <c r="D42" s="347"/>
      <c r="E42" s="348"/>
      <c r="F42" s="355"/>
      <c r="G42" s="356"/>
      <c r="H42" s="356"/>
      <c r="I42" s="356"/>
      <c r="J42" s="356"/>
      <c r="K42" s="356"/>
      <c r="L42" s="356"/>
      <c r="M42" s="356"/>
      <c r="N42" s="356"/>
      <c r="O42" s="356"/>
      <c r="P42" s="356"/>
      <c r="Q42" s="356"/>
      <c r="R42" s="356"/>
      <c r="S42" s="356"/>
      <c r="T42" s="356"/>
      <c r="U42" s="357"/>
    </row>
    <row r="43" spans="1:21" ht="20.100000000000001" customHeight="1">
      <c r="A43" s="324" t="s">
        <v>80</v>
      </c>
      <c r="B43" s="325"/>
      <c r="C43" s="325"/>
      <c r="D43" s="325"/>
      <c r="E43" s="325"/>
      <c r="F43" s="326">
        <f>F20</f>
        <v>-9.9999999627470998E-2</v>
      </c>
      <c r="G43" s="326"/>
      <c r="H43" s="326"/>
      <c r="I43" s="327"/>
      <c r="J43" s="363">
        <f>J20</f>
        <v>1200000</v>
      </c>
      <c r="K43" s="364"/>
      <c r="L43" s="364"/>
      <c r="M43" s="364"/>
      <c r="N43" s="365"/>
      <c r="O43" s="328">
        <f>O20</f>
        <v>1</v>
      </c>
      <c r="P43" s="328"/>
      <c r="Q43" s="366">
        <f>Q20</f>
        <v>0</v>
      </c>
      <c r="R43" s="326"/>
      <c r="S43" s="326"/>
      <c r="T43" s="326">
        <f>T20</f>
        <v>1200000</v>
      </c>
      <c r="U43" s="367"/>
    </row>
    <row r="44" spans="1:21" ht="20.100000000000001" customHeight="1" thickBot="1">
      <c r="A44" s="329" t="s">
        <v>90</v>
      </c>
      <c r="B44" s="330"/>
      <c r="C44" s="330"/>
      <c r="D44" s="330"/>
      <c r="E44" s="330"/>
      <c r="F44" s="331">
        <f>F21</f>
        <v>1199999.9000000004</v>
      </c>
      <c r="G44" s="331"/>
      <c r="H44" s="331"/>
      <c r="I44" s="332"/>
      <c r="J44" s="333" t="s">
        <v>965</v>
      </c>
      <c r="K44" s="330"/>
      <c r="L44" s="358" t="str">
        <f>T27</f>
        <v>장효주</v>
      </c>
      <c r="M44" s="358"/>
      <c r="N44" s="358"/>
      <c r="O44" s="333" t="s">
        <v>64</v>
      </c>
      <c r="P44" s="359"/>
      <c r="Q44" s="360" t="str">
        <f>Q21</f>
        <v>AP오토서비스(수원)</v>
      </c>
      <c r="R44" s="361"/>
      <c r="S44" s="361"/>
      <c r="T44" s="361"/>
      <c r="U44" s="362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449" t="s">
        <v>49</v>
      </c>
      <c r="C4" s="450"/>
      <c r="D4" s="167" t="s">
        <v>53</v>
      </c>
      <c r="E4" s="203"/>
      <c r="F4" s="211"/>
      <c r="H4" s="172"/>
      <c r="I4" s="167" t="s">
        <v>55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960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1974</v>
      </c>
      <c r="B6" s="168" t="s">
        <v>49</v>
      </c>
      <c r="C6" s="169" t="s">
        <v>1332</v>
      </c>
      <c r="D6" s="168" t="s">
        <v>0</v>
      </c>
      <c r="E6" s="205"/>
      <c r="F6" s="211"/>
      <c r="H6" s="162"/>
      <c r="I6" s="176" t="s">
        <v>961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2314</v>
      </c>
      <c r="B7" s="168" t="s">
        <v>29</v>
      </c>
      <c r="C7" s="169"/>
      <c r="D7" s="168" t="s">
        <v>54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2311</v>
      </c>
      <c r="D8" s="168" t="s">
        <v>42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88</v>
      </c>
      <c r="C9" s="170" t="s">
        <v>2312</v>
      </c>
      <c r="D9" s="168" t="s">
        <v>50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1122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1169</v>
      </c>
      <c r="C11" s="170"/>
      <c r="D11" s="168" t="s">
        <v>89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1195</v>
      </c>
      <c r="C12" s="191"/>
      <c r="D12" s="168" t="s">
        <v>58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86</v>
      </c>
      <c r="B15" s="153" t="s">
        <v>83</v>
      </c>
      <c r="C15" s="154" t="s">
        <v>84</v>
      </c>
      <c r="D15" s="154" t="s">
        <v>85</v>
      </c>
      <c r="E15" s="154" t="s">
        <v>957</v>
      </c>
      <c r="F15" s="155" t="s">
        <v>50</v>
      </c>
      <c r="G15" s="155" t="s">
        <v>42</v>
      </c>
      <c r="H15" s="155" t="s">
        <v>1122</v>
      </c>
      <c r="I15" s="155" t="s">
        <v>81</v>
      </c>
      <c r="J15" s="156" t="s">
        <v>82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1130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451" t="s">
        <v>87</v>
      </c>
      <c r="C28" s="452"/>
      <c r="D28" s="452"/>
      <c r="E28" s="453"/>
      <c r="F28" s="452"/>
      <c r="G28" s="45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57" t="s">
        <v>1557</v>
      </c>
      <c r="F6" s="457"/>
      <c r="G6" s="457"/>
      <c r="H6" s="457"/>
      <c r="I6" s="457"/>
      <c r="J6" s="457"/>
      <c r="K6" s="457"/>
    </row>
    <row r="7" spans="5:11"/>
    <row r="8" spans="5:11"/>
    <row r="9" spans="5:11">
      <c r="G9" s="454"/>
      <c r="H9" s="454"/>
      <c r="I9" s="454"/>
      <c r="J9" s="454"/>
    </row>
    <row r="10" spans="5:11" ht="33" customHeight="1">
      <c r="F10" s="116"/>
      <c r="G10" s="455"/>
      <c r="H10" s="456"/>
      <c r="I10" s="456"/>
      <c r="J10" s="456"/>
    </row>
    <row r="11" spans="5:11"/>
    <row r="12" spans="5:11" ht="32.25" customHeight="1">
      <c r="F12" s="117"/>
      <c r="G12" s="455" t="s">
        <v>1558</v>
      </c>
      <c r="H12" s="456"/>
      <c r="I12" s="456"/>
      <c r="J12" s="45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6"/>
  <sheetViews>
    <sheetView workbookViewId="0">
      <selection activeCell="O2" sqref="O2"/>
    </sheetView>
  </sheetViews>
  <sheetFormatPr defaultRowHeight="16.5"/>
  <cols>
    <col min="1" max="1" width="3.75" style="47" bestFit="1" customWidth="1"/>
    <col min="2" max="2" width="12.75" style="47" customWidth="1"/>
    <col min="3" max="3" width="18.5" style="47" customWidth="1"/>
    <col min="4" max="4" width="11.125" style="47" customWidth="1"/>
    <col min="5" max="5" width="18.875" style="282" customWidth="1"/>
    <col min="6" max="6" width="19.25" bestFit="1" customWidth="1"/>
    <col min="7" max="7" width="14.75" style="282" bestFit="1" customWidth="1"/>
    <col min="8" max="8" width="9" style="301"/>
    <col min="9" max="9" width="8.875" customWidth="1"/>
    <col min="10" max="10" width="11.375" customWidth="1"/>
    <col min="11" max="11" width="12.875" customWidth="1"/>
    <col min="12" max="12" width="33.25" customWidth="1"/>
  </cols>
  <sheetData>
    <row r="1" spans="1:16" ht="15" customHeight="1" thickBot="1">
      <c r="A1" s="304" t="s">
        <v>2</v>
      </c>
      <c r="B1" s="305" t="s">
        <v>2321</v>
      </c>
      <c r="C1" s="305" t="s">
        <v>49</v>
      </c>
      <c r="D1" s="305" t="s">
        <v>3924</v>
      </c>
      <c r="E1" s="306" t="s">
        <v>1</v>
      </c>
      <c r="F1" s="307" t="s">
        <v>0</v>
      </c>
      <c r="G1" s="308" t="s">
        <v>47</v>
      </c>
      <c r="H1" s="309" t="s">
        <v>58</v>
      </c>
      <c r="I1" s="310" t="s">
        <v>50</v>
      </c>
      <c r="J1" s="310" t="s">
        <v>81</v>
      </c>
      <c r="K1" s="307" t="s">
        <v>3987</v>
      </c>
      <c r="L1" s="311">
        <v>1</v>
      </c>
      <c r="M1" s="312" t="s">
        <v>1169</v>
      </c>
      <c r="N1" s="312" t="s">
        <v>3919</v>
      </c>
      <c r="O1" s="312" t="s">
        <v>4</v>
      </c>
      <c r="P1" s="96">
        <v>8</v>
      </c>
    </row>
    <row r="2" spans="1:16">
      <c r="B2" s="302"/>
      <c r="E2" s="300"/>
      <c r="F2" s="282"/>
      <c r="G2"/>
      <c r="J2" s="224"/>
      <c r="K2" s="224"/>
      <c r="L2" s="224"/>
    </row>
    <row r="3" spans="1:16">
      <c r="B3" s="302"/>
      <c r="J3" s="224"/>
      <c r="K3" s="224"/>
      <c r="L3" s="224"/>
    </row>
    <row r="4" spans="1:16">
      <c r="B4" s="302"/>
      <c r="J4" s="224"/>
      <c r="K4" s="224"/>
    </row>
    <row r="5" spans="1:16">
      <c r="J5" s="224"/>
      <c r="K5" s="224"/>
    </row>
    <row r="6" spans="1:16">
      <c r="J6" s="224"/>
      <c r="K6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R1926"/>
  <sheetViews>
    <sheetView tabSelected="1" workbookViewId="0">
      <pane xSplit="1" ySplit="1" topLeftCell="B1904" activePane="bottomRight" state="frozen"/>
      <selection activeCell="N26" sqref="N26"/>
      <selection pane="topRight" activeCell="N26" sqref="N26"/>
      <selection pane="bottomLeft" activeCell="N26" sqref="N26"/>
      <selection pane="bottomRight" activeCell="K1910" sqref="K1910"/>
    </sheetView>
  </sheetViews>
  <sheetFormatPr defaultColWidth="9" defaultRowHeight="16.5"/>
  <cols>
    <col min="1" max="1" width="7.75" style="58" bestFit="1" customWidth="1"/>
    <col min="2" max="2" width="12.25" style="257" customWidth="1"/>
    <col min="3" max="3" width="24.875" style="283" bestFit="1" customWidth="1"/>
    <col min="4" max="4" width="14" style="283" customWidth="1"/>
    <col min="5" max="5" width="13.25" style="286" customWidth="1"/>
    <col min="6" max="6" width="26.375" style="283" bestFit="1" customWidth="1"/>
    <col min="7" max="7" width="15.25" style="262" hidden="1" customWidth="1"/>
    <col min="8" max="8" width="16.625" style="258" customWidth="1"/>
    <col min="9" max="9" width="9.5" style="262" customWidth="1"/>
    <col min="10" max="11" width="13.25" style="259" customWidth="1"/>
    <col min="12" max="12" width="13.25" style="258" customWidth="1"/>
    <col min="13" max="13" width="12.5" style="258" customWidth="1"/>
    <col min="14" max="14" width="30.625" style="258" customWidth="1"/>
    <col min="15" max="15" width="32.125" style="283" customWidth="1"/>
    <col min="16" max="16" width="13.5" style="262" bestFit="1" customWidth="1"/>
    <col min="17" max="18" width="11.125" bestFit="1" customWidth="1"/>
    <col min="19" max="19" width="15.25" bestFit="1" customWidth="1"/>
  </cols>
  <sheetData>
    <row r="1" spans="1:17" s="59" customFormat="1">
      <c r="A1" s="252" t="s">
        <v>2</v>
      </c>
      <c r="B1" s="253" t="s">
        <v>14</v>
      </c>
      <c r="C1" s="285" t="s">
        <v>8</v>
      </c>
      <c r="D1" s="285" t="s">
        <v>3924</v>
      </c>
      <c r="E1" s="285" t="s">
        <v>1</v>
      </c>
      <c r="F1" s="285" t="s">
        <v>0</v>
      </c>
      <c r="G1" s="252" t="s">
        <v>47</v>
      </c>
      <c r="H1" s="254" t="s">
        <v>42</v>
      </c>
      <c r="I1" s="252" t="s">
        <v>50</v>
      </c>
      <c r="J1" s="255" t="s">
        <v>1122</v>
      </c>
      <c r="K1" s="255" t="s">
        <v>81</v>
      </c>
      <c r="L1" s="254" t="s">
        <v>3987</v>
      </c>
      <c r="M1" s="254" t="s">
        <v>1669</v>
      </c>
      <c r="N1" s="254" t="s">
        <v>3998</v>
      </c>
      <c r="O1" s="254" t="s">
        <v>1169</v>
      </c>
      <c r="P1" s="254" t="s">
        <v>4</v>
      </c>
      <c r="Q1" s="97">
        <v>1926</v>
      </c>
    </row>
    <row r="2" spans="1:17">
      <c r="A2" s="264">
        <v>1</v>
      </c>
      <c r="B2" s="257">
        <v>45723</v>
      </c>
      <c r="C2" s="283" t="s">
        <v>1301</v>
      </c>
      <c r="F2" s="283" t="s">
        <v>2700</v>
      </c>
      <c r="G2" s="256">
        <v>2821402</v>
      </c>
      <c r="H2" s="258">
        <v>30000</v>
      </c>
      <c r="I2" s="256">
        <v>3</v>
      </c>
      <c r="K2" s="259">
        <v>90000</v>
      </c>
      <c r="L2" s="258">
        <v>90000</v>
      </c>
      <c r="O2" s="262"/>
    </row>
    <row r="3" spans="1:17">
      <c r="A3" s="264">
        <v>2</v>
      </c>
      <c r="B3" s="257">
        <v>45723</v>
      </c>
      <c r="C3" s="283" t="s">
        <v>1436</v>
      </c>
      <c r="F3" s="283" t="s">
        <v>1202</v>
      </c>
      <c r="G3" s="256" t="s">
        <v>1360</v>
      </c>
      <c r="H3" s="258">
        <v>1300000</v>
      </c>
      <c r="I3" s="256">
        <v>1</v>
      </c>
      <c r="L3" s="258">
        <v>1300000</v>
      </c>
      <c r="O3" s="256"/>
      <c r="P3" s="256"/>
      <c r="Q3" s="49"/>
    </row>
    <row r="4" spans="1:17">
      <c r="A4" s="264">
        <v>3</v>
      </c>
      <c r="B4" s="257">
        <v>45723</v>
      </c>
      <c r="C4" s="283" t="s">
        <v>1436</v>
      </c>
      <c r="F4" s="283" t="s">
        <v>1144</v>
      </c>
      <c r="G4" s="256"/>
      <c r="H4" s="258">
        <v>800000</v>
      </c>
      <c r="I4" s="256">
        <v>1</v>
      </c>
      <c r="L4" s="258">
        <v>800000</v>
      </c>
      <c r="O4" s="256"/>
      <c r="P4" s="256"/>
      <c r="Q4" s="49"/>
    </row>
    <row r="5" spans="1:17">
      <c r="A5" s="264">
        <v>4</v>
      </c>
      <c r="B5" s="257">
        <v>45723</v>
      </c>
      <c r="C5" s="283" t="s">
        <v>1390</v>
      </c>
      <c r="F5" s="283" t="s">
        <v>1135</v>
      </c>
      <c r="G5" s="256"/>
      <c r="H5" s="258">
        <v>1000000</v>
      </c>
      <c r="I5" s="256">
        <v>1</v>
      </c>
      <c r="L5" s="258">
        <v>1000000</v>
      </c>
      <c r="O5" s="256"/>
      <c r="P5" s="256"/>
      <c r="Q5" s="49"/>
    </row>
    <row r="6" spans="1:17">
      <c r="A6" s="264">
        <v>5</v>
      </c>
      <c r="B6" s="257">
        <v>45722</v>
      </c>
      <c r="C6" s="283" t="s">
        <v>1398</v>
      </c>
      <c r="F6" s="283" t="s">
        <v>1136</v>
      </c>
      <c r="G6" s="256"/>
      <c r="H6" s="258">
        <v>198000</v>
      </c>
      <c r="I6" s="256">
        <v>1</v>
      </c>
      <c r="L6" s="258">
        <v>198000</v>
      </c>
      <c r="O6" s="256"/>
      <c r="P6" s="256"/>
      <c r="Q6" s="49"/>
    </row>
    <row r="7" spans="1:17">
      <c r="A7" s="264">
        <v>6</v>
      </c>
      <c r="B7" s="257">
        <v>45722</v>
      </c>
      <c r="C7" s="283" t="s">
        <v>1398</v>
      </c>
      <c r="F7" s="283" t="s">
        <v>1137</v>
      </c>
      <c r="G7" s="256"/>
      <c r="H7" s="258">
        <v>12000</v>
      </c>
      <c r="I7" s="256">
        <v>1</v>
      </c>
      <c r="L7" s="258">
        <v>12000</v>
      </c>
      <c r="O7" s="256"/>
      <c r="P7" s="256"/>
      <c r="Q7" s="49"/>
    </row>
    <row r="8" spans="1:17">
      <c r="A8" s="264">
        <v>7</v>
      </c>
      <c r="B8" s="257">
        <v>45722</v>
      </c>
      <c r="C8" s="283" t="s">
        <v>1398</v>
      </c>
      <c r="F8" s="283" t="s">
        <v>1143</v>
      </c>
      <c r="G8" s="256"/>
      <c r="H8" s="258">
        <v>25000</v>
      </c>
      <c r="I8" s="256">
        <v>1</v>
      </c>
      <c r="L8" s="258">
        <v>25000</v>
      </c>
      <c r="O8" s="256"/>
      <c r="P8" s="256"/>
      <c r="Q8" s="49"/>
    </row>
    <row r="9" spans="1:17">
      <c r="A9" s="264">
        <v>8</v>
      </c>
      <c r="B9" s="257">
        <v>45722</v>
      </c>
      <c r="C9" s="283" t="s">
        <v>1146</v>
      </c>
      <c r="F9" s="283" t="s">
        <v>1138</v>
      </c>
      <c r="G9" s="256"/>
      <c r="H9" s="258">
        <v>1100000</v>
      </c>
      <c r="I9" s="256">
        <v>1</v>
      </c>
      <c r="L9" s="258">
        <v>1100000</v>
      </c>
      <c r="O9" s="256"/>
      <c r="P9" s="256"/>
      <c r="Q9" s="49"/>
    </row>
    <row r="10" spans="1:17">
      <c r="A10" s="264">
        <v>9</v>
      </c>
      <c r="B10" s="257">
        <v>45722</v>
      </c>
      <c r="C10" s="283" t="s">
        <v>1441</v>
      </c>
      <c r="F10" s="283" t="s">
        <v>1202</v>
      </c>
      <c r="G10" s="256" t="s">
        <v>1360</v>
      </c>
      <c r="H10" s="258">
        <v>1200000</v>
      </c>
      <c r="I10" s="256">
        <v>1</v>
      </c>
      <c r="L10" s="258">
        <v>1200000</v>
      </c>
      <c r="O10" s="256"/>
      <c r="P10" s="256"/>
      <c r="Q10" s="49"/>
    </row>
    <row r="11" spans="1:17">
      <c r="A11" s="264">
        <v>10</v>
      </c>
      <c r="B11" s="257">
        <v>45721</v>
      </c>
      <c r="C11" s="283" t="s">
        <v>1443</v>
      </c>
      <c r="F11" s="283">
        <v>415054509</v>
      </c>
      <c r="G11" s="256"/>
      <c r="H11" s="258">
        <v>330000</v>
      </c>
      <c r="I11" s="256">
        <v>1</v>
      </c>
      <c r="L11" s="258">
        <v>330000</v>
      </c>
      <c r="O11" s="256"/>
      <c r="P11" s="256"/>
      <c r="Q11" s="49"/>
    </row>
    <row r="12" spans="1:17">
      <c r="A12" s="264">
        <v>11</v>
      </c>
      <c r="B12" s="257">
        <v>45720</v>
      </c>
      <c r="C12" s="283" t="s">
        <v>1398</v>
      </c>
      <c r="F12" s="283" t="s">
        <v>1139</v>
      </c>
      <c r="G12" s="256"/>
      <c r="H12" s="258">
        <v>1000000</v>
      </c>
      <c r="I12" s="256">
        <v>1</v>
      </c>
      <c r="L12" s="258">
        <v>1000000</v>
      </c>
      <c r="O12" s="256"/>
      <c r="P12" s="256"/>
      <c r="Q12" s="49"/>
    </row>
    <row r="13" spans="1:17">
      <c r="A13" s="264">
        <v>12</v>
      </c>
      <c r="B13" s="257">
        <v>45720</v>
      </c>
      <c r="C13" s="283" t="s">
        <v>1443</v>
      </c>
      <c r="F13" s="283">
        <v>602000700</v>
      </c>
      <c r="G13" s="256">
        <v>602000700</v>
      </c>
      <c r="H13" s="258">
        <v>350000</v>
      </c>
      <c r="I13" s="256">
        <v>1</v>
      </c>
      <c r="L13" s="258">
        <v>350000</v>
      </c>
      <c r="O13" s="256"/>
      <c r="P13" s="256"/>
      <c r="Q13" s="49"/>
    </row>
    <row r="14" spans="1:17">
      <c r="A14" s="264">
        <v>13</v>
      </c>
      <c r="B14" s="257">
        <v>45720</v>
      </c>
      <c r="C14" s="283" t="s">
        <v>1443</v>
      </c>
      <c r="F14" s="283" t="s">
        <v>1124</v>
      </c>
      <c r="G14" s="256"/>
      <c r="H14" s="258">
        <v>-300000</v>
      </c>
      <c r="I14" s="256">
        <v>1</v>
      </c>
      <c r="L14" s="258">
        <v>-300000</v>
      </c>
      <c r="O14" s="256"/>
      <c r="P14" s="256"/>
      <c r="Q14" s="49"/>
    </row>
    <row r="15" spans="1:17">
      <c r="A15" s="264">
        <v>14</v>
      </c>
      <c r="B15" s="257">
        <v>45720</v>
      </c>
      <c r="C15" s="283" t="s">
        <v>1146</v>
      </c>
      <c r="F15" s="283" t="s">
        <v>1148</v>
      </c>
      <c r="G15" s="256"/>
      <c r="H15" s="258">
        <v>610000</v>
      </c>
      <c r="I15" s="256">
        <v>1</v>
      </c>
      <c r="L15" s="258">
        <v>610000</v>
      </c>
      <c r="O15" s="256"/>
      <c r="P15" s="256"/>
      <c r="Q15" s="49"/>
    </row>
    <row r="16" spans="1:17">
      <c r="A16" s="264">
        <v>15</v>
      </c>
      <c r="B16" s="257">
        <v>45720</v>
      </c>
      <c r="C16" s="283" t="s">
        <v>1146</v>
      </c>
      <c r="F16" s="283" t="s">
        <v>1134</v>
      </c>
      <c r="G16" s="256">
        <v>2821402</v>
      </c>
      <c r="H16" s="258">
        <v>55000</v>
      </c>
      <c r="I16" s="256">
        <v>1</v>
      </c>
      <c r="L16" s="258">
        <v>55000</v>
      </c>
      <c r="O16" s="256"/>
      <c r="P16" s="256"/>
      <c r="Q16" s="49"/>
    </row>
    <row r="17" spans="1:17">
      <c r="A17" s="264">
        <v>16</v>
      </c>
      <c r="B17" s="257">
        <v>45720</v>
      </c>
      <c r="C17" s="283" t="s">
        <v>1146</v>
      </c>
      <c r="F17" s="283" t="s">
        <v>1142</v>
      </c>
      <c r="G17" s="256"/>
      <c r="H17" s="258">
        <v>600000</v>
      </c>
      <c r="I17" s="256">
        <v>1</v>
      </c>
      <c r="L17" s="258">
        <v>600000</v>
      </c>
      <c r="O17" s="256"/>
      <c r="P17" s="256"/>
      <c r="Q17" s="49"/>
    </row>
    <row r="18" spans="1:17">
      <c r="A18" s="264">
        <v>17</v>
      </c>
      <c r="B18" s="257">
        <v>45720</v>
      </c>
      <c r="C18" s="283" t="s">
        <v>1448</v>
      </c>
      <c r="F18" s="283" t="s">
        <v>1149</v>
      </c>
      <c r="G18" s="256"/>
      <c r="H18" s="258">
        <v>1100000</v>
      </c>
      <c r="I18" s="256">
        <v>1</v>
      </c>
      <c r="L18" s="258">
        <v>1100000</v>
      </c>
      <c r="O18" s="256"/>
      <c r="P18" s="256"/>
      <c r="Q18" s="49"/>
    </row>
    <row r="19" spans="1:17">
      <c r="A19" s="264">
        <v>18</v>
      </c>
      <c r="B19" s="257">
        <v>45717</v>
      </c>
      <c r="C19" s="283" t="s">
        <v>1398</v>
      </c>
      <c r="F19" s="283" t="s">
        <v>1138</v>
      </c>
      <c r="G19" s="256"/>
      <c r="H19" s="258">
        <v>650000</v>
      </c>
      <c r="I19" s="256">
        <v>1</v>
      </c>
      <c r="L19" s="258">
        <v>650000</v>
      </c>
      <c r="O19" s="256"/>
    </row>
    <row r="20" spans="1:17">
      <c r="A20" s="264">
        <v>19</v>
      </c>
      <c r="B20" s="257">
        <v>45717</v>
      </c>
      <c r="C20" s="283" t="s">
        <v>1451</v>
      </c>
      <c r="F20" s="283" t="s">
        <v>1150</v>
      </c>
      <c r="G20" s="256"/>
      <c r="H20" s="258">
        <v>1650000</v>
      </c>
      <c r="I20" s="256">
        <v>1</v>
      </c>
      <c r="L20" s="258">
        <v>1650000</v>
      </c>
      <c r="O20" s="256"/>
      <c r="P20" s="256"/>
    </row>
    <row r="21" spans="1:17">
      <c r="A21" s="264">
        <v>20</v>
      </c>
      <c r="B21" s="260">
        <v>45723</v>
      </c>
      <c r="C21" s="287" t="s">
        <v>1453</v>
      </c>
      <c r="D21" s="287"/>
      <c r="E21" s="288"/>
      <c r="F21" s="287" t="s">
        <v>1138</v>
      </c>
      <c r="G21" s="261"/>
      <c r="H21" s="258">
        <v>650000</v>
      </c>
      <c r="I21" s="261">
        <v>1</v>
      </c>
      <c r="J21" s="261"/>
      <c r="K21" s="261"/>
      <c r="L21" s="258">
        <v>650000</v>
      </c>
      <c r="O21" s="256"/>
      <c r="P21" s="256"/>
    </row>
    <row r="22" spans="1:17">
      <c r="A22" s="264">
        <v>21</v>
      </c>
      <c r="B22" s="257">
        <v>45723</v>
      </c>
      <c r="C22" s="283" t="s">
        <v>1455</v>
      </c>
      <c r="F22" s="283" t="s">
        <v>1153</v>
      </c>
      <c r="G22" s="256"/>
      <c r="H22" s="258">
        <v>700000</v>
      </c>
      <c r="I22" s="256">
        <v>1</v>
      </c>
      <c r="L22" s="258">
        <v>700000</v>
      </c>
      <c r="O22" s="256"/>
      <c r="P22" s="256"/>
    </row>
    <row r="23" spans="1:17">
      <c r="A23" s="264">
        <v>22</v>
      </c>
      <c r="B23" s="257">
        <v>45723</v>
      </c>
      <c r="C23" s="283" t="s">
        <v>1457</v>
      </c>
      <c r="F23" s="283" t="s">
        <v>1129</v>
      </c>
      <c r="G23" s="256"/>
      <c r="H23" s="258">
        <v>1500000</v>
      </c>
      <c r="I23" s="256">
        <v>1</v>
      </c>
      <c r="L23" s="258">
        <v>1500000</v>
      </c>
      <c r="O23" s="256"/>
      <c r="P23" s="256"/>
    </row>
    <row r="24" spans="1:17">
      <c r="A24" s="264">
        <v>23</v>
      </c>
      <c r="B24" s="257">
        <v>45724</v>
      </c>
      <c r="C24" s="283" t="s">
        <v>1398</v>
      </c>
      <c r="F24" s="283" t="s">
        <v>1202</v>
      </c>
      <c r="G24" s="256" t="s">
        <v>1360</v>
      </c>
      <c r="H24" s="258">
        <v>1200000</v>
      </c>
      <c r="I24" s="256">
        <v>1</v>
      </c>
      <c r="L24" s="258">
        <v>1200000</v>
      </c>
      <c r="O24" s="256"/>
      <c r="P24" s="256"/>
    </row>
    <row r="25" spans="1:17">
      <c r="A25" s="264">
        <v>24</v>
      </c>
      <c r="B25" s="257">
        <v>45724</v>
      </c>
      <c r="C25" s="283" t="s">
        <v>1398</v>
      </c>
      <c r="F25" s="283" t="s">
        <v>1136</v>
      </c>
      <c r="G25" s="256"/>
      <c r="H25" s="258">
        <v>198000</v>
      </c>
      <c r="I25" s="256">
        <v>1</v>
      </c>
      <c r="L25" s="258">
        <v>198000</v>
      </c>
      <c r="O25" s="256"/>
      <c r="P25" s="256"/>
    </row>
    <row r="26" spans="1:17">
      <c r="A26" s="264">
        <v>25</v>
      </c>
      <c r="B26" s="257">
        <v>45726</v>
      </c>
      <c r="C26" s="283" t="s">
        <v>1443</v>
      </c>
      <c r="F26" s="283" t="s">
        <v>1131</v>
      </c>
      <c r="G26" s="256"/>
      <c r="H26" s="258">
        <v>300000</v>
      </c>
      <c r="I26" s="256">
        <v>1</v>
      </c>
      <c r="L26" s="258">
        <v>300000</v>
      </c>
      <c r="O26" s="256"/>
      <c r="P26" s="256"/>
    </row>
    <row r="27" spans="1:17">
      <c r="A27" s="264">
        <v>26</v>
      </c>
      <c r="B27" s="257">
        <v>45726</v>
      </c>
      <c r="C27" s="283" t="s">
        <v>1053</v>
      </c>
      <c r="F27" s="283" t="s">
        <v>1130</v>
      </c>
      <c r="G27" s="256"/>
      <c r="H27" s="258">
        <v>1000000</v>
      </c>
      <c r="I27" s="256">
        <v>1</v>
      </c>
      <c r="L27" s="258">
        <v>1000000</v>
      </c>
      <c r="O27" s="256"/>
      <c r="P27" s="256"/>
    </row>
    <row r="28" spans="1:17">
      <c r="A28" s="264">
        <v>27</v>
      </c>
      <c r="B28" s="257">
        <v>45727</v>
      </c>
      <c r="C28" s="283" t="s">
        <v>1082</v>
      </c>
      <c r="F28" s="283" t="s">
        <v>1129</v>
      </c>
      <c r="G28" s="256"/>
      <c r="H28" s="258">
        <v>1500000</v>
      </c>
      <c r="I28" s="256">
        <v>1</v>
      </c>
      <c r="L28" s="258">
        <v>1500000</v>
      </c>
      <c r="O28" s="256"/>
      <c r="P28" s="256"/>
    </row>
    <row r="29" spans="1:17">
      <c r="A29" s="264">
        <v>28</v>
      </c>
      <c r="B29" s="257">
        <v>45727</v>
      </c>
      <c r="C29" s="283" t="s">
        <v>1398</v>
      </c>
      <c r="F29" s="283" t="s">
        <v>1138</v>
      </c>
      <c r="G29" s="256"/>
      <c r="H29" s="258">
        <v>650000</v>
      </c>
      <c r="I29" s="256">
        <v>1</v>
      </c>
      <c r="L29" s="258">
        <v>650000</v>
      </c>
      <c r="O29" s="256"/>
      <c r="P29" s="256"/>
    </row>
    <row r="30" spans="1:17">
      <c r="A30" s="264">
        <v>29</v>
      </c>
      <c r="B30" s="257">
        <v>45727</v>
      </c>
      <c r="C30" s="283" t="s">
        <v>1398</v>
      </c>
      <c r="F30" s="283" t="s">
        <v>1128</v>
      </c>
      <c r="G30" s="262" t="s">
        <v>1463</v>
      </c>
      <c r="H30" s="258">
        <v>1500000</v>
      </c>
      <c r="I30" s="262">
        <v>1</v>
      </c>
      <c r="L30" s="258">
        <v>1500000</v>
      </c>
      <c r="O30" s="262"/>
    </row>
    <row r="31" spans="1:17">
      <c r="A31" s="264">
        <v>30</v>
      </c>
      <c r="B31" s="257">
        <v>45727</v>
      </c>
      <c r="C31" s="283" t="s">
        <v>1155</v>
      </c>
      <c r="F31" s="283" t="s">
        <v>1202</v>
      </c>
      <c r="G31" s="262" t="s">
        <v>1360</v>
      </c>
      <c r="H31" s="258">
        <v>1200000</v>
      </c>
      <c r="I31" s="262">
        <v>1</v>
      </c>
      <c r="L31" s="258">
        <v>1200000</v>
      </c>
      <c r="O31" s="262"/>
    </row>
    <row r="32" spans="1:17">
      <c r="A32" s="264">
        <v>31</v>
      </c>
      <c r="B32" s="257">
        <v>45727</v>
      </c>
      <c r="C32" s="283" t="s">
        <v>1466</v>
      </c>
      <c r="F32" s="283" t="s">
        <v>1162</v>
      </c>
      <c r="H32" s="258">
        <v>150000</v>
      </c>
      <c r="I32" s="262">
        <v>1</v>
      </c>
      <c r="L32" s="258">
        <v>150000</v>
      </c>
      <c r="O32" s="262"/>
    </row>
    <row r="33" spans="1:15">
      <c r="A33" s="264">
        <v>32</v>
      </c>
      <c r="B33" s="257">
        <v>45727</v>
      </c>
      <c r="C33" s="283" t="s">
        <v>1466</v>
      </c>
      <c r="F33" s="283" t="s">
        <v>1162</v>
      </c>
      <c r="H33" s="258">
        <v>150000</v>
      </c>
      <c r="I33" s="262">
        <v>2</v>
      </c>
      <c r="L33" s="258">
        <v>300000</v>
      </c>
      <c r="O33" s="262"/>
    </row>
    <row r="34" spans="1:15">
      <c r="A34" s="264">
        <v>33</v>
      </c>
      <c r="B34" s="257">
        <v>45727</v>
      </c>
      <c r="C34" s="283" t="s">
        <v>1466</v>
      </c>
      <c r="F34" s="283" t="s">
        <v>1163</v>
      </c>
      <c r="H34" s="258">
        <v>100000</v>
      </c>
      <c r="I34" s="262">
        <v>1</v>
      </c>
      <c r="L34" s="258">
        <v>100000</v>
      </c>
      <c r="O34" s="262"/>
    </row>
    <row r="35" spans="1:15">
      <c r="A35" s="264">
        <v>34</v>
      </c>
      <c r="B35" s="257">
        <v>45727</v>
      </c>
      <c r="C35" s="283" t="s">
        <v>1466</v>
      </c>
      <c r="F35" s="283" t="s">
        <v>1164</v>
      </c>
      <c r="H35" s="258">
        <v>230000</v>
      </c>
      <c r="I35" s="262">
        <v>1</v>
      </c>
      <c r="L35" s="258">
        <v>230000</v>
      </c>
      <c r="O35" s="262"/>
    </row>
    <row r="36" spans="1:15">
      <c r="A36" s="264">
        <v>35</v>
      </c>
      <c r="B36" s="257">
        <v>45729</v>
      </c>
      <c r="C36" s="283" t="s">
        <v>1468</v>
      </c>
      <c r="F36" s="283" t="s">
        <v>1259</v>
      </c>
      <c r="G36" s="262" t="s">
        <v>1258</v>
      </c>
      <c r="H36" s="258">
        <v>130000</v>
      </c>
      <c r="I36" s="262">
        <v>1</v>
      </c>
      <c r="L36" s="258">
        <v>130000</v>
      </c>
      <c r="O36" s="262"/>
    </row>
    <row r="37" spans="1:15">
      <c r="A37" s="264">
        <v>36</v>
      </c>
      <c r="B37" s="257">
        <v>45729</v>
      </c>
      <c r="C37" s="283" t="s">
        <v>1468</v>
      </c>
      <c r="F37" s="283" t="s">
        <v>1469</v>
      </c>
      <c r="H37" s="258">
        <v>10000</v>
      </c>
      <c r="I37" s="262">
        <v>1</v>
      </c>
      <c r="L37" s="258">
        <v>10000</v>
      </c>
      <c r="O37" s="262"/>
    </row>
    <row r="38" spans="1:15">
      <c r="A38" s="264">
        <v>37</v>
      </c>
      <c r="B38" s="257">
        <v>45729</v>
      </c>
      <c r="C38" s="283" t="s">
        <v>1007</v>
      </c>
      <c r="F38" s="283" t="s">
        <v>1265</v>
      </c>
      <c r="G38" s="262" t="s">
        <v>1264</v>
      </c>
      <c r="H38" s="258">
        <v>50000</v>
      </c>
      <c r="I38" s="262">
        <v>1</v>
      </c>
      <c r="L38" s="258">
        <v>50000</v>
      </c>
      <c r="O38" s="262"/>
    </row>
    <row r="39" spans="1:15">
      <c r="A39" s="264">
        <v>38</v>
      </c>
      <c r="B39" s="257">
        <v>45730</v>
      </c>
      <c r="C39" s="283" t="s">
        <v>1472</v>
      </c>
      <c r="F39" s="283" t="s">
        <v>1202</v>
      </c>
      <c r="G39" s="262" t="s">
        <v>1360</v>
      </c>
      <c r="H39" s="258">
        <v>1100000</v>
      </c>
      <c r="I39" s="262">
        <v>1</v>
      </c>
      <c r="L39" s="258">
        <v>1100000</v>
      </c>
      <c r="O39" s="262"/>
    </row>
    <row r="40" spans="1:15">
      <c r="A40" s="264">
        <v>39</v>
      </c>
      <c r="B40" s="257">
        <v>45730</v>
      </c>
      <c r="C40" s="283" t="s">
        <v>1398</v>
      </c>
      <c r="F40" s="283" t="s">
        <v>1474</v>
      </c>
      <c r="H40" s="258">
        <v>13000</v>
      </c>
      <c r="I40" s="262">
        <v>1</v>
      </c>
      <c r="L40" s="258">
        <v>13000</v>
      </c>
      <c r="O40" s="262"/>
    </row>
    <row r="41" spans="1:15">
      <c r="A41" s="264">
        <v>40</v>
      </c>
      <c r="B41" s="257">
        <v>45730</v>
      </c>
      <c r="C41" s="283" t="s">
        <v>1398</v>
      </c>
      <c r="F41" s="283" t="s">
        <v>1475</v>
      </c>
      <c r="H41" s="258">
        <v>50000</v>
      </c>
      <c r="I41" s="262">
        <v>1</v>
      </c>
      <c r="L41" s="258">
        <v>50000</v>
      </c>
      <c r="O41" s="262"/>
    </row>
    <row r="42" spans="1:15">
      <c r="A42" s="264">
        <v>41</v>
      </c>
      <c r="B42" s="257">
        <v>45731</v>
      </c>
      <c r="C42" s="283" t="s">
        <v>1172</v>
      </c>
      <c r="F42" s="283" t="s">
        <v>1138</v>
      </c>
      <c r="H42" s="258">
        <v>1100000</v>
      </c>
      <c r="I42" s="262">
        <v>1</v>
      </c>
      <c r="L42" s="258">
        <v>1100000</v>
      </c>
      <c r="O42" s="262"/>
    </row>
    <row r="43" spans="1:15">
      <c r="A43" s="264">
        <v>42</v>
      </c>
      <c r="B43" s="257">
        <v>45731</v>
      </c>
      <c r="C43" s="283" t="s">
        <v>1478</v>
      </c>
      <c r="F43" s="283" t="s">
        <v>1479</v>
      </c>
      <c r="H43" s="258">
        <v>140000</v>
      </c>
      <c r="I43" s="262">
        <v>3</v>
      </c>
      <c r="L43" s="258">
        <v>420000</v>
      </c>
      <c r="O43" s="262"/>
    </row>
    <row r="44" spans="1:15">
      <c r="A44" s="264">
        <v>43</v>
      </c>
      <c r="B44" s="257">
        <v>45731</v>
      </c>
      <c r="C44" s="283" t="s">
        <v>1026</v>
      </c>
      <c r="F44" s="283" t="s">
        <v>1481</v>
      </c>
      <c r="H44" s="258">
        <v>450000</v>
      </c>
      <c r="I44" s="262">
        <v>1</v>
      </c>
      <c r="L44" s="258">
        <v>450000</v>
      </c>
      <c r="O44" s="262"/>
    </row>
    <row r="45" spans="1:15">
      <c r="A45" s="264">
        <v>44</v>
      </c>
      <c r="B45" s="257">
        <v>45733</v>
      </c>
      <c r="C45" s="283" t="s">
        <v>1146</v>
      </c>
      <c r="F45" s="283" t="s">
        <v>1481</v>
      </c>
      <c r="H45" s="258">
        <v>450000</v>
      </c>
      <c r="I45" s="262">
        <v>1</v>
      </c>
      <c r="L45" s="258">
        <v>450000</v>
      </c>
      <c r="O45" s="262"/>
    </row>
    <row r="46" spans="1:15">
      <c r="A46" s="264">
        <v>45</v>
      </c>
      <c r="B46" s="257">
        <v>45733</v>
      </c>
      <c r="C46" s="283" t="s">
        <v>1484</v>
      </c>
      <c r="F46" s="283" t="s">
        <v>1485</v>
      </c>
      <c r="H46" s="258">
        <v>1600000</v>
      </c>
      <c r="I46" s="262">
        <v>1</v>
      </c>
      <c r="L46" s="258">
        <v>1600000</v>
      </c>
      <c r="O46" s="262"/>
    </row>
    <row r="47" spans="1:15">
      <c r="A47" s="264">
        <v>46</v>
      </c>
      <c r="B47" s="257">
        <v>45733</v>
      </c>
      <c r="C47" s="283" t="s">
        <v>1046</v>
      </c>
      <c r="F47" s="283" t="s">
        <v>1489</v>
      </c>
      <c r="H47" s="258">
        <v>1600000</v>
      </c>
      <c r="I47" s="262">
        <v>1</v>
      </c>
      <c r="L47" s="258">
        <v>1600000</v>
      </c>
      <c r="O47" s="262"/>
    </row>
    <row r="48" spans="1:15">
      <c r="A48" s="264">
        <v>47</v>
      </c>
      <c r="B48" s="257">
        <v>45733</v>
      </c>
      <c r="C48" s="283" t="s">
        <v>1468</v>
      </c>
      <c r="F48" s="283" t="s">
        <v>1491</v>
      </c>
      <c r="H48" s="258">
        <v>100000</v>
      </c>
      <c r="I48" s="262">
        <v>1</v>
      </c>
      <c r="L48" s="258">
        <v>100000</v>
      </c>
      <c r="O48" s="262"/>
    </row>
    <row r="49" spans="1:15">
      <c r="A49" s="264">
        <v>48</v>
      </c>
      <c r="B49" s="257">
        <v>45733</v>
      </c>
      <c r="C49" s="283" t="s">
        <v>1493</v>
      </c>
      <c r="F49" s="283" t="s">
        <v>1494</v>
      </c>
      <c r="G49" s="262" t="s">
        <v>1360</v>
      </c>
      <c r="H49" s="258">
        <v>650000</v>
      </c>
      <c r="I49" s="262">
        <v>1</v>
      </c>
      <c r="L49" s="258">
        <v>650000</v>
      </c>
      <c r="O49" s="262"/>
    </row>
    <row r="50" spans="1:15">
      <c r="A50" s="264">
        <v>49</v>
      </c>
      <c r="B50" s="257">
        <v>45733</v>
      </c>
      <c r="C50" s="283" t="s">
        <v>1493</v>
      </c>
      <c r="F50" s="283" t="s">
        <v>1495</v>
      </c>
      <c r="H50" s="258">
        <v>350000</v>
      </c>
      <c r="I50" s="262">
        <v>1</v>
      </c>
      <c r="L50" s="258">
        <v>350000</v>
      </c>
      <c r="O50" s="262"/>
    </row>
    <row r="51" spans="1:15">
      <c r="A51" s="264">
        <v>50</v>
      </c>
      <c r="B51" s="257">
        <v>45734</v>
      </c>
      <c r="C51" s="283" t="s">
        <v>1497</v>
      </c>
      <c r="F51" s="283" t="s">
        <v>1202</v>
      </c>
      <c r="G51" s="262" t="s">
        <v>1360</v>
      </c>
      <c r="H51" s="258">
        <v>1200000</v>
      </c>
      <c r="I51" s="262">
        <v>1</v>
      </c>
      <c r="L51" s="258">
        <v>1200000</v>
      </c>
      <c r="O51" s="262"/>
    </row>
    <row r="52" spans="1:15">
      <c r="A52" s="264">
        <v>51</v>
      </c>
      <c r="B52" s="257">
        <v>45735</v>
      </c>
      <c r="C52" s="283" t="s">
        <v>1398</v>
      </c>
      <c r="F52" s="283" t="s">
        <v>1216</v>
      </c>
      <c r="G52" s="262" t="s">
        <v>1215</v>
      </c>
      <c r="H52" s="258">
        <v>1500000</v>
      </c>
      <c r="I52" s="262">
        <v>1</v>
      </c>
      <c r="L52" s="258">
        <v>1500000</v>
      </c>
      <c r="O52" s="262"/>
    </row>
    <row r="53" spans="1:15">
      <c r="A53" s="264">
        <v>52</v>
      </c>
      <c r="B53" s="257">
        <v>45735</v>
      </c>
      <c r="C53" s="283" t="s">
        <v>1398</v>
      </c>
      <c r="F53" s="283" t="s">
        <v>1500</v>
      </c>
      <c r="H53" s="258">
        <v>-500000</v>
      </c>
      <c r="I53" s="262">
        <v>1</v>
      </c>
      <c r="L53" s="258">
        <v>-500000</v>
      </c>
      <c r="O53" s="262"/>
    </row>
    <row r="54" spans="1:15">
      <c r="A54" s="264">
        <v>53</v>
      </c>
      <c r="B54" s="257">
        <v>45735</v>
      </c>
      <c r="C54" s="283" t="s">
        <v>1053</v>
      </c>
      <c r="F54" s="283" t="s">
        <v>1502</v>
      </c>
      <c r="H54" s="258">
        <v>1600000</v>
      </c>
      <c r="I54" s="262">
        <v>1</v>
      </c>
      <c r="L54" s="258">
        <v>1600000</v>
      </c>
      <c r="O54" s="262"/>
    </row>
    <row r="55" spans="1:15">
      <c r="A55" s="264">
        <v>54</v>
      </c>
      <c r="B55" s="257">
        <v>45735</v>
      </c>
      <c r="C55" s="283" t="s">
        <v>1377</v>
      </c>
      <c r="F55" s="283" t="s">
        <v>1504</v>
      </c>
      <c r="H55" s="258">
        <v>1000000</v>
      </c>
      <c r="I55" s="262">
        <v>1</v>
      </c>
      <c r="L55" s="258">
        <v>1000000</v>
      </c>
      <c r="O55" s="262"/>
    </row>
    <row r="56" spans="1:15">
      <c r="A56" s="264">
        <v>55</v>
      </c>
      <c r="B56" s="257">
        <v>45735</v>
      </c>
      <c r="C56" s="283" t="s">
        <v>1377</v>
      </c>
      <c r="F56" s="283" t="s">
        <v>1505</v>
      </c>
      <c r="H56" s="258">
        <v>200000</v>
      </c>
      <c r="I56" s="262">
        <v>1</v>
      </c>
      <c r="L56" s="258">
        <v>200000</v>
      </c>
      <c r="O56" s="262"/>
    </row>
    <row r="57" spans="1:15">
      <c r="A57" s="264">
        <v>56</v>
      </c>
      <c r="B57" s="257">
        <v>45736</v>
      </c>
      <c r="C57" s="283" t="s">
        <v>1443</v>
      </c>
      <c r="F57" s="283" t="s">
        <v>1507</v>
      </c>
      <c r="H57" s="258">
        <v>-1270000</v>
      </c>
      <c r="I57" s="262">
        <v>1</v>
      </c>
      <c r="L57" s="258">
        <v>-1270000</v>
      </c>
      <c r="O57" s="262"/>
    </row>
    <row r="58" spans="1:15">
      <c r="A58" s="264">
        <v>57</v>
      </c>
      <c r="B58" s="257">
        <v>45736</v>
      </c>
      <c r="C58" s="283" t="s">
        <v>1443</v>
      </c>
      <c r="F58" s="283" t="s">
        <v>1508</v>
      </c>
      <c r="H58" s="258">
        <v>-300000</v>
      </c>
      <c r="I58" s="262">
        <v>1</v>
      </c>
      <c r="L58" s="258">
        <v>-300000</v>
      </c>
      <c r="O58" s="262"/>
    </row>
    <row r="59" spans="1:15">
      <c r="A59" s="264">
        <v>58</v>
      </c>
      <c r="B59" s="257">
        <v>45736</v>
      </c>
      <c r="C59" s="283" t="s">
        <v>1443</v>
      </c>
      <c r="F59" s="283" t="s">
        <v>1509</v>
      </c>
      <c r="H59" s="258">
        <v>-200000</v>
      </c>
      <c r="I59" s="262">
        <v>1</v>
      </c>
      <c r="L59" s="258">
        <v>-200000</v>
      </c>
      <c r="O59" s="262"/>
    </row>
    <row r="60" spans="1:15">
      <c r="A60" s="264">
        <v>59</v>
      </c>
      <c r="B60" s="257">
        <v>45736</v>
      </c>
      <c r="C60" s="283" t="s">
        <v>1237</v>
      </c>
      <c r="F60" s="283" t="s">
        <v>1204</v>
      </c>
      <c r="G60" s="262" t="s">
        <v>1203</v>
      </c>
      <c r="H60" s="258">
        <v>150000</v>
      </c>
      <c r="I60" s="262">
        <v>1</v>
      </c>
      <c r="L60" s="258">
        <v>150000</v>
      </c>
      <c r="O60" s="262"/>
    </row>
    <row r="61" spans="1:15">
      <c r="A61" s="264">
        <v>60</v>
      </c>
      <c r="B61" s="257">
        <v>45736</v>
      </c>
      <c r="C61" s="283" t="s">
        <v>1468</v>
      </c>
      <c r="F61" s="283" t="s">
        <v>1202</v>
      </c>
      <c r="G61" s="262" t="s">
        <v>1360</v>
      </c>
      <c r="H61" s="258">
        <v>1300000</v>
      </c>
      <c r="I61" s="262">
        <v>1</v>
      </c>
      <c r="L61" s="258">
        <v>1300000</v>
      </c>
      <c r="O61" s="262"/>
    </row>
    <row r="62" spans="1:15">
      <c r="A62" s="264">
        <v>61</v>
      </c>
      <c r="B62" s="257">
        <v>45736</v>
      </c>
      <c r="C62" s="283" t="s">
        <v>1227</v>
      </c>
      <c r="F62" s="283" t="s">
        <v>1502</v>
      </c>
      <c r="H62" s="258">
        <v>1600000</v>
      </c>
      <c r="I62" s="262">
        <v>1</v>
      </c>
      <c r="L62" s="258">
        <v>1600000</v>
      </c>
      <c r="O62" s="262"/>
    </row>
    <row r="63" spans="1:15">
      <c r="A63" s="264">
        <v>62</v>
      </c>
      <c r="B63" s="257">
        <v>45736</v>
      </c>
      <c r="C63" s="283" t="s">
        <v>1514</v>
      </c>
      <c r="F63" s="283" t="s">
        <v>1138</v>
      </c>
      <c r="H63" s="258">
        <v>650000</v>
      </c>
      <c r="I63" s="262">
        <v>1</v>
      </c>
      <c r="L63" s="258">
        <v>650000</v>
      </c>
      <c r="O63" s="262"/>
    </row>
    <row r="64" spans="1:15">
      <c r="A64" s="264">
        <v>63</v>
      </c>
      <c r="B64" s="257">
        <v>45741</v>
      </c>
      <c r="C64" s="283" t="s">
        <v>1516</v>
      </c>
      <c r="F64" s="283" t="s">
        <v>1517</v>
      </c>
      <c r="H64" s="258">
        <v>150000</v>
      </c>
      <c r="I64" s="262">
        <v>2</v>
      </c>
      <c r="L64" s="258">
        <v>300000</v>
      </c>
      <c r="O64" s="262"/>
    </row>
    <row r="65" spans="1:15">
      <c r="A65" s="264">
        <v>64</v>
      </c>
      <c r="B65" s="257">
        <v>45741</v>
      </c>
      <c r="C65" s="283" t="s">
        <v>1516</v>
      </c>
      <c r="F65" s="283" t="s">
        <v>1518</v>
      </c>
      <c r="H65" s="258">
        <v>20000</v>
      </c>
      <c r="I65" s="262">
        <v>1</v>
      </c>
      <c r="L65" s="258">
        <v>20000</v>
      </c>
      <c r="O65" s="262"/>
    </row>
    <row r="66" spans="1:15">
      <c r="A66" s="264">
        <v>65</v>
      </c>
      <c r="B66" s="257">
        <v>45737</v>
      </c>
      <c r="C66" s="283" t="s">
        <v>1520</v>
      </c>
      <c r="F66" s="283" t="s">
        <v>1523</v>
      </c>
      <c r="H66" s="258">
        <v>250000</v>
      </c>
      <c r="I66" s="262">
        <v>1</v>
      </c>
      <c r="L66" s="258">
        <v>250000</v>
      </c>
      <c r="O66" s="262"/>
    </row>
    <row r="67" spans="1:15">
      <c r="A67" s="264">
        <v>66</v>
      </c>
      <c r="B67" s="257">
        <v>45737</v>
      </c>
      <c r="C67" s="283" t="s">
        <v>1443</v>
      </c>
      <c r="F67" s="283" t="s">
        <v>1207</v>
      </c>
      <c r="G67" s="262" t="s">
        <v>1206</v>
      </c>
      <c r="H67" s="258">
        <v>570000</v>
      </c>
      <c r="I67" s="262">
        <v>2</v>
      </c>
      <c r="L67" s="258">
        <v>1140000</v>
      </c>
      <c r="O67" s="262"/>
    </row>
    <row r="68" spans="1:15">
      <c r="A68" s="264">
        <v>67</v>
      </c>
      <c r="B68" s="257">
        <v>45737</v>
      </c>
      <c r="C68" s="283" t="s">
        <v>1443</v>
      </c>
      <c r="F68" s="283" t="s">
        <v>1407</v>
      </c>
      <c r="I68" s="262">
        <v>2</v>
      </c>
      <c r="L68" s="258">
        <v>0</v>
      </c>
      <c r="O68" s="262"/>
    </row>
    <row r="69" spans="1:15">
      <c r="A69" s="264">
        <v>68</v>
      </c>
      <c r="B69" s="257">
        <v>45740</v>
      </c>
      <c r="C69" s="283" t="s">
        <v>1305</v>
      </c>
      <c r="F69" s="283">
        <v>2703900</v>
      </c>
      <c r="H69" s="258">
        <v>1600000</v>
      </c>
      <c r="I69" s="262">
        <v>1</v>
      </c>
      <c r="L69" s="258">
        <v>1600000</v>
      </c>
      <c r="O69" s="262"/>
    </row>
    <row r="70" spans="1:15">
      <c r="A70" s="264">
        <v>69</v>
      </c>
      <c r="B70" s="257">
        <v>45740</v>
      </c>
      <c r="C70" s="283" t="s">
        <v>1237</v>
      </c>
      <c r="F70" s="283" t="s">
        <v>1202</v>
      </c>
      <c r="G70" s="262" t="s">
        <v>1360</v>
      </c>
      <c r="H70" s="258">
        <v>1300000</v>
      </c>
      <c r="I70" s="262">
        <v>1</v>
      </c>
      <c r="L70" s="258">
        <v>1300000</v>
      </c>
      <c r="O70" s="262"/>
    </row>
    <row r="71" spans="1:15">
      <c r="A71" s="264">
        <v>70</v>
      </c>
      <c r="B71" s="257">
        <v>45740</v>
      </c>
      <c r="C71" s="283" t="s">
        <v>1372</v>
      </c>
      <c r="F71" s="283" t="s">
        <v>1154</v>
      </c>
      <c r="H71" s="258">
        <v>1500000</v>
      </c>
      <c r="I71" s="262">
        <v>1</v>
      </c>
      <c r="L71" s="258">
        <v>1500000</v>
      </c>
      <c r="O71" s="262"/>
    </row>
    <row r="72" spans="1:15">
      <c r="A72" s="264">
        <v>71</v>
      </c>
      <c r="B72" s="257">
        <v>45740</v>
      </c>
      <c r="C72" s="283" t="s">
        <v>1172</v>
      </c>
      <c r="F72" s="283" t="s">
        <v>1202</v>
      </c>
      <c r="G72" s="262" t="s">
        <v>1360</v>
      </c>
      <c r="H72" s="258">
        <v>1200000</v>
      </c>
      <c r="I72" s="262">
        <v>1</v>
      </c>
      <c r="L72" s="258">
        <v>1200000</v>
      </c>
      <c r="O72" s="262"/>
    </row>
    <row r="73" spans="1:15">
      <c r="A73" s="264">
        <v>72</v>
      </c>
      <c r="B73" s="257">
        <v>45740</v>
      </c>
      <c r="C73" s="283" t="s">
        <v>1007</v>
      </c>
      <c r="F73" s="283" t="s">
        <v>1149</v>
      </c>
      <c r="H73" s="258">
        <v>1100000</v>
      </c>
      <c r="I73" s="262">
        <v>1</v>
      </c>
      <c r="L73" s="258">
        <v>1100000</v>
      </c>
      <c r="O73" s="262"/>
    </row>
    <row r="74" spans="1:15">
      <c r="A74" s="264">
        <v>73</v>
      </c>
      <c r="B74" s="257">
        <v>45740</v>
      </c>
      <c r="C74" s="283" t="s">
        <v>1531</v>
      </c>
      <c r="F74" s="283" t="s">
        <v>1201</v>
      </c>
      <c r="G74" s="262" t="s">
        <v>1200</v>
      </c>
      <c r="H74" s="258">
        <v>1500000</v>
      </c>
      <c r="I74" s="262">
        <v>1</v>
      </c>
      <c r="L74" s="258">
        <v>1500000</v>
      </c>
      <c r="O74" s="262"/>
    </row>
    <row r="75" spans="1:15">
      <c r="A75" s="264">
        <v>74</v>
      </c>
      <c r="B75" s="257">
        <v>45741</v>
      </c>
      <c r="C75" s="283" t="s">
        <v>1448</v>
      </c>
      <c r="F75" s="283" t="s">
        <v>1534</v>
      </c>
      <c r="H75" s="258">
        <v>450000</v>
      </c>
      <c r="I75" s="262">
        <v>1</v>
      </c>
      <c r="L75" s="258">
        <v>450000</v>
      </c>
      <c r="O75" s="262"/>
    </row>
    <row r="76" spans="1:15">
      <c r="A76" s="264">
        <v>75</v>
      </c>
      <c r="B76" s="257">
        <v>45741</v>
      </c>
      <c r="C76" s="283" t="s">
        <v>1146</v>
      </c>
      <c r="F76" s="283" t="s">
        <v>1202</v>
      </c>
      <c r="G76" s="262" t="s">
        <v>1360</v>
      </c>
      <c r="H76" s="258">
        <v>1200000</v>
      </c>
      <c r="I76" s="262">
        <v>1</v>
      </c>
      <c r="L76" s="258">
        <v>1200000</v>
      </c>
      <c r="O76" s="262"/>
    </row>
    <row r="77" spans="1:15">
      <c r="A77" s="264">
        <v>76</v>
      </c>
      <c r="B77" s="257">
        <v>45741</v>
      </c>
      <c r="C77" s="283" t="s">
        <v>1018</v>
      </c>
      <c r="F77" s="283" t="s">
        <v>1537</v>
      </c>
      <c r="H77" s="258">
        <v>2000000</v>
      </c>
      <c r="I77" s="262">
        <v>1</v>
      </c>
      <c r="L77" s="258">
        <v>2000000</v>
      </c>
      <c r="O77" s="262"/>
    </row>
    <row r="78" spans="1:15">
      <c r="A78" s="264">
        <v>77</v>
      </c>
      <c r="B78" s="257">
        <v>45741</v>
      </c>
      <c r="C78" s="283" t="s">
        <v>1443</v>
      </c>
      <c r="F78" s="283" t="s">
        <v>1131</v>
      </c>
      <c r="H78" s="258">
        <v>350000</v>
      </c>
      <c r="I78" s="262">
        <v>2</v>
      </c>
      <c r="L78" s="258">
        <v>700000</v>
      </c>
      <c r="O78" s="262"/>
    </row>
    <row r="79" spans="1:15">
      <c r="A79" s="264">
        <v>78</v>
      </c>
      <c r="B79" s="257">
        <v>45741</v>
      </c>
      <c r="C79" s="283" t="s">
        <v>1443</v>
      </c>
      <c r="F79" s="283" t="s">
        <v>1131</v>
      </c>
      <c r="H79" s="258">
        <v>300000</v>
      </c>
      <c r="I79" s="262">
        <v>2</v>
      </c>
      <c r="L79" s="258">
        <v>600000</v>
      </c>
      <c r="O79" s="262"/>
    </row>
    <row r="80" spans="1:15">
      <c r="A80" s="264">
        <v>79</v>
      </c>
      <c r="B80" s="257">
        <v>45741</v>
      </c>
      <c r="C80" s="283" t="s">
        <v>1540</v>
      </c>
      <c r="F80" s="283" t="s">
        <v>1541</v>
      </c>
      <c r="H80" s="258">
        <v>129000</v>
      </c>
      <c r="I80" s="262">
        <v>1</v>
      </c>
      <c r="L80" s="258">
        <v>129000</v>
      </c>
      <c r="O80" s="262"/>
    </row>
    <row r="81" spans="1:15">
      <c r="A81" s="264">
        <v>80</v>
      </c>
      <c r="B81" s="257">
        <v>45741</v>
      </c>
      <c r="C81" s="283" t="s">
        <v>1543</v>
      </c>
      <c r="F81" s="283" t="s">
        <v>1216</v>
      </c>
      <c r="G81" s="262" t="s">
        <v>1215</v>
      </c>
      <c r="H81" s="258">
        <v>1500000</v>
      </c>
      <c r="I81" s="262">
        <v>1</v>
      </c>
      <c r="L81" s="258">
        <v>1500000</v>
      </c>
      <c r="O81" s="262"/>
    </row>
    <row r="82" spans="1:15">
      <c r="A82" s="264">
        <v>81</v>
      </c>
      <c r="B82" s="257">
        <v>45742</v>
      </c>
      <c r="C82" s="283" t="s">
        <v>1018</v>
      </c>
      <c r="F82" s="283" t="s">
        <v>1202</v>
      </c>
      <c r="G82" s="262" t="s">
        <v>1360</v>
      </c>
      <c r="H82" s="258">
        <v>1200000</v>
      </c>
      <c r="I82" s="262">
        <v>1</v>
      </c>
      <c r="L82" s="258">
        <v>1200000</v>
      </c>
      <c r="O82" s="262"/>
    </row>
    <row r="83" spans="1:15">
      <c r="A83" s="264">
        <v>82</v>
      </c>
      <c r="B83" s="257">
        <v>45742</v>
      </c>
      <c r="C83" s="283" t="s">
        <v>1018</v>
      </c>
      <c r="F83" s="283" t="s">
        <v>1495</v>
      </c>
      <c r="H83" s="258">
        <v>350000</v>
      </c>
      <c r="I83" s="262">
        <v>1</v>
      </c>
      <c r="L83" s="258">
        <v>350000</v>
      </c>
      <c r="O83" s="262"/>
    </row>
    <row r="84" spans="1:15">
      <c r="A84" s="264">
        <v>83</v>
      </c>
      <c r="B84" s="257">
        <v>45742</v>
      </c>
      <c r="C84" s="283" t="s">
        <v>1390</v>
      </c>
      <c r="F84" s="283" t="s">
        <v>1202</v>
      </c>
      <c r="G84" s="262" t="s">
        <v>1360</v>
      </c>
      <c r="H84" s="258">
        <v>1200000</v>
      </c>
      <c r="I84" s="262">
        <v>1</v>
      </c>
      <c r="L84" s="258">
        <v>1200000</v>
      </c>
      <c r="O84" s="262"/>
    </row>
    <row r="85" spans="1:15">
      <c r="A85" s="264">
        <v>84</v>
      </c>
      <c r="B85" s="257">
        <v>45742</v>
      </c>
      <c r="C85" s="283" t="s">
        <v>1394</v>
      </c>
      <c r="F85" s="283" t="s">
        <v>1138</v>
      </c>
      <c r="H85" s="258">
        <v>650000</v>
      </c>
      <c r="I85" s="262">
        <v>1</v>
      </c>
      <c r="L85" s="258">
        <v>650000</v>
      </c>
      <c r="O85" s="262"/>
    </row>
    <row r="86" spans="1:15">
      <c r="A86" s="264">
        <v>85</v>
      </c>
      <c r="B86" s="257">
        <v>45742</v>
      </c>
      <c r="C86" s="283" t="s">
        <v>1007</v>
      </c>
      <c r="F86" s="283" t="s">
        <v>1548</v>
      </c>
      <c r="H86" s="258">
        <v>50000</v>
      </c>
      <c r="I86" s="262">
        <v>1</v>
      </c>
      <c r="L86" s="258">
        <v>50000</v>
      </c>
      <c r="O86" s="262"/>
    </row>
    <row r="87" spans="1:15">
      <c r="A87" s="264">
        <v>86</v>
      </c>
      <c r="B87" s="257">
        <v>45743</v>
      </c>
      <c r="C87" s="283" t="s">
        <v>1550</v>
      </c>
      <c r="F87" s="283" t="s">
        <v>1202</v>
      </c>
      <c r="G87" s="262" t="s">
        <v>1360</v>
      </c>
      <c r="H87" s="258">
        <v>1300000</v>
      </c>
      <c r="I87" s="262">
        <v>1</v>
      </c>
      <c r="L87" s="258">
        <v>1300000</v>
      </c>
      <c r="O87" s="262"/>
    </row>
    <row r="88" spans="1:15">
      <c r="A88" s="264">
        <v>87</v>
      </c>
      <c r="B88" s="257">
        <v>45743</v>
      </c>
      <c r="C88" s="283" t="s">
        <v>1550</v>
      </c>
      <c r="F88" s="283" t="s">
        <v>1495</v>
      </c>
      <c r="H88" s="258">
        <v>350000</v>
      </c>
      <c r="I88" s="262">
        <v>1</v>
      </c>
      <c r="L88" s="258">
        <v>350000</v>
      </c>
      <c r="O88" s="262"/>
    </row>
    <row r="89" spans="1:15">
      <c r="A89" s="264">
        <v>88</v>
      </c>
      <c r="B89" s="257">
        <v>45743</v>
      </c>
      <c r="C89" s="283" t="s">
        <v>1553</v>
      </c>
      <c r="F89" s="283" t="s">
        <v>1554</v>
      </c>
      <c r="H89" s="258">
        <v>350000</v>
      </c>
      <c r="I89" s="262">
        <v>1</v>
      </c>
      <c r="K89" s="259">
        <v>35000</v>
      </c>
      <c r="L89" s="258">
        <v>385000</v>
      </c>
      <c r="O89" s="262"/>
    </row>
    <row r="90" spans="1:15">
      <c r="A90" s="264">
        <v>89</v>
      </c>
      <c r="B90" s="257">
        <v>45744</v>
      </c>
      <c r="C90" s="283" t="s">
        <v>1553</v>
      </c>
      <c r="F90" s="283" t="s">
        <v>1202</v>
      </c>
      <c r="G90" s="262" t="s">
        <v>1360</v>
      </c>
      <c r="H90" s="258">
        <v>1090909</v>
      </c>
      <c r="I90" s="262">
        <v>1</v>
      </c>
      <c r="K90" s="259">
        <v>109090.90000000001</v>
      </c>
      <c r="L90" s="258">
        <v>1199999.8999999999</v>
      </c>
      <c r="O90" s="262"/>
    </row>
    <row r="91" spans="1:15">
      <c r="A91" s="264">
        <v>90</v>
      </c>
      <c r="B91" s="257">
        <v>45745</v>
      </c>
      <c r="C91" s="283" t="s">
        <v>978</v>
      </c>
      <c r="F91" s="283" t="s">
        <v>1560</v>
      </c>
      <c r="G91" s="262" t="s">
        <v>1222</v>
      </c>
      <c r="H91" s="258">
        <v>1600000</v>
      </c>
      <c r="I91" s="262">
        <v>1</v>
      </c>
      <c r="K91" s="259">
        <v>160000</v>
      </c>
      <c r="L91" s="258">
        <v>1760000</v>
      </c>
      <c r="O91" s="262"/>
    </row>
    <row r="92" spans="1:15">
      <c r="A92" s="264">
        <v>91</v>
      </c>
      <c r="B92" s="257">
        <v>45747</v>
      </c>
      <c r="C92" s="283" t="s">
        <v>1540</v>
      </c>
      <c r="F92" s="283" t="s">
        <v>1202</v>
      </c>
      <c r="G92" s="262" t="s">
        <v>1360</v>
      </c>
      <c r="H92" s="258">
        <v>1200000</v>
      </c>
      <c r="I92" s="262">
        <v>1</v>
      </c>
      <c r="L92" s="258">
        <v>1200000</v>
      </c>
      <c r="O92" s="262"/>
    </row>
    <row r="93" spans="1:15">
      <c r="A93" s="264">
        <v>92</v>
      </c>
      <c r="B93" s="257">
        <v>45747</v>
      </c>
      <c r="C93" s="283" t="s">
        <v>1540</v>
      </c>
      <c r="F93" s="283" t="s">
        <v>1136</v>
      </c>
      <c r="H93" s="258">
        <v>198000</v>
      </c>
      <c r="I93" s="262">
        <v>1</v>
      </c>
      <c r="L93" s="258">
        <v>198000</v>
      </c>
      <c r="O93" s="262"/>
    </row>
    <row r="94" spans="1:15">
      <c r="A94" s="264">
        <v>93</v>
      </c>
      <c r="B94" s="257">
        <v>45747</v>
      </c>
      <c r="C94" s="283" t="s">
        <v>979</v>
      </c>
      <c r="F94" s="283" t="s">
        <v>1201</v>
      </c>
      <c r="G94" s="262" t="s">
        <v>1200</v>
      </c>
      <c r="H94" s="258">
        <v>1500000</v>
      </c>
      <c r="I94" s="262">
        <v>1</v>
      </c>
      <c r="K94" s="259">
        <v>150000</v>
      </c>
      <c r="L94" s="258">
        <v>1650000</v>
      </c>
      <c r="O94" s="262"/>
    </row>
    <row r="95" spans="1:15">
      <c r="A95" s="264">
        <v>94</v>
      </c>
      <c r="B95" s="257">
        <v>45747</v>
      </c>
      <c r="C95" s="283" t="s">
        <v>979</v>
      </c>
      <c r="F95" s="283" t="s">
        <v>1574</v>
      </c>
      <c r="H95" s="258">
        <v>30000</v>
      </c>
      <c r="I95" s="262">
        <v>1</v>
      </c>
      <c r="K95" s="259">
        <v>3000</v>
      </c>
      <c r="L95" s="258">
        <v>33000</v>
      </c>
      <c r="O95" s="262"/>
    </row>
    <row r="96" spans="1:15">
      <c r="A96" s="264">
        <v>95</v>
      </c>
      <c r="B96" s="257">
        <v>45734</v>
      </c>
      <c r="C96" s="283" t="s">
        <v>1576</v>
      </c>
      <c r="F96" s="283" t="s">
        <v>1577</v>
      </c>
      <c r="H96" s="258">
        <v>1100000</v>
      </c>
      <c r="I96" s="262">
        <v>1</v>
      </c>
      <c r="K96" s="259">
        <v>110000</v>
      </c>
      <c r="L96" s="258">
        <v>1210000</v>
      </c>
      <c r="O96" s="262"/>
    </row>
    <row r="97" spans="1:15">
      <c r="A97" s="264">
        <v>96</v>
      </c>
      <c r="B97" s="257">
        <v>45734</v>
      </c>
      <c r="C97" s="283" t="s">
        <v>1576</v>
      </c>
      <c r="F97" s="283" t="s">
        <v>1518</v>
      </c>
      <c r="H97" s="258">
        <v>20000</v>
      </c>
      <c r="I97" s="262">
        <v>1</v>
      </c>
      <c r="L97" s="258">
        <v>20000</v>
      </c>
      <c r="O97" s="262"/>
    </row>
    <row r="98" spans="1:15">
      <c r="A98" s="264">
        <v>97</v>
      </c>
      <c r="B98" s="257">
        <v>45723</v>
      </c>
      <c r="C98" s="283" t="s">
        <v>1579</v>
      </c>
      <c r="F98" s="283" t="s">
        <v>1580</v>
      </c>
      <c r="H98" s="258">
        <v>1100000</v>
      </c>
      <c r="I98" s="262">
        <v>1</v>
      </c>
      <c r="K98" s="259">
        <v>110000</v>
      </c>
      <c r="L98" s="258">
        <v>1210000</v>
      </c>
      <c r="O98" s="262"/>
    </row>
    <row r="99" spans="1:15">
      <c r="A99" s="264">
        <v>98</v>
      </c>
      <c r="B99" s="257">
        <v>45723</v>
      </c>
      <c r="C99" s="283" t="s">
        <v>1579</v>
      </c>
      <c r="F99" s="283" t="s">
        <v>1649</v>
      </c>
      <c r="H99" s="258">
        <v>3500000</v>
      </c>
      <c r="I99" s="262">
        <v>1</v>
      </c>
      <c r="K99" s="259">
        <v>350000</v>
      </c>
      <c r="L99" s="258">
        <v>3850000</v>
      </c>
      <c r="O99" s="262"/>
    </row>
    <row r="100" spans="1:15">
      <c r="A100" s="264">
        <v>99</v>
      </c>
      <c r="B100" s="257">
        <v>45723</v>
      </c>
      <c r="C100" s="283" t="s">
        <v>1579</v>
      </c>
      <c r="F100" s="283" t="s">
        <v>1265</v>
      </c>
      <c r="G100" s="262" t="s">
        <v>1264</v>
      </c>
      <c r="H100" s="258">
        <v>50000</v>
      </c>
      <c r="I100" s="262">
        <v>1</v>
      </c>
      <c r="K100" s="259">
        <v>5000</v>
      </c>
      <c r="L100" s="258">
        <v>55000</v>
      </c>
      <c r="O100" s="262"/>
    </row>
    <row r="101" spans="1:15">
      <c r="A101" s="264">
        <v>100</v>
      </c>
      <c r="B101" s="257">
        <v>45718</v>
      </c>
      <c r="C101" s="283" t="s">
        <v>1015</v>
      </c>
      <c r="F101" s="283" t="s">
        <v>1202</v>
      </c>
      <c r="G101" s="262" t="s">
        <v>1360</v>
      </c>
      <c r="H101" s="258">
        <v>1200000</v>
      </c>
      <c r="I101" s="262">
        <v>1</v>
      </c>
      <c r="K101" s="259">
        <v>120000</v>
      </c>
      <c r="L101" s="258">
        <v>1320000</v>
      </c>
      <c r="O101" s="262"/>
    </row>
    <row r="102" spans="1:15">
      <c r="A102" s="264">
        <v>101</v>
      </c>
      <c r="B102" s="257">
        <v>45729</v>
      </c>
      <c r="C102" s="283" t="s">
        <v>1585</v>
      </c>
      <c r="F102" s="283" t="s">
        <v>1586</v>
      </c>
      <c r="H102" s="258">
        <v>800000</v>
      </c>
      <c r="I102" s="262">
        <v>1</v>
      </c>
      <c r="K102" s="259">
        <v>80000</v>
      </c>
      <c r="L102" s="258">
        <v>880000</v>
      </c>
      <c r="O102" s="262"/>
    </row>
    <row r="103" spans="1:15">
      <c r="A103" s="264">
        <v>102</v>
      </c>
      <c r="B103" s="257">
        <v>45729</v>
      </c>
      <c r="C103" s="283" t="s">
        <v>1585</v>
      </c>
      <c r="F103" s="283" t="s">
        <v>2520</v>
      </c>
      <c r="G103" s="262">
        <v>415054509</v>
      </c>
      <c r="H103" s="258">
        <v>320000</v>
      </c>
      <c r="I103" s="262">
        <v>1</v>
      </c>
      <c r="K103" s="259">
        <v>32000</v>
      </c>
      <c r="L103" s="258">
        <v>352000</v>
      </c>
      <c r="O103" s="262"/>
    </row>
    <row r="104" spans="1:15">
      <c r="A104" s="264">
        <v>103</v>
      </c>
      <c r="B104" s="257">
        <v>45729</v>
      </c>
      <c r="C104" s="283" t="s">
        <v>1585</v>
      </c>
      <c r="F104" s="283" t="s">
        <v>1587</v>
      </c>
      <c r="H104" s="258">
        <v>340000</v>
      </c>
      <c r="I104" s="262">
        <v>1</v>
      </c>
      <c r="K104" s="259">
        <v>34000</v>
      </c>
      <c r="L104" s="258">
        <v>374000</v>
      </c>
      <c r="O104" s="262"/>
    </row>
    <row r="105" spans="1:15">
      <c r="A105" s="264">
        <v>104</v>
      </c>
      <c r="B105" s="257">
        <v>45729</v>
      </c>
      <c r="C105" s="283" t="s">
        <v>1585</v>
      </c>
      <c r="F105" s="283" t="s">
        <v>1588</v>
      </c>
      <c r="H105" s="258">
        <v>7727</v>
      </c>
      <c r="I105" s="262">
        <v>1</v>
      </c>
      <c r="K105" s="259">
        <v>772.7</v>
      </c>
      <c r="L105" s="258">
        <v>8499.7000000000007</v>
      </c>
      <c r="O105" s="262"/>
    </row>
    <row r="106" spans="1:15">
      <c r="A106" s="264">
        <v>105</v>
      </c>
      <c r="B106" s="257">
        <v>45716</v>
      </c>
      <c r="C106" s="283" t="s">
        <v>1585</v>
      </c>
      <c r="F106" s="283" t="s">
        <v>1204</v>
      </c>
      <c r="G106" s="262" t="s">
        <v>1562</v>
      </c>
      <c r="H106" s="258">
        <v>1100000</v>
      </c>
      <c r="I106" s="262">
        <v>1</v>
      </c>
      <c r="K106" s="259">
        <v>110000</v>
      </c>
      <c r="L106" s="258">
        <v>1210000</v>
      </c>
      <c r="O106" s="262"/>
    </row>
    <row r="107" spans="1:15">
      <c r="A107" s="264">
        <v>106</v>
      </c>
      <c r="B107" s="257">
        <v>45722</v>
      </c>
      <c r="C107" s="283" t="s">
        <v>1466</v>
      </c>
      <c r="F107" s="283" t="s">
        <v>1591</v>
      </c>
      <c r="H107" s="258">
        <v>572727</v>
      </c>
      <c r="I107" s="262">
        <v>1</v>
      </c>
      <c r="K107" s="259">
        <v>57272.700000000004</v>
      </c>
      <c r="L107" s="258">
        <v>629999.69999999995</v>
      </c>
      <c r="O107" s="262"/>
    </row>
    <row r="108" spans="1:15">
      <c r="A108" s="264">
        <v>107</v>
      </c>
      <c r="B108" s="257">
        <v>45722</v>
      </c>
      <c r="C108" s="283" t="s">
        <v>987</v>
      </c>
      <c r="F108" s="283" t="s">
        <v>1202</v>
      </c>
      <c r="G108" s="262" t="s">
        <v>1360</v>
      </c>
      <c r="H108" s="258">
        <v>1000000</v>
      </c>
      <c r="I108" s="262">
        <v>1</v>
      </c>
      <c r="K108" s="259">
        <v>100000</v>
      </c>
      <c r="L108" s="258">
        <v>1100000</v>
      </c>
      <c r="O108" s="262"/>
    </row>
    <row r="109" spans="1:15">
      <c r="A109" s="264">
        <v>108</v>
      </c>
      <c r="B109" s="257">
        <v>45722</v>
      </c>
      <c r="C109" s="283" t="s">
        <v>987</v>
      </c>
      <c r="F109" s="283" t="s">
        <v>1495</v>
      </c>
      <c r="H109" s="258">
        <v>350000</v>
      </c>
      <c r="I109" s="262">
        <v>1</v>
      </c>
      <c r="K109" s="259">
        <v>35000</v>
      </c>
      <c r="L109" s="258">
        <v>385000</v>
      </c>
      <c r="O109" s="262"/>
    </row>
    <row r="110" spans="1:15">
      <c r="A110" s="264">
        <v>109</v>
      </c>
      <c r="B110" s="257">
        <v>45722</v>
      </c>
      <c r="C110" s="283" t="s">
        <v>987</v>
      </c>
      <c r="F110" s="283" t="s">
        <v>1108</v>
      </c>
      <c r="H110" s="258">
        <v>129000</v>
      </c>
      <c r="I110" s="262">
        <v>1</v>
      </c>
      <c r="K110" s="259">
        <v>12900</v>
      </c>
      <c r="L110" s="258">
        <v>141900</v>
      </c>
      <c r="O110" s="262"/>
    </row>
    <row r="111" spans="1:15">
      <c r="A111" s="264">
        <v>110</v>
      </c>
      <c r="B111" s="257">
        <v>45726</v>
      </c>
      <c r="C111" s="283" t="s">
        <v>987</v>
      </c>
      <c r="F111" s="283" t="s">
        <v>1165</v>
      </c>
      <c r="H111" s="258">
        <v>600000</v>
      </c>
      <c r="I111" s="262">
        <v>1</v>
      </c>
      <c r="K111" s="259">
        <v>60000</v>
      </c>
      <c r="L111" s="258">
        <v>660000</v>
      </c>
      <c r="O111" s="262"/>
    </row>
    <row r="112" spans="1:15">
      <c r="A112" s="264">
        <v>111</v>
      </c>
      <c r="B112" s="257">
        <v>45735</v>
      </c>
      <c r="C112" s="283" t="s">
        <v>1595</v>
      </c>
      <c r="F112" s="283" t="s">
        <v>1202</v>
      </c>
      <c r="G112" s="262" t="s">
        <v>1360</v>
      </c>
      <c r="H112" s="258">
        <v>1200000</v>
      </c>
      <c r="I112" s="262">
        <v>1</v>
      </c>
      <c r="K112" s="259">
        <v>120000</v>
      </c>
      <c r="L112" s="258">
        <v>1320000</v>
      </c>
      <c r="O112" s="262"/>
    </row>
    <row r="113" spans="1:15">
      <c r="A113" s="264">
        <v>112</v>
      </c>
      <c r="B113" s="257">
        <v>45736</v>
      </c>
      <c r="C113" s="283" t="s">
        <v>1597</v>
      </c>
      <c r="F113" s="283" t="s">
        <v>1154</v>
      </c>
      <c r="H113" s="258">
        <v>1500000</v>
      </c>
      <c r="I113" s="262">
        <v>1</v>
      </c>
      <c r="K113" s="259">
        <v>150000</v>
      </c>
      <c r="L113" s="258">
        <v>1650000</v>
      </c>
      <c r="O113" s="262"/>
    </row>
    <row r="114" spans="1:15">
      <c r="A114" s="264">
        <v>113</v>
      </c>
      <c r="B114" s="257">
        <v>45721</v>
      </c>
      <c r="C114" s="283" t="s">
        <v>1451</v>
      </c>
      <c r="F114" s="283" t="s">
        <v>1148</v>
      </c>
      <c r="H114" s="258">
        <v>610000</v>
      </c>
      <c r="I114" s="262">
        <v>1</v>
      </c>
      <c r="K114" s="259">
        <v>61000</v>
      </c>
      <c r="L114" s="258">
        <v>671000</v>
      </c>
      <c r="O114" s="262"/>
    </row>
    <row r="115" spans="1:15">
      <c r="A115" s="264">
        <v>114</v>
      </c>
      <c r="B115" s="257">
        <v>45721</v>
      </c>
      <c r="C115" s="283" t="s">
        <v>1451</v>
      </c>
      <c r="F115" s="283" t="s">
        <v>1259</v>
      </c>
      <c r="G115" s="262" t="s">
        <v>1258</v>
      </c>
      <c r="H115" s="258">
        <v>130000</v>
      </c>
      <c r="I115" s="262">
        <v>1</v>
      </c>
      <c r="K115" s="259">
        <v>13000</v>
      </c>
      <c r="L115" s="258">
        <v>143000</v>
      </c>
      <c r="O115" s="262"/>
    </row>
    <row r="116" spans="1:15">
      <c r="A116" s="264">
        <v>115</v>
      </c>
      <c r="B116" s="257">
        <v>45721</v>
      </c>
      <c r="C116" s="283" t="s">
        <v>1451</v>
      </c>
      <c r="F116" s="283" t="s">
        <v>1134</v>
      </c>
      <c r="G116" s="262">
        <v>2821402</v>
      </c>
      <c r="H116" s="258">
        <v>35000</v>
      </c>
      <c r="I116" s="262">
        <v>1</v>
      </c>
      <c r="K116" s="259">
        <v>3500</v>
      </c>
      <c r="L116" s="258">
        <v>38500</v>
      </c>
      <c r="O116" s="262"/>
    </row>
    <row r="117" spans="1:15">
      <c r="A117" s="264">
        <v>116</v>
      </c>
      <c r="B117" s="257">
        <v>45721</v>
      </c>
      <c r="C117" s="283" t="s">
        <v>1451</v>
      </c>
      <c r="F117" s="283" t="s">
        <v>1599</v>
      </c>
      <c r="H117" s="258">
        <v>20000</v>
      </c>
      <c r="I117" s="262">
        <v>1</v>
      </c>
      <c r="K117" s="259">
        <v>2000</v>
      </c>
      <c r="L117" s="258">
        <v>22000</v>
      </c>
      <c r="O117" s="262"/>
    </row>
    <row r="118" spans="1:15">
      <c r="A118" s="264">
        <v>117</v>
      </c>
      <c r="B118" s="257">
        <v>45736</v>
      </c>
      <c r="C118" s="283" t="s">
        <v>1601</v>
      </c>
      <c r="F118" s="283" t="s">
        <v>1602</v>
      </c>
      <c r="H118" s="258">
        <v>2200000</v>
      </c>
      <c r="I118" s="262">
        <v>1</v>
      </c>
      <c r="K118" s="259">
        <v>220000</v>
      </c>
      <c r="L118" s="258">
        <v>2420000</v>
      </c>
      <c r="O118" s="262"/>
    </row>
    <row r="119" spans="1:15">
      <c r="A119" s="264">
        <v>118</v>
      </c>
      <c r="B119" s="257">
        <v>45735</v>
      </c>
      <c r="F119" s="283" t="s">
        <v>1602</v>
      </c>
      <c r="H119" s="258">
        <v>2180000</v>
      </c>
      <c r="I119" s="262">
        <v>1</v>
      </c>
      <c r="K119" s="259">
        <v>218000</v>
      </c>
      <c r="L119" s="258">
        <v>2398000</v>
      </c>
      <c r="O119" s="262"/>
    </row>
    <row r="120" spans="1:15">
      <c r="A120" s="264">
        <v>119</v>
      </c>
      <c r="B120" s="257">
        <v>45744</v>
      </c>
      <c r="F120" s="283" t="s">
        <v>1605</v>
      </c>
      <c r="H120" s="258">
        <v>2000000</v>
      </c>
      <c r="I120" s="262">
        <v>1</v>
      </c>
      <c r="K120" s="259">
        <v>200000</v>
      </c>
      <c r="L120" s="258">
        <v>2200000</v>
      </c>
      <c r="O120" s="262"/>
    </row>
    <row r="121" spans="1:15">
      <c r="A121" s="264">
        <v>120</v>
      </c>
      <c r="B121" s="257">
        <v>45748</v>
      </c>
      <c r="C121" s="283" t="s">
        <v>1576</v>
      </c>
      <c r="F121" s="283" t="s">
        <v>2520</v>
      </c>
      <c r="G121" s="262">
        <v>415072909</v>
      </c>
      <c r="H121" s="258">
        <v>381818</v>
      </c>
      <c r="I121" s="262">
        <v>1</v>
      </c>
      <c r="K121" s="259">
        <v>38181.800000000003</v>
      </c>
      <c r="L121" s="258">
        <v>419999.8</v>
      </c>
      <c r="O121" s="262"/>
    </row>
    <row r="122" spans="1:15">
      <c r="A122" s="264">
        <v>121</v>
      </c>
      <c r="B122" s="257">
        <v>45748</v>
      </c>
      <c r="C122" s="283" t="s">
        <v>1576</v>
      </c>
      <c r="F122" s="283" t="s">
        <v>1626</v>
      </c>
      <c r="G122" s="262" t="s">
        <v>1625</v>
      </c>
      <c r="H122" s="258">
        <v>12000</v>
      </c>
      <c r="I122" s="262">
        <v>1</v>
      </c>
      <c r="K122" s="259">
        <v>1200</v>
      </c>
      <c r="L122" s="258">
        <v>13200</v>
      </c>
      <c r="O122" s="262"/>
    </row>
    <row r="123" spans="1:15">
      <c r="A123" s="264">
        <v>122</v>
      </c>
      <c r="B123" s="257">
        <v>45748</v>
      </c>
      <c r="C123" s="283" t="s">
        <v>1576</v>
      </c>
      <c r="F123" s="283" t="s">
        <v>2520</v>
      </c>
      <c r="G123" s="262">
        <v>415072909</v>
      </c>
      <c r="H123" s="258">
        <v>381818</v>
      </c>
      <c r="I123" s="262">
        <v>1</v>
      </c>
      <c r="K123" s="259">
        <v>38181.800000000003</v>
      </c>
      <c r="L123" s="258">
        <v>419999.8</v>
      </c>
      <c r="O123" s="262"/>
    </row>
    <row r="124" spans="1:15">
      <c r="A124" s="264">
        <v>123</v>
      </c>
      <c r="B124" s="257">
        <v>45748</v>
      </c>
      <c r="C124" s="283" t="s">
        <v>1576</v>
      </c>
      <c r="F124" s="283" t="s">
        <v>1626</v>
      </c>
      <c r="G124" s="262" t="s">
        <v>1625</v>
      </c>
      <c r="H124" s="258">
        <v>12000</v>
      </c>
      <c r="I124" s="262">
        <v>1</v>
      </c>
      <c r="K124" s="259">
        <v>1200</v>
      </c>
      <c r="L124" s="258">
        <v>13200</v>
      </c>
      <c r="O124" s="262"/>
    </row>
    <row r="125" spans="1:15">
      <c r="A125" s="264">
        <v>124</v>
      </c>
      <c r="B125" s="257">
        <v>45748</v>
      </c>
      <c r="C125" s="283" t="s">
        <v>1576</v>
      </c>
      <c r="F125" s="283" t="s">
        <v>1628</v>
      </c>
      <c r="H125" s="258">
        <v>27000</v>
      </c>
      <c r="I125" s="262">
        <v>1</v>
      </c>
      <c r="K125" s="259">
        <v>2700</v>
      </c>
      <c r="L125" s="258">
        <v>29700</v>
      </c>
      <c r="O125" s="262"/>
    </row>
    <row r="126" spans="1:15">
      <c r="A126" s="264">
        <v>125</v>
      </c>
      <c r="B126" s="257">
        <v>45749</v>
      </c>
      <c r="C126" s="283" t="s">
        <v>1448</v>
      </c>
      <c r="F126" s="283" t="s">
        <v>1635</v>
      </c>
      <c r="H126" s="258">
        <v>850000</v>
      </c>
      <c r="I126" s="262">
        <v>1</v>
      </c>
      <c r="L126" s="258">
        <v>850000</v>
      </c>
      <c r="O126" s="262"/>
    </row>
    <row r="127" spans="1:15">
      <c r="A127" s="264">
        <v>126</v>
      </c>
      <c r="B127" s="257">
        <v>45749</v>
      </c>
      <c r="C127" s="283" t="s">
        <v>1540</v>
      </c>
      <c r="F127" s="283" t="s">
        <v>1202</v>
      </c>
      <c r="G127" s="262" t="s">
        <v>1360</v>
      </c>
      <c r="H127" s="258">
        <v>1200000</v>
      </c>
      <c r="I127" s="262">
        <v>1</v>
      </c>
      <c r="L127" s="258">
        <v>1200000</v>
      </c>
      <c r="O127" s="262"/>
    </row>
    <row r="128" spans="1:15">
      <c r="A128" s="264">
        <v>127</v>
      </c>
      <c r="B128" s="257">
        <v>45749</v>
      </c>
      <c r="C128" s="283" t="s">
        <v>1540</v>
      </c>
      <c r="F128" s="283" t="s">
        <v>1495</v>
      </c>
      <c r="H128" s="258">
        <v>350000</v>
      </c>
      <c r="I128" s="262">
        <v>1</v>
      </c>
      <c r="L128" s="258">
        <v>350000</v>
      </c>
      <c r="O128" s="262"/>
    </row>
    <row r="129" spans="1:15">
      <c r="A129" s="264">
        <v>128</v>
      </c>
      <c r="B129" s="257">
        <v>45749</v>
      </c>
      <c r="C129" s="283" t="s">
        <v>1540</v>
      </c>
      <c r="F129" s="283" t="s">
        <v>1638</v>
      </c>
      <c r="H129" s="258">
        <v>50000</v>
      </c>
      <c r="I129" s="262">
        <v>1</v>
      </c>
      <c r="L129" s="258">
        <v>50000</v>
      </c>
      <c r="O129" s="262"/>
    </row>
    <row r="130" spans="1:15">
      <c r="A130" s="264">
        <v>129</v>
      </c>
      <c r="B130" s="257">
        <v>45749</v>
      </c>
      <c r="C130" s="283" t="s">
        <v>1398</v>
      </c>
      <c r="F130" s="283" t="s">
        <v>1642</v>
      </c>
      <c r="G130" s="262" t="s">
        <v>1199</v>
      </c>
      <c r="H130" s="258">
        <v>1400000</v>
      </c>
      <c r="I130" s="262">
        <v>1</v>
      </c>
      <c r="L130" s="258">
        <v>1400000</v>
      </c>
      <c r="O130" s="262"/>
    </row>
    <row r="131" spans="1:15">
      <c r="A131" s="264">
        <v>130</v>
      </c>
      <c r="B131" s="257">
        <v>45749</v>
      </c>
      <c r="C131" s="283" t="s">
        <v>1018</v>
      </c>
      <c r="F131" s="283" t="s">
        <v>1643</v>
      </c>
      <c r="G131" s="262" t="s">
        <v>1200</v>
      </c>
      <c r="H131" s="258">
        <v>1500000</v>
      </c>
      <c r="I131" s="262">
        <v>1</v>
      </c>
      <c r="L131" s="258">
        <v>1500000</v>
      </c>
      <c r="O131" s="262"/>
    </row>
    <row r="132" spans="1:15">
      <c r="A132" s="264">
        <v>131</v>
      </c>
      <c r="B132" s="257">
        <v>45749</v>
      </c>
      <c r="C132" s="283" t="s">
        <v>1018</v>
      </c>
      <c r="F132" s="283" t="s">
        <v>1574</v>
      </c>
      <c r="H132" s="258">
        <v>30000</v>
      </c>
      <c r="I132" s="262">
        <v>1</v>
      </c>
      <c r="L132" s="258">
        <v>30000</v>
      </c>
      <c r="O132" s="262"/>
    </row>
    <row r="133" spans="1:15">
      <c r="A133" s="264">
        <v>132</v>
      </c>
      <c r="B133" s="257">
        <v>45749</v>
      </c>
      <c r="C133" s="283" t="s">
        <v>1657</v>
      </c>
      <c r="F133" s="283" t="s">
        <v>1660</v>
      </c>
      <c r="H133" s="258">
        <v>250000</v>
      </c>
      <c r="I133" s="262">
        <v>1</v>
      </c>
      <c r="L133" s="258">
        <v>250000</v>
      </c>
      <c r="O133" s="262"/>
    </row>
    <row r="134" spans="1:15">
      <c r="A134" s="264">
        <v>133</v>
      </c>
      <c r="B134" s="257">
        <v>45749</v>
      </c>
      <c r="C134" s="283" t="s">
        <v>1662</v>
      </c>
      <c r="F134" s="283" t="s">
        <v>1663</v>
      </c>
      <c r="H134" s="258">
        <v>2600000</v>
      </c>
      <c r="I134" s="262">
        <v>1</v>
      </c>
      <c r="L134" s="258">
        <v>2600000</v>
      </c>
      <c r="O134" s="262"/>
    </row>
    <row r="135" spans="1:15">
      <c r="A135" s="264">
        <v>134</v>
      </c>
      <c r="B135" s="257">
        <v>45749</v>
      </c>
      <c r="C135" s="283" t="s">
        <v>1540</v>
      </c>
      <c r="F135" s="283" t="s">
        <v>1665</v>
      </c>
      <c r="H135" s="258">
        <v>600000</v>
      </c>
      <c r="I135" s="262">
        <v>1</v>
      </c>
      <c r="L135" s="258">
        <v>600000</v>
      </c>
      <c r="O135" s="262"/>
    </row>
    <row r="136" spans="1:15">
      <c r="A136" s="264">
        <v>135</v>
      </c>
      <c r="B136" s="257">
        <v>45750</v>
      </c>
      <c r="C136" s="283" t="s">
        <v>1448</v>
      </c>
      <c r="F136" s="283" t="s">
        <v>1667</v>
      </c>
      <c r="H136" s="258">
        <v>1850000</v>
      </c>
      <c r="I136" s="262">
        <v>1</v>
      </c>
      <c r="L136" s="258">
        <v>1850000</v>
      </c>
      <c r="O136" s="262"/>
    </row>
    <row r="137" spans="1:15">
      <c r="A137" s="264">
        <v>136</v>
      </c>
      <c r="B137" s="257">
        <v>45750</v>
      </c>
      <c r="C137" s="283" t="s">
        <v>1670</v>
      </c>
      <c r="F137" s="283" t="s">
        <v>1673</v>
      </c>
      <c r="H137" s="258">
        <v>1550000</v>
      </c>
      <c r="I137" s="262">
        <v>1</v>
      </c>
      <c r="K137" s="259">
        <v>155000</v>
      </c>
      <c r="L137" s="258">
        <v>1705000</v>
      </c>
      <c r="O137" s="262"/>
    </row>
    <row r="138" spans="1:15">
      <c r="A138" s="264">
        <v>137</v>
      </c>
      <c r="B138" s="257">
        <v>45750</v>
      </c>
      <c r="C138" s="283" t="s">
        <v>1675</v>
      </c>
      <c r="F138" s="283" t="s">
        <v>1138</v>
      </c>
      <c r="H138" s="258">
        <v>650000</v>
      </c>
      <c r="I138" s="262">
        <v>1</v>
      </c>
      <c r="L138" s="258">
        <v>650000</v>
      </c>
      <c r="O138" s="262"/>
    </row>
    <row r="139" spans="1:15">
      <c r="A139" s="264">
        <v>138</v>
      </c>
      <c r="B139" s="257">
        <v>45751</v>
      </c>
      <c r="C139" s="283" t="s">
        <v>1443</v>
      </c>
      <c r="M139" s="258">
        <v>-220000</v>
      </c>
      <c r="O139" s="262"/>
    </row>
    <row r="140" spans="1:15">
      <c r="A140" s="264">
        <v>139</v>
      </c>
      <c r="B140" s="257">
        <v>45751</v>
      </c>
      <c r="C140" s="283" t="s">
        <v>1443</v>
      </c>
      <c r="F140" s="283" t="s">
        <v>1683</v>
      </c>
      <c r="M140" s="258">
        <v>-1600000</v>
      </c>
      <c r="O140" s="262"/>
    </row>
    <row r="141" spans="1:15">
      <c r="A141" s="264">
        <v>140</v>
      </c>
      <c r="B141" s="257">
        <v>45750</v>
      </c>
      <c r="C141" s="283" t="s">
        <v>1443</v>
      </c>
      <c r="F141" s="283" t="s">
        <v>1684</v>
      </c>
      <c r="H141" s="258">
        <v>25000</v>
      </c>
      <c r="I141" s="262">
        <v>4</v>
      </c>
      <c r="J141" s="259">
        <v>13000</v>
      </c>
      <c r="L141" s="258">
        <v>100000</v>
      </c>
      <c r="O141" s="262"/>
    </row>
    <row r="142" spans="1:15">
      <c r="A142" s="264">
        <v>141</v>
      </c>
      <c r="B142" s="257">
        <v>45751</v>
      </c>
      <c r="C142" s="283" t="s">
        <v>1443</v>
      </c>
      <c r="F142" s="283" t="s">
        <v>1687</v>
      </c>
      <c r="M142" s="258">
        <v>-100000</v>
      </c>
      <c r="O142" s="262"/>
    </row>
    <row r="143" spans="1:15">
      <c r="A143" s="264">
        <v>142</v>
      </c>
      <c r="B143" s="257">
        <v>45751</v>
      </c>
      <c r="C143" s="283" t="s">
        <v>1443</v>
      </c>
      <c r="F143" s="283" t="s">
        <v>1688</v>
      </c>
      <c r="M143" s="258">
        <v>-300000</v>
      </c>
      <c r="O143" s="262"/>
    </row>
    <row r="144" spans="1:15">
      <c r="A144" s="264">
        <v>143</v>
      </c>
      <c r="B144" s="257">
        <v>45751</v>
      </c>
      <c r="C144" s="283" t="s">
        <v>1443</v>
      </c>
      <c r="F144" s="283" t="s">
        <v>1689</v>
      </c>
      <c r="M144" s="258">
        <v>-200000</v>
      </c>
      <c r="O144" s="262"/>
    </row>
    <row r="145" spans="1:15">
      <c r="A145" s="264">
        <v>144</v>
      </c>
      <c r="B145" s="257">
        <v>45757</v>
      </c>
      <c r="C145" s="283" t="s">
        <v>1332</v>
      </c>
      <c r="F145" s="283" t="s">
        <v>1826</v>
      </c>
      <c r="H145" s="258">
        <v>1550000</v>
      </c>
      <c r="I145" s="262">
        <v>1</v>
      </c>
      <c r="L145" s="258">
        <v>1550000</v>
      </c>
      <c r="O145" s="262"/>
    </row>
    <row r="146" spans="1:15">
      <c r="A146" s="264">
        <v>145</v>
      </c>
      <c r="B146" s="257">
        <v>45751</v>
      </c>
      <c r="C146" s="283" t="s">
        <v>1468</v>
      </c>
      <c r="F146" s="283" t="s">
        <v>1694</v>
      </c>
      <c r="H146" s="258">
        <v>200000</v>
      </c>
      <c r="I146" s="262">
        <v>1</v>
      </c>
      <c r="L146" s="258">
        <v>200000</v>
      </c>
      <c r="O146" s="262"/>
    </row>
    <row r="147" spans="1:15">
      <c r="A147" s="264">
        <v>146</v>
      </c>
      <c r="B147" s="257">
        <v>45751</v>
      </c>
      <c r="C147" s="283" t="s">
        <v>1721</v>
      </c>
      <c r="F147" s="283" t="s">
        <v>1716</v>
      </c>
      <c r="G147" s="262">
        <v>2800802</v>
      </c>
      <c r="H147" s="258">
        <v>150000</v>
      </c>
      <c r="I147" s="262">
        <v>1</v>
      </c>
      <c r="J147" s="259">
        <v>85000</v>
      </c>
      <c r="L147" s="258">
        <v>150000</v>
      </c>
      <c r="O147" s="262"/>
    </row>
    <row r="148" spans="1:15">
      <c r="A148" s="264">
        <v>147</v>
      </c>
      <c r="B148" s="257">
        <v>45751</v>
      </c>
      <c r="C148" s="283" t="s">
        <v>1721</v>
      </c>
      <c r="F148" s="283" t="s">
        <v>1715</v>
      </c>
      <c r="G148" s="262" t="s">
        <v>1714</v>
      </c>
      <c r="H148" s="258">
        <v>20000</v>
      </c>
      <c r="I148" s="262">
        <v>2</v>
      </c>
      <c r="J148" s="259">
        <v>9000</v>
      </c>
      <c r="L148" s="258">
        <v>40000</v>
      </c>
      <c r="O148" s="262"/>
    </row>
    <row r="149" spans="1:15">
      <c r="A149" s="264">
        <v>148</v>
      </c>
      <c r="B149" s="257">
        <v>45751</v>
      </c>
      <c r="C149" s="283" t="s">
        <v>1721</v>
      </c>
      <c r="F149" s="283" t="s">
        <v>1702</v>
      </c>
      <c r="G149" s="262">
        <v>7252703114</v>
      </c>
      <c r="H149" s="258">
        <v>129000</v>
      </c>
      <c r="I149" s="262">
        <v>2</v>
      </c>
      <c r="J149" s="259">
        <v>70000</v>
      </c>
      <c r="L149" s="258">
        <v>258000</v>
      </c>
      <c r="O149" s="262"/>
    </row>
    <row r="150" spans="1:15">
      <c r="A150" s="264">
        <v>149</v>
      </c>
      <c r="B150" s="257">
        <v>45751</v>
      </c>
      <c r="C150" s="283" t="s">
        <v>1721</v>
      </c>
      <c r="F150" s="283" t="s">
        <v>1704</v>
      </c>
      <c r="G150" s="262" t="s">
        <v>1703</v>
      </c>
      <c r="H150" s="258">
        <v>50000</v>
      </c>
      <c r="I150" s="262">
        <v>1</v>
      </c>
      <c r="L150" s="258">
        <v>50000</v>
      </c>
      <c r="O150" s="262"/>
    </row>
    <row r="151" spans="1:15">
      <c r="A151" s="264">
        <v>150</v>
      </c>
      <c r="B151" s="257">
        <v>45751</v>
      </c>
      <c r="C151" s="283" t="s">
        <v>1721</v>
      </c>
      <c r="F151" s="283" t="s">
        <v>1265</v>
      </c>
      <c r="G151" s="262" t="s">
        <v>1264</v>
      </c>
      <c r="H151" s="258">
        <v>50000</v>
      </c>
      <c r="I151" s="262">
        <v>3</v>
      </c>
      <c r="L151" s="258">
        <v>150000</v>
      </c>
      <c r="O151" s="262"/>
    </row>
    <row r="152" spans="1:15">
      <c r="A152" s="264">
        <v>151</v>
      </c>
      <c r="B152" s="257">
        <v>45752</v>
      </c>
      <c r="C152" s="283" t="s">
        <v>1540</v>
      </c>
      <c r="F152" s="283" t="s">
        <v>1743</v>
      </c>
      <c r="H152" s="258">
        <v>1550000</v>
      </c>
      <c r="I152" s="262">
        <v>1</v>
      </c>
      <c r="L152" s="258">
        <v>1550000</v>
      </c>
      <c r="O152" s="262"/>
    </row>
    <row r="153" spans="1:15">
      <c r="A153" s="264">
        <v>152</v>
      </c>
      <c r="B153" s="257">
        <v>45752</v>
      </c>
      <c r="C153" s="283" t="s">
        <v>1579</v>
      </c>
      <c r="F153" s="283" t="s">
        <v>1745</v>
      </c>
      <c r="M153" s="258">
        <v>-4000000</v>
      </c>
      <c r="O153" s="262"/>
    </row>
    <row r="154" spans="1:15">
      <c r="A154" s="264">
        <v>153</v>
      </c>
      <c r="B154" s="257">
        <v>45752</v>
      </c>
      <c r="C154" s="283" t="s">
        <v>1398</v>
      </c>
      <c r="F154" s="283" t="s">
        <v>1202</v>
      </c>
      <c r="G154" s="262" t="s">
        <v>1360</v>
      </c>
      <c r="H154" s="258">
        <v>1200000</v>
      </c>
      <c r="I154" s="262">
        <v>1</v>
      </c>
      <c r="L154" s="258">
        <v>1200000</v>
      </c>
      <c r="O154" s="262"/>
    </row>
    <row r="155" spans="1:15">
      <c r="A155" s="264">
        <v>154</v>
      </c>
      <c r="B155" s="257">
        <v>45752</v>
      </c>
      <c r="C155" s="283" t="s">
        <v>1398</v>
      </c>
      <c r="F155" s="283" t="s">
        <v>1495</v>
      </c>
      <c r="H155" s="258">
        <v>350000</v>
      </c>
      <c r="I155" s="262">
        <v>1</v>
      </c>
      <c r="L155" s="258">
        <v>350000</v>
      </c>
      <c r="O155" s="262"/>
    </row>
    <row r="156" spans="1:15">
      <c r="A156" s="264">
        <v>155</v>
      </c>
      <c r="B156" s="257">
        <v>45754</v>
      </c>
      <c r="C156" s="283" t="s">
        <v>1746</v>
      </c>
      <c r="F156" s="283" t="s">
        <v>1747</v>
      </c>
      <c r="H156" s="258">
        <v>650000</v>
      </c>
      <c r="I156" s="262">
        <v>1</v>
      </c>
      <c r="L156" s="258">
        <v>650000</v>
      </c>
      <c r="O156" s="262"/>
    </row>
    <row r="157" spans="1:15">
      <c r="A157" s="264">
        <v>156</v>
      </c>
      <c r="B157" s="257">
        <v>45754</v>
      </c>
      <c r="C157" s="283" t="s">
        <v>1146</v>
      </c>
      <c r="F157" s="283" t="s">
        <v>1207</v>
      </c>
      <c r="G157" s="262" t="s">
        <v>1206</v>
      </c>
      <c r="H157" s="258">
        <v>549000</v>
      </c>
      <c r="I157" s="262">
        <v>1</v>
      </c>
      <c r="J157" s="259">
        <v>480000</v>
      </c>
      <c r="L157" s="258">
        <v>549000</v>
      </c>
      <c r="O157" s="262"/>
    </row>
    <row r="158" spans="1:15">
      <c r="A158" s="264">
        <v>157</v>
      </c>
      <c r="B158" s="257">
        <v>45754</v>
      </c>
      <c r="C158" s="283" t="s">
        <v>1146</v>
      </c>
      <c r="F158" s="283" t="s">
        <v>1641</v>
      </c>
      <c r="G158" s="262">
        <v>50229</v>
      </c>
      <c r="H158" s="258">
        <v>75000</v>
      </c>
      <c r="I158" s="262">
        <v>1</v>
      </c>
      <c r="L158" s="258">
        <v>75000</v>
      </c>
      <c r="O158" s="262"/>
    </row>
    <row r="159" spans="1:15">
      <c r="A159" s="264">
        <v>158</v>
      </c>
      <c r="B159" s="257">
        <v>45754</v>
      </c>
      <c r="C159" s="283" t="s">
        <v>1721</v>
      </c>
      <c r="F159" s="283" t="s">
        <v>2520</v>
      </c>
      <c r="G159" s="262">
        <v>415090409</v>
      </c>
      <c r="H159" s="258">
        <v>510000</v>
      </c>
      <c r="I159" s="262">
        <v>1</v>
      </c>
      <c r="L159" s="258">
        <v>510000</v>
      </c>
      <c r="O159" s="262"/>
    </row>
    <row r="160" spans="1:15">
      <c r="A160" s="264">
        <v>159</v>
      </c>
      <c r="B160" s="257">
        <v>45754</v>
      </c>
      <c r="C160" s="283" t="s">
        <v>1053</v>
      </c>
      <c r="F160" s="283" t="s">
        <v>1204</v>
      </c>
      <c r="G160" s="262" t="s">
        <v>1562</v>
      </c>
      <c r="H160" s="258">
        <v>1300000</v>
      </c>
      <c r="I160" s="262">
        <v>1</v>
      </c>
      <c r="L160" s="258">
        <v>1300000</v>
      </c>
      <c r="O160" s="262"/>
    </row>
    <row r="161" spans="1:15">
      <c r="A161" s="264">
        <v>160</v>
      </c>
      <c r="B161" s="257">
        <v>45754</v>
      </c>
      <c r="C161" s="283" t="s">
        <v>1789</v>
      </c>
      <c r="F161" s="283" t="s">
        <v>1793</v>
      </c>
      <c r="G161" s="262" t="s">
        <v>1132</v>
      </c>
      <c r="H161" s="258">
        <v>600000</v>
      </c>
      <c r="I161" s="262">
        <v>1</v>
      </c>
      <c r="L161" s="258">
        <v>600000</v>
      </c>
      <c r="O161" s="262"/>
    </row>
    <row r="162" spans="1:15">
      <c r="A162" s="264">
        <v>161</v>
      </c>
      <c r="B162" s="257">
        <v>45754</v>
      </c>
      <c r="C162" s="283" t="s">
        <v>1789</v>
      </c>
      <c r="F162" s="283" t="s">
        <v>1207</v>
      </c>
      <c r="G162" s="262" t="s">
        <v>1206</v>
      </c>
      <c r="H162" s="258">
        <v>549000</v>
      </c>
      <c r="I162" s="262">
        <v>1</v>
      </c>
      <c r="J162" s="259">
        <v>480000</v>
      </c>
      <c r="L162" s="258">
        <v>549000</v>
      </c>
      <c r="O162" s="262"/>
    </row>
    <row r="163" spans="1:15">
      <c r="A163" s="264">
        <v>162</v>
      </c>
      <c r="B163" s="257">
        <v>45754</v>
      </c>
      <c r="C163" s="283" t="s">
        <v>1789</v>
      </c>
      <c r="F163" s="283" t="s">
        <v>1795</v>
      </c>
      <c r="G163" s="262" t="s">
        <v>1794</v>
      </c>
      <c r="H163" s="258">
        <v>50000</v>
      </c>
      <c r="I163" s="262">
        <v>1</v>
      </c>
      <c r="J163" s="259">
        <v>16000</v>
      </c>
      <c r="L163" s="258">
        <v>50000</v>
      </c>
      <c r="O163" s="262"/>
    </row>
    <row r="164" spans="1:15">
      <c r="A164" s="264">
        <v>163</v>
      </c>
      <c r="B164" s="257">
        <v>45754</v>
      </c>
      <c r="C164" s="283" t="s">
        <v>1721</v>
      </c>
      <c r="F164" s="283" t="s">
        <v>1259</v>
      </c>
      <c r="G164" s="262" t="s">
        <v>1258</v>
      </c>
      <c r="H164" s="258">
        <v>130000</v>
      </c>
      <c r="I164" s="262">
        <v>1</v>
      </c>
      <c r="J164" s="259">
        <v>90000</v>
      </c>
      <c r="L164" s="258">
        <v>130000</v>
      </c>
      <c r="O164" s="262"/>
    </row>
    <row r="165" spans="1:15">
      <c r="A165" s="264">
        <v>164</v>
      </c>
      <c r="B165" s="257">
        <v>45754</v>
      </c>
      <c r="C165" s="283" t="s">
        <v>1721</v>
      </c>
      <c r="F165" s="283" t="s">
        <v>2520</v>
      </c>
      <c r="G165" s="262">
        <v>415090409</v>
      </c>
      <c r="H165" s="258">
        <v>510000</v>
      </c>
      <c r="I165" s="262">
        <v>1</v>
      </c>
      <c r="L165" s="258">
        <v>510000</v>
      </c>
      <c r="O165" s="262"/>
    </row>
    <row r="166" spans="1:15">
      <c r="A166" s="264">
        <v>165</v>
      </c>
      <c r="B166" s="257">
        <v>45754</v>
      </c>
      <c r="C166" s="283" t="s">
        <v>1398</v>
      </c>
      <c r="F166" s="283" t="s">
        <v>1202</v>
      </c>
      <c r="G166" s="262" t="s">
        <v>1751</v>
      </c>
      <c r="H166" s="258">
        <v>1200000</v>
      </c>
      <c r="I166" s="262">
        <v>1</v>
      </c>
      <c r="L166" s="258">
        <v>1200000</v>
      </c>
      <c r="O166" s="262"/>
    </row>
    <row r="167" spans="1:15">
      <c r="A167" s="264">
        <v>166</v>
      </c>
      <c r="B167" s="257">
        <v>45754</v>
      </c>
      <c r="C167" s="283" t="s">
        <v>1478</v>
      </c>
      <c r="F167" s="283" t="s">
        <v>1799</v>
      </c>
      <c r="M167" s="258">
        <v>-2000000</v>
      </c>
      <c r="O167" s="262"/>
    </row>
    <row r="168" spans="1:15">
      <c r="A168" s="264">
        <v>167</v>
      </c>
      <c r="B168" s="257">
        <v>45755</v>
      </c>
      <c r="C168" s="283" t="s">
        <v>1448</v>
      </c>
      <c r="F168" s="283" t="s">
        <v>1801</v>
      </c>
      <c r="G168" s="262">
        <v>927156</v>
      </c>
      <c r="H168" s="258">
        <v>1500000</v>
      </c>
      <c r="I168" s="262">
        <v>1</v>
      </c>
      <c r="L168" s="258">
        <v>1500000</v>
      </c>
      <c r="O168" s="262"/>
    </row>
    <row r="169" spans="1:15">
      <c r="A169" s="264">
        <v>168</v>
      </c>
      <c r="B169" s="257">
        <v>45755</v>
      </c>
      <c r="C169" s="283" t="s">
        <v>1448</v>
      </c>
      <c r="F169" s="283" t="s">
        <v>1574</v>
      </c>
      <c r="G169" s="262" t="s">
        <v>1802</v>
      </c>
      <c r="H169" s="258">
        <v>50000</v>
      </c>
      <c r="I169" s="262">
        <v>1</v>
      </c>
      <c r="J169" s="259">
        <v>33000</v>
      </c>
      <c r="L169" s="258">
        <v>50000</v>
      </c>
      <c r="O169" s="262"/>
    </row>
    <row r="170" spans="1:15">
      <c r="A170" s="264">
        <v>169</v>
      </c>
      <c r="B170" s="257">
        <v>45755</v>
      </c>
      <c r="C170" s="283" t="s">
        <v>1804</v>
      </c>
      <c r="F170" s="283" t="s">
        <v>1642</v>
      </c>
      <c r="G170" s="262" t="s">
        <v>1199</v>
      </c>
      <c r="H170" s="258">
        <v>1400000</v>
      </c>
      <c r="I170" s="262">
        <v>1</v>
      </c>
      <c r="K170" s="259">
        <v>140000</v>
      </c>
      <c r="L170" s="258">
        <v>1540000</v>
      </c>
      <c r="O170" s="262"/>
    </row>
    <row r="171" spans="1:15">
      <c r="A171" s="264">
        <v>170</v>
      </c>
      <c r="B171" s="257">
        <v>45755</v>
      </c>
      <c r="C171" s="283" t="s">
        <v>1018</v>
      </c>
      <c r="F171" s="283" t="s">
        <v>1716</v>
      </c>
      <c r="G171" s="262">
        <v>2800802</v>
      </c>
      <c r="H171" s="258">
        <v>150000</v>
      </c>
      <c r="I171" s="262">
        <v>1</v>
      </c>
      <c r="J171" s="259">
        <v>85000</v>
      </c>
      <c r="L171" s="258">
        <v>150000</v>
      </c>
      <c r="O171" s="262"/>
    </row>
    <row r="172" spans="1:15">
      <c r="A172" s="264">
        <v>171</v>
      </c>
      <c r="B172" s="257">
        <v>45755</v>
      </c>
      <c r="C172" s="283" t="s">
        <v>1808</v>
      </c>
      <c r="F172" s="283" t="s">
        <v>1763</v>
      </c>
      <c r="G172" s="262" t="s">
        <v>1765</v>
      </c>
      <c r="H172" s="258">
        <v>65000</v>
      </c>
      <c r="I172" s="262">
        <v>1</v>
      </c>
      <c r="J172" s="259">
        <v>45000</v>
      </c>
      <c r="L172" s="258">
        <v>65000</v>
      </c>
      <c r="O172" s="262"/>
    </row>
    <row r="173" spans="1:15">
      <c r="A173" s="264">
        <v>172</v>
      </c>
      <c r="B173" s="257">
        <v>45755</v>
      </c>
      <c r="C173" s="283" t="s">
        <v>1808</v>
      </c>
      <c r="F173" s="283" t="s">
        <v>1763</v>
      </c>
      <c r="G173" s="262" t="s">
        <v>1762</v>
      </c>
      <c r="H173" s="258">
        <v>25000</v>
      </c>
      <c r="I173" s="262">
        <v>1</v>
      </c>
      <c r="J173" s="259">
        <v>11200</v>
      </c>
      <c r="L173" s="258">
        <v>25000</v>
      </c>
      <c r="O173" s="262"/>
    </row>
    <row r="174" spans="1:15">
      <c r="A174" s="264">
        <v>173</v>
      </c>
      <c r="B174" s="257">
        <v>45755</v>
      </c>
      <c r="C174" s="283" t="s">
        <v>1579</v>
      </c>
      <c r="F174" s="283" t="s">
        <v>1207</v>
      </c>
      <c r="G174" s="262" t="s">
        <v>1206</v>
      </c>
      <c r="H174" s="258">
        <v>549000</v>
      </c>
      <c r="I174" s="262">
        <v>1</v>
      </c>
      <c r="J174" s="259">
        <v>480000</v>
      </c>
      <c r="L174" s="258">
        <v>549000</v>
      </c>
      <c r="O174" s="262"/>
    </row>
    <row r="175" spans="1:15">
      <c r="A175" s="264">
        <v>174</v>
      </c>
      <c r="B175" s="257">
        <v>45755</v>
      </c>
      <c r="C175" s="283" t="s">
        <v>1811</v>
      </c>
      <c r="F175" s="283" t="s">
        <v>1742</v>
      </c>
      <c r="H175" s="258">
        <v>650000</v>
      </c>
      <c r="I175" s="262">
        <v>1</v>
      </c>
      <c r="K175" s="259">
        <v>65000</v>
      </c>
      <c r="L175" s="258">
        <v>715000</v>
      </c>
      <c r="O175" s="262"/>
    </row>
    <row r="176" spans="1:15">
      <c r="A176" s="264">
        <v>175</v>
      </c>
      <c r="B176" s="257">
        <v>45756</v>
      </c>
      <c r="C176" s="283" t="s">
        <v>1721</v>
      </c>
      <c r="F176" s="283" t="s">
        <v>1259</v>
      </c>
      <c r="G176" s="262" t="s">
        <v>1258</v>
      </c>
      <c r="H176" s="258">
        <v>130000</v>
      </c>
      <c r="I176" s="262">
        <v>2</v>
      </c>
      <c r="J176" s="259">
        <v>90000</v>
      </c>
      <c r="L176" s="258">
        <v>260000</v>
      </c>
      <c r="O176" s="262"/>
    </row>
    <row r="177" spans="1:15">
      <c r="A177" s="264">
        <v>176</v>
      </c>
      <c r="B177" s="257">
        <v>45756</v>
      </c>
      <c r="C177" s="283" t="s">
        <v>1721</v>
      </c>
      <c r="F177" s="283" t="s">
        <v>1822</v>
      </c>
      <c r="G177" s="262" t="s">
        <v>1821</v>
      </c>
      <c r="H177" s="258">
        <v>10000</v>
      </c>
      <c r="I177" s="262">
        <v>2</v>
      </c>
      <c r="J177" s="259">
        <v>8500</v>
      </c>
      <c r="L177" s="258">
        <v>20000</v>
      </c>
      <c r="O177" s="262"/>
    </row>
    <row r="178" spans="1:15">
      <c r="A178" s="264">
        <v>177</v>
      </c>
      <c r="B178" s="257">
        <v>45756</v>
      </c>
      <c r="C178" s="283" t="s">
        <v>1721</v>
      </c>
      <c r="F178" s="283" t="s">
        <v>1795</v>
      </c>
      <c r="G178" s="262" t="s">
        <v>1794</v>
      </c>
      <c r="H178" s="258">
        <v>20000</v>
      </c>
      <c r="I178" s="262">
        <v>3</v>
      </c>
      <c r="J178" s="259">
        <v>16000</v>
      </c>
      <c r="L178" s="258">
        <v>60000</v>
      </c>
      <c r="O178" s="262"/>
    </row>
    <row r="179" spans="1:15">
      <c r="A179" s="264">
        <v>178</v>
      </c>
      <c r="B179" s="257">
        <v>45757</v>
      </c>
      <c r="C179" s="283" t="s">
        <v>1540</v>
      </c>
      <c r="F179" s="283" t="s">
        <v>1743</v>
      </c>
      <c r="H179" s="258">
        <v>1550000</v>
      </c>
      <c r="I179" s="262">
        <v>1</v>
      </c>
      <c r="L179" s="258">
        <v>1550000</v>
      </c>
      <c r="O179" s="262"/>
    </row>
    <row r="180" spans="1:15">
      <c r="A180" s="264">
        <v>179</v>
      </c>
      <c r="B180" s="257">
        <v>45757</v>
      </c>
      <c r="C180" s="283" t="s">
        <v>1457</v>
      </c>
      <c r="F180" s="283" t="s">
        <v>1743</v>
      </c>
      <c r="H180" s="258">
        <v>1550000</v>
      </c>
      <c r="I180" s="262">
        <v>1</v>
      </c>
      <c r="L180" s="258">
        <v>1550000</v>
      </c>
      <c r="O180" s="262"/>
    </row>
    <row r="181" spans="1:15">
      <c r="A181" s="264">
        <v>180</v>
      </c>
      <c r="B181" s="257">
        <v>45757</v>
      </c>
      <c r="C181" s="283" t="s">
        <v>1804</v>
      </c>
      <c r="F181" s="283" t="s">
        <v>1207</v>
      </c>
      <c r="G181" s="262" t="s">
        <v>1206</v>
      </c>
      <c r="H181" s="258">
        <v>499091</v>
      </c>
      <c r="I181" s="262">
        <v>1</v>
      </c>
      <c r="J181" s="259">
        <v>480000</v>
      </c>
      <c r="K181" s="259">
        <v>49909.100000000006</v>
      </c>
      <c r="L181" s="258">
        <v>549000.1</v>
      </c>
      <c r="O181" s="262"/>
    </row>
    <row r="182" spans="1:15">
      <c r="A182" s="264">
        <v>181</v>
      </c>
      <c r="B182" s="257">
        <v>45758</v>
      </c>
      <c r="C182" s="283" t="s">
        <v>1468</v>
      </c>
      <c r="F182" s="283" t="s">
        <v>1838</v>
      </c>
      <c r="H182" s="258">
        <v>150000</v>
      </c>
      <c r="I182" s="262">
        <v>1</v>
      </c>
      <c r="L182" s="258">
        <v>150000</v>
      </c>
      <c r="O182" s="262"/>
    </row>
    <row r="183" spans="1:15">
      <c r="A183" s="264">
        <v>182</v>
      </c>
      <c r="B183" s="257">
        <v>45758</v>
      </c>
      <c r="C183" s="283" t="s">
        <v>1837</v>
      </c>
      <c r="F183" s="283" t="s">
        <v>1840</v>
      </c>
      <c r="H183" s="258">
        <v>150000</v>
      </c>
      <c r="I183" s="262">
        <v>1</v>
      </c>
      <c r="L183" s="258">
        <v>150000</v>
      </c>
      <c r="O183" s="262"/>
    </row>
    <row r="184" spans="1:15">
      <c r="A184" s="264">
        <v>183</v>
      </c>
      <c r="B184" s="257">
        <v>45759</v>
      </c>
      <c r="C184" s="283" t="s">
        <v>1018</v>
      </c>
      <c r="F184" s="283" t="s">
        <v>1202</v>
      </c>
      <c r="G184" s="262" t="s">
        <v>1751</v>
      </c>
      <c r="H184" s="258">
        <v>1200000</v>
      </c>
      <c r="I184" s="262">
        <v>1</v>
      </c>
      <c r="L184" s="258">
        <v>1200000</v>
      </c>
      <c r="O184" s="262"/>
    </row>
    <row r="185" spans="1:15">
      <c r="A185" s="264">
        <v>184</v>
      </c>
      <c r="B185" s="257">
        <v>45759</v>
      </c>
      <c r="C185" s="283" t="s">
        <v>1018</v>
      </c>
      <c r="F185" s="283" t="s">
        <v>1495</v>
      </c>
      <c r="H185" s="258">
        <v>350000</v>
      </c>
      <c r="I185" s="262">
        <v>1</v>
      </c>
      <c r="L185" s="258">
        <v>350000</v>
      </c>
      <c r="O185" s="262"/>
    </row>
    <row r="186" spans="1:15">
      <c r="A186" s="264">
        <v>185</v>
      </c>
      <c r="B186" s="257">
        <v>45759</v>
      </c>
      <c r="C186" s="283" t="s">
        <v>1576</v>
      </c>
      <c r="F186" s="283" t="s">
        <v>1202</v>
      </c>
      <c r="G186" s="262" t="s">
        <v>1751</v>
      </c>
      <c r="H186" s="258">
        <v>1200000</v>
      </c>
      <c r="I186" s="262">
        <v>1</v>
      </c>
      <c r="L186" s="258">
        <v>1200000</v>
      </c>
      <c r="O186" s="262"/>
    </row>
    <row r="187" spans="1:15">
      <c r="A187" s="264">
        <v>186</v>
      </c>
      <c r="B187" s="257">
        <v>45759</v>
      </c>
      <c r="C187" s="283" t="s">
        <v>1018</v>
      </c>
      <c r="F187" s="283" t="s">
        <v>1704</v>
      </c>
      <c r="G187" s="262" t="s">
        <v>1703</v>
      </c>
      <c r="H187" s="258">
        <v>50000</v>
      </c>
      <c r="I187" s="262">
        <v>1</v>
      </c>
      <c r="L187" s="258">
        <v>50000</v>
      </c>
      <c r="O187" s="262"/>
    </row>
    <row r="188" spans="1:15">
      <c r="A188" s="264">
        <v>187</v>
      </c>
      <c r="B188" s="257">
        <v>45761</v>
      </c>
      <c r="C188" s="283" t="s">
        <v>1018</v>
      </c>
      <c r="F188" s="283" t="s">
        <v>1716</v>
      </c>
      <c r="G188" s="262">
        <v>2800802</v>
      </c>
      <c r="H188" s="258">
        <v>150000</v>
      </c>
      <c r="I188" s="262">
        <v>1</v>
      </c>
      <c r="J188" s="259">
        <v>85000</v>
      </c>
      <c r="L188" s="258">
        <v>150000</v>
      </c>
      <c r="O188" s="262"/>
    </row>
    <row r="189" spans="1:15">
      <c r="A189" s="264">
        <v>188</v>
      </c>
      <c r="B189" s="257">
        <v>45761</v>
      </c>
      <c r="C189" s="283" t="s">
        <v>1018</v>
      </c>
      <c r="F189" s="283" t="s">
        <v>1795</v>
      </c>
      <c r="G189" s="262" t="s">
        <v>1794</v>
      </c>
      <c r="H189" s="258">
        <v>30000</v>
      </c>
      <c r="I189" s="262">
        <v>1</v>
      </c>
      <c r="J189" s="259">
        <v>16000</v>
      </c>
      <c r="L189" s="258">
        <v>30000</v>
      </c>
      <c r="O189" s="262"/>
    </row>
    <row r="190" spans="1:15">
      <c r="A190" s="264">
        <v>189</v>
      </c>
      <c r="B190" s="257">
        <v>45761</v>
      </c>
      <c r="C190" s="283" t="s">
        <v>1018</v>
      </c>
      <c r="F190" s="283" t="s">
        <v>1822</v>
      </c>
      <c r="G190" s="262" t="s">
        <v>1821</v>
      </c>
      <c r="H190" s="258">
        <v>10000</v>
      </c>
      <c r="I190" s="262">
        <v>1</v>
      </c>
      <c r="J190" s="259">
        <v>8500</v>
      </c>
      <c r="L190" s="258">
        <v>10000</v>
      </c>
      <c r="O190" s="262"/>
    </row>
    <row r="191" spans="1:15">
      <c r="A191" s="264">
        <v>190</v>
      </c>
      <c r="B191" s="257">
        <v>45759</v>
      </c>
      <c r="C191" s="283" t="s">
        <v>1846</v>
      </c>
      <c r="F191" s="283" t="s">
        <v>1849</v>
      </c>
      <c r="G191" s="262" t="s">
        <v>1848</v>
      </c>
      <c r="H191" s="258">
        <v>210000</v>
      </c>
      <c r="I191" s="262">
        <v>1</v>
      </c>
      <c r="L191" s="258">
        <v>210000</v>
      </c>
      <c r="O191" s="262"/>
    </row>
    <row r="192" spans="1:15">
      <c r="A192" s="264">
        <v>191</v>
      </c>
      <c r="B192" s="257">
        <v>45761</v>
      </c>
      <c r="C192" s="283" t="s">
        <v>1146</v>
      </c>
      <c r="F192" s="283" t="s">
        <v>1854</v>
      </c>
      <c r="G192" s="262">
        <v>2800801</v>
      </c>
      <c r="H192" s="258">
        <v>150000</v>
      </c>
      <c r="I192" s="262">
        <v>1</v>
      </c>
      <c r="J192" s="259">
        <v>85000</v>
      </c>
      <c r="L192" s="258">
        <v>150000</v>
      </c>
      <c r="O192" s="262"/>
    </row>
    <row r="193" spans="1:18">
      <c r="A193" s="264">
        <v>192</v>
      </c>
      <c r="B193" s="257">
        <v>45761</v>
      </c>
      <c r="C193" s="283" t="s">
        <v>1053</v>
      </c>
      <c r="F193" s="283" t="s">
        <v>1204</v>
      </c>
      <c r="G193" s="262" t="s">
        <v>1203</v>
      </c>
      <c r="H193" s="258">
        <v>1200000</v>
      </c>
      <c r="I193" s="262">
        <v>1</v>
      </c>
      <c r="L193" s="258">
        <v>1200000</v>
      </c>
      <c r="O193" s="262"/>
    </row>
    <row r="194" spans="1:18">
      <c r="A194" s="264">
        <v>193</v>
      </c>
      <c r="B194" s="257">
        <v>45761</v>
      </c>
      <c r="C194" s="283" t="s">
        <v>1018</v>
      </c>
      <c r="F194" s="283" t="s">
        <v>2520</v>
      </c>
      <c r="G194" s="262">
        <v>415062109</v>
      </c>
      <c r="H194" s="258">
        <v>680000</v>
      </c>
      <c r="I194" s="262">
        <v>1</v>
      </c>
      <c r="L194" s="258">
        <v>680000</v>
      </c>
      <c r="O194" s="262"/>
    </row>
    <row r="195" spans="1:18">
      <c r="A195" s="264">
        <v>194</v>
      </c>
      <c r="B195" s="257">
        <v>45761</v>
      </c>
      <c r="C195" s="283" t="s">
        <v>1018</v>
      </c>
      <c r="F195" s="283" t="s">
        <v>1641</v>
      </c>
      <c r="G195" s="262">
        <v>50229</v>
      </c>
      <c r="H195" s="258">
        <v>75000</v>
      </c>
      <c r="I195" s="262">
        <v>1</v>
      </c>
      <c r="L195" s="258">
        <v>75000</v>
      </c>
      <c r="O195" s="262"/>
    </row>
    <row r="196" spans="1:18">
      <c r="A196" s="264">
        <v>195</v>
      </c>
      <c r="B196" s="257">
        <v>45761</v>
      </c>
      <c r="C196" s="283" t="s">
        <v>1808</v>
      </c>
      <c r="F196" s="283" t="s">
        <v>1858</v>
      </c>
      <c r="G196" s="262" t="s">
        <v>3672</v>
      </c>
      <c r="H196" s="258">
        <v>1100000</v>
      </c>
      <c r="I196" s="262">
        <v>1</v>
      </c>
      <c r="L196" s="258">
        <v>1100000</v>
      </c>
      <c r="O196" s="262"/>
    </row>
    <row r="197" spans="1:18">
      <c r="A197" s="264">
        <v>196</v>
      </c>
      <c r="B197" s="257">
        <v>45761</v>
      </c>
      <c r="C197" s="283" t="s">
        <v>1860</v>
      </c>
      <c r="F197" s="283" t="s">
        <v>1861</v>
      </c>
      <c r="H197" s="258">
        <v>3500000</v>
      </c>
      <c r="I197" s="262">
        <v>1</v>
      </c>
      <c r="L197" s="258">
        <v>3500000</v>
      </c>
      <c r="O197" s="262"/>
    </row>
    <row r="198" spans="1:18">
      <c r="A198" s="264">
        <v>197</v>
      </c>
      <c r="B198" s="257">
        <v>45761</v>
      </c>
      <c r="C198" s="283" t="s">
        <v>1866</v>
      </c>
      <c r="F198" s="283" t="s">
        <v>1154</v>
      </c>
      <c r="H198" s="262">
        <v>1500000</v>
      </c>
      <c r="I198" s="258">
        <v>1</v>
      </c>
      <c r="L198" s="258">
        <v>1500000</v>
      </c>
      <c r="O198" s="262"/>
      <c r="R198" s="192"/>
    </row>
    <row r="199" spans="1:18">
      <c r="A199" s="264">
        <v>198</v>
      </c>
      <c r="B199" s="257">
        <v>45761</v>
      </c>
      <c r="C199" s="283" t="s">
        <v>1866</v>
      </c>
      <c r="F199" s="283" t="s">
        <v>1868</v>
      </c>
      <c r="H199" s="262"/>
      <c r="I199" s="258"/>
      <c r="M199" s="258">
        <v>-1500000</v>
      </c>
      <c r="O199" s="262"/>
      <c r="R199" s="192"/>
    </row>
    <row r="200" spans="1:18">
      <c r="A200" s="264">
        <v>199</v>
      </c>
      <c r="B200" s="257">
        <v>45761</v>
      </c>
      <c r="C200" s="283" t="s">
        <v>1869</v>
      </c>
      <c r="F200" s="283" t="s">
        <v>1154</v>
      </c>
      <c r="H200" s="262">
        <v>1500000</v>
      </c>
      <c r="I200" s="258">
        <v>1</v>
      </c>
      <c r="L200" s="258">
        <v>1500000</v>
      </c>
      <c r="O200" s="262"/>
      <c r="R200" s="192"/>
    </row>
    <row r="201" spans="1:18">
      <c r="A201" s="264">
        <v>200</v>
      </c>
      <c r="B201" s="257">
        <v>45761</v>
      </c>
      <c r="C201" s="283" t="s">
        <v>1869</v>
      </c>
      <c r="F201" s="283" t="s">
        <v>1871</v>
      </c>
      <c r="H201" s="262"/>
      <c r="I201" s="258"/>
      <c r="M201" s="258">
        <v>-1500000</v>
      </c>
      <c r="O201" s="262"/>
      <c r="R201" s="192"/>
    </row>
    <row r="202" spans="1:18">
      <c r="A202" s="264">
        <v>201</v>
      </c>
      <c r="B202" s="257">
        <v>45762</v>
      </c>
      <c r="C202" s="283" t="s">
        <v>1875</v>
      </c>
      <c r="F202" s="283" t="s">
        <v>1742</v>
      </c>
      <c r="H202" s="262">
        <v>650000</v>
      </c>
      <c r="I202" s="258">
        <v>1</v>
      </c>
      <c r="L202" s="258">
        <v>650000</v>
      </c>
      <c r="O202" s="262"/>
      <c r="R202" s="192"/>
    </row>
    <row r="203" spans="1:18">
      <c r="A203" s="264">
        <v>202</v>
      </c>
      <c r="B203" s="257">
        <v>45762</v>
      </c>
      <c r="C203" s="283" t="s">
        <v>1721</v>
      </c>
      <c r="F203" s="283" t="s">
        <v>1873</v>
      </c>
      <c r="G203" s="262" t="s">
        <v>1872</v>
      </c>
      <c r="H203" s="258">
        <v>10000</v>
      </c>
      <c r="I203" s="258">
        <v>5</v>
      </c>
      <c r="J203" s="259">
        <v>0</v>
      </c>
      <c r="L203" s="258">
        <v>50000</v>
      </c>
      <c r="O203" s="262"/>
      <c r="R203" s="192"/>
    </row>
    <row r="204" spans="1:18">
      <c r="A204" s="264">
        <v>203</v>
      </c>
      <c r="B204" s="257">
        <v>45762</v>
      </c>
      <c r="C204" s="283" t="s">
        <v>1670</v>
      </c>
      <c r="F204" s="283" t="s">
        <v>1643</v>
      </c>
      <c r="G204" s="262" t="s">
        <v>1200</v>
      </c>
      <c r="H204" s="262">
        <v>1500000</v>
      </c>
      <c r="I204" s="258">
        <v>1</v>
      </c>
      <c r="L204" s="258">
        <v>1500000</v>
      </c>
      <c r="O204" s="262"/>
      <c r="R204" s="192"/>
    </row>
    <row r="205" spans="1:18">
      <c r="A205" s="264">
        <v>204</v>
      </c>
      <c r="B205" s="257">
        <v>45762</v>
      </c>
      <c r="C205" s="283" t="s">
        <v>1808</v>
      </c>
      <c r="F205" s="283" t="s">
        <v>1763</v>
      </c>
      <c r="G205" s="262" t="s">
        <v>1765</v>
      </c>
      <c r="H205" s="262">
        <v>65000</v>
      </c>
      <c r="I205" s="258">
        <v>1</v>
      </c>
      <c r="J205" s="259">
        <v>45000</v>
      </c>
      <c r="L205" s="258">
        <v>65000</v>
      </c>
      <c r="O205" s="262"/>
      <c r="R205" s="192"/>
    </row>
    <row r="206" spans="1:18">
      <c r="A206" s="264">
        <v>205</v>
      </c>
      <c r="B206" s="257">
        <v>45762</v>
      </c>
      <c r="C206" s="283" t="s">
        <v>1808</v>
      </c>
      <c r="F206" s="283" t="s">
        <v>1763</v>
      </c>
      <c r="G206" s="262" t="s">
        <v>1762</v>
      </c>
      <c r="H206" s="262">
        <v>25000</v>
      </c>
      <c r="I206" s="258">
        <v>1</v>
      </c>
      <c r="J206" s="259">
        <v>11200</v>
      </c>
      <c r="L206" s="258">
        <v>25000</v>
      </c>
      <c r="O206" s="262"/>
      <c r="R206" s="192"/>
    </row>
    <row r="207" spans="1:18">
      <c r="A207" s="264">
        <v>206</v>
      </c>
      <c r="B207" s="257">
        <v>45763</v>
      </c>
      <c r="C207" s="283" t="s">
        <v>1889</v>
      </c>
      <c r="F207" s="283" t="s">
        <v>1892</v>
      </c>
      <c r="H207" s="262">
        <v>250000</v>
      </c>
      <c r="I207" s="258">
        <v>1</v>
      </c>
      <c r="L207" s="258">
        <v>250000</v>
      </c>
      <c r="O207" s="262"/>
      <c r="R207" s="192"/>
    </row>
    <row r="208" spans="1:18">
      <c r="A208" s="264">
        <v>207</v>
      </c>
      <c r="B208" s="257">
        <v>45763</v>
      </c>
      <c r="C208" s="283" t="s">
        <v>1893</v>
      </c>
      <c r="F208" s="283" t="s">
        <v>1202</v>
      </c>
      <c r="G208" s="262" t="s">
        <v>1751</v>
      </c>
      <c r="H208" s="262">
        <v>1200000</v>
      </c>
      <c r="I208" s="258">
        <v>1</v>
      </c>
      <c r="L208" s="258">
        <v>1200000</v>
      </c>
      <c r="O208" s="262"/>
      <c r="R208" s="192"/>
    </row>
    <row r="209" spans="1:18">
      <c r="A209" s="264">
        <v>208</v>
      </c>
      <c r="B209" s="257">
        <v>45763</v>
      </c>
      <c r="C209" s="283" t="s">
        <v>978</v>
      </c>
      <c r="F209" s="283" t="s">
        <v>1202</v>
      </c>
      <c r="G209" s="262" t="s">
        <v>1751</v>
      </c>
      <c r="H209" s="262">
        <v>1300000</v>
      </c>
      <c r="I209" s="258">
        <v>1</v>
      </c>
      <c r="L209" s="258">
        <v>1300000</v>
      </c>
      <c r="O209" s="262"/>
      <c r="R209" s="192"/>
    </row>
    <row r="210" spans="1:18">
      <c r="A210" s="264">
        <v>209</v>
      </c>
      <c r="B210" s="257">
        <v>45763</v>
      </c>
      <c r="C210" s="283" t="s">
        <v>978</v>
      </c>
      <c r="F210" s="283" t="s">
        <v>1202</v>
      </c>
      <c r="G210" s="262" t="s">
        <v>1751</v>
      </c>
      <c r="H210" s="262">
        <v>650000</v>
      </c>
      <c r="I210" s="258">
        <v>1</v>
      </c>
      <c r="L210" s="258">
        <v>650000</v>
      </c>
      <c r="O210" s="262"/>
      <c r="R210" s="192"/>
    </row>
    <row r="211" spans="1:18">
      <c r="A211" s="264">
        <v>210</v>
      </c>
      <c r="B211" s="257">
        <v>45763</v>
      </c>
      <c r="C211" s="283" t="s">
        <v>1597</v>
      </c>
      <c r="F211" s="283" t="s">
        <v>1207</v>
      </c>
      <c r="G211" s="262" t="s">
        <v>1206</v>
      </c>
      <c r="H211" s="262">
        <v>499091</v>
      </c>
      <c r="I211" s="258">
        <v>1</v>
      </c>
      <c r="J211" s="259">
        <v>480000</v>
      </c>
      <c r="K211" s="259">
        <v>49909.100000000006</v>
      </c>
      <c r="L211" s="258">
        <v>549000.1</v>
      </c>
      <c r="O211" s="262"/>
      <c r="R211" s="192"/>
    </row>
    <row r="212" spans="1:18">
      <c r="A212" s="264">
        <v>211</v>
      </c>
      <c r="B212" s="257">
        <v>45763</v>
      </c>
      <c r="C212" s="283" t="s">
        <v>1579</v>
      </c>
      <c r="F212" s="283" t="s">
        <v>1901</v>
      </c>
      <c r="G212" s="262" t="s">
        <v>1900</v>
      </c>
      <c r="H212" s="262">
        <v>20000</v>
      </c>
      <c r="I212" s="258">
        <v>1</v>
      </c>
      <c r="J212" s="259">
        <v>13000</v>
      </c>
      <c r="K212" s="259">
        <v>2000</v>
      </c>
      <c r="L212" s="258">
        <v>20000</v>
      </c>
      <c r="O212" s="262"/>
      <c r="R212" s="192"/>
    </row>
    <row r="213" spans="1:18">
      <c r="A213" s="264">
        <v>212</v>
      </c>
      <c r="B213" s="257">
        <v>45764</v>
      </c>
      <c r="C213" s="283" t="s">
        <v>1398</v>
      </c>
      <c r="F213" s="283" t="s">
        <v>1915</v>
      </c>
      <c r="H213" s="262">
        <v>1000000</v>
      </c>
      <c r="I213" s="258">
        <v>1</v>
      </c>
      <c r="L213" s="258">
        <v>1000000</v>
      </c>
      <c r="O213" s="262"/>
      <c r="R213" s="192"/>
    </row>
    <row r="214" spans="1:18">
      <c r="A214" s="264">
        <v>213</v>
      </c>
      <c r="B214" s="257">
        <v>45764</v>
      </c>
      <c r="C214" s="283" t="s">
        <v>1540</v>
      </c>
      <c r="F214" s="283" t="s">
        <v>1918</v>
      </c>
      <c r="H214" s="262">
        <v>2000000</v>
      </c>
      <c r="I214" s="258">
        <v>1</v>
      </c>
      <c r="L214" s="258">
        <v>2000000</v>
      </c>
      <c r="O214" s="262"/>
      <c r="R214" s="192"/>
    </row>
    <row r="215" spans="1:18">
      <c r="A215" s="264">
        <v>214</v>
      </c>
      <c r="B215" s="257">
        <v>45764</v>
      </c>
      <c r="C215" s="283" t="s">
        <v>1441</v>
      </c>
      <c r="F215" s="283" t="s">
        <v>1139</v>
      </c>
      <c r="H215" s="262">
        <v>800000</v>
      </c>
      <c r="I215" s="258">
        <v>1</v>
      </c>
      <c r="L215" s="258">
        <v>800000</v>
      </c>
      <c r="O215" s="262"/>
      <c r="R215" s="192"/>
    </row>
    <row r="216" spans="1:18">
      <c r="A216" s="264">
        <v>215</v>
      </c>
      <c r="B216" s="257">
        <v>45765</v>
      </c>
      <c r="C216" s="283" t="s">
        <v>1670</v>
      </c>
      <c r="F216" s="283" t="s">
        <v>1202</v>
      </c>
      <c r="G216" s="262" t="s">
        <v>1751</v>
      </c>
      <c r="H216" s="262">
        <v>1200000</v>
      </c>
      <c r="I216" s="258">
        <v>1</v>
      </c>
      <c r="K216" s="259">
        <v>120000</v>
      </c>
      <c r="L216" s="258">
        <v>1200000</v>
      </c>
      <c r="O216" s="262"/>
      <c r="R216" s="192"/>
    </row>
    <row r="217" spans="1:18">
      <c r="A217" s="264">
        <v>216</v>
      </c>
      <c r="B217" s="257">
        <v>45765</v>
      </c>
      <c r="C217" s="283" t="s">
        <v>1670</v>
      </c>
      <c r="F217" s="283" t="s">
        <v>1495</v>
      </c>
      <c r="H217" s="262">
        <v>350000</v>
      </c>
      <c r="I217" s="258">
        <v>1</v>
      </c>
      <c r="K217" s="259">
        <v>35000</v>
      </c>
      <c r="L217" s="258">
        <v>350000</v>
      </c>
      <c r="O217" s="262"/>
      <c r="R217" s="192"/>
    </row>
    <row r="218" spans="1:18">
      <c r="A218" s="264">
        <v>217</v>
      </c>
      <c r="B218" s="257">
        <v>45765</v>
      </c>
      <c r="C218" s="283" t="s">
        <v>1721</v>
      </c>
      <c r="F218" s="283" t="s">
        <v>1925</v>
      </c>
      <c r="H218" s="262">
        <v>1200000</v>
      </c>
      <c r="I218" s="258">
        <v>1</v>
      </c>
      <c r="L218" s="258">
        <v>1200000</v>
      </c>
      <c r="O218" s="262"/>
      <c r="R218" s="192"/>
    </row>
    <row r="219" spans="1:18">
      <c r="A219" s="264">
        <v>218</v>
      </c>
      <c r="B219" s="257">
        <v>45765</v>
      </c>
      <c r="C219" s="283" t="s">
        <v>1721</v>
      </c>
      <c r="F219" s="283" t="s">
        <v>1265</v>
      </c>
      <c r="G219" s="262" t="s">
        <v>1264</v>
      </c>
      <c r="H219" s="262">
        <v>50000</v>
      </c>
      <c r="I219" s="258">
        <v>2</v>
      </c>
      <c r="L219" s="258">
        <v>100000</v>
      </c>
      <c r="O219" s="262"/>
      <c r="R219" s="192"/>
    </row>
    <row r="220" spans="1:18">
      <c r="A220" s="264">
        <v>219</v>
      </c>
      <c r="B220" s="257">
        <v>45765</v>
      </c>
      <c r="C220" s="283" t="s">
        <v>1597</v>
      </c>
      <c r="F220" s="283" t="s">
        <v>1580</v>
      </c>
      <c r="G220" s="262" t="s">
        <v>1922</v>
      </c>
      <c r="H220" s="262">
        <v>1400000</v>
      </c>
      <c r="I220" s="258">
        <v>1</v>
      </c>
      <c r="L220" s="258">
        <v>1400000</v>
      </c>
      <c r="O220" s="262"/>
      <c r="R220" s="192"/>
    </row>
    <row r="221" spans="1:18">
      <c r="A221" s="264">
        <v>220</v>
      </c>
      <c r="B221" s="257">
        <v>45768</v>
      </c>
      <c r="C221" s="283" t="s">
        <v>1930</v>
      </c>
      <c r="F221" s="283" t="s">
        <v>1795</v>
      </c>
      <c r="G221" s="262" t="s">
        <v>1794</v>
      </c>
      <c r="H221" s="262">
        <v>30000</v>
      </c>
      <c r="I221" s="258">
        <v>1</v>
      </c>
      <c r="J221" s="259">
        <v>16000</v>
      </c>
      <c r="L221" s="258">
        <v>30000</v>
      </c>
      <c r="O221" s="262"/>
      <c r="R221" s="192"/>
    </row>
    <row r="222" spans="1:18">
      <c r="A222" s="264">
        <v>221</v>
      </c>
      <c r="B222" s="257">
        <v>45768</v>
      </c>
      <c r="C222" s="283" t="s">
        <v>1930</v>
      </c>
      <c r="F222" s="283" t="s">
        <v>1207</v>
      </c>
      <c r="G222" s="262" t="s">
        <v>1206</v>
      </c>
      <c r="H222" s="262">
        <v>600000</v>
      </c>
      <c r="I222" s="258">
        <v>1</v>
      </c>
      <c r="J222" s="259">
        <v>480000</v>
      </c>
      <c r="L222" s="258">
        <v>600000</v>
      </c>
      <c r="O222" s="262"/>
      <c r="R222" s="192"/>
    </row>
    <row r="223" spans="1:18">
      <c r="A223" s="264">
        <v>222</v>
      </c>
      <c r="B223" s="257">
        <v>45768</v>
      </c>
      <c r="C223" s="283" t="s">
        <v>1930</v>
      </c>
      <c r="F223" s="283" t="s">
        <v>1901</v>
      </c>
      <c r="G223" s="262" t="s">
        <v>1900</v>
      </c>
      <c r="H223" s="262">
        <v>20000</v>
      </c>
      <c r="I223" s="258">
        <v>1</v>
      </c>
      <c r="J223" s="259">
        <v>13000</v>
      </c>
      <c r="L223" s="258">
        <v>20000</v>
      </c>
      <c r="O223" s="262"/>
      <c r="R223" s="192"/>
    </row>
    <row r="224" spans="1:18">
      <c r="A224" s="264">
        <v>223</v>
      </c>
      <c r="B224" s="257">
        <v>45768</v>
      </c>
      <c r="C224" s="283" t="s">
        <v>1941</v>
      </c>
      <c r="F224" s="283" t="s">
        <v>1933</v>
      </c>
      <c r="G224" s="262" t="s">
        <v>1932</v>
      </c>
      <c r="H224" s="262">
        <v>1200000</v>
      </c>
      <c r="I224" s="258">
        <v>1</v>
      </c>
      <c r="L224" s="258">
        <v>1200000</v>
      </c>
      <c r="O224" s="262"/>
      <c r="R224" s="192"/>
    </row>
    <row r="225" spans="1:18">
      <c r="A225" s="264">
        <v>224</v>
      </c>
      <c r="B225" s="257">
        <v>45768</v>
      </c>
      <c r="C225" s="283" t="s">
        <v>1941</v>
      </c>
      <c r="F225" s="283" t="s">
        <v>1934</v>
      </c>
      <c r="G225" s="262" t="s">
        <v>1935</v>
      </c>
      <c r="H225" s="262">
        <v>1000000</v>
      </c>
      <c r="I225" s="258">
        <v>1</v>
      </c>
      <c r="L225" s="258">
        <v>1000000</v>
      </c>
      <c r="O225" s="262"/>
      <c r="R225" s="192"/>
    </row>
    <row r="226" spans="1:18">
      <c r="A226" s="264">
        <v>225</v>
      </c>
      <c r="B226" s="257">
        <v>45768</v>
      </c>
      <c r="C226" s="283" t="s">
        <v>1398</v>
      </c>
      <c r="F226" s="283" t="s">
        <v>1743</v>
      </c>
      <c r="H226" s="262">
        <v>1550000</v>
      </c>
      <c r="I226" s="258">
        <v>1</v>
      </c>
      <c r="L226" s="258">
        <v>1550000</v>
      </c>
      <c r="O226" s="262"/>
      <c r="R226" s="192"/>
    </row>
    <row r="227" spans="1:18">
      <c r="A227" s="264">
        <v>226</v>
      </c>
      <c r="B227" s="257">
        <v>45768</v>
      </c>
      <c r="C227" s="283" t="s">
        <v>1398</v>
      </c>
      <c r="F227" s="283" t="s">
        <v>1548</v>
      </c>
      <c r="G227" s="262">
        <v>24152333903</v>
      </c>
      <c r="H227" s="262">
        <v>50000</v>
      </c>
      <c r="I227" s="258">
        <v>1</v>
      </c>
      <c r="L227" s="258">
        <v>50000</v>
      </c>
      <c r="O227" s="262"/>
      <c r="R227" s="192"/>
    </row>
    <row r="228" spans="1:18">
      <c r="A228" s="264">
        <v>227</v>
      </c>
      <c r="B228" s="257">
        <v>45768</v>
      </c>
      <c r="C228" s="283" t="s">
        <v>1579</v>
      </c>
      <c r="F228" s="283" t="s">
        <v>1207</v>
      </c>
      <c r="G228" s="262" t="s">
        <v>1206</v>
      </c>
      <c r="H228" s="262">
        <v>499091</v>
      </c>
      <c r="I228" s="258">
        <v>1</v>
      </c>
      <c r="J228" s="259">
        <v>480000</v>
      </c>
      <c r="K228" s="259">
        <v>49909.100000000006</v>
      </c>
      <c r="L228" s="258">
        <v>549000.1</v>
      </c>
      <c r="O228" s="262"/>
      <c r="R228" s="192"/>
    </row>
    <row r="229" spans="1:18">
      <c r="A229" s="264">
        <v>228</v>
      </c>
      <c r="B229" s="257">
        <v>45768</v>
      </c>
      <c r="C229" s="283" t="s">
        <v>1576</v>
      </c>
      <c r="F229" s="283" t="s">
        <v>2520</v>
      </c>
      <c r="G229" s="262">
        <v>415072909</v>
      </c>
      <c r="H229" s="262">
        <v>380000</v>
      </c>
      <c r="I229" s="258">
        <v>1</v>
      </c>
      <c r="K229" s="259">
        <v>38000</v>
      </c>
      <c r="L229" s="258">
        <v>418000</v>
      </c>
      <c r="O229" s="262"/>
      <c r="R229" s="192"/>
    </row>
    <row r="230" spans="1:18">
      <c r="A230" s="264">
        <v>229</v>
      </c>
      <c r="B230" s="257">
        <v>45768</v>
      </c>
      <c r="C230" s="283" t="s">
        <v>1576</v>
      </c>
      <c r="F230" s="283" t="s">
        <v>1643</v>
      </c>
      <c r="G230" s="262" t="s">
        <v>1200</v>
      </c>
      <c r="H230" s="262">
        <v>1500000</v>
      </c>
      <c r="I230" s="258">
        <v>1</v>
      </c>
      <c r="K230" s="259">
        <v>150000</v>
      </c>
      <c r="L230" s="258">
        <v>1650000</v>
      </c>
      <c r="O230" s="262"/>
      <c r="R230" s="192"/>
    </row>
    <row r="231" spans="1:18">
      <c r="A231" s="264">
        <v>230</v>
      </c>
      <c r="B231" s="257">
        <v>45768</v>
      </c>
      <c r="C231" s="283" t="s">
        <v>1576</v>
      </c>
      <c r="F231" s="283" t="s">
        <v>1574</v>
      </c>
      <c r="G231" s="262" t="s">
        <v>1802</v>
      </c>
      <c r="H231" s="262">
        <v>50000</v>
      </c>
      <c r="I231" s="258">
        <v>1</v>
      </c>
      <c r="J231" s="259">
        <v>33000</v>
      </c>
      <c r="K231" s="259">
        <v>5000</v>
      </c>
      <c r="L231" s="258">
        <v>55000</v>
      </c>
      <c r="O231" s="262"/>
      <c r="R231" s="192"/>
    </row>
    <row r="232" spans="1:18">
      <c r="A232" s="264">
        <v>231</v>
      </c>
      <c r="B232" s="257">
        <v>45768</v>
      </c>
      <c r="C232" s="283" t="s">
        <v>1721</v>
      </c>
      <c r="F232" s="283" t="s">
        <v>1952</v>
      </c>
      <c r="H232" s="262">
        <v>50000</v>
      </c>
      <c r="I232" s="258">
        <v>1</v>
      </c>
      <c r="L232" s="258">
        <v>50000</v>
      </c>
      <c r="O232" s="262"/>
    </row>
    <row r="233" spans="1:18">
      <c r="A233" s="264">
        <v>232</v>
      </c>
      <c r="B233" s="257">
        <v>45769</v>
      </c>
      <c r="C233" s="283" t="s">
        <v>1448</v>
      </c>
      <c r="F233" s="283" t="s">
        <v>1956</v>
      </c>
      <c r="G233" s="262" t="s">
        <v>1955</v>
      </c>
      <c r="H233" s="262">
        <v>1800000</v>
      </c>
      <c r="I233" s="258">
        <v>1</v>
      </c>
      <c r="L233" s="258">
        <v>1800000</v>
      </c>
      <c r="O233" s="262"/>
    </row>
    <row r="234" spans="1:18">
      <c r="A234" s="264">
        <v>233</v>
      </c>
      <c r="B234" s="257">
        <v>45769</v>
      </c>
      <c r="C234" s="283" t="s">
        <v>1448</v>
      </c>
      <c r="F234" s="283" t="s">
        <v>1574</v>
      </c>
      <c r="G234" s="262" t="s">
        <v>1802</v>
      </c>
      <c r="H234" s="262">
        <v>50000</v>
      </c>
      <c r="I234" s="258">
        <v>1</v>
      </c>
      <c r="J234" s="259">
        <v>33000</v>
      </c>
      <c r="L234" s="258">
        <v>50000</v>
      </c>
      <c r="O234" s="262"/>
    </row>
    <row r="235" spans="1:18">
      <c r="A235" s="264">
        <v>234</v>
      </c>
      <c r="B235" s="257">
        <v>45770</v>
      </c>
      <c r="C235" s="283" t="s">
        <v>1597</v>
      </c>
      <c r="F235" s="283" t="s">
        <v>2575</v>
      </c>
      <c r="H235" s="262">
        <v>1600000</v>
      </c>
      <c r="I235" s="258">
        <v>1</v>
      </c>
      <c r="L235" s="258">
        <v>1600000</v>
      </c>
      <c r="O235" s="262"/>
    </row>
    <row r="236" spans="1:18">
      <c r="A236" s="264">
        <v>235</v>
      </c>
      <c r="B236" s="257">
        <v>45770</v>
      </c>
      <c r="C236" s="283" t="s">
        <v>1960</v>
      </c>
      <c r="F236" s="283" t="s">
        <v>1858</v>
      </c>
      <c r="G236" s="262" t="s">
        <v>3672</v>
      </c>
      <c r="H236" s="262">
        <v>1200000</v>
      </c>
      <c r="I236" s="258">
        <v>1</v>
      </c>
      <c r="L236" s="258">
        <v>1200000</v>
      </c>
      <c r="O236" s="262"/>
    </row>
    <row r="237" spans="1:18">
      <c r="A237" s="264">
        <v>236</v>
      </c>
      <c r="B237" s="257">
        <v>45770</v>
      </c>
      <c r="C237" s="283" t="s">
        <v>1960</v>
      </c>
      <c r="F237" s="283" t="s">
        <v>1964</v>
      </c>
      <c r="H237" s="262">
        <v>600000</v>
      </c>
      <c r="I237" s="258">
        <v>1</v>
      </c>
      <c r="L237" s="258">
        <v>600000</v>
      </c>
      <c r="O237" s="262"/>
    </row>
    <row r="238" spans="1:18">
      <c r="A238" s="264">
        <v>237</v>
      </c>
      <c r="B238" s="257">
        <v>45770</v>
      </c>
      <c r="C238" s="283" t="s">
        <v>1960</v>
      </c>
      <c r="F238" s="283" t="s">
        <v>1965</v>
      </c>
      <c r="H238" s="262">
        <v>600000</v>
      </c>
      <c r="I238" s="258">
        <v>1</v>
      </c>
      <c r="L238" s="258">
        <v>600000</v>
      </c>
      <c r="O238" s="262"/>
    </row>
    <row r="239" spans="1:18">
      <c r="A239" s="264">
        <v>238</v>
      </c>
      <c r="B239" s="257">
        <v>45770</v>
      </c>
      <c r="C239" s="283" t="s">
        <v>1960</v>
      </c>
      <c r="F239" s="283" t="s">
        <v>1207</v>
      </c>
      <c r="G239" s="262" t="s">
        <v>1206</v>
      </c>
      <c r="H239" s="262">
        <v>600000</v>
      </c>
      <c r="I239" s="258">
        <v>1</v>
      </c>
      <c r="J239" s="259">
        <v>480000</v>
      </c>
      <c r="L239" s="258">
        <v>600000</v>
      </c>
      <c r="O239" s="262"/>
    </row>
    <row r="240" spans="1:18">
      <c r="A240" s="264">
        <v>239</v>
      </c>
      <c r="B240" s="257">
        <v>45770</v>
      </c>
      <c r="C240" s="283" t="s">
        <v>1960</v>
      </c>
      <c r="F240" s="283" t="s">
        <v>1641</v>
      </c>
      <c r="G240" s="262">
        <v>50229</v>
      </c>
      <c r="H240" s="262">
        <v>80000</v>
      </c>
      <c r="I240" s="258">
        <v>1</v>
      </c>
      <c r="L240" s="258">
        <v>80000</v>
      </c>
      <c r="O240" s="262"/>
    </row>
    <row r="241" spans="1:15">
      <c r="A241" s="264">
        <v>240</v>
      </c>
      <c r="B241" s="257">
        <v>45770</v>
      </c>
      <c r="C241" s="283" t="s">
        <v>1960</v>
      </c>
      <c r="F241" s="283" t="s">
        <v>1795</v>
      </c>
      <c r="G241" s="262" t="s">
        <v>1794</v>
      </c>
      <c r="H241" s="262">
        <v>50000</v>
      </c>
      <c r="I241" s="258">
        <v>1</v>
      </c>
      <c r="J241" s="259">
        <v>16000</v>
      </c>
      <c r="L241" s="258">
        <v>50000</v>
      </c>
      <c r="O241" s="262"/>
    </row>
    <row r="242" spans="1:15">
      <c r="A242" s="264">
        <v>241</v>
      </c>
      <c r="B242" s="257">
        <v>45771</v>
      </c>
      <c r="C242" s="283" t="s">
        <v>1553</v>
      </c>
      <c r="F242" s="283" t="s">
        <v>1704</v>
      </c>
      <c r="G242" s="262" t="s">
        <v>1703</v>
      </c>
      <c r="H242" s="258">
        <v>50000</v>
      </c>
      <c r="I242" s="262">
        <v>10</v>
      </c>
      <c r="K242" s="259">
        <v>50000</v>
      </c>
      <c r="L242" s="258">
        <v>550000</v>
      </c>
      <c r="O242" s="262"/>
    </row>
    <row r="243" spans="1:15">
      <c r="A243" s="264">
        <v>242</v>
      </c>
      <c r="B243" s="257">
        <v>45771</v>
      </c>
      <c r="C243" s="283" t="s">
        <v>1443</v>
      </c>
      <c r="F243" s="283" t="s">
        <v>1716</v>
      </c>
      <c r="G243" s="262">
        <v>2800802</v>
      </c>
      <c r="H243" s="258">
        <v>150000</v>
      </c>
      <c r="I243" s="262">
        <v>1</v>
      </c>
      <c r="J243" s="259">
        <v>85000</v>
      </c>
      <c r="L243" s="258">
        <v>150000</v>
      </c>
      <c r="O243" s="262"/>
    </row>
    <row r="244" spans="1:15">
      <c r="A244" s="264">
        <v>243</v>
      </c>
      <c r="B244" s="257">
        <v>45771</v>
      </c>
      <c r="C244" s="283" t="s">
        <v>1443</v>
      </c>
      <c r="F244" s="283" t="s">
        <v>1972</v>
      </c>
      <c r="M244" s="258">
        <v>-300000</v>
      </c>
      <c r="O244" s="262"/>
    </row>
    <row r="245" spans="1:15">
      <c r="A245" s="264">
        <v>244</v>
      </c>
      <c r="B245" s="257">
        <v>45771</v>
      </c>
      <c r="C245" s="283" t="s">
        <v>1443</v>
      </c>
      <c r="F245" s="283" t="s">
        <v>1973</v>
      </c>
      <c r="M245" s="258">
        <v>-200000</v>
      </c>
      <c r="O245" s="262"/>
    </row>
    <row r="246" spans="1:15">
      <c r="A246" s="264">
        <v>245</v>
      </c>
      <c r="B246" s="257">
        <v>45772</v>
      </c>
      <c r="C246" s="283" t="s">
        <v>1390</v>
      </c>
      <c r="F246" s="283" t="s">
        <v>1534</v>
      </c>
      <c r="H246" s="258">
        <v>450000</v>
      </c>
      <c r="I246" s="262">
        <v>1</v>
      </c>
      <c r="L246" s="258">
        <v>450000</v>
      </c>
      <c r="O246" s="262"/>
    </row>
    <row r="247" spans="1:15">
      <c r="A247" s="264">
        <v>246</v>
      </c>
      <c r="B247" s="257">
        <v>45772</v>
      </c>
      <c r="C247" s="283" t="s">
        <v>1976</v>
      </c>
      <c r="F247" s="283" t="s">
        <v>1977</v>
      </c>
      <c r="G247" s="262" t="s">
        <v>1197</v>
      </c>
      <c r="H247" s="258">
        <v>1000000</v>
      </c>
      <c r="I247" s="262">
        <v>1</v>
      </c>
      <c r="K247" s="259">
        <v>100000</v>
      </c>
      <c r="L247" s="258">
        <v>1100000</v>
      </c>
      <c r="O247" s="262"/>
    </row>
    <row r="248" spans="1:15">
      <c r="A248" s="264">
        <v>247</v>
      </c>
      <c r="B248" s="257">
        <v>45772</v>
      </c>
      <c r="C248" s="283" t="s">
        <v>1979</v>
      </c>
      <c r="F248" s="283" t="s">
        <v>1822</v>
      </c>
      <c r="G248" s="262" t="s">
        <v>1821</v>
      </c>
      <c r="H248" s="258">
        <v>10000</v>
      </c>
      <c r="I248" s="262">
        <v>5</v>
      </c>
      <c r="J248" s="259">
        <v>8500</v>
      </c>
      <c r="L248" s="258">
        <v>50000</v>
      </c>
      <c r="O248" s="262"/>
    </row>
    <row r="249" spans="1:15">
      <c r="A249" s="264">
        <v>248</v>
      </c>
      <c r="B249" s="257">
        <v>45772</v>
      </c>
      <c r="C249" s="283" t="s">
        <v>1979</v>
      </c>
      <c r="F249" s="283" t="s">
        <v>1259</v>
      </c>
      <c r="G249" s="262" t="s">
        <v>1258</v>
      </c>
      <c r="H249" s="258">
        <v>130000</v>
      </c>
      <c r="I249" s="262">
        <v>1</v>
      </c>
      <c r="J249" s="259">
        <v>90000</v>
      </c>
      <c r="L249" s="258">
        <v>130000</v>
      </c>
      <c r="O249" s="262"/>
    </row>
    <row r="250" spans="1:15">
      <c r="A250" s="264">
        <v>249</v>
      </c>
      <c r="B250" s="257">
        <v>45772</v>
      </c>
      <c r="C250" s="283" t="s">
        <v>1979</v>
      </c>
      <c r="F250" s="283" t="s">
        <v>1207</v>
      </c>
      <c r="G250" s="262" t="s">
        <v>1206</v>
      </c>
      <c r="H250" s="258">
        <v>549000</v>
      </c>
      <c r="I250" s="262">
        <v>2</v>
      </c>
      <c r="J250" s="259">
        <v>480000</v>
      </c>
      <c r="L250" s="258">
        <v>1098000</v>
      </c>
      <c r="O250" s="262"/>
    </row>
    <row r="251" spans="1:15">
      <c r="A251" s="264">
        <v>250</v>
      </c>
      <c r="B251" s="257">
        <v>45772</v>
      </c>
      <c r="C251" s="283" t="s">
        <v>1930</v>
      </c>
      <c r="F251" s="283" t="s">
        <v>1124</v>
      </c>
      <c r="M251" s="258">
        <v>-650000</v>
      </c>
      <c r="O251" s="262"/>
    </row>
    <row r="252" spans="1:15">
      <c r="A252" s="264">
        <v>251</v>
      </c>
      <c r="B252" s="257">
        <v>45772</v>
      </c>
      <c r="C252" s="283" t="s">
        <v>1448</v>
      </c>
      <c r="F252" s="283" t="s">
        <v>1124</v>
      </c>
      <c r="M252" s="258">
        <v>-1850000</v>
      </c>
      <c r="O252" s="262"/>
    </row>
    <row r="253" spans="1:15">
      <c r="A253" s="264">
        <v>252</v>
      </c>
      <c r="B253" s="257">
        <v>45772</v>
      </c>
      <c r="C253" s="283" t="s">
        <v>1789</v>
      </c>
      <c r="F253" s="283" t="s">
        <v>1207</v>
      </c>
      <c r="G253" s="262" t="s">
        <v>1206</v>
      </c>
      <c r="H253" s="258">
        <v>549000</v>
      </c>
      <c r="I253" s="262">
        <v>1</v>
      </c>
      <c r="J253" s="259">
        <v>480000</v>
      </c>
      <c r="L253" s="258">
        <v>549000</v>
      </c>
      <c r="O253" s="262"/>
    </row>
    <row r="254" spans="1:15">
      <c r="A254" s="264">
        <v>253</v>
      </c>
      <c r="B254" s="257">
        <v>45772</v>
      </c>
      <c r="C254" s="283" t="s">
        <v>1443</v>
      </c>
      <c r="F254" s="283" t="s">
        <v>1984</v>
      </c>
      <c r="H254" s="258">
        <v>150000</v>
      </c>
      <c r="I254" s="262">
        <v>1</v>
      </c>
      <c r="L254" s="258">
        <v>150000</v>
      </c>
      <c r="O254" s="262"/>
    </row>
    <row r="255" spans="1:15">
      <c r="A255" s="264">
        <v>254</v>
      </c>
      <c r="B255" s="257">
        <v>45772</v>
      </c>
      <c r="C255" s="283" t="s">
        <v>1808</v>
      </c>
      <c r="F255" s="283" t="s">
        <v>1495</v>
      </c>
      <c r="H255" s="258">
        <v>350000</v>
      </c>
      <c r="I255" s="262">
        <v>1</v>
      </c>
      <c r="L255" s="258">
        <v>350000</v>
      </c>
      <c r="O255" s="262"/>
    </row>
    <row r="256" spans="1:15">
      <c r="A256" s="264">
        <v>255</v>
      </c>
      <c r="B256" s="257">
        <v>45775</v>
      </c>
      <c r="C256" s="283" t="s">
        <v>1302</v>
      </c>
      <c r="F256" s="283" t="s">
        <v>1124</v>
      </c>
      <c r="M256" s="258">
        <v>-450000</v>
      </c>
      <c r="O256" s="262"/>
    </row>
    <row r="257" spans="1:15">
      <c r="A257" s="264">
        <v>256</v>
      </c>
      <c r="B257" s="257">
        <v>45773</v>
      </c>
      <c r="C257" s="283" t="s">
        <v>1345</v>
      </c>
      <c r="F257" s="283" t="s">
        <v>1669</v>
      </c>
      <c r="M257" s="258">
        <v>-1278000</v>
      </c>
      <c r="O257" s="262"/>
    </row>
    <row r="258" spans="1:15">
      <c r="A258" s="264">
        <v>257</v>
      </c>
      <c r="B258" s="257">
        <v>45775</v>
      </c>
      <c r="C258" s="283" t="s">
        <v>1520</v>
      </c>
      <c r="F258" s="283" t="s">
        <v>1523</v>
      </c>
      <c r="H258" s="258">
        <v>450000</v>
      </c>
      <c r="I258" s="262">
        <v>1</v>
      </c>
      <c r="L258" s="258">
        <v>450000</v>
      </c>
      <c r="O258" s="262"/>
    </row>
    <row r="259" spans="1:15">
      <c r="A259" s="264">
        <v>258</v>
      </c>
      <c r="B259" s="257">
        <v>45775</v>
      </c>
      <c r="C259" s="283" t="s">
        <v>1520</v>
      </c>
      <c r="F259" s="283" t="s">
        <v>1124</v>
      </c>
      <c r="M259" s="258">
        <v>-450000</v>
      </c>
      <c r="O259" s="262"/>
    </row>
    <row r="260" spans="1:15">
      <c r="A260" s="264">
        <v>259</v>
      </c>
      <c r="B260" s="257">
        <v>45775</v>
      </c>
      <c r="C260" s="283" t="s">
        <v>1443</v>
      </c>
      <c r="F260" s="283" t="s">
        <v>1534</v>
      </c>
      <c r="H260" s="258">
        <v>500000</v>
      </c>
      <c r="I260" s="262">
        <v>1</v>
      </c>
      <c r="L260" s="258">
        <v>500000</v>
      </c>
      <c r="O260" s="262"/>
    </row>
    <row r="261" spans="1:15">
      <c r="A261" s="264">
        <v>260</v>
      </c>
      <c r="B261" s="257">
        <v>45775</v>
      </c>
      <c r="C261" s="283" t="s">
        <v>1146</v>
      </c>
      <c r="F261" s="283" t="s">
        <v>1716</v>
      </c>
      <c r="G261" s="262">
        <v>2800802</v>
      </c>
      <c r="H261" s="258">
        <v>150000</v>
      </c>
      <c r="I261" s="262">
        <v>1</v>
      </c>
      <c r="J261" s="259">
        <v>85000</v>
      </c>
      <c r="L261" s="258">
        <v>150000</v>
      </c>
      <c r="O261" s="262"/>
    </row>
    <row r="262" spans="1:15">
      <c r="A262" s="264">
        <v>261</v>
      </c>
      <c r="B262" s="257">
        <v>45775</v>
      </c>
      <c r="C262" s="283" t="s">
        <v>1053</v>
      </c>
      <c r="F262" s="283" t="s">
        <v>1204</v>
      </c>
      <c r="G262" s="262" t="s">
        <v>1991</v>
      </c>
      <c r="H262" s="258">
        <v>1700000</v>
      </c>
      <c r="I262" s="262">
        <v>1</v>
      </c>
      <c r="L262" s="258">
        <v>1700000</v>
      </c>
      <c r="O262" s="262"/>
    </row>
    <row r="263" spans="1:15">
      <c r="A263" s="264">
        <v>262</v>
      </c>
      <c r="B263" s="257">
        <v>45775</v>
      </c>
      <c r="C263" s="283" t="s">
        <v>1053</v>
      </c>
      <c r="F263" s="283" t="s">
        <v>1124</v>
      </c>
      <c r="M263" s="258">
        <v>-1700000</v>
      </c>
      <c r="O263" s="262"/>
    </row>
    <row r="264" spans="1:15">
      <c r="A264" s="264">
        <v>263</v>
      </c>
      <c r="B264" s="257">
        <v>45775</v>
      </c>
      <c r="C264" s="283" t="s">
        <v>1531</v>
      </c>
      <c r="F264" s="283" t="s">
        <v>1742</v>
      </c>
      <c r="H264" s="258">
        <v>650000</v>
      </c>
      <c r="I264" s="262">
        <v>1</v>
      </c>
      <c r="L264" s="258">
        <v>650000</v>
      </c>
      <c r="O264" s="262"/>
    </row>
    <row r="265" spans="1:15">
      <c r="A265" s="264">
        <v>264</v>
      </c>
      <c r="B265" s="257">
        <v>45775</v>
      </c>
      <c r="C265" s="283" t="s">
        <v>1443</v>
      </c>
      <c r="F265" s="283" t="s">
        <v>1997</v>
      </c>
      <c r="M265" s="258">
        <v>-300000</v>
      </c>
      <c r="O265" s="262"/>
    </row>
    <row r="266" spans="1:15">
      <c r="A266" s="264">
        <v>265</v>
      </c>
      <c r="B266" s="257">
        <v>45776</v>
      </c>
      <c r="C266" s="283" t="s">
        <v>2014</v>
      </c>
      <c r="F266" s="283" t="s">
        <v>1795</v>
      </c>
      <c r="G266" s="262" t="s">
        <v>1794</v>
      </c>
      <c r="H266" s="258">
        <v>30000</v>
      </c>
      <c r="I266" s="262">
        <v>1</v>
      </c>
      <c r="J266" s="259">
        <v>16000</v>
      </c>
      <c r="L266" s="258">
        <v>30000</v>
      </c>
      <c r="O266" s="262"/>
    </row>
    <row r="267" spans="1:15">
      <c r="A267" s="264">
        <v>266</v>
      </c>
      <c r="B267" s="257">
        <v>45776</v>
      </c>
      <c r="C267" s="283" t="s">
        <v>2014</v>
      </c>
      <c r="F267" s="283" t="s">
        <v>1822</v>
      </c>
      <c r="G267" s="262" t="s">
        <v>1821</v>
      </c>
      <c r="H267" s="258">
        <v>10000</v>
      </c>
      <c r="I267" s="262">
        <v>1</v>
      </c>
      <c r="J267" s="259">
        <v>8500</v>
      </c>
      <c r="L267" s="258">
        <v>10000</v>
      </c>
      <c r="O267" s="262"/>
    </row>
    <row r="268" spans="1:15">
      <c r="A268" s="264">
        <v>267</v>
      </c>
      <c r="B268" s="257">
        <v>45776</v>
      </c>
      <c r="C268" s="283" t="s">
        <v>2014</v>
      </c>
      <c r="F268" s="283" t="s">
        <v>2012</v>
      </c>
      <c r="G268" s="262" t="s">
        <v>2011</v>
      </c>
      <c r="H268" s="258">
        <v>10000</v>
      </c>
      <c r="I268" s="262">
        <v>1</v>
      </c>
      <c r="J268" s="259">
        <v>5500</v>
      </c>
      <c r="L268" s="258">
        <v>10000</v>
      </c>
      <c r="O268" s="262"/>
    </row>
    <row r="269" spans="1:15">
      <c r="A269" s="264">
        <v>268</v>
      </c>
      <c r="B269" s="257">
        <v>45776</v>
      </c>
      <c r="C269" s="283" t="s">
        <v>2014</v>
      </c>
      <c r="F269" s="283" t="s">
        <v>1207</v>
      </c>
      <c r="G269" s="262" t="s">
        <v>1206</v>
      </c>
      <c r="H269" s="258">
        <v>549000</v>
      </c>
      <c r="I269" s="262">
        <v>1</v>
      </c>
      <c r="J269" s="259">
        <v>480000</v>
      </c>
      <c r="L269" s="258">
        <v>549000</v>
      </c>
      <c r="O269" s="262"/>
    </row>
    <row r="270" spans="1:15">
      <c r="A270" s="264">
        <v>269</v>
      </c>
      <c r="B270" s="257">
        <v>45776</v>
      </c>
      <c r="C270" s="283" t="s">
        <v>2014</v>
      </c>
      <c r="F270" s="283" t="s">
        <v>2013</v>
      </c>
      <c r="H270" s="258">
        <v>600000</v>
      </c>
      <c r="I270" s="262">
        <v>1</v>
      </c>
      <c r="L270" s="258">
        <v>600000</v>
      </c>
      <c r="O270" s="262"/>
    </row>
    <row r="271" spans="1:15">
      <c r="A271" s="264">
        <v>270</v>
      </c>
      <c r="B271" s="257">
        <v>45776</v>
      </c>
      <c r="C271" s="283" t="s">
        <v>2014</v>
      </c>
      <c r="F271" s="283" t="s">
        <v>1641</v>
      </c>
      <c r="G271" s="262">
        <v>50229</v>
      </c>
      <c r="H271" s="258">
        <v>75000</v>
      </c>
      <c r="I271" s="262">
        <v>1</v>
      </c>
      <c r="L271" s="258">
        <v>75000</v>
      </c>
      <c r="O271" s="262"/>
    </row>
    <row r="272" spans="1:15">
      <c r="A272" s="264">
        <v>271</v>
      </c>
      <c r="B272" s="257">
        <v>45776</v>
      </c>
      <c r="C272" s="283" t="s">
        <v>2014</v>
      </c>
      <c r="F272" s="283" t="s">
        <v>1901</v>
      </c>
      <c r="G272" s="262" t="s">
        <v>1900</v>
      </c>
      <c r="H272" s="258">
        <v>20000</v>
      </c>
      <c r="I272" s="262">
        <v>1</v>
      </c>
      <c r="J272" s="259">
        <v>13000</v>
      </c>
      <c r="L272" s="258">
        <v>20000</v>
      </c>
      <c r="O272" s="262"/>
    </row>
    <row r="273" spans="1:15">
      <c r="A273" s="264">
        <v>272</v>
      </c>
      <c r="B273" s="257">
        <v>45776</v>
      </c>
      <c r="C273" s="283" t="s">
        <v>1808</v>
      </c>
      <c r="F273" s="283" t="s">
        <v>1124</v>
      </c>
      <c r="M273" s="258">
        <v>-350000</v>
      </c>
      <c r="O273" s="262"/>
    </row>
    <row r="274" spans="1:15">
      <c r="A274" s="264">
        <v>273</v>
      </c>
      <c r="B274" s="257">
        <v>45776</v>
      </c>
      <c r="C274" s="283" t="s">
        <v>1721</v>
      </c>
      <c r="F274" s="283" t="s">
        <v>1202</v>
      </c>
      <c r="G274" s="262" t="s">
        <v>1751</v>
      </c>
      <c r="H274" s="258">
        <v>1200000</v>
      </c>
      <c r="I274" s="262">
        <v>1</v>
      </c>
      <c r="L274" s="258">
        <v>1200000</v>
      </c>
      <c r="O274" s="262"/>
    </row>
    <row r="275" spans="1:15">
      <c r="A275" s="264">
        <v>274</v>
      </c>
      <c r="B275" s="257">
        <v>45776</v>
      </c>
      <c r="C275" s="283" t="s">
        <v>1721</v>
      </c>
      <c r="F275" s="283" t="s">
        <v>1495</v>
      </c>
      <c r="H275" s="258">
        <v>350000</v>
      </c>
      <c r="I275" s="262">
        <v>1</v>
      </c>
      <c r="L275" s="258">
        <v>350000</v>
      </c>
      <c r="O275" s="262"/>
    </row>
    <row r="276" spans="1:15">
      <c r="A276" s="264">
        <v>275</v>
      </c>
      <c r="B276" s="257">
        <v>45776</v>
      </c>
      <c r="C276" s="283" t="s">
        <v>2023</v>
      </c>
      <c r="F276" s="283" t="s">
        <v>2022</v>
      </c>
      <c r="G276" s="262" t="s">
        <v>2021</v>
      </c>
      <c r="H276" s="258">
        <v>550000</v>
      </c>
      <c r="I276" s="262">
        <v>1</v>
      </c>
      <c r="L276" s="258">
        <v>550000</v>
      </c>
      <c r="O276" s="262"/>
    </row>
    <row r="277" spans="1:15">
      <c r="A277" s="264">
        <v>276</v>
      </c>
      <c r="B277" s="257">
        <v>45776</v>
      </c>
      <c r="C277" s="283" t="s">
        <v>1979</v>
      </c>
      <c r="F277" s="283" t="s">
        <v>1642</v>
      </c>
      <c r="G277" s="262" t="s">
        <v>1199</v>
      </c>
      <c r="H277" s="258">
        <v>1000000</v>
      </c>
      <c r="I277" s="262">
        <v>1</v>
      </c>
      <c r="L277" s="258">
        <v>1000000</v>
      </c>
      <c r="O277" s="262"/>
    </row>
    <row r="278" spans="1:15">
      <c r="A278" s="264">
        <v>277</v>
      </c>
      <c r="B278" s="257">
        <v>45776</v>
      </c>
      <c r="C278" s="283" t="s">
        <v>1746</v>
      </c>
      <c r="F278" s="283" t="s">
        <v>2026</v>
      </c>
      <c r="G278" s="262" t="s">
        <v>1215</v>
      </c>
      <c r="H278" s="258">
        <v>1200000</v>
      </c>
      <c r="I278" s="58">
        <v>1</v>
      </c>
      <c r="K278" s="259">
        <v>120000</v>
      </c>
      <c r="L278" s="258">
        <v>1320000</v>
      </c>
      <c r="O278" s="262"/>
    </row>
    <row r="279" spans="1:15">
      <c r="A279" s="264">
        <v>278</v>
      </c>
      <c r="B279" s="257">
        <v>45776</v>
      </c>
      <c r="C279" s="283" t="s">
        <v>1979</v>
      </c>
      <c r="F279" s="283" t="s">
        <v>1265</v>
      </c>
      <c r="G279" s="262" t="s">
        <v>1264</v>
      </c>
      <c r="H279" s="258">
        <v>50000</v>
      </c>
      <c r="I279" s="262">
        <v>10</v>
      </c>
      <c r="L279" s="258">
        <v>500000</v>
      </c>
      <c r="O279" s="262"/>
    </row>
    <row r="280" spans="1:15">
      <c r="A280" s="264">
        <v>279</v>
      </c>
      <c r="B280" s="257">
        <v>45776</v>
      </c>
      <c r="C280" s="283" t="s">
        <v>1979</v>
      </c>
      <c r="F280" s="283" t="s">
        <v>1704</v>
      </c>
      <c r="G280" s="262" t="s">
        <v>1703</v>
      </c>
      <c r="H280" s="258">
        <v>50000</v>
      </c>
      <c r="I280" s="262">
        <v>5</v>
      </c>
      <c r="L280" s="258">
        <v>250000</v>
      </c>
      <c r="O280" s="262"/>
    </row>
    <row r="281" spans="1:15">
      <c r="A281" s="264">
        <v>280</v>
      </c>
      <c r="B281" s="257">
        <v>45776</v>
      </c>
      <c r="C281" s="283" t="s">
        <v>1979</v>
      </c>
      <c r="F281" s="283" t="s">
        <v>2028</v>
      </c>
      <c r="H281" s="258">
        <v>84000</v>
      </c>
      <c r="I281" s="262">
        <v>5</v>
      </c>
      <c r="L281" s="258">
        <v>420000</v>
      </c>
      <c r="O281" s="262"/>
    </row>
    <row r="282" spans="1:15">
      <c r="A282" s="264">
        <v>281</v>
      </c>
      <c r="B282" s="257">
        <v>45776</v>
      </c>
      <c r="C282" s="283" t="s">
        <v>1979</v>
      </c>
      <c r="F282" s="283" t="s">
        <v>1795</v>
      </c>
      <c r="G282" s="262" t="s">
        <v>1794</v>
      </c>
      <c r="H282" s="258">
        <v>35000</v>
      </c>
      <c r="I282" s="262">
        <v>5</v>
      </c>
      <c r="J282" s="259">
        <v>16000</v>
      </c>
      <c r="L282" s="258">
        <v>175000</v>
      </c>
      <c r="O282" s="262"/>
    </row>
    <row r="283" spans="1:15">
      <c r="A283" s="264">
        <v>282</v>
      </c>
      <c r="B283" s="257">
        <v>45777</v>
      </c>
      <c r="C283" s="283" t="s">
        <v>1007</v>
      </c>
      <c r="F283" s="283" t="s">
        <v>1548</v>
      </c>
      <c r="G283" s="262">
        <v>24152333903</v>
      </c>
      <c r="H283" s="258">
        <v>50000</v>
      </c>
      <c r="I283" s="262">
        <v>2</v>
      </c>
      <c r="L283" s="258">
        <v>100000</v>
      </c>
      <c r="O283" s="262"/>
    </row>
    <row r="284" spans="1:15">
      <c r="A284" s="264">
        <v>283</v>
      </c>
      <c r="B284" s="257">
        <v>45777</v>
      </c>
      <c r="C284" s="283" t="s">
        <v>1443</v>
      </c>
      <c r="F284" s="283" t="s">
        <v>2031</v>
      </c>
      <c r="H284" s="258">
        <v>1000000</v>
      </c>
      <c r="I284" s="262">
        <v>1</v>
      </c>
      <c r="L284" s="258">
        <v>1000000</v>
      </c>
      <c r="O284" s="262"/>
    </row>
    <row r="285" spans="1:15">
      <c r="A285" s="264">
        <v>284</v>
      </c>
      <c r="B285" s="257">
        <v>45777</v>
      </c>
      <c r="C285" s="283" t="s">
        <v>2033</v>
      </c>
      <c r="F285" s="283" t="s">
        <v>2036</v>
      </c>
      <c r="H285" s="258">
        <v>1200000</v>
      </c>
      <c r="I285" s="262">
        <v>1</v>
      </c>
      <c r="L285" s="258">
        <v>1200000</v>
      </c>
      <c r="O285" s="262"/>
    </row>
    <row r="286" spans="1:15">
      <c r="A286" s="264">
        <v>285</v>
      </c>
      <c r="B286" s="257">
        <v>45777</v>
      </c>
      <c r="C286" s="283" t="s">
        <v>2038</v>
      </c>
      <c r="F286" s="283" t="s">
        <v>1643</v>
      </c>
      <c r="G286" s="262" t="s">
        <v>1200</v>
      </c>
      <c r="H286" s="258">
        <v>1500000</v>
      </c>
      <c r="I286" s="262">
        <v>1</v>
      </c>
      <c r="L286" s="258">
        <v>1500000</v>
      </c>
      <c r="O286" s="262"/>
    </row>
    <row r="287" spans="1:15">
      <c r="A287" s="264">
        <v>286</v>
      </c>
      <c r="B287" s="257">
        <v>45777</v>
      </c>
      <c r="C287" s="283" t="s">
        <v>2038</v>
      </c>
      <c r="F287" s="283" t="s">
        <v>1574</v>
      </c>
      <c r="G287" s="262" t="s">
        <v>1802</v>
      </c>
      <c r="H287" s="258">
        <v>50000</v>
      </c>
      <c r="I287" s="262">
        <v>1</v>
      </c>
      <c r="J287" s="259">
        <v>33000</v>
      </c>
      <c r="L287" s="258">
        <v>50000</v>
      </c>
      <c r="O287" s="262"/>
    </row>
    <row r="288" spans="1:15">
      <c r="A288" s="264">
        <v>287</v>
      </c>
      <c r="B288" s="257">
        <v>45777</v>
      </c>
      <c r="C288" s="283" t="s">
        <v>2038</v>
      </c>
      <c r="F288" s="283" t="s">
        <v>1720</v>
      </c>
      <c r="G288" s="262" t="s">
        <v>1719</v>
      </c>
      <c r="H288" s="258">
        <v>60000</v>
      </c>
      <c r="I288" s="262">
        <v>1</v>
      </c>
      <c r="J288" s="259">
        <v>40000</v>
      </c>
      <c r="L288" s="258">
        <v>60000</v>
      </c>
      <c r="O288" s="262"/>
    </row>
    <row r="289" spans="1:15">
      <c r="A289" s="264">
        <v>288</v>
      </c>
      <c r="B289" s="257">
        <v>45777</v>
      </c>
      <c r="C289" s="283" t="s">
        <v>1046</v>
      </c>
      <c r="F289" s="283" t="s">
        <v>2042</v>
      </c>
      <c r="H289" s="258">
        <v>1000000</v>
      </c>
      <c r="I289" s="262">
        <v>1</v>
      </c>
      <c r="L289" s="258">
        <v>1000000</v>
      </c>
      <c r="O289" s="262"/>
    </row>
    <row r="290" spans="1:15">
      <c r="A290" s="264">
        <v>289</v>
      </c>
      <c r="B290" s="257">
        <v>45777</v>
      </c>
      <c r="C290" s="283" t="s">
        <v>1576</v>
      </c>
      <c r="F290" s="283" t="s">
        <v>1742</v>
      </c>
      <c r="H290" s="258">
        <v>650000</v>
      </c>
      <c r="I290" s="262">
        <v>1</v>
      </c>
      <c r="K290" s="259">
        <v>65000</v>
      </c>
      <c r="L290" s="258">
        <v>715000</v>
      </c>
      <c r="O290" s="262"/>
    </row>
    <row r="291" spans="1:15">
      <c r="A291" s="264">
        <v>290</v>
      </c>
      <c r="B291" s="257">
        <v>45777</v>
      </c>
      <c r="C291" s="283" t="s">
        <v>2045</v>
      </c>
      <c r="F291" s="283" t="s">
        <v>2048</v>
      </c>
      <c r="H291" s="258">
        <v>900000</v>
      </c>
      <c r="I291" s="262">
        <v>1</v>
      </c>
      <c r="K291" s="259">
        <v>90000</v>
      </c>
      <c r="L291" s="258">
        <v>990000</v>
      </c>
      <c r="O291" s="262"/>
    </row>
    <row r="292" spans="1:15">
      <c r="A292" s="264">
        <v>291</v>
      </c>
      <c r="B292" s="257">
        <v>45777</v>
      </c>
      <c r="C292" s="283" t="s">
        <v>1553</v>
      </c>
      <c r="F292" s="283" t="s">
        <v>1213</v>
      </c>
      <c r="G292" s="262" t="s">
        <v>1212</v>
      </c>
      <c r="H292" s="258">
        <v>1600000</v>
      </c>
      <c r="I292" s="262">
        <v>1</v>
      </c>
      <c r="L292" s="258">
        <v>1600000</v>
      </c>
      <c r="O292" s="262"/>
    </row>
    <row r="293" spans="1:15">
      <c r="A293" s="264">
        <v>292</v>
      </c>
      <c r="B293" s="257">
        <v>45747</v>
      </c>
      <c r="C293" s="283" t="s">
        <v>1035</v>
      </c>
      <c r="F293" s="283" t="s">
        <v>1669</v>
      </c>
      <c r="M293" s="258">
        <v>-1585000</v>
      </c>
      <c r="O293" s="262"/>
    </row>
    <row r="294" spans="1:15">
      <c r="A294" s="264">
        <v>293</v>
      </c>
      <c r="B294" s="257">
        <v>45776</v>
      </c>
      <c r="C294" s="283" t="s">
        <v>2052</v>
      </c>
      <c r="F294" s="283" t="s">
        <v>1669</v>
      </c>
      <c r="M294" s="258">
        <v>-550000</v>
      </c>
      <c r="O294" s="262"/>
    </row>
    <row r="295" spans="1:15">
      <c r="A295" s="264">
        <v>294</v>
      </c>
      <c r="B295" s="257">
        <v>45777</v>
      </c>
      <c r="C295" s="283" t="s">
        <v>1576</v>
      </c>
      <c r="F295" s="283" t="s">
        <v>1124</v>
      </c>
      <c r="M295" s="258">
        <v>-4620900</v>
      </c>
      <c r="O295" s="262"/>
    </row>
    <row r="296" spans="1:15">
      <c r="A296" s="264">
        <v>295</v>
      </c>
      <c r="B296" s="257">
        <v>45777</v>
      </c>
      <c r="C296" s="283" t="s">
        <v>2038</v>
      </c>
      <c r="F296" s="283" t="s">
        <v>1124</v>
      </c>
      <c r="M296" s="258">
        <v>-1610000</v>
      </c>
      <c r="O296" s="262"/>
    </row>
    <row r="297" spans="1:15">
      <c r="A297" s="264">
        <v>296</v>
      </c>
      <c r="B297" s="257">
        <v>45777</v>
      </c>
      <c r="C297" s="283" t="s">
        <v>1146</v>
      </c>
      <c r="F297" s="283" t="s">
        <v>1124</v>
      </c>
      <c r="M297" s="258">
        <v>-924000</v>
      </c>
      <c r="O297" s="262"/>
    </row>
    <row r="298" spans="1:15">
      <c r="A298" s="264">
        <v>297</v>
      </c>
      <c r="B298" s="257">
        <v>45775</v>
      </c>
      <c r="C298" s="283" t="s">
        <v>1979</v>
      </c>
      <c r="F298" s="283" t="s">
        <v>1207</v>
      </c>
      <c r="G298" s="262" t="s">
        <v>1206</v>
      </c>
      <c r="H298" s="258">
        <v>549000</v>
      </c>
      <c r="I298" s="262">
        <v>2</v>
      </c>
      <c r="J298" s="259">
        <v>480000</v>
      </c>
      <c r="L298" s="258">
        <v>1098000</v>
      </c>
      <c r="O298" s="262"/>
    </row>
    <row r="299" spans="1:15">
      <c r="A299" s="264">
        <v>298</v>
      </c>
      <c r="B299" s="257">
        <v>45777</v>
      </c>
      <c r="C299" s="283" t="s">
        <v>1979</v>
      </c>
      <c r="F299" s="283" t="s">
        <v>1124</v>
      </c>
      <c r="M299" s="258">
        <v>-3443000</v>
      </c>
      <c r="O299" s="262"/>
    </row>
    <row r="300" spans="1:15">
      <c r="A300" s="264">
        <v>299</v>
      </c>
      <c r="B300" s="257">
        <v>45777</v>
      </c>
      <c r="C300" s="283" t="s">
        <v>1540</v>
      </c>
      <c r="F300" s="283" t="s">
        <v>1124</v>
      </c>
      <c r="M300" s="258">
        <v>-1700000</v>
      </c>
      <c r="O300" s="262"/>
    </row>
    <row r="301" spans="1:15">
      <c r="A301" s="264">
        <v>300</v>
      </c>
      <c r="B301" s="257">
        <v>45778</v>
      </c>
      <c r="C301" s="283" t="s">
        <v>1187</v>
      </c>
      <c r="F301" s="283" t="s">
        <v>1669</v>
      </c>
      <c r="M301" s="258">
        <v>-990000</v>
      </c>
      <c r="O301" s="262"/>
    </row>
    <row r="302" spans="1:15">
      <c r="A302" s="264">
        <v>301</v>
      </c>
      <c r="B302" s="257">
        <v>45772</v>
      </c>
      <c r="C302" s="283" t="s">
        <v>1976</v>
      </c>
      <c r="F302" s="283" t="s">
        <v>1124</v>
      </c>
      <c r="M302" s="258">
        <v>-1100000</v>
      </c>
      <c r="O302" s="262"/>
    </row>
    <row r="303" spans="1:15">
      <c r="A303" s="264">
        <v>302</v>
      </c>
      <c r="B303" s="257">
        <v>45778</v>
      </c>
      <c r="C303" s="283" t="s">
        <v>1443</v>
      </c>
      <c r="F303" s="283" t="s">
        <v>1124</v>
      </c>
      <c r="M303" s="258">
        <v>-10000000</v>
      </c>
      <c r="O303" s="262"/>
    </row>
    <row r="304" spans="1:15">
      <c r="A304" s="264">
        <v>303</v>
      </c>
      <c r="B304" s="257">
        <v>45778</v>
      </c>
      <c r="C304" s="283" t="s">
        <v>1466</v>
      </c>
      <c r="F304" s="283" t="s">
        <v>1124</v>
      </c>
      <c r="M304" s="258">
        <v>-1400000</v>
      </c>
      <c r="O304" s="262"/>
    </row>
    <row r="305" spans="1:15">
      <c r="A305" s="264">
        <v>304</v>
      </c>
      <c r="B305" s="257">
        <v>45777</v>
      </c>
      <c r="C305" s="283" t="s">
        <v>2014</v>
      </c>
      <c r="F305" s="283" t="s">
        <v>1124</v>
      </c>
      <c r="M305" s="258">
        <v>-1294000</v>
      </c>
      <c r="O305" s="262"/>
    </row>
    <row r="306" spans="1:15">
      <c r="A306" s="264">
        <v>305</v>
      </c>
      <c r="B306" s="257">
        <v>45778</v>
      </c>
      <c r="C306" s="283" t="s">
        <v>1398</v>
      </c>
      <c r="F306" s="283" t="s">
        <v>1124</v>
      </c>
      <c r="M306" s="258">
        <v>-7200000</v>
      </c>
      <c r="O306" s="262"/>
    </row>
    <row r="307" spans="1:15">
      <c r="A307" s="264">
        <v>306</v>
      </c>
      <c r="B307" s="257">
        <v>45778</v>
      </c>
      <c r="C307" s="283" t="s">
        <v>1579</v>
      </c>
      <c r="F307" s="283" t="s">
        <v>1643</v>
      </c>
      <c r="G307" s="262" t="s">
        <v>1200</v>
      </c>
      <c r="H307" s="258">
        <v>1500000</v>
      </c>
      <c r="I307" s="262">
        <v>1</v>
      </c>
      <c r="K307" s="259">
        <v>150000</v>
      </c>
      <c r="L307" s="258">
        <v>1650000</v>
      </c>
      <c r="O307" s="262"/>
    </row>
    <row r="308" spans="1:15">
      <c r="A308" s="264">
        <v>307</v>
      </c>
      <c r="B308" s="257">
        <v>45778</v>
      </c>
      <c r="C308" s="283" t="s">
        <v>1579</v>
      </c>
      <c r="F308" s="283" t="s">
        <v>1574</v>
      </c>
      <c r="G308" s="262" t="s">
        <v>1802</v>
      </c>
      <c r="H308" s="258">
        <v>50000</v>
      </c>
      <c r="I308" s="262">
        <v>1</v>
      </c>
      <c r="J308" s="259">
        <v>33000</v>
      </c>
      <c r="K308" s="259">
        <v>5000</v>
      </c>
      <c r="L308" s="258">
        <v>55000</v>
      </c>
      <c r="O308" s="262"/>
    </row>
    <row r="309" spans="1:15">
      <c r="A309" s="264">
        <v>308</v>
      </c>
      <c r="B309" s="257">
        <v>45778</v>
      </c>
      <c r="C309" s="283" t="s">
        <v>1579</v>
      </c>
      <c r="F309" s="283" t="s">
        <v>2055</v>
      </c>
      <c r="M309" s="258">
        <v>-1000000</v>
      </c>
      <c r="O309" s="262"/>
    </row>
    <row r="310" spans="1:15">
      <c r="A310" s="264">
        <v>309</v>
      </c>
      <c r="B310" s="257">
        <v>45779</v>
      </c>
      <c r="C310" s="283" t="s">
        <v>1553</v>
      </c>
      <c r="F310" s="283" t="s">
        <v>1124</v>
      </c>
      <c r="M310" s="258">
        <v>-550000</v>
      </c>
      <c r="O310" s="262"/>
    </row>
    <row r="311" spans="1:15">
      <c r="A311" s="264">
        <v>310</v>
      </c>
      <c r="B311" s="257">
        <v>45779</v>
      </c>
      <c r="C311" s="283" t="s">
        <v>2033</v>
      </c>
      <c r="F311" s="283" t="s">
        <v>1124</v>
      </c>
      <c r="M311" s="258">
        <v>-1200000</v>
      </c>
      <c r="O311" s="262"/>
    </row>
    <row r="312" spans="1:15">
      <c r="A312" s="264">
        <v>311</v>
      </c>
      <c r="B312" s="257">
        <v>45777</v>
      </c>
      <c r="C312" s="283" t="s">
        <v>1721</v>
      </c>
      <c r="F312" s="283" t="s">
        <v>1716</v>
      </c>
      <c r="G312" s="262">
        <v>2800802</v>
      </c>
      <c r="H312" s="258">
        <v>150000</v>
      </c>
      <c r="I312" s="262">
        <v>1</v>
      </c>
      <c r="J312" s="259">
        <v>85000</v>
      </c>
      <c r="L312" s="258">
        <v>150000</v>
      </c>
      <c r="O312" s="262"/>
    </row>
    <row r="313" spans="1:15">
      <c r="A313" s="264">
        <v>312</v>
      </c>
      <c r="B313" s="257">
        <v>45779</v>
      </c>
      <c r="C313" s="283" t="s">
        <v>1579</v>
      </c>
      <c r="F313" s="283" t="s">
        <v>1265</v>
      </c>
      <c r="G313" s="262" t="s">
        <v>1264</v>
      </c>
      <c r="H313" s="258">
        <v>50000</v>
      </c>
      <c r="I313" s="262">
        <v>2</v>
      </c>
      <c r="K313" s="259">
        <v>10000</v>
      </c>
      <c r="L313" s="258">
        <v>110000</v>
      </c>
      <c r="O313" s="262"/>
    </row>
    <row r="314" spans="1:15">
      <c r="A314" s="264">
        <v>313</v>
      </c>
      <c r="B314" s="257">
        <v>45779</v>
      </c>
      <c r="C314" s="283" t="s">
        <v>1976</v>
      </c>
      <c r="F314" s="283" t="s">
        <v>1977</v>
      </c>
      <c r="G314" s="262" t="s">
        <v>1197</v>
      </c>
      <c r="H314" s="258">
        <v>1000000</v>
      </c>
      <c r="I314" s="262">
        <v>1</v>
      </c>
      <c r="L314" s="258">
        <v>1000000</v>
      </c>
      <c r="O314" s="262"/>
    </row>
    <row r="315" spans="1:15">
      <c r="A315" s="264">
        <v>314</v>
      </c>
      <c r="B315" s="257">
        <v>45779</v>
      </c>
      <c r="C315" s="283" t="s">
        <v>1398</v>
      </c>
      <c r="F315" s="289" t="s">
        <v>2520</v>
      </c>
      <c r="G315" s="262">
        <v>415072909</v>
      </c>
      <c r="H315" s="258">
        <v>378000</v>
      </c>
      <c r="I315" s="262">
        <v>1</v>
      </c>
      <c r="L315" s="258">
        <v>378000</v>
      </c>
      <c r="O315" s="262"/>
    </row>
    <row r="316" spans="1:15">
      <c r="A316" s="264">
        <v>315</v>
      </c>
      <c r="B316" s="257">
        <v>45779</v>
      </c>
      <c r="C316" s="283" t="s">
        <v>1398</v>
      </c>
      <c r="F316" s="283" t="s">
        <v>1154</v>
      </c>
      <c r="H316" s="258">
        <v>1500000</v>
      </c>
      <c r="I316" s="262">
        <v>1</v>
      </c>
      <c r="L316" s="258">
        <v>1500000</v>
      </c>
      <c r="O316" s="262"/>
    </row>
    <row r="317" spans="1:15">
      <c r="A317" s="264">
        <v>316</v>
      </c>
      <c r="B317" s="257">
        <v>45780</v>
      </c>
      <c r="C317" s="283" t="s">
        <v>1976</v>
      </c>
      <c r="F317" s="283" t="s">
        <v>1669</v>
      </c>
      <c r="M317" s="258">
        <v>-1000000</v>
      </c>
      <c r="O317" s="262"/>
    </row>
    <row r="318" spans="1:15">
      <c r="A318" s="264">
        <v>317</v>
      </c>
      <c r="B318" s="257">
        <v>45780</v>
      </c>
      <c r="C318" s="283" t="s">
        <v>1579</v>
      </c>
      <c r="F318" s="283" t="s">
        <v>2076</v>
      </c>
      <c r="M318" s="258">
        <v>-1815000</v>
      </c>
      <c r="O318" s="262"/>
    </row>
    <row r="319" spans="1:15">
      <c r="A319" s="264">
        <v>318</v>
      </c>
      <c r="B319" s="257">
        <v>45780</v>
      </c>
      <c r="C319" s="283" t="s">
        <v>1960</v>
      </c>
      <c r="F319" s="283" t="s">
        <v>2074</v>
      </c>
      <c r="H319" s="258">
        <v>1000000</v>
      </c>
      <c r="I319" s="262">
        <v>1</v>
      </c>
      <c r="L319" s="258">
        <v>1000000</v>
      </c>
      <c r="O319" s="262"/>
    </row>
    <row r="320" spans="1:15">
      <c r="A320" s="264">
        <v>319</v>
      </c>
      <c r="B320" s="257">
        <v>45782</v>
      </c>
      <c r="C320" s="283" t="s">
        <v>2077</v>
      </c>
      <c r="F320" s="283" t="s">
        <v>1204</v>
      </c>
      <c r="G320" s="262" t="s">
        <v>1203</v>
      </c>
      <c r="H320" s="258">
        <v>1200000</v>
      </c>
      <c r="I320" s="262">
        <v>1</v>
      </c>
      <c r="L320" s="258">
        <v>1200000</v>
      </c>
      <c r="O320" s="262"/>
    </row>
    <row r="321" spans="1:15">
      <c r="A321" s="264">
        <v>320</v>
      </c>
      <c r="B321" s="257">
        <v>45782</v>
      </c>
      <c r="C321" s="283" t="s">
        <v>1007</v>
      </c>
      <c r="F321" s="283" t="s">
        <v>1716</v>
      </c>
      <c r="G321" s="262">
        <v>2800802</v>
      </c>
      <c r="H321" s="258">
        <v>140000</v>
      </c>
      <c r="I321" s="262">
        <v>1</v>
      </c>
      <c r="J321" s="259">
        <v>85000</v>
      </c>
      <c r="L321" s="258">
        <v>140000</v>
      </c>
      <c r="O321" s="262"/>
    </row>
    <row r="322" spans="1:15">
      <c r="A322" s="264">
        <v>321</v>
      </c>
      <c r="B322" s="257">
        <v>45783</v>
      </c>
      <c r="C322" s="283" t="s">
        <v>1540</v>
      </c>
      <c r="F322" s="283" t="s">
        <v>2022</v>
      </c>
      <c r="G322" s="262">
        <v>501220522</v>
      </c>
      <c r="H322" s="258">
        <v>450000</v>
      </c>
      <c r="I322" s="262">
        <v>1</v>
      </c>
      <c r="L322" s="258">
        <v>450000</v>
      </c>
      <c r="O322" s="262"/>
    </row>
    <row r="323" spans="1:15">
      <c r="A323" s="264">
        <v>322</v>
      </c>
      <c r="B323" s="257">
        <v>45783</v>
      </c>
      <c r="C323" s="283" t="s">
        <v>1398</v>
      </c>
      <c r="F323" s="283" t="s">
        <v>1202</v>
      </c>
      <c r="G323" s="262" t="s">
        <v>1751</v>
      </c>
      <c r="H323" s="258">
        <v>1200000</v>
      </c>
      <c r="I323" s="262">
        <v>1</v>
      </c>
      <c r="L323" s="258">
        <v>1200000</v>
      </c>
      <c r="O323" s="262"/>
    </row>
    <row r="324" spans="1:15">
      <c r="A324" s="264">
        <v>323</v>
      </c>
      <c r="B324" s="257">
        <v>45783</v>
      </c>
      <c r="C324" s="283" t="s">
        <v>1468</v>
      </c>
      <c r="F324" s="283" t="s">
        <v>1495</v>
      </c>
      <c r="H324" s="258">
        <v>350000</v>
      </c>
      <c r="I324" s="262">
        <v>1</v>
      </c>
      <c r="L324" s="258">
        <v>350000</v>
      </c>
      <c r="O324" s="262"/>
    </row>
    <row r="325" spans="1:15">
      <c r="A325" s="264">
        <v>324</v>
      </c>
      <c r="B325" s="257">
        <v>45783</v>
      </c>
      <c r="C325" s="283" t="s">
        <v>1398</v>
      </c>
      <c r="F325" s="283" t="s">
        <v>2083</v>
      </c>
      <c r="G325" s="262" t="s">
        <v>1751</v>
      </c>
      <c r="H325" s="258">
        <v>650000</v>
      </c>
      <c r="I325" s="262">
        <v>1</v>
      </c>
      <c r="L325" s="258">
        <v>650000</v>
      </c>
      <c r="O325" s="262"/>
    </row>
    <row r="326" spans="1:15">
      <c r="A326" s="264">
        <v>325</v>
      </c>
      <c r="B326" s="257">
        <v>45784</v>
      </c>
      <c r="C326" s="283" t="s">
        <v>1960</v>
      </c>
      <c r="F326" s="283" t="s">
        <v>1124</v>
      </c>
      <c r="M326" s="258">
        <v>-1000000</v>
      </c>
      <c r="O326" s="262"/>
    </row>
    <row r="327" spans="1:15">
      <c r="A327" s="264">
        <v>326</v>
      </c>
      <c r="B327" s="257">
        <v>45784</v>
      </c>
      <c r="C327" s="283" t="s">
        <v>1305</v>
      </c>
      <c r="F327" s="283" t="s">
        <v>1642</v>
      </c>
      <c r="G327" s="262" t="s">
        <v>1199</v>
      </c>
      <c r="H327" s="258">
        <v>1400000</v>
      </c>
      <c r="I327" s="262">
        <v>1</v>
      </c>
      <c r="L327" s="258">
        <v>1400000</v>
      </c>
      <c r="O327" s="262"/>
    </row>
    <row r="328" spans="1:15">
      <c r="A328" s="264">
        <v>327</v>
      </c>
      <c r="B328" s="257">
        <v>45784</v>
      </c>
      <c r="C328" s="283" t="s">
        <v>1305</v>
      </c>
      <c r="F328" s="283" t="s">
        <v>1207</v>
      </c>
      <c r="G328" s="262" t="s">
        <v>1206</v>
      </c>
      <c r="H328" s="258">
        <v>549000</v>
      </c>
      <c r="I328" s="262">
        <v>1</v>
      </c>
      <c r="J328" s="259">
        <v>480000</v>
      </c>
      <c r="L328" s="258">
        <v>549000</v>
      </c>
      <c r="O328" s="262"/>
    </row>
    <row r="329" spans="1:15">
      <c r="A329" s="264">
        <v>328</v>
      </c>
      <c r="B329" s="257">
        <v>45784</v>
      </c>
      <c r="C329" s="283" t="s">
        <v>2088</v>
      </c>
      <c r="F329" s="283" t="s">
        <v>1643</v>
      </c>
      <c r="G329" s="262" t="s">
        <v>1200</v>
      </c>
      <c r="H329" s="258">
        <v>1500000</v>
      </c>
      <c r="I329" s="262">
        <v>1</v>
      </c>
      <c r="K329" s="259">
        <v>150000</v>
      </c>
      <c r="L329" s="258">
        <v>1650000</v>
      </c>
      <c r="O329" s="262"/>
    </row>
    <row r="330" spans="1:15">
      <c r="A330" s="264">
        <v>329</v>
      </c>
      <c r="B330" s="257">
        <v>45784</v>
      </c>
      <c r="C330" s="283" t="s">
        <v>2088</v>
      </c>
      <c r="F330" s="283" t="s">
        <v>1574</v>
      </c>
      <c r="G330" s="262" t="s">
        <v>1802</v>
      </c>
      <c r="H330" s="258">
        <v>50000</v>
      </c>
      <c r="I330" s="262">
        <v>1</v>
      </c>
      <c r="J330" s="259">
        <v>33000</v>
      </c>
      <c r="K330" s="259">
        <v>5000</v>
      </c>
      <c r="L330" s="258">
        <v>55000</v>
      </c>
      <c r="O330" s="262"/>
    </row>
    <row r="331" spans="1:15">
      <c r="A331" s="264">
        <v>330</v>
      </c>
      <c r="B331" s="257">
        <v>45784</v>
      </c>
      <c r="C331" s="283" t="s">
        <v>1305</v>
      </c>
      <c r="F331" s="283" t="s">
        <v>1124</v>
      </c>
      <c r="M331" s="258">
        <v>-1949000</v>
      </c>
      <c r="O331" s="262"/>
    </row>
    <row r="332" spans="1:15">
      <c r="A332" s="264">
        <v>331</v>
      </c>
      <c r="B332" s="257">
        <v>45784</v>
      </c>
      <c r="C332" s="283" t="s">
        <v>1007</v>
      </c>
      <c r="F332" s="283" t="s">
        <v>1124</v>
      </c>
      <c r="M332" s="258">
        <v>-100000</v>
      </c>
      <c r="O332" s="262"/>
    </row>
    <row r="333" spans="1:15">
      <c r="A333" s="264">
        <v>332</v>
      </c>
      <c r="B333" s="257">
        <v>45784</v>
      </c>
      <c r="C333" s="283" t="s">
        <v>1553</v>
      </c>
      <c r="F333" s="283" t="s">
        <v>1124</v>
      </c>
      <c r="M333" s="258">
        <v>-1600000</v>
      </c>
      <c r="O333" s="262"/>
    </row>
    <row r="334" spans="1:15">
      <c r="A334" s="264">
        <v>333</v>
      </c>
      <c r="B334" s="257">
        <v>45784</v>
      </c>
      <c r="C334" s="283" t="s">
        <v>2088</v>
      </c>
      <c r="F334" s="283" t="s">
        <v>1124</v>
      </c>
      <c r="M334" s="258">
        <v>-1705000</v>
      </c>
      <c r="O334" s="262"/>
    </row>
    <row r="335" spans="1:15">
      <c r="A335" s="264">
        <v>334</v>
      </c>
      <c r="B335" s="257">
        <v>45784</v>
      </c>
      <c r="C335" s="283" t="s">
        <v>1398</v>
      </c>
      <c r="F335" s="283" t="s">
        <v>2090</v>
      </c>
      <c r="G335" s="262">
        <v>1068298046</v>
      </c>
      <c r="H335" s="258">
        <v>450000</v>
      </c>
      <c r="I335" s="262">
        <v>1</v>
      </c>
      <c r="L335" s="258">
        <v>450000</v>
      </c>
      <c r="O335" s="262"/>
    </row>
    <row r="336" spans="1:15">
      <c r="A336" s="264">
        <v>335</v>
      </c>
      <c r="B336" s="257">
        <v>45784</v>
      </c>
      <c r="C336" s="283" t="s">
        <v>1398</v>
      </c>
      <c r="F336" s="283" t="s">
        <v>1548</v>
      </c>
      <c r="G336" s="262">
        <v>24152333907</v>
      </c>
      <c r="H336" s="258">
        <v>50000</v>
      </c>
      <c r="I336" s="262">
        <v>1</v>
      </c>
      <c r="L336" s="258">
        <v>50000</v>
      </c>
      <c r="O336" s="262"/>
    </row>
    <row r="337" spans="1:15">
      <c r="A337" s="264">
        <v>336</v>
      </c>
      <c r="B337" s="257">
        <v>45784</v>
      </c>
      <c r="C337" s="283" t="s">
        <v>2088</v>
      </c>
      <c r="F337" s="283" t="s">
        <v>1643</v>
      </c>
      <c r="G337" s="262" t="s">
        <v>1200</v>
      </c>
      <c r="H337" s="258">
        <v>1500000</v>
      </c>
      <c r="I337" s="262">
        <v>1</v>
      </c>
      <c r="K337" s="259">
        <v>150000</v>
      </c>
      <c r="L337" s="258">
        <v>1650000</v>
      </c>
      <c r="O337" s="262"/>
    </row>
    <row r="338" spans="1:15">
      <c r="A338" s="264">
        <v>337</v>
      </c>
      <c r="B338" s="257">
        <v>45784</v>
      </c>
      <c r="C338" s="283" t="s">
        <v>2088</v>
      </c>
      <c r="F338" s="283" t="s">
        <v>1574</v>
      </c>
      <c r="G338" s="262" t="s">
        <v>1802</v>
      </c>
      <c r="H338" s="258">
        <v>50000</v>
      </c>
      <c r="I338" s="262">
        <v>1</v>
      </c>
      <c r="J338" s="259">
        <v>33000</v>
      </c>
      <c r="K338" s="259">
        <v>5000</v>
      </c>
      <c r="L338" s="258">
        <v>55000</v>
      </c>
      <c r="O338" s="262"/>
    </row>
    <row r="339" spans="1:15">
      <c r="A339" s="264">
        <v>338</v>
      </c>
      <c r="B339" s="257">
        <v>45784</v>
      </c>
      <c r="C339" s="283" t="s">
        <v>2094</v>
      </c>
      <c r="F339" s="283" t="s">
        <v>1643</v>
      </c>
      <c r="G339" s="262" t="s">
        <v>1200</v>
      </c>
      <c r="H339" s="258">
        <v>1500000</v>
      </c>
      <c r="I339" s="262">
        <v>1</v>
      </c>
      <c r="L339" s="258">
        <v>1500000</v>
      </c>
      <c r="O339" s="262"/>
    </row>
    <row r="340" spans="1:15">
      <c r="A340" s="264">
        <v>339</v>
      </c>
      <c r="B340" s="257">
        <v>45784</v>
      </c>
      <c r="C340" s="283" t="s">
        <v>2094</v>
      </c>
      <c r="F340" s="283" t="s">
        <v>1574</v>
      </c>
      <c r="G340" s="262" t="s">
        <v>1802</v>
      </c>
      <c r="H340" s="258">
        <v>50000</v>
      </c>
      <c r="I340" s="262">
        <v>1</v>
      </c>
      <c r="J340" s="259">
        <v>33000</v>
      </c>
      <c r="L340" s="258">
        <v>50000</v>
      </c>
      <c r="O340" s="262"/>
    </row>
    <row r="341" spans="1:15">
      <c r="A341" s="264">
        <v>340</v>
      </c>
      <c r="B341" s="257">
        <v>45784</v>
      </c>
      <c r="C341" s="283" t="s">
        <v>2094</v>
      </c>
      <c r="F341" s="283" t="s">
        <v>1720</v>
      </c>
      <c r="G341" s="262" t="s">
        <v>1719</v>
      </c>
      <c r="H341" s="258">
        <v>60000</v>
      </c>
      <c r="I341" s="262">
        <v>1</v>
      </c>
      <c r="J341" s="259">
        <v>40000</v>
      </c>
      <c r="L341" s="258">
        <v>60000</v>
      </c>
      <c r="O341" s="262"/>
    </row>
    <row r="342" spans="1:15">
      <c r="A342" s="264">
        <v>341</v>
      </c>
      <c r="B342" s="257">
        <v>45784</v>
      </c>
      <c r="C342" s="283" t="s">
        <v>2094</v>
      </c>
      <c r="F342" s="283" t="s">
        <v>1124</v>
      </c>
      <c r="M342" s="258">
        <v>-1610000</v>
      </c>
      <c r="O342" s="262"/>
    </row>
    <row r="343" spans="1:15">
      <c r="A343" s="264">
        <v>342</v>
      </c>
      <c r="B343" s="257">
        <v>45785</v>
      </c>
      <c r="C343" s="283" t="s">
        <v>2088</v>
      </c>
      <c r="F343" s="283" t="s">
        <v>1124</v>
      </c>
      <c r="M343" s="258">
        <v>-1705000</v>
      </c>
      <c r="O343" s="262"/>
    </row>
    <row r="344" spans="1:15">
      <c r="A344" s="264">
        <v>343</v>
      </c>
      <c r="B344" s="257">
        <v>45785</v>
      </c>
      <c r="C344" s="283" t="s">
        <v>1327</v>
      </c>
      <c r="F344" s="283" t="s">
        <v>2210</v>
      </c>
      <c r="H344" s="258">
        <v>1000000</v>
      </c>
      <c r="I344" s="262">
        <v>1</v>
      </c>
      <c r="L344" s="258">
        <v>1000000</v>
      </c>
      <c r="O344" s="262"/>
    </row>
    <row r="345" spans="1:15">
      <c r="A345" s="264">
        <v>344</v>
      </c>
      <c r="B345" s="257">
        <v>45785</v>
      </c>
      <c r="C345" s="283" t="s">
        <v>1721</v>
      </c>
      <c r="F345" s="283" t="s">
        <v>1128</v>
      </c>
      <c r="G345" s="262" t="s">
        <v>1463</v>
      </c>
      <c r="H345" s="258">
        <v>1500000</v>
      </c>
      <c r="I345" s="262">
        <v>1</v>
      </c>
      <c r="L345" s="258">
        <v>1500000</v>
      </c>
      <c r="O345" s="262"/>
    </row>
    <row r="346" spans="1:15">
      <c r="A346" s="264">
        <v>345</v>
      </c>
      <c r="B346" s="257">
        <v>45786</v>
      </c>
      <c r="C346" s="283" t="s">
        <v>2077</v>
      </c>
      <c r="F346" s="283" t="s">
        <v>1124</v>
      </c>
      <c r="M346" s="258">
        <v>-1200000</v>
      </c>
      <c r="O346" s="262"/>
    </row>
    <row r="347" spans="1:15">
      <c r="A347" s="264">
        <v>346</v>
      </c>
      <c r="B347" s="257">
        <v>45786</v>
      </c>
      <c r="C347" s="283" t="s">
        <v>1468</v>
      </c>
      <c r="F347" s="283" t="s">
        <v>1124</v>
      </c>
      <c r="M347" s="258">
        <v>-350000</v>
      </c>
      <c r="O347" s="262"/>
    </row>
    <row r="348" spans="1:15">
      <c r="A348" s="264">
        <v>347</v>
      </c>
      <c r="B348" s="257">
        <v>45786</v>
      </c>
      <c r="C348" s="283" t="s">
        <v>1721</v>
      </c>
      <c r="F348" s="283" t="s">
        <v>1124</v>
      </c>
      <c r="M348" s="258">
        <v>-5172700</v>
      </c>
      <c r="O348" s="262"/>
    </row>
    <row r="349" spans="1:15">
      <c r="A349" s="264">
        <v>348</v>
      </c>
      <c r="B349" s="257">
        <v>45777</v>
      </c>
      <c r="C349" s="283" t="s">
        <v>1531</v>
      </c>
      <c r="F349" s="283" t="s">
        <v>1124</v>
      </c>
      <c r="M349" s="258">
        <v>-650000</v>
      </c>
      <c r="O349" s="262"/>
    </row>
    <row r="350" spans="1:15">
      <c r="A350" s="264">
        <v>349</v>
      </c>
      <c r="B350" s="257">
        <v>45786</v>
      </c>
      <c r="C350" s="283" t="s">
        <v>1046</v>
      </c>
      <c r="F350" s="283" t="s">
        <v>1124</v>
      </c>
      <c r="M350" s="258">
        <v>-1000000</v>
      </c>
      <c r="O350" s="262"/>
    </row>
    <row r="351" spans="1:15">
      <c r="A351" s="264">
        <v>350</v>
      </c>
      <c r="B351" s="257">
        <v>45786</v>
      </c>
      <c r="C351" s="283" t="s">
        <v>1305</v>
      </c>
      <c r="F351" s="283" t="s">
        <v>1964</v>
      </c>
      <c r="G351" s="262" t="s">
        <v>2108</v>
      </c>
      <c r="H351" s="258">
        <v>700000</v>
      </c>
      <c r="I351" s="262">
        <v>1</v>
      </c>
      <c r="L351" s="258">
        <v>700000</v>
      </c>
      <c r="O351" s="262"/>
    </row>
    <row r="352" spans="1:15">
      <c r="A352" s="264">
        <v>351</v>
      </c>
      <c r="B352" s="257">
        <v>45786</v>
      </c>
      <c r="C352" s="283" t="s">
        <v>2014</v>
      </c>
      <c r="F352" s="283" t="s">
        <v>2106</v>
      </c>
      <c r="G352" s="262">
        <v>36050661</v>
      </c>
      <c r="H352" s="258">
        <v>1200000</v>
      </c>
      <c r="I352" s="262">
        <v>1</v>
      </c>
      <c r="J352" s="259">
        <v>440000</v>
      </c>
      <c r="L352" s="258">
        <v>1200000</v>
      </c>
      <c r="O352" s="262"/>
    </row>
    <row r="353" spans="1:15">
      <c r="A353" s="264">
        <v>352</v>
      </c>
      <c r="B353" s="257">
        <v>45786</v>
      </c>
      <c r="C353" s="283" t="s">
        <v>1280</v>
      </c>
      <c r="F353" s="283" t="s">
        <v>2339</v>
      </c>
      <c r="H353" s="258">
        <v>50000</v>
      </c>
      <c r="I353" s="262">
        <v>1</v>
      </c>
      <c r="J353" s="259">
        <v>35000</v>
      </c>
      <c r="L353" s="258">
        <v>50000</v>
      </c>
      <c r="O353" s="262"/>
    </row>
    <row r="354" spans="1:15">
      <c r="A354" s="264">
        <v>353</v>
      </c>
      <c r="B354" s="257">
        <v>45786</v>
      </c>
      <c r="C354" s="283" t="s">
        <v>1280</v>
      </c>
      <c r="F354" s="283" t="s">
        <v>2086</v>
      </c>
      <c r="G354" s="262" t="s">
        <v>2340</v>
      </c>
      <c r="H354" s="258">
        <v>550000</v>
      </c>
      <c r="I354" s="262">
        <v>1</v>
      </c>
      <c r="L354" s="258">
        <v>550000</v>
      </c>
      <c r="O354" s="262"/>
    </row>
    <row r="355" spans="1:15">
      <c r="A355" s="264">
        <v>354</v>
      </c>
      <c r="B355" s="257">
        <v>45787</v>
      </c>
      <c r="C355" s="283" t="s">
        <v>1789</v>
      </c>
      <c r="F355" s="283" t="s">
        <v>1124</v>
      </c>
      <c r="M355" s="258">
        <v>-1190000</v>
      </c>
      <c r="O355" s="262"/>
    </row>
    <row r="356" spans="1:15">
      <c r="A356" s="264">
        <v>355</v>
      </c>
      <c r="B356" s="257">
        <v>45787</v>
      </c>
      <c r="C356" s="283" t="s">
        <v>1305</v>
      </c>
      <c r="F356" s="283" t="s">
        <v>1745</v>
      </c>
      <c r="M356" s="258">
        <v>-700000</v>
      </c>
      <c r="O356" s="262"/>
    </row>
    <row r="357" spans="1:15">
      <c r="A357" s="264">
        <v>356</v>
      </c>
      <c r="B357" s="257">
        <v>45787</v>
      </c>
      <c r="C357" s="283" t="s">
        <v>2014</v>
      </c>
      <c r="F357" s="283" t="s">
        <v>1745</v>
      </c>
      <c r="M357" s="258">
        <v>-1200000</v>
      </c>
      <c r="O357" s="262"/>
    </row>
    <row r="358" spans="1:15">
      <c r="A358" s="264">
        <v>357</v>
      </c>
      <c r="B358" s="257">
        <v>45787</v>
      </c>
      <c r="C358" s="283" t="s">
        <v>1789</v>
      </c>
      <c r="F358" s="283" t="s">
        <v>1745</v>
      </c>
      <c r="M358" s="258">
        <v>-558000</v>
      </c>
      <c r="O358" s="262"/>
    </row>
    <row r="359" spans="1:15">
      <c r="A359" s="264">
        <v>358</v>
      </c>
      <c r="B359" s="257">
        <v>45789</v>
      </c>
      <c r="C359" s="283" t="s">
        <v>2305</v>
      </c>
      <c r="F359" s="283" t="s">
        <v>1494</v>
      </c>
      <c r="H359" s="258">
        <v>650000</v>
      </c>
      <c r="I359" s="262">
        <v>1</v>
      </c>
      <c r="K359" s="259">
        <v>65000</v>
      </c>
      <c r="L359" s="258">
        <v>715000</v>
      </c>
      <c r="O359" s="262"/>
    </row>
    <row r="360" spans="1:15">
      <c r="A360" s="264">
        <v>359</v>
      </c>
      <c r="B360" s="257">
        <v>45789</v>
      </c>
      <c r="C360" s="283" t="s">
        <v>2305</v>
      </c>
      <c r="F360" s="283" t="s">
        <v>1124</v>
      </c>
      <c r="M360" s="258">
        <v>-715000</v>
      </c>
      <c r="O360" s="262"/>
    </row>
    <row r="361" spans="1:15">
      <c r="A361" s="264">
        <v>360</v>
      </c>
      <c r="B361" s="257">
        <v>45789</v>
      </c>
      <c r="C361" s="283" t="s">
        <v>1443</v>
      </c>
      <c r="F361" s="283" t="s">
        <v>2090</v>
      </c>
      <c r="G361" s="262">
        <v>1068298046</v>
      </c>
      <c r="H361" s="258">
        <v>450000</v>
      </c>
      <c r="I361" s="262">
        <v>1</v>
      </c>
      <c r="L361" s="258">
        <v>450000</v>
      </c>
      <c r="O361" s="262"/>
    </row>
    <row r="362" spans="1:15">
      <c r="A362" s="264">
        <v>361</v>
      </c>
      <c r="B362" s="257">
        <v>45789</v>
      </c>
      <c r="C362" s="283" t="s">
        <v>1976</v>
      </c>
      <c r="F362" s="283" t="s">
        <v>1202</v>
      </c>
      <c r="G362" s="262" t="s">
        <v>1751</v>
      </c>
      <c r="H362" s="258">
        <v>1300000</v>
      </c>
      <c r="I362" s="262">
        <v>1</v>
      </c>
      <c r="L362" s="258">
        <v>1300000</v>
      </c>
      <c r="O362" s="262"/>
    </row>
    <row r="363" spans="1:15">
      <c r="A363" s="264">
        <v>362</v>
      </c>
      <c r="B363" s="257">
        <v>45789</v>
      </c>
      <c r="C363" s="283" t="s">
        <v>1597</v>
      </c>
      <c r="F363" s="283" t="s">
        <v>1207</v>
      </c>
      <c r="G363" s="262" t="s">
        <v>1206</v>
      </c>
      <c r="H363" s="258">
        <v>499091</v>
      </c>
      <c r="I363" s="262">
        <v>1</v>
      </c>
      <c r="J363" s="259">
        <v>480000</v>
      </c>
      <c r="K363" s="259">
        <v>49909</v>
      </c>
      <c r="L363" s="258">
        <v>549000</v>
      </c>
      <c r="O363" s="262"/>
    </row>
    <row r="364" spans="1:15">
      <c r="A364" s="264">
        <v>363</v>
      </c>
      <c r="B364" s="257">
        <v>45789</v>
      </c>
      <c r="C364" s="283" t="s">
        <v>1453</v>
      </c>
      <c r="F364" s="283" t="s">
        <v>2125</v>
      </c>
      <c r="H364" s="258">
        <v>200000</v>
      </c>
      <c r="I364" s="262">
        <v>1</v>
      </c>
      <c r="L364" s="258">
        <v>200000</v>
      </c>
      <c r="O364" s="262"/>
    </row>
    <row r="365" spans="1:15">
      <c r="A365" s="264">
        <v>364</v>
      </c>
      <c r="B365" s="257">
        <v>45789</v>
      </c>
      <c r="C365" s="283" t="s">
        <v>1453</v>
      </c>
      <c r="F365" s="283" t="s">
        <v>2126</v>
      </c>
      <c r="H365" s="258">
        <v>250000</v>
      </c>
      <c r="I365" s="262">
        <v>1</v>
      </c>
      <c r="L365" s="258">
        <v>250000</v>
      </c>
      <c r="O365" s="262"/>
    </row>
    <row r="366" spans="1:15">
      <c r="A366" s="264">
        <v>365</v>
      </c>
      <c r="B366" s="257">
        <v>45789</v>
      </c>
      <c r="C366" s="283" t="s">
        <v>1146</v>
      </c>
      <c r="F366" s="283" t="s">
        <v>2128</v>
      </c>
      <c r="H366" s="258">
        <v>1100000</v>
      </c>
      <c r="I366" s="262">
        <v>1</v>
      </c>
      <c r="L366" s="258">
        <v>1100000</v>
      </c>
      <c r="O366" s="262"/>
    </row>
    <row r="367" spans="1:15">
      <c r="A367" s="264">
        <v>366</v>
      </c>
      <c r="B367" s="257">
        <v>45789</v>
      </c>
      <c r="C367" s="283" t="s">
        <v>2132</v>
      </c>
      <c r="F367" s="283" t="s">
        <v>1643</v>
      </c>
      <c r="G367" s="262" t="s">
        <v>1200</v>
      </c>
      <c r="H367" s="258">
        <v>1500000</v>
      </c>
      <c r="I367" s="262">
        <v>1</v>
      </c>
      <c r="K367" s="259">
        <v>150000</v>
      </c>
      <c r="L367" s="258">
        <v>1650000</v>
      </c>
      <c r="O367" s="262"/>
    </row>
    <row r="368" spans="1:15">
      <c r="A368" s="264">
        <v>367</v>
      </c>
      <c r="B368" s="257">
        <v>45789</v>
      </c>
      <c r="C368" s="283" t="s">
        <v>1398</v>
      </c>
      <c r="F368" s="283" t="s">
        <v>2136</v>
      </c>
      <c r="H368" s="258">
        <v>1650000</v>
      </c>
      <c r="I368" s="262">
        <v>1</v>
      </c>
      <c r="L368" s="258">
        <v>1650000</v>
      </c>
      <c r="O368" s="262"/>
    </row>
    <row r="369" spans="1:15">
      <c r="A369" s="264">
        <v>368</v>
      </c>
      <c r="B369" s="257">
        <v>45790</v>
      </c>
      <c r="C369" s="283" t="s">
        <v>2132</v>
      </c>
      <c r="F369" s="283" t="s">
        <v>1124</v>
      </c>
      <c r="M369" s="258">
        <v>-1650000</v>
      </c>
      <c r="O369" s="262"/>
    </row>
    <row r="370" spans="1:15">
      <c r="A370" s="264">
        <v>369</v>
      </c>
      <c r="B370" s="257">
        <v>45790</v>
      </c>
      <c r="C370" s="283" t="s">
        <v>1597</v>
      </c>
      <c r="F370" s="283" t="s">
        <v>1124</v>
      </c>
      <c r="M370" s="258">
        <v>-549000</v>
      </c>
      <c r="O370" s="262"/>
    </row>
    <row r="371" spans="1:15">
      <c r="A371" s="264">
        <v>370</v>
      </c>
      <c r="B371" s="257">
        <v>45790</v>
      </c>
      <c r="C371" s="283" t="s">
        <v>1448</v>
      </c>
      <c r="F371" s="283" t="s">
        <v>1139</v>
      </c>
      <c r="H371" s="258">
        <v>1000000</v>
      </c>
      <c r="I371" s="262">
        <v>1</v>
      </c>
      <c r="L371" s="258">
        <v>1000000</v>
      </c>
      <c r="O371" s="262"/>
    </row>
    <row r="372" spans="1:15">
      <c r="A372" s="264">
        <v>371</v>
      </c>
      <c r="B372" s="257">
        <v>45790</v>
      </c>
      <c r="C372" s="283" t="s">
        <v>1448</v>
      </c>
      <c r="F372" s="283" t="s">
        <v>2090</v>
      </c>
      <c r="G372" s="262">
        <v>1068298046</v>
      </c>
      <c r="H372" s="258">
        <v>450000</v>
      </c>
      <c r="I372" s="262">
        <v>1</v>
      </c>
      <c r="L372" s="258">
        <v>450000</v>
      </c>
      <c r="O372" s="262"/>
    </row>
    <row r="373" spans="1:15">
      <c r="A373" s="264">
        <v>372</v>
      </c>
      <c r="B373" s="257">
        <v>45790</v>
      </c>
      <c r="C373" s="283" t="s">
        <v>1930</v>
      </c>
      <c r="F373" s="283" t="s">
        <v>2090</v>
      </c>
      <c r="G373" s="262">
        <v>1068298046</v>
      </c>
      <c r="H373" s="258">
        <v>500000</v>
      </c>
      <c r="I373" s="262">
        <v>1</v>
      </c>
      <c r="L373" s="258">
        <v>500000</v>
      </c>
      <c r="O373" s="262"/>
    </row>
    <row r="374" spans="1:15">
      <c r="A374" s="264">
        <v>373</v>
      </c>
      <c r="B374" s="257">
        <v>45790</v>
      </c>
      <c r="C374" s="283" t="s">
        <v>1930</v>
      </c>
      <c r="F374" s="283" t="s">
        <v>1548</v>
      </c>
      <c r="G374" s="262">
        <v>24152333903</v>
      </c>
      <c r="H374" s="258">
        <v>50000</v>
      </c>
      <c r="I374" s="262">
        <v>1</v>
      </c>
      <c r="L374" s="258">
        <v>50000</v>
      </c>
      <c r="O374" s="262"/>
    </row>
    <row r="375" spans="1:15">
      <c r="A375" s="264">
        <v>374</v>
      </c>
      <c r="B375" s="257">
        <v>45790</v>
      </c>
      <c r="C375" s="283" t="s">
        <v>1329</v>
      </c>
      <c r="F375" s="283" t="s">
        <v>2162</v>
      </c>
      <c r="G375" s="262" t="s">
        <v>2161</v>
      </c>
      <c r="H375" s="258">
        <v>200000</v>
      </c>
      <c r="I375" s="262">
        <v>1</v>
      </c>
      <c r="L375" s="258">
        <v>200000</v>
      </c>
      <c r="O375" s="262"/>
    </row>
    <row r="376" spans="1:15">
      <c r="A376" s="264">
        <v>375</v>
      </c>
      <c r="B376" s="257">
        <v>45790</v>
      </c>
      <c r="C376" s="283" t="s">
        <v>1789</v>
      </c>
      <c r="F376" s="283" t="s">
        <v>1207</v>
      </c>
      <c r="G376" s="262" t="s">
        <v>1206</v>
      </c>
      <c r="H376" s="258">
        <v>549000</v>
      </c>
      <c r="I376" s="262">
        <v>1</v>
      </c>
      <c r="J376" s="259">
        <v>480000</v>
      </c>
      <c r="L376" s="258">
        <v>549000</v>
      </c>
      <c r="O376" s="262"/>
    </row>
    <row r="377" spans="1:15">
      <c r="A377" s="264">
        <v>376</v>
      </c>
      <c r="B377" s="257">
        <v>45790</v>
      </c>
      <c r="C377" s="283" t="s">
        <v>2144</v>
      </c>
      <c r="F377" s="283" t="s">
        <v>1702</v>
      </c>
      <c r="G377" s="262">
        <v>7252703114</v>
      </c>
      <c r="H377" s="258">
        <v>129000</v>
      </c>
      <c r="I377" s="262">
        <v>1</v>
      </c>
      <c r="J377" s="259">
        <v>70000</v>
      </c>
      <c r="L377" s="258">
        <v>129000</v>
      </c>
      <c r="O377" s="262"/>
    </row>
    <row r="378" spans="1:15">
      <c r="A378" s="264">
        <v>377</v>
      </c>
      <c r="B378" s="257">
        <v>45790</v>
      </c>
      <c r="C378" s="283" t="s">
        <v>2148</v>
      </c>
      <c r="F378" s="283" t="s">
        <v>1716</v>
      </c>
      <c r="G378" s="262">
        <v>2800802</v>
      </c>
      <c r="H378" s="258">
        <v>150000</v>
      </c>
      <c r="I378" s="262">
        <v>3</v>
      </c>
      <c r="J378" s="259">
        <v>85000</v>
      </c>
      <c r="L378" s="258">
        <v>450000</v>
      </c>
      <c r="O378" s="262"/>
    </row>
    <row r="379" spans="1:15">
      <c r="A379" s="264">
        <v>378</v>
      </c>
      <c r="B379" s="257">
        <v>45790</v>
      </c>
      <c r="C379" s="283" t="s">
        <v>1398</v>
      </c>
      <c r="F379" s="283" t="s">
        <v>2151</v>
      </c>
      <c r="H379" s="258">
        <v>1550000</v>
      </c>
      <c r="I379" s="262">
        <v>1</v>
      </c>
      <c r="L379" s="258">
        <v>1550000</v>
      </c>
      <c r="O379" s="262"/>
    </row>
    <row r="380" spans="1:15">
      <c r="A380" s="264">
        <v>379</v>
      </c>
      <c r="B380" s="257">
        <v>45790</v>
      </c>
      <c r="C380" s="283" t="s">
        <v>1305</v>
      </c>
      <c r="F380" s="283" t="s">
        <v>2154</v>
      </c>
      <c r="H380" s="258">
        <v>990000</v>
      </c>
      <c r="I380" s="262">
        <v>1</v>
      </c>
      <c r="J380" s="259">
        <v>940000</v>
      </c>
      <c r="L380" s="258">
        <v>990000</v>
      </c>
      <c r="O380" s="262"/>
    </row>
    <row r="381" spans="1:15">
      <c r="A381" s="264">
        <v>380</v>
      </c>
      <c r="B381" s="257">
        <v>45790</v>
      </c>
      <c r="C381" s="283" t="s">
        <v>2144</v>
      </c>
      <c r="F381" s="283" t="s">
        <v>1124</v>
      </c>
      <c r="M381" s="258">
        <v>-129000</v>
      </c>
      <c r="O381" s="262"/>
    </row>
    <row r="382" spans="1:15">
      <c r="A382" s="264">
        <v>381</v>
      </c>
      <c r="B382" s="257">
        <v>45790</v>
      </c>
      <c r="C382" s="283" t="s">
        <v>1670</v>
      </c>
      <c r="F382" s="283" t="s">
        <v>2157</v>
      </c>
      <c r="H382" s="258">
        <v>1000000</v>
      </c>
      <c r="I382" s="262">
        <v>1</v>
      </c>
      <c r="K382" s="259">
        <v>100000</v>
      </c>
      <c r="L382" s="258">
        <v>1100000</v>
      </c>
      <c r="O382" s="262"/>
    </row>
    <row r="383" spans="1:15">
      <c r="A383" s="264">
        <v>382</v>
      </c>
      <c r="B383" s="257">
        <v>45790</v>
      </c>
      <c r="C383" s="283" t="s">
        <v>1377</v>
      </c>
      <c r="F383" s="283" t="s">
        <v>2159</v>
      </c>
      <c r="H383" s="258">
        <v>1200000</v>
      </c>
      <c r="I383" s="262">
        <v>1</v>
      </c>
      <c r="L383" s="258">
        <v>1200000</v>
      </c>
      <c r="O383" s="262"/>
    </row>
    <row r="384" spans="1:15">
      <c r="A384" s="264">
        <v>383</v>
      </c>
      <c r="B384" s="257">
        <v>45790</v>
      </c>
      <c r="C384" s="283" t="s">
        <v>1976</v>
      </c>
      <c r="F384" s="283" t="s">
        <v>1124</v>
      </c>
      <c r="M384" s="258">
        <v>-1300000</v>
      </c>
      <c r="O384" s="262"/>
    </row>
    <row r="385" spans="1:15">
      <c r="A385" s="264">
        <v>384</v>
      </c>
      <c r="B385" s="257">
        <v>45791</v>
      </c>
      <c r="C385" s="283" t="s">
        <v>1377</v>
      </c>
      <c r="F385" s="283" t="s">
        <v>1124</v>
      </c>
      <c r="M385" s="258">
        <v>-1200000</v>
      </c>
      <c r="O385" s="262"/>
    </row>
    <row r="386" spans="1:15">
      <c r="A386" s="264">
        <v>385</v>
      </c>
      <c r="B386" s="257">
        <v>45791</v>
      </c>
      <c r="C386" s="283" t="s">
        <v>1721</v>
      </c>
      <c r="F386" s="283" t="s">
        <v>2036</v>
      </c>
      <c r="H386" s="258">
        <v>1200000</v>
      </c>
      <c r="I386" s="262">
        <v>1</v>
      </c>
      <c r="L386" s="258">
        <v>1200000</v>
      </c>
      <c r="O386" s="262"/>
    </row>
    <row r="387" spans="1:15">
      <c r="A387" s="264">
        <v>386</v>
      </c>
      <c r="B387" s="257">
        <v>45791</v>
      </c>
      <c r="C387" s="283" t="s">
        <v>1721</v>
      </c>
      <c r="F387" s="283" t="s">
        <v>2163</v>
      </c>
      <c r="H387" s="258">
        <v>150000</v>
      </c>
      <c r="I387" s="262">
        <v>1</v>
      </c>
      <c r="L387" s="258">
        <v>150000</v>
      </c>
      <c r="O387" s="262"/>
    </row>
    <row r="388" spans="1:15">
      <c r="A388" s="264">
        <v>387</v>
      </c>
      <c r="B388" s="257">
        <v>45791</v>
      </c>
      <c r="C388" s="283" t="s">
        <v>1448</v>
      </c>
      <c r="F388" s="283" t="s">
        <v>1124</v>
      </c>
      <c r="M388" s="258">
        <v>-1450000</v>
      </c>
      <c r="O388" s="262"/>
    </row>
    <row r="389" spans="1:15">
      <c r="A389" s="264">
        <v>388</v>
      </c>
      <c r="B389" s="257">
        <v>45791</v>
      </c>
      <c r="C389" s="283" t="s">
        <v>1305</v>
      </c>
      <c r="F389" s="283" t="s">
        <v>1124</v>
      </c>
      <c r="M389" s="258">
        <v>-990000</v>
      </c>
      <c r="O389" s="262"/>
    </row>
    <row r="390" spans="1:15">
      <c r="A390" s="264">
        <v>389</v>
      </c>
      <c r="B390" s="257">
        <v>45791</v>
      </c>
      <c r="C390" s="283" t="s">
        <v>2170</v>
      </c>
      <c r="F390" s="283" t="s">
        <v>1128</v>
      </c>
      <c r="G390" s="262" t="s">
        <v>1463</v>
      </c>
      <c r="H390" s="258">
        <v>1500000</v>
      </c>
      <c r="I390" s="262">
        <v>1</v>
      </c>
      <c r="L390" s="258">
        <v>1500000</v>
      </c>
      <c r="O390" s="262"/>
    </row>
    <row r="391" spans="1:15">
      <c r="A391" s="264">
        <v>390</v>
      </c>
      <c r="B391" s="257">
        <v>45791</v>
      </c>
      <c r="C391" s="283" t="s">
        <v>1018</v>
      </c>
      <c r="F391" s="283" t="s">
        <v>2520</v>
      </c>
      <c r="G391" s="262">
        <v>2295001282</v>
      </c>
      <c r="H391" s="258">
        <v>422000</v>
      </c>
      <c r="I391" s="262">
        <v>1</v>
      </c>
      <c r="L391" s="258">
        <v>422000</v>
      </c>
      <c r="O391" s="262"/>
    </row>
    <row r="392" spans="1:15">
      <c r="A392" s="264">
        <v>391</v>
      </c>
      <c r="B392" s="257">
        <v>45791</v>
      </c>
      <c r="C392" s="283" t="s">
        <v>1789</v>
      </c>
      <c r="F392" s="283" t="s">
        <v>1742</v>
      </c>
      <c r="H392" s="258">
        <v>680000</v>
      </c>
      <c r="I392" s="262">
        <v>1</v>
      </c>
      <c r="L392" s="258">
        <v>680000</v>
      </c>
      <c r="O392" s="262"/>
    </row>
    <row r="393" spans="1:15">
      <c r="A393" s="264">
        <v>392</v>
      </c>
      <c r="B393" s="257">
        <v>45791</v>
      </c>
      <c r="C393" s="283" t="s">
        <v>1597</v>
      </c>
      <c r="F393" s="283" t="s">
        <v>1202</v>
      </c>
      <c r="G393" s="262" t="s">
        <v>1360</v>
      </c>
      <c r="H393" s="258">
        <v>1000000</v>
      </c>
      <c r="I393" s="262">
        <v>1</v>
      </c>
      <c r="L393" s="258">
        <v>1000000</v>
      </c>
      <c r="O393" s="262"/>
    </row>
    <row r="394" spans="1:15">
      <c r="A394" s="264">
        <v>393</v>
      </c>
      <c r="B394" s="257">
        <v>45792</v>
      </c>
      <c r="C394" s="283" t="s">
        <v>1597</v>
      </c>
      <c r="F394" s="283" t="s">
        <v>1124</v>
      </c>
      <c r="M394" s="258">
        <v>-1000000</v>
      </c>
      <c r="O394" s="262"/>
    </row>
    <row r="395" spans="1:15">
      <c r="A395" s="264">
        <v>394</v>
      </c>
      <c r="B395" s="257">
        <v>45792</v>
      </c>
      <c r="C395" s="283" t="s">
        <v>1579</v>
      </c>
      <c r="F395" s="283" t="s">
        <v>2186</v>
      </c>
      <c r="G395" s="262" t="s">
        <v>1206</v>
      </c>
      <c r="H395" s="258">
        <v>499091</v>
      </c>
      <c r="I395" s="262">
        <v>1</v>
      </c>
      <c r="K395" s="259">
        <v>49909.100000000006</v>
      </c>
      <c r="L395" s="258">
        <v>549000.1</v>
      </c>
      <c r="O395" s="262"/>
    </row>
    <row r="396" spans="1:15">
      <c r="A396" s="264">
        <v>395</v>
      </c>
      <c r="B396" s="257">
        <v>45792</v>
      </c>
      <c r="C396" s="283" t="s">
        <v>2088</v>
      </c>
      <c r="F396" s="283" t="s">
        <v>2179</v>
      </c>
      <c r="G396" s="262" t="s">
        <v>1200</v>
      </c>
      <c r="H396" s="258">
        <v>1500000</v>
      </c>
      <c r="I396" s="262">
        <v>1</v>
      </c>
      <c r="L396" s="258">
        <v>1500000</v>
      </c>
      <c r="O396" s="262"/>
    </row>
    <row r="397" spans="1:15">
      <c r="A397" s="264">
        <v>396</v>
      </c>
      <c r="B397" s="257">
        <v>45792</v>
      </c>
      <c r="C397" s="283" t="s">
        <v>2088</v>
      </c>
      <c r="F397" s="283" t="s">
        <v>2180</v>
      </c>
      <c r="G397" s="262" t="s">
        <v>1802</v>
      </c>
      <c r="H397" s="258">
        <v>50000</v>
      </c>
      <c r="I397" s="262">
        <v>1</v>
      </c>
      <c r="J397" s="259">
        <v>33000</v>
      </c>
      <c r="L397" s="258">
        <v>50000</v>
      </c>
      <c r="O397" s="262"/>
    </row>
    <row r="398" spans="1:15">
      <c r="A398" s="264">
        <v>397</v>
      </c>
      <c r="B398" s="257">
        <v>45792</v>
      </c>
      <c r="C398" s="283" t="s">
        <v>2088</v>
      </c>
      <c r="F398" s="283" t="s">
        <v>1124</v>
      </c>
      <c r="M398" s="258">
        <v>-1550000</v>
      </c>
      <c r="O398" s="262"/>
    </row>
    <row r="399" spans="1:15">
      <c r="A399" s="264">
        <v>398</v>
      </c>
      <c r="B399" s="257">
        <v>45792</v>
      </c>
      <c r="C399" s="283" t="s">
        <v>1540</v>
      </c>
      <c r="F399" s="283" t="s">
        <v>2009</v>
      </c>
      <c r="H399" s="258">
        <v>2000000</v>
      </c>
      <c r="I399" s="262">
        <v>1</v>
      </c>
      <c r="L399" s="258">
        <v>2000000</v>
      </c>
      <c r="O399" s="262"/>
    </row>
    <row r="400" spans="1:15">
      <c r="A400" s="264">
        <v>399</v>
      </c>
      <c r="B400" s="257">
        <v>45792</v>
      </c>
      <c r="C400" s="283" t="s">
        <v>2100</v>
      </c>
      <c r="F400" s="283" t="s">
        <v>1124</v>
      </c>
      <c r="M400" s="258">
        <v>-1000000</v>
      </c>
      <c r="O400" s="262"/>
    </row>
    <row r="401" spans="1:15">
      <c r="A401" s="264">
        <v>400</v>
      </c>
      <c r="B401" s="257">
        <v>45792</v>
      </c>
      <c r="C401" s="283" t="s">
        <v>1746</v>
      </c>
      <c r="F401" s="283" t="s">
        <v>2189</v>
      </c>
      <c r="G401" s="262">
        <v>50229</v>
      </c>
      <c r="H401" s="258">
        <v>75000</v>
      </c>
      <c r="I401" s="58">
        <v>2</v>
      </c>
      <c r="K401" s="259">
        <v>15000</v>
      </c>
      <c r="L401" s="258">
        <v>165000</v>
      </c>
      <c r="O401" s="262"/>
    </row>
    <row r="402" spans="1:15">
      <c r="A402" s="264">
        <v>401</v>
      </c>
      <c r="B402" s="257">
        <v>45792</v>
      </c>
      <c r="C402" s="283" t="s">
        <v>2214</v>
      </c>
      <c r="F402" s="283" t="s">
        <v>2212</v>
      </c>
      <c r="H402" s="258">
        <v>500000</v>
      </c>
      <c r="I402" s="262">
        <v>1</v>
      </c>
      <c r="K402" s="259">
        <v>50000</v>
      </c>
      <c r="L402" s="258">
        <v>550000</v>
      </c>
      <c r="O402" s="262"/>
    </row>
    <row r="403" spans="1:15">
      <c r="A403" s="264">
        <v>402</v>
      </c>
      <c r="B403" s="257">
        <v>45792</v>
      </c>
      <c r="C403" s="283" t="s">
        <v>1869</v>
      </c>
      <c r="F403" s="283" t="s">
        <v>2179</v>
      </c>
      <c r="G403" s="262" t="s">
        <v>1200</v>
      </c>
      <c r="H403" s="258">
        <v>1500000</v>
      </c>
      <c r="I403" s="262">
        <v>1</v>
      </c>
      <c r="K403" s="259">
        <v>150000</v>
      </c>
      <c r="L403" s="258">
        <v>1650000</v>
      </c>
      <c r="O403" s="262"/>
    </row>
    <row r="404" spans="1:15">
      <c r="A404" s="264">
        <v>403</v>
      </c>
      <c r="B404" s="257">
        <v>45792</v>
      </c>
      <c r="C404" s="283" t="s">
        <v>1869</v>
      </c>
      <c r="F404" s="283" t="s">
        <v>2180</v>
      </c>
      <c r="G404" s="262" t="s">
        <v>1802</v>
      </c>
      <c r="H404" s="258">
        <v>50000</v>
      </c>
      <c r="I404" s="262">
        <v>1</v>
      </c>
      <c r="J404" s="259">
        <v>33000</v>
      </c>
      <c r="K404" s="259">
        <v>5000</v>
      </c>
      <c r="L404" s="258">
        <v>55000</v>
      </c>
      <c r="O404" s="262"/>
    </row>
    <row r="405" spans="1:15">
      <c r="A405" s="264">
        <v>404</v>
      </c>
      <c r="B405" s="257">
        <v>45792</v>
      </c>
      <c r="C405" s="283" t="s">
        <v>1869</v>
      </c>
      <c r="F405" s="283" t="s">
        <v>2181</v>
      </c>
      <c r="G405" s="262" t="s">
        <v>2216</v>
      </c>
      <c r="H405" s="258">
        <v>250000</v>
      </c>
      <c r="I405" s="262">
        <v>1</v>
      </c>
      <c r="J405" s="259">
        <v>45000</v>
      </c>
      <c r="K405" s="259">
        <v>25000</v>
      </c>
      <c r="L405" s="258">
        <v>275000</v>
      </c>
      <c r="O405" s="262"/>
    </row>
    <row r="406" spans="1:15">
      <c r="A406" s="264">
        <v>405</v>
      </c>
      <c r="B406" s="257">
        <v>45793</v>
      </c>
      <c r="C406" s="283" t="s">
        <v>1869</v>
      </c>
      <c r="F406" s="283" t="s">
        <v>1124</v>
      </c>
      <c r="M406" s="258">
        <v>-1980000</v>
      </c>
      <c r="O406" s="262"/>
    </row>
    <row r="407" spans="1:15">
      <c r="A407" s="264">
        <v>406</v>
      </c>
      <c r="B407" s="257">
        <v>45793</v>
      </c>
      <c r="C407" s="283" t="s">
        <v>2094</v>
      </c>
      <c r="F407" s="283" t="s">
        <v>2181</v>
      </c>
      <c r="G407" s="262" t="s">
        <v>2216</v>
      </c>
      <c r="H407" s="258">
        <v>250000</v>
      </c>
      <c r="I407" s="262">
        <v>1</v>
      </c>
      <c r="J407" s="259">
        <v>45000</v>
      </c>
      <c r="L407" s="258">
        <v>250000</v>
      </c>
      <c r="O407" s="262"/>
    </row>
    <row r="408" spans="1:15">
      <c r="A408" s="264">
        <v>407</v>
      </c>
      <c r="B408" s="257">
        <v>45793</v>
      </c>
      <c r="C408" s="283" t="s">
        <v>1930</v>
      </c>
      <c r="F408" s="283" t="s">
        <v>1124</v>
      </c>
      <c r="M408" s="258">
        <v>-550000</v>
      </c>
      <c r="O408" s="262"/>
    </row>
    <row r="409" spans="1:15">
      <c r="A409" s="264">
        <v>408</v>
      </c>
      <c r="B409" s="257">
        <v>45793</v>
      </c>
      <c r="C409" s="283" t="s">
        <v>1746</v>
      </c>
      <c r="F409" s="283" t="s">
        <v>2189</v>
      </c>
      <c r="G409" s="262">
        <v>50229</v>
      </c>
      <c r="H409" s="258">
        <v>75000</v>
      </c>
      <c r="I409" s="58">
        <v>2</v>
      </c>
      <c r="K409" s="259">
        <v>15000</v>
      </c>
      <c r="L409" s="258">
        <v>165000</v>
      </c>
      <c r="O409" s="262"/>
    </row>
    <row r="410" spans="1:15">
      <c r="A410" s="264">
        <v>409</v>
      </c>
      <c r="B410" s="257">
        <v>45793</v>
      </c>
      <c r="C410" s="283" t="s">
        <v>1746</v>
      </c>
      <c r="F410" s="283" t="s">
        <v>2187</v>
      </c>
      <c r="G410" s="262" t="s">
        <v>1258</v>
      </c>
      <c r="H410" s="258">
        <v>130000</v>
      </c>
      <c r="I410" s="58">
        <v>1</v>
      </c>
      <c r="J410" s="259">
        <v>90000</v>
      </c>
      <c r="K410" s="259">
        <v>13000</v>
      </c>
      <c r="L410" s="258">
        <v>143000</v>
      </c>
      <c r="O410" s="262"/>
    </row>
    <row r="411" spans="1:15">
      <c r="A411" s="264">
        <v>410</v>
      </c>
      <c r="B411" s="257">
        <v>45793</v>
      </c>
      <c r="C411" s="283" t="s">
        <v>1746</v>
      </c>
      <c r="F411" s="283" t="s">
        <v>2191</v>
      </c>
      <c r="G411" s="262" t="s">
        <v>1821</v>
      </c>
      <c r="H411" s="258">
        <v>10000</v>
      </c>
      <c r="I411" s="58">
        <v>2</v>
      </c>
      <c r="J411" s="259">
        <v>8500</v>
      </c>
      <c r="K411" s="259">
        <v>2000</v>
      </c>
      <c r="L411" s="258">
        <v>22000</v>
      </c>
      <c r="O411" s="262"/>
    </row>
    <row r="412" spans="1:15">
      <c r="A412" s="264">
        <v>411</v>
      </c>
      <c r="B412" s="257">
        <v>45793</v>
      </c>
      <c r="C412" s="283" t="s">
        <v>1869</v>
      </c>
      <c r="F412" s="283" t="s">
        <v>2227</v>
      </c>
      <c r="H412" s="258">
        <v>150000</v>
      </c>
      <c r="I412" s="262">
        <v>1</v>
      </c>
      <c r="L412" s="258">
        <v>150000</v>
      </c>
      <c r="O412" s="262"/>
    </row>
    <row r="413" spans="1:15">
      <c r="A413" s="264">
        <v>412</v>
      </c>
      <c r="B413" s="257">
        <v>45793</v>
      </c>
      <c r="C413" s="283" t="s">
        <v>1869</v>
      </c>
      <c r="F413" s="283" t="s">
        <v>1124</v>
      </c>
      <c r="M413" s="258">
        <v>-150000</v>
      </c>
      <c r="O413" s="262"/>
    </row>
    <row r="414" spans="1:15">
      <c r="A414" s="264">
        <v>413</v>
      </c>
      <c r="B414" s="257">
        <v>45794</v>
      </c>
      <c r="C414" s="283" t="s">
        <v>1846</v>
      </c>
      <c r="F414" s="283" t="s">
        <v>2229</v>
      </c>
      <c r="H414" s="258">
        <v>150000</v>
      </c>
      <c r="I414" s="262">
        <v>1</v>
      </c>
      <c r="L414" s="258">
        <v>150000</v>
      </c>
      <c r="O414" s="262"/>
    </row>
    <row r="415" spans="1:15">
      <c r="A415" s="264">
        <v>414</v>
      </c>
      <c r="B415" s="257">
        <v>45794</v>
      </c>
      <c r="C415" s="283" t="s">
        <v>1746</v>
      </c>
      <c r="F415" s="283" t="s">
        <v>1518</v>
      </c>
      <c r="H415" s="258">
        <v>20000</v>
      </c>
      <c r="I415" s="58">
        <v>1</v>
      </c>
      <c r="K415" s="259">
        <v>2000</v>
      </c>
      <c r="L415" s="258">
        <v>22000</v>
      </c>
      <c r="O415" s="262"/>
    </row>
    <row r="416" spans="1:15">
      <c r="A416" s="264">
        <v>415</v>
      </c>
      <c r="B416" s="257">
        <v>45794</v>
      </c>
      <c r="C416" s="283" t="s">
        <v>1746</v>
      </c>
      <c r="F416" s="283" t="s">
        <v>1534</v>
      </c>
      <c r="H416" s="258">
        <v>450000</v>
      </c>
      <c r="I416" s="58">
        <v>1</v>
      </c>
      <c r="K416" s="259">
        <v>45000</v>
      </c>
      <c r="L416" s="258">
        <v>495000</v>
      </c>
      <c r="O416" s="262"/>
    </row>
    <row r="417" spans="1:15">
      <c r="A417" s="264">
        <v>416</v>
      </c>
      <c r="B417" s="257">
        <v>45794</v>
      </c>
      <c r="C417" s="283" t="s">
        <v>1053</v>
      </c>
      <c r="F417" s="283" t="s">
        <v>1534</v>
      </c>
      <c r="H417" s="258">
        <v>450000</v>
      </c>
      <c r="I417" s="262">
        <v>1</v>
      </c>
      <c r="L417" s="258">
        <v>450000</v>
      </c>
      <c r="O417" s="262"/>
    </row>
    <row r="418" spans="1:15">
      <c r="A418" s="264">
        <v>417</v>
      </c>
      <c r="B418" s="257">
        <v>45794</v>
      </c>
      <c r="C418" s="283" t="s">
        <v>1288</v>
      </c>
      <c r="F418" s="283" t="s">
        <v>2243</v>
      </c>
      <c r="G418" s="263">
        <v>1087298388</v>
      </c>
      <c r="H418" s="258">
        <v>550000</v>
      </c>
      <c r="I418" s="262">
        <v>1</v>
      </c>
      <c r="L418" s="258">
        <v>500000</v>
      </c>
      <c r="O418" s="262"/>
    </row>
    <row r="419" spans="1:15">
      <c r="A419" s="264">
        <v>418</v>
      </c>
      <c r="B419" s="257">
        <v>45794</v>
      </c>
      <c r="C419" s="283" t="s">
        <v>1284</v>
      </c>
      <c r="F419" s="283" t="s">
        <v>2254</v>
      </c>
      <c r="G419" s="262" t="s">
        <v>2253</v>
      </c>
      <c r="H419" s="258">
        <v>1650000</v>
      </c>
      <c r="I419" s="262">
        <v>1</v>
      </c>
      <c r="K419" s="259">
        <v>165000</v>
      </c>
      <c r="L419" s="258">
        <v>1815000</v>
      </c>
      <c r="O419" s="262"/>
    </row>
    <row r="420" spans="1:15">
      <c r="A420" s="264">
        <v>419</v>
      </c>
      <c r="B420" s="257">
        <v>45794</v>
      </c>
      <c r="C420" s="283" t="s">
        <v>1846</v>
      </c>
      <c r="F420" s="283" t="s">
        <v>1745</v>
      </c>
      <c r="M420" s="258">
        <v>-150000</v>
      </c>
      <c r="O420" s="262"/>
    </row>
    <row r="421" spans="1:15">
      <c r="A421" s="264">
        <v>420</v>
      </c>
      <c r="B421" s="257">
        <v>45796</v>
      </c>
      <c r="C421" s="283" t="s">
        <v>1670</v>
      </c>
      <c r="F421" s="283" t="s">
        <v>1124</v>
      </c>
      <c r="M421" s="258">
        <v>-1100000</v>
      </c>
      <c r="O421" s="262"/>
    </row>
    <row r="422" spans="1:15">
      <c r="A422" s="264">
        <v>421</v>
      </c>
      <c r="B422" s="257">
        <v>45796</v>
      </c>
      <c r="C422" s="283" t="s">
        <v>1468</v>
      </c>
      <c r="F422" s="283" t="s">
        <v>1124</v>
      </c>
      <c r="M422" s="258">
        <v>-200000</v>
      </c>
      <c r="O422" s="262"/>
    </row>
    <row r="423" spans="1:15">
      <c r="A423" s="264">
        <v>422</v>
      </c>
      <c r="B423" s="257">
        <v>45796</v>
      </c>
      <c r="C423" s="283" t="s">
        <v>1721</v>
      </c>
      <c r="F423" s="283" t="s">
        <v>2179</v>
      </c>
      <c r="G423" s="262" t="s">
        <v>1200</v>
      </c>
      <c r="H423" s="258">
        <v>1500000</v>
      </c>
      <c r="I423" s="262">
        <v>1</v>
      </c>
      <c r="L423" s="258">
        <v>1500000</v>
      </c>
      <c r="O423" s="262"/>
    </row>
    <row r="424" spans="1:15">
      <c r="A424" s="264">
        <v>423</v>
      </c>
      <c r="B424" s="257">
        <v>45796</v>
      </c>
      <c r="C424" s="283" t="s">
        <v>1721</v>
      </c>
      <c r="F424" s="283" t="s">
        <v>2180</v>
      </c>
      <c r="G424" s="262" t="s">
        <v>1802</v>
      </c>
      <c r="H424" s="258">
        <v>50000</v>
      </c>
      <c r="I424" s="262">
        <v>1</v>
      </c>
      <c r="J424" s="259">
        <v>33000</v>
      </c>
      <c r="L424" s="258">
        <v>50000</v>
      </c>
      <c r="O424" s="262"/>
    </row>
    <row r="425" spans="1:15">
      <c r="A425" s="264">
        <v>424</v>
      </c>
      <c r="B425" s="257">
        <v>45796</v>
      </c>
      <c r="C425" s="283" t="s">
        <v>1721</v>
      </c>
      <c r="F425" s="283" t="s">
        <v>2182</v>
      </c>
      <c r="G425" s="262" t="s">
        <v>1719</v>
      </c>
      <c r="H425" s="258">
        <v>60000</v>
      </c>
      <c r="I425" s="262">
        <v>1</v>
      </c>
      <c r="J425" s="259">
        <v>40000</v>
      </c>
      <c r="L425" s="258">
        <v>60000</v>
      </c>
      <c r="O425" s="262"/>
    </row>
    <row r="426" spans="1:15">
      <c r="A426" s="264">
        <v>425</v>
      </c>
      <c r="B426" s="257">
        <v>45796</v>
      </c>
      <c r="C426" s="283" t="s">
        <v>1721</v>
      </c>
      <c r="F426" s="283" t="s">
        <v>2240</v>
      </c>
      <c r="H426" s="258">
        <v>800000</v>
      </c>
      <c r="I426" s="262">
        <v>1</v>
      </c>
      <c r="L426" s="258">
        <v>800000</v>
      </c>
      <c r="O426" s="262"/>
    </row>
    <row r="427" spans="1:15">
      <c r="A427" s="264">
        <v>426</v>
      </c>
      <c r="B427" s="257">
        <v>45796</v>
      </c>
      <c r="C427" s="283" t="s">
        <v>1390</v>
      </c>
      <c r="F427" s="283" t="s">
        <v>2036</v>
      </c>
      <c r="H427" s="258">
        <v>1100000</v>
      </c>
      <c r="I427" s="262">
        <v>1</v>
      </c>
      <c r="K427" s="259">
        <v>110000</v>
      </c>
      <c r="L427" s="258">
        <v>1210000</v>
      </c>
      <c r="O427" s="262"/>
    </row>
    <row r="428" spans="1:15">
      <c r="A428" s="264">
        <v>427</v>
      </c>
      <c r="B428" s="257">
        <v>45796</v>
      </c>
      <c r="C428" s="283" t="s">
        <v>1443</v>
      </c>
      <c r="F428" s="283" t="s">
        <v>2244</v>
      </c>
      <c r="M428" s="258">
        <v>-600000</v>
      </c>
      <c r="O428" s="262"/>
    </row>
    <row r="429" spans="1:15">
      <c r="A429" s="264">
        <v>428</v>
      </c>
      <c r="B429" s="257">
        <v>45796</v>
      </c>
      <c r="C429" s="283" t="s">
        <v>1146</v>
      </c>
      <c r="F429" s="283" t="s">
        <v>2245</v>
      </c>
      <c r="H429" s="258">
        <v>900000</v>
      </c>
      <c r="I429" s="262">
        <v>1</v>
      </c>
      <c r="L429" s="258">
        <v>900000</v>
      </c>
      <c r="O429" s="262"/>
    </row>
    <row r="430" spans="1:15">
      <c r="A430" s="264">
        <v>429</v>
      </c>
      <c r="B430" s="257">
        <v>45796</v>
      </c>
      <c r="C430" s="283" t="s">
        <v>1053</v>
      </c>
      <c r="F430" s="283" t="s">
        <v>1202</v>
      </c>
      <c r="G430" s="262" t="s">
        <v>1751</v>
      </c>
      <c r="H430" s="258">
        <v>1200000</v>
      </c>
      <c r="I430" s="262">
        <v>1</v>
      </c>
      <c r="L430" s="258">
        <v>1200000</v>
      </c>
      <c r="O430" s="262"/>
    </row>
    <row r="431" spans="1:15">
      <c r="A431" s="264">
        <v>430</v>
      </c>
      <c r="B431" s="257">
        <v>45796</v>
      </c>
      <c r="C431" s="283" t="s">
        <v>1053</v>
      </c>
      <c r="F431" s="283" t="s">
        <v>1124</v>
      </c>
      <c r="M431" s="258">
        <v>-1650000</v>
      </c>
      <c r="O431" s="262"/>
    </row>
    <row r="432" spans="1:15">
      <c r="A432" s="264">
        <v>431</v>
      </c>
      <c r="B432" s="257">
        <v>45797</v>
      </c>
      <c r="C432" s="283" t="s">
        <v>1015</v>
      </c>
      <c r="F432" s="283" t="s">
        <v>2185</v>
      </c>
      <c r="G432" s="262" t="s">
        <v>1199</v>
      </c>
      <c r="H432" s="258">
        <v>800000</v>
      </c>
      <c r="I432" s="262">
        <v>1</v>
      </c>
      <c r="L432" s="258">
        <v>800000</v>
      </c>
      <c r="O432" s="262"/>
    </row>
    <row r="433" spans="1:15">
      <c r="A433" s="264">
        <v>432</v>
      </c>
      <c r="B433" s="257">
        <v>45797</v>
      </c>
      <c r="C433" s="283" t="s">
        <v>1286</v>
      </c>
      <c r="F433" s="283" t="s">
        <v>1645</v>
      </c>
      <c r="G433" s="262" t="s">
        <v>2346</v>
      </c>
      <c r="H433" s="258">
        <v>1500000</v>
      </c>
      <c r="I433" s="262">
        <v>1</v>
      </c>
      <c r="K433" s="259">
        <v>150000</v>
      </c>
      <c r="L433" s="258">
        <v>1650000</v>
      </c>
      <c r="O433" s="262"/>
    </row>
    <row r="434" spans="1:15">
      <c r="A434" s="264">
        <v>433</v>
      </c>
      <c r="B434" s="257">
        <v>45797</v>
      </c>
      <c r="C434" s="283" t="s">
        <v>1860</v>
      </c>
      <c r="F434" s="283" t="s">
        <v>2185</v>
      </c>
      <c r="G434" s="262" t="s">
        <v>1199</v>
      </c>
      <c r="H434" s="258">
        <v>900000</v>
      </c>
      <c r="I434" s="262">
        <v>1</v>
      </c>
      <c r="L434" s="258">
        <v>900000</v>
      </c>
      <c r="O434" s="262"/>
    </row>
    <row r="435" spans="1:15">
      <c r="A435" s="264">
        <v>434</v>
      </c>
      <c r="B435" s="257">
        <v>45798</v>
      </c>
      <c r="C435" s="283" t="s">
        <v>2094</v>
      </c>
      <c r="F435" s="283" t="s">
        <v>1124</v>
      </c>
      <c r="M435" s="258">
        <v>-250000</v>
      </c>
      <c r="O435" s="262"/>
    </row>
    <row r="436" spans="1:15">
      <c r="A436" s="264">
        <v>435</v>
      </c>
      <c r="B436" s="257">
        <v>45798</v>
      </c>
      <c r="C436" s="283" t="s">
        <v>2238</v>
      </c>
      <c r="F436" s="283" t="s">
        <v>1124</v>
      </c>
      <c r="M436" s="258">
        <v>-1815000</v>
      </c>
      <c r="O436" s="262"/>
    </row>
    <row r="437" spans="1:15">
      <c r="A437" s="264">
        <v>436</v>
      </c>
      <c r="B437" s="257">
        <v>45798</v>
      </c>
      <c r="C437" s="283" t="s">
        <v>1390</v>
      </c>
      <c r="F437" s="283" t="s">
        <v>1124</v>
      </c>
      <c r="M437" s="258">
        <v>-1210000</v>
      </c>
      <c r="O437" s="262"/>
    </row>
    <row r="438" spans="1:15">
      <c r="A438" s="264">
        <v>437</v>
      </c>
      <c r="B438" s="257">
        <v>45798</v>
      </c>
      <c r="C438" s="283" t="s">
        <v>1553</v>
      </c>
      <c r="F438" s="283" t="s">
        <v>2255</v>
      </c>
      <c r="H438" s="258">
        <v>900000</v>
      </c>
      <c r="I438" s="262">
        <v>1</v>
      </c>
      <c r="J438" s="259">
        <v>600000</v>
      </c>
      <c r="L438" s="258">
        <v>900000</v>
      </c>
      <c r="O438" s="262"/>
    </row>
    <row r="439" spans="1:15">
      <c r="A439" s="264">
        <v>438</v>
      </c>
      <c r="B439" s="257">
        <v>45798</v>
      </c>
      <c r="C439" s="283" t="s">
        <v>2257</v>
      </c>
      <c r="F439" s="283" t="s">
        <v>2177</v>
      </c>
      <c r="G439" s="262" t="s">
        <v>1463</v>
      </c>
      <c r="H439" s="258">
        <v>1500000</v>
      </c>
      <c r="I439" s="262">
        <v>1</v>
      </c>
      <c r="L439" s="258">
        <v>1500000</v>
      </c>
      <c r="O439" s="262"/>
    </row>
    <row r="440" spans="1:15">
      <c r="A440" s="264">
        <v>439</v>
      </c>
      <c r="B440" s="257">
        <v>45798</v>
      </c>
      <c r="C440" s="283" t="s">
        <v>1670</v>
      </c>
      <c r="F440" s="283" t="s">
        <v>2201</v>
      </c>
      <c r="G440" s="262" t="s">
        <v>1955</v>
      </c>
      <c r="H440" s="258">
        <v>1800000</v>
      </c>
      <c r="I440" s="262">
        <v>1</v>
      </c>
      <c r="K440" s="259">
        <v>180000</v>
      </c>
      <c r="L440" s="258">
        <v>1980000</v>
      </c>
      <c r="O440" s="262"/>
    </row>
    <row r="441" spans="1:15">
      <c r="A441" s="264">
        <v>440</v>
      </c>
      <c r="B441" s="257">
        <v>45798</v>
      </c>
      <c r="C441" s="283" t="s">
        <v>1670</v>
      </c>
      <c r="F441" s="283" t="s">
        <v>2180</v>
      </c>
      <c r="G441" s="262" t="s">
        <v>1802</v>
      </c>
      <c r="H441" s="258">
        <v>50000</v>
      </c>
      <c r="I441" s="262">
        <v>1</v>
      </c>
      <c r="J441" s="259">
        <v>33000</v>
      </c>
      <c r="K441" s="259">
        <v>5000</v>
      </c>
      <c r="L441" s="258">
        <v>55000</v>
      </c>
      <c r="O441" s="262"/>
    </row>
    <row r="442" spans="1:15">
      <c r="A442" s="264">
        <v>441</v>
      </c>
      <c r="B442" s="257">
        <v>45798</v>
      </c>
      <c r="C442" s="283" t="s">
        <v>1670</v>
      </c>
      <c r="F442" s="283" t="s">
        <v>2202</v>
      </c>
      <c r="H442" s="258">
        <v>150000</v>
      </c>
      <c r="I442" s="262">
        <v>1</v>
      </c>
      <c r="K442" s="259">
        <v>15000</v>
      </c>
      <c r="L442" s="258">
        <v>165000</v>
      </c>
      <c r="O442" s="262"/>
    </row>
    <row r="443" spans="1:15">
      <c r="A443" s="264">
        <v>442</v>
      </c>
      <c r="B443" s="257">
        <v>45798</v>
      </c>
      <c r="C443" s="283" t="s">
        <v>2260</v>
      </c>
      <c r="F443" s="283" t="s">
        <v>2179</v>
      </c>
      <c r="G443" s="262" t="s">
        <v>1200</v>
      </c>
      <c r="H443" s="258">
        <v>1500000</v>
      </c>
      <c r="I443" s="262">
        <v>1</v>
      </c>
      <c r="L443" s="258">
        <v>1500000</v>
      </c>
      <c r="O443" s="262"/>
    </row>
    <row r="444" spans="1:15">
      <c r="A444" s="264">
        <v>443</v>
      </c>
      <c r="B444" s="257">
        <v>45798</v>
      </c>
      <c r="C444" s="283" t="s">
        <v>2260</v>
      </c>
      <c r="F444" s="283" t="s">
        <v>2180</v>
      </c>
      <c r="G444" s="262" t="s">
        <v>1802</v>
      </c>
      <c r="H444" s="258">
        <v>50000</v>
      </c>
      <c r="I444" s="262">
        <v>1</v>
      </c>
      <c r="J444" s="259">
        <v>33000</v>
      </c>
      <c r="L444" s="258">
        <v>50000</v>
      </c>
      <c r="O444" s="262"/>
    </row>
    <row r="445" spans="1:15">
      <c r="A445" s="264">
        <v>444</v>
      </c>
      <c r="B445" s="257">
        <v>45798</v>
      </c>
      <c r="C445" s="283" t="s">
        <v>1860</v>
      </c>
      <c r="F445" s="283" t="s">
        <v>2179</v>
      </c>
      <c r="G445" s="262" t="s">
        <v>1200</v>
      </c>
      <c r="H445" s="258">
        <v>1500000</v>
      </c>
      <c r="I445" s="262">
        <v>1</v>
      </c>
      <c r="L445" s="258">
        <v>1500000</v>
      </c>
      <c r="O445" s="262"/>
    </row>
    <row r="446" spans="1:15">
      <c r="A446" s="264">
        <v>445</v>
      </c>
      <c r="B446" s="257">
        <v>45798</v>
      </c>
      <c r="C446" s="283" t="s">
        <v>1860</v>
      </c>
      <c r="F446" s="283" t="s">
        <v>2180</v>
      </c>
      <c r="G446" s="262" t="s">
        <v>1802</v>
      </c>
      <c r="H446" s="258">
        <v>50000</v>
      </c>
      <c r="I446" s="262">
        <v>1</v>
      </c>
      <c r="J446" s="259">
        <v>33000</v>
      </c>
      <c r="L446" s="258">
        <v>50000</v>
      </c>
      <c r="O446" s="262"/>
    </row>
    <row r="447" spans="1:15">
      <c r="A447" s="264">
        <v>446</v>
      </c>
      <c r="B447" s="257">
        <v>45798</v>
      </c>
      <c r="C447" s="283" t="s">
        <v>2260</v>
      </c>
      <c r="F447" s="283" t="s">
        <v>1124</v>
      </c>
      <c r="M447" s="258">
        <v>-1550000</v>
      </c>
      <c r="O447" s="262"/>
    </row>
    <row r="448" spans="1:15">
      <c r="A448" s="264">
        <v>447</v>
      </c>
      <c r="B448" s="257">
        <v>45798</v>
      </c>
      <c r="C448" s="283" t="s">
        <v>2257</v>
      </c>
      <c r="F448" s="283" t="s">
        <v>1124</v>
      </c>
      <c r="M448" s="258">
        <v>-1500000</v>
      </c>
      <c r="O448" s="262"/>
    </row>
    <row r="449" spans="1:15">
      <c r="A449" s="264">
        <v>448</v>
      </c>
      <c r="B449" s="257">
        <v>45798</v>
      </c>
      <c r="C449" s="283" t="s">
        <v>1453</v>
      </c>
      <c r="F449" s="283" t="s">
        <v>1124</v>
      </c>
      <c r="M449" s="258">
        <v>-450000</v>
      </c>
      <c r="O449" s="262"/>
    </row>
    <row r="450" spans="1:15">
      <c r="A450" s="264">
        <v>449</v>
      </c>
      <c r="B450" s="257">
        <v>45798</v>
      </c>
      <c r="C450" s="283" t="s">
        <v>1007</v>
      </c>
      <c r="F450" s="283" t="s">
        <v>1124</v>
      </c>
      <c r="M450" s="258">
        <v>-140000</v>
      </c>
      <c r="O450" s="262"/>
    </row>
    <row r="451" spans="1:15">
      <c r="A451" s="264">
        <v>450</v>
      </c>
      <c r="B451" s="257">
        <v>45799</v>
      </c>
      <c r="C451" s="283" t="s">
        <v>1398</v>
      </c>
      <c r="F451" s="283" t="s">
        <v>1702</v>
      </c>
      <c r="G451" s="262">
        <v>7252703114</v>
      </c>
      <c r="H451" s="258">
        <v>129000</v>
      </c>
      <c r="I451" s="262">
        <v>1</v>
      </c>
      <c r="J451" s="259">
        <v>70000</v>
      </c>
      <c r="L451" s="258">
        <v>129000</v>
      </c>
      <c r="O451" s="262"/>
    </row>
    <row r="452" spans="1:15">
      <c r="A452" s="264">
        <v>451</v>
      </c>
      <c r="B452" s="257">
        <v>45799</v>
      </c>
      <c r="C452" s="283" t="s">
        <v>1053</v>
      </c>
      <c r="F452" s="283" t="s">
        <v>1534</v>
      </c>
      <c r="H452" s="258">
        <v>450000</v>
      </c>
      <c r="I452" s="262">
        <v>1</v>
      </c>
      <c r="L452" s="258">
        <v>450000</v>
      </c>
      <c r="O452" s="262"/>
    </row>
    <row r="453" spans="1:15">
      <c r="A453" s="264">
        <v>452</v>
      </c>
      <c r="B453" s="257">
        <v>45799</v>
      </c>
      <c r="C453" s="283" t="s">
        <v>1553</v>
      </c>
      <c r="F453" s="283" t="s">
        <v>1265</v>
      </c>
      <c r="G453" s="262" t="s">
        <v>1264</v>
      </c>
      <c r="H453" s="258">
        <v>50000</v>
      </c>
      <c r="I453" s="262">
        <v>5</v>
      </c>
      <c r="L453" s="258">
        <v>250000</v>
      </c>
      <c r="O453" s="262"/>
    </row>
    <row r="454" spans="1:15">
      <c r="A454" s="264">
        <v>453</v>
      </c>
      <c r="B454" s="257">
        <v>45799</v>
      </c>
      <c r="C454" s="283" t="s">
        <v>1448</v>
      </c>
      <c r="F454" s="283" t="s">
        <v>2266</v>
      </c>
      <c r="G454" s="262" t="s">
        <v>1197</v>
      </c>
      <c r="H454" s="258">
        <v>100000</v>
      </c>
      <c r="I454" s="262">
        <v>1</v>
      </c>
      <c r="L454" s="258">
        <v>100000</v>
      </c>
      <c r="O454" s="262"/>
    </row>
    <row r="455" spans="1:15">
      <c r="A455" s="264">
        <v>454</v>
      </c>
      <c r="B455" s="257">
        <v>45799</v>
      </c>
      <c r="C455" s="283" t="s">
        <v>1478</v>
      </c>
      <c r="F455" s="283" t="s">
        <v>1742</v>
      </c>
      <c r="H455" s="258">
        <v>1100000</v>
      </c>
      <c r="I455" s="262">
        <v>1</v>
      </c>
      <c r="L455" s="258">
        <v>1100000</v>
      </c>
      <c r="O455" s="262"/>
    </row>
    <row r="456" spans="1:15">
      <c r="A456" s="264">
        <v>455</v>
      </c>
      <c r="B456" s="257">
        <v>45799</v>
      </c>
      <c r="C456" s="283" t="s">
        <v>1053</v>
      </c>
      <c r="F456" s="283" t="s">
        <v>1124</v>
      </c>
      <c r="M456" s="258">
        <v>-450000</v>
      </c>
      <c r="O456" s="262"/>
    </row>
    <row r="457" spans="1:15">
      <c r="A457" s="264">
        <v>456</v>
      </c>
      <c r="B457" s="257">
        <v>45800</v>
      </c>
      <c r="C457" s="283" t="s">
        <v>1448</v>
      </c>
      <c r="F457" s="283" t="s">
        <v>1124</v>
      </c>
      <c r="M457" s="258">
        <v>-100000</v>
      </c>
      <c r="O457" s="262"/>
    </row>
    <row r="458" spans="1:15">
      <c r="A458" s="264">
        <v>457</v>
      </c>
      <c r="B458" s="257">
        <v>45800</v>
      </c>
      <c r="C458" s="283" t="s">
        <v>1053</v>
      </c>
      <c r="F458" s="283" t="s">
        <v>1204</v>
      </c>
      <c r="G458" s="262" t="s">
        <v>1203</v>
      </c>
      <c r="H458" s="258">
        <v>1200000</v>
      </c>
      <c r="I458" s="262">
        <v>1</v>
      </c>
      <c r="L458" s="258">
        <v>1200000</v>
      </c>
      <c r="O458" s="262"/>
    </row>
    <row r="459" spans="1:15">
      <c r="A459" s="264">
        <v>458</v>
      </c>
      <c r="B459" s="257">
        <v>45800</v>
      </c>
      <c r="C459" s="283" t="s">
        <v>2276</v>
      </c>
      <c r="F459" s="283" t="s">
        <v>1718</v>
      </c>
      <c r="H459" s="258">
        <v>250000</v>
      </c>
      <c r="I459" s="262">
        <v>1</v>
      </c>
      <c r="K459" s="259">
        <v>25000</v>
      </c>
      <c r="L459" s="258">
        <v>275000</v>
      </c>
      <c r="O459" s="262"/>
    </row>
    <row r="460" spans="1:15">
      <c r="A460" s="264">
        <v>459</v>
      </c>
      <c r="B460" s="257">
        <v>45800</v>
      </c>
      <c r="C460" s="283" t="s">
        <v>1721</v>
      </c>
      <c r="F460" s="283" t="s">
        <v>2520</v>
      </c>
      <c r="G460" s="262">
        <v>4150862090</v>
      </c>
      <c r="H460" s="258">
        <v>445000</v>
      </c>
      <c r="I460" s="262">
        <v>1</v>
      </c>
      <c r="L460" s="258">
        <v>445000</v>
      </c>
      <c r="O460" s="262"/>
    </row>
    <row r="461" spans="1:15">
      <c r="A461" s="264">
        <v>460</v>
      </c>
      <c r="B461" s="257">
        <v>45801</v>
      </c>
      <c r="C461" s="283" t="s">
        <v>1451</v>
      </c>
      <c r="F461" s="283" t="s">
        <v>1743</v>
      </c>
      <c r="H461" s="258">
        <v>1650000</v>
      </c>
      <c r="I461" s="262">
        <v>1</v>
      </c>
      <c r="K461" s="259">
        <v>165000</v>
      </c>
      <c r="L461" s="258">
        <v>1815000</v>
      </c>
      <c r="O461" s="262"/>
    </row>
    <row r="462" spans="1:15">
      <c r="A462" s="264">
        <v>461</v>
      </c>
      <c r="B462" s="257">
        <v>45801</v>
      </c>
      <c r="C462" s="283" t="s">
        <v>1018</v>
      </c>
      <c r="F462" s="283" t="s">
        <v>2520</v>
      </c>
      <c r="G462" s="262">
        <v>4150862090</v>
      </c>
      <c r="H462" s="258">
        <v>450000</v>
      </c>
      <c r="I462" s="262">
        <v>1</v>
      </c>
      <c r="L462" s="258">
        <v>450000</v>
      </c>
      <c r="O462" s="262"/>
    </row>
    <row r="463" spans="1:15">
      <c r="A463" s="264">
        <v>462</v>
      </c>
      <c r="B463" s="257">
        <v>45801</v>
      </c>
      <c r="C463" s="283" t="s">
        <v>1018</v>
      </c>
      <c r="F463" s="283" t="s">
        <v>2189</v>
      </c>
      <c r="G463" s="262">
        <v>50229</v>
      </c>
      <c r="H463" s="258">
        <v>75000</v>
      </c>
      <c r="I463" s="262">
        <v>1</v>
      </c>
      <c r="L463" s="258">
        <v>75000</v>
      </c>
      <c r="O463" s="262"/>
    </row>
    <row r="464" spans="1:15">
      <c r="A464" s="264">
        <v>463</v>
      </c>
      <c r="B464" s="257">
        <v>45801</v>
      </c>
      <c r="C464" s="283" t="s">
        <v>1018</v>
      </c>
      <c r="F464" s="283" t="s">
        <v>2183</v>
      </c>
      <c r="H464" s="258">
        <v>35000</v>
      </c>
      <c r="I464" s="262">
        <v>1</v>
      </c>
      <c r="L464" s="258">
        <v>35000</v>
      </c>
      <c r="O464" s="262"/>
    </row>
    <row r="465" spans="1:15">
      <c r="A465" s="264">
        <v>464</v>
      </c>
      <c r="B465" s="257">
        <v>45801</v>
      </c>
      <c r="C465" s="283" t="s">
        <v>1018</v>
      </c>
      <c r="F465" s="283" t="s">
        <v>2191</v>
      </c>
      <c r="G465" s="262" t="s">
        <v>1821</v>
      </c>
      <c r="H465" s="258">
        <v>10000</v>
      </c>
      <c r="I465" s="262">
        <v>2</v>
      </c>
      <c r="J465" s="259">
        <v>8500</v>
      </c>
      <c r="L465" s="258">
        <v>20000</v>
      </c>
      <c r="O465" s="262"/>
    </row>
    <row r="466" spans="1:15">
      <c r="A466" s="264">
        <v>465</v>
      </c>
      <c r="B466" s="257">
        <v>45801</v>
      </c>
      <c r="C466" s="283" t="s">
        <v>1543</v>
      </c>
      <c r="F466" s="283" t="s">
        <v>2289</v>
      </c>
      <c r="H466" s="258">
        <v>1600000</v>
      </c>
      <c r="I466" s="262">
        <v>1</v>
      </c>
      <c r="L466" s="258">
        <v>1600000</v>
      </c>
      <c r="O466" s="262"/>
    </row>
    <row r="467" spans="1:15">
      <c r="A467" s="264">
        <v>466</v>
      </c>
      <c r="B467" s="257">
        <v>45801</v>
      </c>
      <c r="C467" s="283" t="s">
        <v>1543</v>
      </c>
      <c r="F467" s="283" t="s">
        <v>1745</v>
      </c>
      <c r="M467" s="258">
        <v>-1600000</v>
      </c>
      <c r="O467" s="262"/>
    </row>
    <row r="468" spans="1:15">
      <c r="A468" s="264">
        <v>467</v>
      </c>
      <c r="B468" s="257">
        <v>45803</v>
      </c>
      <c r="C468" s="283" t="s">
        <v>1553</v>
      </c>
      <c r="F468" s="283" t="s">
        <v>1124</v>
      </c>
      <c r="M468" s="258">
        <v>-900000</v>
      </c>
      <c r="O468" s="262"/>
    </row>
    <row r="469" spans="1:15">
      <c r="A469" s="264">
        <v>468</v>
      </c>
      <c r="B469" s="257">
        <v>45803</v>
      </c>
      <c r="C469" s="283" t="s">
        <v>2291</v>
      </c>
      <c r="F469" s="283" t="s">
        <v>2196</v>
      </c>
      <c r="G469" s="262" t="s">
        <v>1197</v>
      </c>
      <c r="H469" s="258">
        <v>1000000</v>
      </c>
      <c r="I469" s="262">
        <v>1</v>
      </c>
      <c r="K469" s="259">
        <v>100000</v>
      </c>
      <c r="L469" s="258">
        <v>1100000</v>
      </c>
      <c r="O469" s="262"/>
    </row>
    <row r="470" spans="1:15">
      <c r="A470" s="264">
        <v>469</v>
      </c>
      <c r="B470" s="257">
        <v>45803</v>
      </c>
      <c r="C470" s="283" t="s">
        <v>2291</v>
      </c>
      <c r="F470" s="283" t="s">
        <v>1124</v>
      </c>
      <c r="M470" s="258">
        <v>-1100000</v>
      </c>
      <c r="O470" s="262"/>
    </row>
    <row r="471" spans="1:15">
      <c r="A471" s="264">
        <v>470</v>
      </c>
      <c r="B471" s="257">
        <v>45803</v>
      </c>
      <c r="C471" s="283" t="s">
        <v>1146</v>
      </c>
      <c r="F471" s="283" t="s">
        <v>1124</v>
      </c>
      <c r="M471" s="258">
        <v>-2000000</v>
      </c>
      <c r="O471" s="262"/>
    </row>
    <row r="472" spans="1:15">
      <c r="A472" s="264">
        <v>471</v>
      </c>
      <c r="B472" s="257">
        <v>45803</v>
      </c>
      <c r="C472" s="283" t="s">
        <v>1398</v>
      </c>
      <c r="F472" s="283" t="s">
        <v>1742</v>
      </c>
      <c r="H472" s="258">
        <v>650000</v>
      </c>
      <c r="I472" s="262">
        <v>1</v>
      </c>
      <c r="L472" s="258">
        <v>650000</v>
      </c>
      <c r="O472" s="262"/>
    </row>
    <row r="473" spans="1:15">
      <c r="A473" s="264">
        <v>472</v>
      </c>
      <c r="B473" s="257">
        <v>45803</v>
      </c>
      <c r="C473" s="283" t="s">
        <v>1553</v>
      </c>
      <c r="F473" s="283" t="s">
        <v>1124</v>
      </c>
      <c r="M473" s="258">
        <v>-250000</v>
      </c>
      <c r="O473" s="262"/>
    </row>
    <row r="474" spans="1:15">
      <c r="A474" s="264">
        <v>473</v>
      </c>
      <c r="B474" s="257">
        <v>45803</v>
      </c>
      <c r="C474" s="283" t="s">
        <v>1670</v>
      </c>
      <c r="F474" s="283" t="s">
        <v>1124</v>
      </c>
      <c r="M474" s="258">
        <v>-2550000</v>
      </c>
      <c r="O474" s="262"/>
    </row>
    <row r="475" spans="1:15">
      <c r="A475" s="264">
        <v>474</v>
      </c>
      <c r="B475" s="257">
        <v>45803</v>
      </c>
      <c r="C475" s="283" t="s">
        <v>1015</v>
      </c>
      <c r="F475" s="283" t="s">
        <v>1124</v>
      </c>
      <c r="M475" s="258">
        <v>-1350000</v>
      </c>
      <c r="O475" s="262"/>
    </row>
    <row r="476" spans="1:15">
      <c r="A476" s="264">
        <v>475</v>
      </c>
      <c r="B476" s="257">
        <v>45803</v>
      </c>
      <c r="C476" s="283" t="s">
        <v>1576</v>
      </c>
      <c r="F476" s="283" t="s">
        <v>2186</v>
      </c>
      <c r="G476" s="262" t="s">
        <v>1206</v>
      </c>
      <c r="H476" s="258">
        <v>517273</v>
      </c>
      <c r="I476" s="262">
        <v>1</v>
      </c>
      <c r="J476" s="259">
        <v>480000</v>
      </c>
      <c r="K476" s="259">
        <v>51727</v>
      </c>
      <c r="L476" s="258">
        <v>569000</v>
      </c>
      <c r="O476" s="262"/>
    </row>
    <row r="477" spans="1:15">
      <c r="A477" s="264">
        <v>476</v>
      </c>
      <c r="B477" s="257">
        <v>45803</v>
      </c>
      <c r="C477" s="283" t="s">
        <v>1576</v>
      </c>
      <c r="F477" s="283" t="s">
        <v>2189</v>
      </c>
      <c r="G477" s="262">
        <v>50229</v>
      </c>
      <c r="H477" s="258">
        <v>72728</v>
      </c>
      <c r="I477" s="262">
        <v>1</v>
      </c>
      <c r="K477" s="259">
        <v>7272.8</v>
      </c>
      <c r="L477" s="258">
        <v>80000</v>
      </c>
      <c r="O477" s="262"/>
    </row>
    <row r="478" spans="1:15">
      <c r="A478" s="264">
        <v>477</v>
      </c>
      <c r="B478" s="257">
        <v>45803</v>
      </c>
      <c r="C478" s="283" t="s">
        <v>1576</v>
      </c>
      <c r="F478" s="283" t="s">
        <v>2190</v>
      </c>
      <c r="G478" s="262" t="s">
        <v>1794</v>
      </c>
      <c r="H478" s="258">
        <v>32000</v>
      </c>
      <c r="I478" s="262">
        <v>1</v>
      </c>
      <c r="J478" s="259">
        <v>16000</v>
      </c>
      <c r="K478" s="259">
        <v>3200</v>
      </c>
      <c r="L478" s="258">
        <v>35000</v>
      </c>
      <c r="O478" s="262"/>
    </row>
    <row r="479" spans="1:15">
      <c r="A479" s="264">
        <v>478</v>
      </c>
      <c r="B479" s="257">
        <v>45803</v>
      </c>
      <c r="C479" s="283" t="s">
        <v>2305</v>
      </c>
      <c r="F479" s="283" t="s">
        <v>2298</v>
      </c>
      <c r="G479" s="262" t="s">
        <v>1751</v>
      </c>
      <c r="H479" s="258">
        <v>650000</v>
      </c>
      <c r="I479" s="262">
        <v>1</v>
      </c>
      <c r="K479" s="259">
        <v>65000</v>
      </c>
      <c r="L479" s="258">
        <v>715000</v>
      </c>
      <c r="O479" s="262"/>
    </row>
    <row r="480" spans="1:15">
      <c r="A480" s="264">
        <v>479</v>
      </c>
      <c r="B480" s="257">
        <v>45803</v>
      </c>
      <c r="C480" s="283" t="s">
        <v>2305</v>
      </c>
      <c r="F480" s="283" t="s">
        <v>1495</v>
      </c>
      <c r="H480" s="258">
        <v>350000</v>
      </c>
      <c r="I480" s="262">
        <v>1</v>
      </c>
      <c r="K480" s="259">
        <v>35000</v>
      </c>
      <c r="L480" s="258">
        <v>385000</v>
      </c>
      <c r="O480" s="262"/>
    </row>
    <row r="481" spans="1:15">
      <c r="A481" s="264">
        <v>480</v>
      </c>
      <c r="B481" s="257">
        <v>45803</v>
      </c>
      <c r="C481" s="283" t="s">
        <v>1018</v>
      </c>
      <c r="F481" s="283" t="s">
        <v>2187</v>
      </c>
      <c r="G481" s="262" t="s">
        <v>1258</v>
      </c>
      <c r="H481" s="258">
        <v>130000</v>
      </c>
      <c r="I481" s="262">
        <v>2</v>
      </c>
      <c r="J481" s="259">
        <v>90000</v>
      </c>
      <c r="L481" s="258">
        <v>260000</v>
      </c>
      <c r="O481" s="262"/>
    </row>
    <row r="482" spans="1:15">
      <c r="A482" s="264">
        <v>481</v>
      </c>
      <c r="B482" s="257">
        <v>45803</v>
      </c>
      <c r="C482" s="283" t="s">
        <v>1670</v>
      </c>
      <c r="F482" s="283" t="s">
        <v>1495</v>
      </c>
      <c r="H482" s="258">
        <v>350000</v>
      </c>
      <c r="I482" s="262">
        <v>1</v>
      </c>
      <c r="K482" s="259">
        <v>35000</v>
      </c>
      <c r="L482" s="258">
        <v>385000</v>
      </c>
      <c r="O482" s="262"/>
    </row>
    <row r="483" spans="1:15">
      <c r="A483" s="264">
        <v>482</v>
      </c>
      <c r="B483" s="257">
        <v>45804</v>
      </c>
      <c r="C483" s="283" t="s">
        <v>1860</v>
      </c>
      <c r="F483" s="283" t="s">
        <v>1124</v>
      </c>
      <c r="M483" s="258">
        <v>-2450000</v>
      </c>
      <c r="O483" s="262"/>
    </row>
    <row r="484" spans="1:15">
      <c r="A484" s="264">
        <v>483</v>
      </c>
      <c r="B484" s="257">
        <v>45803</v>
      </c>
      <c r="C484" s="283" t="s">
        <v>1585</v>
      </c>
      <c r="F484" s="283" t="s">
        <v>2177</v>
      </c>
      <c r="G484" s="262" t="s">
        <v>1463</v>
      </c>
      <c r="H484" s="258">
        <v>1500000</v>
      </c>
      <c r="I484" s="262">
        <v>1</v>
      </c>
      <c r="K484" s="259">
        <v>150000</v>
      </c>
      <c r="L484" s="258">
        <v>1650000</v>
      </c>
      <c r="O484" s="262"/>
    </row>
    <row r="485" spans="1:15">
      <c r="A485" s="264">
        <v>484</v>
      </c>
      <c r="B485" s="257">
        <v>45804</v>
      </c>
      <c r="C485" s="283" t="s">
        <v>2305</v>
      </c>
      <c r="F485" s="283" t="s">
        <v>1124</v>
      </c>
      <c r="M485" s="258">
        <v>-1100000</v>
      </c>
      <c r="O485" s="262"/>
    </row>
    <row r="486" spans="1:15">
      <c r="A486" s="264">
        <v>485</v>
      </c>
      <c r="B486" s="257">
        <v>45804</v>
      </c>
      <c r="C486" s="283" t="s">
        <v>1670</v>
      </c>
      <c r="F486" s="283" t="s">
        <v>1124</v>
      </c>
      <c r="M486" s="258">
        <v>-35000</v>
      </c>
      <c r="O486" s="262"/>
    </row>
    <row r="487" spans="1:15">
      <c r="A487" s="264">
        <v>486</v>
      </c>
      <c r="B487" s="257">
        <v>45804</v>
      </c>
      <c r="C487" s="283" t="s">
        <v>1478</v>
      </c>
      <c r="F487" s="283" t="s">
        <v>1758</v>
      </c>
      <c r="G487" s="262">
        <v>501220639</v>
      </c>
      <c r="H487" s="258">
        <v>350000</v>
      </c>
      <c r="I487" s="262">
        <v>1</v>
      </c>
      <c r="J487" s="259">
        <v>250000</v>
      </c>
      <c r="L487" s="258">
        <v>350000</v>
      </c>
      <c r="O487" s="262"/>
    </row>
    <row r="488" spans="1:15">
      <c r="A488" s="264">
        <v>487</v>
      </c>
      <c r="B488" s="257">
        <v>45796</v>
      </c>
      <c r="C488" s="283" t="s">
        <v>1579</v>
      </c>
      <c r="F488" s="283" t="s">
        <v>1124</v>
      </c>
      <c r="M488" s="258">
        <v>-549000</v>
      </c>
      <c r="O488" s="262"/>
    </row>
    <row r="489" spans="1:15">
      <c r="A489" s="264">
        <v>488</v>
      </c>
      <c r="B489" s="257">
        <v>45804</v>
      </c>
      <c r="C489" s="283" t="s">
        <v>1721</v>
      </c>
      <c r="F489" s="283" t="s">
        <v>1743</v>
      </c>
      <c r="H489" s="258">
        <v>1550000</v>
      </c>
      <c r="I489" s="262">
        <v>1</v>
      </c>
      <c r="L489" s="258">
        <v>1550000</v>
      </c>
      <c r="O489" s="262"/>
    </row>
    <row r="490" spans="1:15">
      <c r="A490" s="264">
        <v>489</v>
      </c>
      <c r="B490" s="257">
        <v>45804</v>
      </c>
      <c r="C490" s="283" t="s">
        <v>1576</v>
      </c>
      <c r="F490" s="283" t="s">
        <v>1534</v>
      </c>
      <c r="H490" s="258">
        <v>450000</v>
      </c>
      <c r="I490" s="262">
        <v>1</v>
      </c>
      <c r="K490" s="259">
        <v>45000</v>
      </c>
      <c r="L490" s="258">
        <v>495000</v>
      </c>
      <c r="O490" s="262"/>
    </row>
    <row r="491" spans="1:15">
      <c r="A491" s="264">
        <v>490</v>
      </c>
      <c r="B491" s="257">
        <v>45804</v>
      </c>
      <c r="C491" s="283" t="s">
        <v>1789</v>
      </c>
      <c r="F491" s="283" t="s">
        <v>1124</v>
      </c>
      <c r="M491" s="258">
        <v>-1229000</v>
      </c>
      <c r="O491" s="262"/>
    </row>
    <row r="492" spans="1:15">
      <c r="A492" s="264">
        <v>491</v>
      </c>
      <c r="B492" s="257">
        <v>45804</v>
      </c>
      <c r="C492" s="283" t="s">
        <v>1053</v>
      </c>
      <c r="F492" s="283" t="s">
        <v>1124</v>
      </c>
      <c r="M492" s="258">
        <v>-1200000</v>
      </c>
      <c r="O492" s="262"/>
    </row>
    <row r="493" spans="1:15">
      <c r="A493" s="264">
        <v>492</v>
      </c>
      <c r="B493" s="257">
        <v>45804</v>
      </c>
      <c r="C493" s="283" t="s">
        <v>1372</v>
      </c>
      <c r="F493" s="283" t="s">
        <v>1742</v>
      </c>
      <c r="H493" s="258">
        <v>650000</v>
      </c>
      <c r="I493" s="262">
        <v>1</v>
      </c>
      <c r="L493" s="258">
        <v>650000</v>
      </c>
      <c r="O493" s="262"/>
    </row>
    <row r="494" spans="1:15">
      <c r="A494" s="264">
        <v>493</v>
      </c>
      <c r="B494" s="257">
        <v>45804</v>
      </c>
      <c r="C494" s="283" t="s">
        <v>1540</v>
      </c>
      <c r="F494" s="283" t="s">
        <v>1130</v>
      </c>
      <c r="H494" s="258">
        <v>1000000</v>
      </c>
      <c r="I494" s="262">
        <v>1</v>
      </c>
      <c r="L494" s="258">
        <v>1000000</v>
      </c>
      <c r="O494" s="262"/>
    </row>
    <row r="495" spans="1:15">
      <c r="A495" s="264">
        <v>494</v>
      </c>
      <c r="B495" s="257">
        <v>45804</v>
      </c>
      <c r="C495" s="283" t="s">
        <v>1540</v>
      </c>
      <c r="F495" s="283" t="s">
        <v>2315</v>
      </c>
      <c r="M495" s="258">
        <v>-50000</v>
      </c>
      <c r="O495" s="262"/>
    </row>
    <row r="496" spans="1:15">
      <c r="A496" s="264">
        <v>495</v>
      </c>
      <c r="B496" s="257">
        <v>45805</v>
      </c>
      <c r="C496" s="283" t="s">
        <v>2147</v>
      </c>
      <c r="F496" s="283" t="s">
        <v>1854</v>
      </c>
      <c r="G496" s="262">
        <v>2800801</v>
      </c>
      <c r="H496" s="258">
        <v>150000</v>
      </c>
      <c r="I496" s="262">
        <v>3</v>
      </c>
      <c r="L496" s="259">
        <v>450000</v>
      </c>
      <c r="O496" s="262"/>
    </row>
    <row r="497" spans="1:15">
      <c r="A497" s="264">
        <v>496</v>
      </c>
      <c r="B497" s="257">
        <v>45805</v>
      </c>
      <c r="C497" s="283" t="s">
        <v>1398</v>
      </c>
      <c r="F497" s="283" t="s">
        <v>2317</v>
      </c>
      <c r="H497" s="258">
        <v>1200000</v>
      </c>
      <c r="I497" s="262">
        <v>1</v>
      </c>
      <c r="L497" s="259">
        <v>1200000</v>
      </c>
      <c r="O497" s="262"/>
    </row>
    <row r="498" spans="1:15">
      <c r="A498" s="264">
        <v>497</v>
      </c>
      <c r="B498" s="257">
        <v>45805</v>
      </c>
      <c r="C498" s="283" t="s">
        <v>1746</v>
      </c>
      <c r="F498" s="283" t="s">
        <v>1124</v>
      </c>
      <c r="I498" s="58"/>
      <c r="M498" s="258">
        <v>-2332000</v>
      </c>
      <c r="O498" s="262"/>
    </row>
    <row r="499" spans="1:15">
      <c r="A499" s="264">
        <v>498</v>
      </c>
      <c r="B499" s="257">
        <v>45805</v>
      </c>
      <c r="C499" s="283" t="s">
        <v>1585</v>
      </c>
      <c r="F499" s="283" t="s">
        <v>1124</v>
      </c>
      <c r="M499" s="258">
        <v>-1650000</v>
      </c>
      <c r="O499" s="262"/>
    </row>
    <row r="500" spans="1:15">
      <c r="A500" s="264">
        <v>499</v>
      </c>
      <c r="B500" s="257">
        <v>45805</v>
      </c>
      <c r="C500" s="283" t="s">
        <v>1893</v>
      </c>
      <c r="F500" s="283" t="s">
        <v>2319</v>
      </c>
      <c r="H500" s="258">
        <v>200000</v>
      </c>
      <c r="I500" s="262">
        <v>1</v>
      </c>
      <c r="L500" s="259">
        <v>200000</v>
      </c>
      <c r="O500" s="262"/>
    </row>
    <row r="501" spans="1:15">
      <c r="A501" s="264">
        <v>500</v>
      </c>
      <c r="B501" s="257">
        <v>45805</v>
      </c>
      <c r="C501" s="283" t="s">
        <v>1053</v>
      </c>
      <c r="F501" s="283" t="s">
        <v>2042</v>
      </c>
      <c r="H501" s="258">
        <v>800000</v>
      </c>
      <c r="I501" s="262">
        <v>1</v>
      </c>
      <c r="L501" s="259">
        <v>800000</v>
      </c>
      <c r="O501" s="262"/>
    </row>
    <row r="502" spans="1:15">
      <c r="A502" s="264">
        <v>501</v>
      </c>
      <c r="B502" s="257">
        <v>45805</v>
      </c>
      <c r="C502" s="283" t="s">
        <v>2318</v>
      </c>
      <c r="F502" s="283" t="s">
        <v>2196</v>
      </c>
      <c r="G502" s="262">
        <v>927769</v>
      </c>
      <c r="H502" s="258">
        <v>1000000</v>
      </c>
      <c r="I502" s="262">
        <v>1</v>
      </c>
      <c r="K502" s="259">
        <v>100000</v>
      </c>
      <c r="L502" s="259">
        <v>1100000</v>
      </c>
      <c r="O502" s="262"/>
    </row>
    <row r="503" spans="1:15">
      <c r="A503" s="264">
        <v>502</v>
      </c>
      <c r="B503" s="257">
        <v>45805</v>
      </c>
      <c r="C503" s="283" t="s">
        <v>2318</v>
      </c>
      <c r="F503" s="283" t="s">
        <v>1124</v>
      </c>
      <c r="M503" s="258">
        <v>-1100000</v>
      </c>
      <c r="O503" s="262"/>
    </row>
    <row r="504" spans="1:15">
      <c r="A504" s="264">
        <v>503</v>
      </c>
      <c r="B504" s="257">
        <v>45805</v>
      </c>
      <c r="C504" s="283" t="s">
        <v>2320</v>
      </c>
      <c r="F504" s="283" t="s">
        <v>1716</v>
      </c>
      <c r="G504" s="262">
        <v>2800802</v>
      </c>
      <c r="H504" s="258">
        <v>200000</v>
      </c>
      <c r="I504" s="262">
        <v>1</v>
      </c>
      <c r="L504" s="259">
        <v>200000</v>
      </c>
      <c r="O504" s="262"/>
    </row>
    <row r="505" spans="1:15">
      <c r="A505" s="264">
        <v>504</v>
      </c>
      <c r="B505" s="257">
        <v>45805</v>
      </c>
      <c r="C505" s="283" t="s">
        <v>1893</v>
      </c>
      <c r="F505" s="283" t="s">
        <v>1124</v>
      </c>
      <c r="M505" s="258">
        <v>-200000</v>
      </c>
      <c r="O505" s="262"/>
    </row>
    <row r="506" spans="1:15">
      <c r="A506" s="264">
        <v>505</v>
      </c>
      <c r="B506" s="257">
        <v>45805</v>
      </c>
      <c r="C506" s="283" t="s">
        <v>2275</v>
      </c>
      <c r="F506" s="283" t="s">
        <v>1124</v>
      </c>
      <c r="M506" s="258">
        <v>-275000</v>
      </c>
      <c r="O506" s="262"/>
    </row>
    <row r="507" spans="1:15">
      <c r="A507" s="264">
        <v>506</v>
      </c>
      <c r="B507" s="257">
        <v>45805</v>
      </c>
      <c r="C507" s="283" t="s">
        <v>2320</v>
      </c>
      <c r="F507" s="283" t="s">
        <v>1124</v>
      </c>
      <c r="M507" s="258">
        <v>-200000</v>
      </c>
      <c r="O507" s="262"/>
    </row>
    <row r="508" spans="1:15">
      <c r="A508" s="264">
        <v>507</v>
      </c>
      <c r="B508" s="257">
        <v>45800</v>
      </c>
      <c r="C508" s="283" t="s">
        <v>1746</v>
      </c>
      <c r="F508" s="283" t="s">
        <v>2298</v>
      </c>
      <c r="H508" s="258">
        <v>650000</v>
      </c>
      <c r="I508" s="58">
        <v>1</v>
      </c>
      <c r="K508" s="259">
        <v>65000</v>
      </c>
      <c r="L508" s="258">
        <v>715000</v>
      </c>
      <c r="O508" s="262"/>
    </row>
    <row r="509" spans="1:15">
      <c r="A509" s="264">
        <v>508</v>
      </c>
      <c r="B509" s="257">
        <v>45800</v>
      </c>
      <c r="C509" s="283" t="s">
        <v>1746</v>
      </c>
      <c r="F509" s="283" t="s">
        <v>1495</v>
      </c>
      <c r="H509" s="262">
        <v>350000</v>
      </c>
      <c r="I509" s="58">
        <v>1</v>
      </c>
      <c r="K509" s="263">
        <v>35000</v>
      </c>
      <c r="L509" s="263">
        <v>385000</v>
      </c>
      <c r="O509" s="262"/>
    </row>
    <row r="510" spans="1:15">
      <c r="A510" s="264">
        <v>509</v>
      </c>
      <c r="B510" s="257">
        <v>45800</v>
      </c>
      <c r="C510" s="283" t="s">
        <v>1746</v>
      </c>
      <c r="F510" s="283" t="s">
        <v>1518</v>
      </c>
      <c r="H510" s="262">
        <v>20000</v>
      </c>
      <c r="I510" s="58">
        <v>1</v>
      </c>
      <c r="K510" s="263">
        <v>2000</v>
      </c>
      <c r="L510" s="263">
        <v>22000</v>
      </c>
      <c r="O510" s="262"/>
    </row>
    <row r="511" spans="1:15">
      <c r="A511" s="264">
        <v>510</v>
      </c>
      <c r="B511" s="257">
        <v>45806</v>
      </c>
      <c r="C511" s="283" t="s">
        <v>1390</v>
      </c>
      <c r="F511" s="283" t="s">
        <v>2520</v>
      </c>
      <c r="H511" s="258">
        <v>498000</v>
      </c>
      <c r="I511" s="262">
        <v>1</v>
      </c>
      <c r="L511" s="258">
        <v>498000</v>
      </c>
      <c r="O511" s="262"/>
    </row>
    <row r="512" spans="1:15">
      <c r="A512" s="264">
        <v>511</v>
      </c>
      <c r="B512" s="257">
        <v>45806</v>
      </c>
      <c r="C512" s="283" t="s">
        <v>1398</v>
      </c>
      <c r="F512" s="283" t="s">
        <v>2026</v>
      </c>
      <c r="G512" s="262" t="s">
        <v>1215</v>
      </c>
      <c r="H512" s="258">
        <v>1500000</v>
      </c>
      <c r="I512" s="262">
        <v>1</v>
      </c>
      <c r="L512" s="258">
        <v>1500000</v>
      </c>
      <c r="O512" s="262"/>
    </row>
    <row r="513" spans="1:15">
      <c r="A513" s="264">
        <v>512</v>
      </c>
      <c r="B513" s="257">
        <v>45807</v>
      </c>
      <c r="C513" s="283" t="s">
        <v>1540</v>
      </c>
      <c r="F513" s="283" t="s">
        <v>1124</v>
      </c>
      <c r="M513" s="258">
        <v>-3400000</v>
      </c>
      <c r="O513" s="262"/>
    </row>
    <row r="514" spans="1:15">
      <c r="A514" s="264">
        <v>513</v>
      </c>
      <c r="B514" s="257">
        <v>45807</v>
      </c>
      <c r="C514" s="283" t="s">
        <v>2350</v>
      </c>
      <c r="F514" s="283" t="s">
        <v>1722</v>
      </c>
      <c r="G514" s="263">
        <v>2800802</v>
      </c>
      <c r="H514" s="258">
        <v>200000</v>
      </c>
      <c r="I514" s="262">
        <v>1</v>
      </c>
      <c r="K514" s="259">
        <v>20000</v>
      </c>
      <c r="L514" s="258">
        <v>220000</v>
      </c>
      <c r="O514" s="262"/>
    </row>
    <row r="515" spans="1:15">
      <c r="A515" s="264">
        <v>514</v>
      </c>
      <c r="B515" s="257">
        <v>45807</v>
      </c>
      <c r="C515" s="283" t="s">
        <v>1053</v>
      </c>
      <c r="F515" s="283" t="s">
        <v>1202</v>
      </c>
      <c r="G515" s="262" t="s">
        <v>1751</v>
      </c>
      <c r="H515" s="258">
        <v>1200000</v>
      </c>
      <c r="I515" s="262">
        <v>1</v>
      </c>
      <c r="L515" s="258">
        <v>1200000</v>
      </c>
      <c r="O515" s="262"/>
    </row>
    <row r="516" spans="1:15">
      <c r="A516" s="264">
        <v>515</v>
      </c>
      <c r="B516" s="257">
        <v>45807</v>
      </c>
      <c r="C516" s="283" t="s">
        <v>2214</v>
      </c>
      <c r="F516" s="283" t="s">
        <v>3069</v>
      </c>
      <c r="G516" s="262" t="s">
        <v>2326</v>
      </c>
      <c r="H516" s="258">
        <v>900000</v>
      </c>
      <c r="I516" s="262">
        <v>1</v>
      </c>
      <c r="K516" s="259">
        <v>90000</v>
      </c>
      <c r="L516" s="258">
        <v>990000</v>
      </c>
      <c r="O516" s="262"/>
    </row>
    <row r="517" spans="1:15">
      <c r="A517" s="264">
        <v>516</v>
      </c>
      <c r="B517" s="257">
        <v>45807</v>
      </c>
      <c r="C517" s="283" t="s">
        <v>2100</v>
      </c>
      <c r="F517" s="283" t="s">
        <v>1202</v>
      </c>
      <c r="G517" s="262" t="s">
        <v>1751</v>
      </c>
      <c r="H517" s="258">
        <v>1200000</v>
      </c>
      <c r="I517" s="262">
        <v>1</v>
      </c>
      <c r="L517" s="258">
        <v>1200000</v>
      </c>
      <c r="O517" s="262"/>
    </row>
    <row r="518" spans="1:15">
      <c r="A518" s="264">
        <v>517</v>
      </c>
      <c r="B518" s="257">
        <v>45807</v>
      </c>
      <c r="C518" s="283" t="s">
        <v>2100</v>
      </c>
      <c r="F518" s="283" t="s">
        <v>2336</v>
      </c>
      <c r="H518" s="258">
        <v>350000</v>
      </c>
      <c r="I518" s="262">
        <v>1</v>
      </c>
      <c r="L518" s="258">
        <v>350000</v>
      </c>
      <c r="O518" s="262"/>
    </row>
    <row r="519" spans="1:15">
      <c r="A519" s="264">
        <v>518</v>
      </c>
      <c r="B519" s="257">
        <v>45807</v>
      </c>
      <c r="C519" s="283" t="s">
        <v>1746</v>
      </c>
      <c r="F519" s="283" t="s">
        <v>1124</v>
      </c>
      <c r="I519" s="58"/>
      <c r="M519" s="258">
        <v>-1122000</v>
      </c>
      <c r="O519" s="262"/>
    </row>
    <row r="520" spans="1:15">
      <c r="A520" s="264">
        <v>519</v>
      </c>
      <c r="B520" s="257">
        <v>45808</v>
      </c>
      <c r="C520" s="283" t="s">
        <v>2112</v>
      </c>
      <c r="F520" s="283" t="s">
        <v>1124</v>
      </c>
      <c r="M520" s="258">
        <v>-660000</v>
      </c>
      <c r="O520" s="262"/>
    </row>
    <row r="521" spans="1:15">
      <c r="A521" s="264">
        <v>520</v>
      </c>
      <c r="B521" s="257">
        <v>45808</v>
      </c>
      <c r="C521" s="283" t="s">
        <v>1237</v>
      </c>
      <c r="F521" s="283" t="s">
        <v>2341</v>
      </c>
      <c r="H521" s="258">
        <v>150000</v>
      </c>
      <c r="I521" s="262">
        <v>1</v>
      </c>
      <c r="L521" s="258">
        <v>150000</v>
      </c>
      <c r="O521" s="262"/>
    </row>
    <row r="522" spans="1:15">
      <c r="A522" s="264">
        <v>521</v>
      </c>
      <c r="B522" s="257">
        <v>45808</v>
      </c>
      <c r="C522" s="283" t="s">
        <v>1305</v>
      </c>
      <c r="F522" s="283" t="s">
        <v>2177</v>
      </c>
      <c r="G522" s="262" t="s">
        <v>1463</v>
      </c>
      <c r="H522" s="258">
        <v>1500000</v>
      </c>
      <c r="I522" s="262">
        <v>1</v>
      </c>
      <c r="L522" s="258">
        <v>1500000</v>
      </c>
      <c r="O522" s="262"/>
    </row>
    <row r="523" spans="1:15">
      <c r="A523" s="264">
        <v>522</v>
      </c>
      <c r="B523" s="257">
        <v>45808</v>
      </c>
      <c r="C523" s="283" t="s">
        <v>1579</v>
      </c>
      <c r="F523" s="283" t="s">
        <v>2055</v>
      </c>
      <c r="M523" s="258">
        <v>-2200000</v>
      </c>
      <c r="O523" s="262"/>
    </row>
    <row r="524" spans="1:15">
      <c r="A524" s="264">
        <v>523</v>
      </c>
      <c r="B524" s="257">
        <v>45808</v>
      </c>
      <c r="C524" s="283" t="s">
        <v>1372</v>
      </c>
      <c r="F524" s="283" t="s">
        <v>1124</v>
      </c>
      <c r="M524" s="258">
        <v>-650000</v>
      </c>
      <c r="O524" s="262"/>
    </row>
    <row r="525" spans="1:15">
      <c r="A525" s="264">
        <v>524</v>
      </c>
      <c r="B525" s="257">
        <v>45808</v>
      </c>
      <c r="C525" s="283" t="s">
        <v>1335</v>
      </c>
      <c r="F525" s="283" t="s">
        <v>1814</v>
      </c>
      <c r="G525" s="263">
        <v>1068298044</v>
      </c>
      <c r="H525" s="258">
        <v>400000</v>
      </c>
      <c r="I525" s="262">
        <v>1</v>
      </c>
      <c r="L525" s="258">
        <v>400000</v>
      </c>
      <c r="O525" s="262"/>
    </row>
    <row r="526" spans="1:15">
      <c r="A526" s="264">
        <v>525</v>
      </c>
      <c r="B526" s="257">
        <v>45808</v>
      </c>
      <c r="C526" s="283" t="s">
        <v>1576</v>
      </c>
      <c r="F526" s="283" t="s">
        <v>1745</v>
      </c>
      <c r="M526" s="258">
        <v>-1179000</v>
      </c>
      <c r="O526" s="262"/>
    </row>
    <row r="527" spans="1:15">
      <c r="A527" s="264">
        <v>526</v>
      </c>
      <c r="B527" s="257">
        <v>45808</v>
      </c>
      <c r="C527" s="283" t="s">
        <v>1451</v>
      </c>
      <c r="F527" s="283" t="s">
        <v>1745</v>
      </c>
      <c r="M527" s="258">
        <v>-1815000</v>
      </c>
      <c r="O527" s="262"/>
    </row>
    <row r="528" spans="1:15">
      <c r="A528" s="264">
        <v>527</v>
      </c>
      <c r="B528" s="257">
        <v>45808</v>
      </c>
      <c r="C528" s="283" t="s">
        <v>2331</v>
      </c>
      <c r="F528" s="283" t="s">
        <v>1745</v>
      </c>
      <c r="M528" s="258">
        <v>-220000</v>
      </c>
      <c r="O528" s="262"/>
    </row>
    <row r="529" spans="1:15">
      <c r="A529" s="264">
        <v>528</v>
      </c>
      <c r="B529" s="257">
        <v>45808</v>
      </c>
      <c r="C529" s="283" t="s">
        <v>1390</v>
      </c>
      <c r="F529" s="283" t="s">
        <v>1745</v>
      </c>
      <c r="M529" s="258">
        <v>-498000</v>
      </c>
      <c r="O529" s="262"/>
    </row>
    <row r="530" spans="1:15">
      <c r="A530" s="264">
        <v>529</v>
      </c>
      <c r="B530" s="257">
        <v>45809</v>
      </c>
      <c r="C530" s="283" t="s">
        <v>1478</v>
      </c>
      <c r="F530" s="283" t="s">
        <v>1745</v>
      </c>
      <c r="M530" s="258">
        <v>-2000000</v>
      </c>
      <c r="O530" s="262"/>
    </row>
    <row r="531" spans="1:15">
      <c r="A531" s="264">
        <v>530</v>
      </c>
      <c r="B531" s="257">
        <v>45810</v>
      </c>
      <c r="C531" s="283" t="s">
        <v>1305</v>
      </c>
      <c r="F531" s="283" t="s">
        <v>1124</v>
      </c>
      <c r="M531" s="258">
        <v>-1500000</v>
      </c>
      <c r="O531" s="262"/>
    </row>
    <row r="532" spans="1:15">
      <c r="A532" s="264">
        <v>531</v>
      </c>
      <c r="B532" s="257">
        <v>45810</v>
      </c>
      <c r="C532" s="283" t="s">
        <v>2359</v>
      </c>
      <c r="F532" s="283" t="s">
        <v>1218</v>
      </c>
      <c r="G532" s="262" t="s">
        <v>2161</v>
      </c>
      <c r="H532" s="258">
        <v>1000000</v>
      </c>
      <c r="I532" s="262">
        <v>1</v>
      </c>
      <c r="L532" s="258">
        <v>1000000</v>
      </c>
      <c r="O532" s="262"/>
    </row>
    <row r="533" spans="1:15">
      <c r="A533" s="264">
        <v>532</v>
      </c>
      <c r="B533" s="257">
        <v>45810</v>
      </c>
      <c r="C533" s="283" t="s">
        <v>1540</v>
      </c>
      <c r="F533" s="283" t="s">
        <v>1265</v>
      </c>
      <c r="G533" s="262" t="s">
        <v>1264</v>
      </c>
      <c r="H533" s="258">
        <v>50000</v>
      </c>
      <c r="I533" s="262">
        <v>2</v>
      </c>
      <c r="L533" s="258">
        <v>100000</v>
      </c>
      <c r="O533" s="262"/>
    </row>
    <row r="534" spans="1:15">
      <c r="A534" s="264">
        <v>533</v>
      </c>
      <c r="B534" s="257">
        <v>45810</v>
      </c>
      <c r="C534" s="283" t="s">
        <v>2291</v>
      </c>
      <c r="F534" s="283" t="s">
        <v>2186</v>
      </c>
      <c r="G534" s="262" t="s">
        <v>1206</v>
      </c>
      <c r="H534" s="258">
        <v>517273</v>
      </c>
      <c r="I534" s="262">
        <v>1</v>
      </c>
      <c r="K534" s="259">
        <v>51727</v>
      </c>
      <c r="L534" s="258">
        <v>569000</v>
      </c>
      <c r="O534" s="262"/>
    </row>
    <row r="535" spans="1:15">
      <c r="A535" s="264">
        <v>534</v>
      </c>
      <c r="B535" s="257">
        <v>45810</v>
      </c>
      <c r="C535" s="283" t="s">
        <v>2291</v>
      </c>
      <c r="F535" s="283" t="s">
        <v>2189</v>
      </c>
      <c r="G535" s="262">
        <v>50229</v>
      </c>
      <c r="H535" s="258">
        <v>70000</v>
      </c>
      <c r="I535" s="262">
        <v>1</v>
      </c>
      <c r="K535" s="259">
        <v>7000</v>
      </c>
      <c r="L535" s="258">
        <v>77000</v>
      </c>
      <c r="O535" s="262"/>
    </row>
    <row r="536" spans="1:15">
      <c r="A536" s="264">
        <v>535</v>
      </c>
      <c r="B536" s="257">
        <v>45810</v>
      </c>
      <c r="C536" s="283" t="s">
        <v>2291</v>
      </c>
      <c r="F536" s="283" t="s">
        <v>1124</v>
      </c>
      <c r="M536" s="258">
        <v>-646000</v>
      </c>
      <c r="O536" s="262"/>
    </row>
    <row r="537" spans="1:15">
      <c r="A537" s="264">
        <v>536</v>
      </c>
      <c r="B537" s="257">
        <v>45810</v>
      </c>
      <c r="C537" s="283" t="s">
        <v>1455</v>
      </c>
      <c r="F537" s="283" t="s">
        <v>1716</v>
      </c>
      <c r="G537" s="262">
        <v>2800802</v>
      </c>
      <c r="H537" s="258">
        <v>150000</v>
      </c>
      <c r="I537" s="262">
        <v>1</v>
      </c>
      <c r="L537" s="258">
        <v>150000</v>
      </c>
      <c r="O537" s="262"/>
    </row>
    <row r="538" spans="1:15">
      <c r="A538" s="264">
        <v>537</v>
      </c>
      <c r="B538" s="257">
        <v>45810</v>
      </c>
      <c r="C538" s="283" t="s">
        <v>1398</v>
      </c>
      <c r="F538" s="283" t="s">
        <v>1124</v>
      </c>
      <c r="M538" s="258">
        <v>-10907000</v>
      </c>
      <c r="O538" s="262"/>
    </row>
    <row r="539" spans="1:15">
      <c r="A539" s="264">
        <v>538</v>
      </c>
      <c r="B539" s="257">
        <v>45810</v>
      </c>
      <c r="C539" s="283" t="s">
        <v>1540</v>
      </c>
      <c r="F539" s="283" t="s">
        <v>1202</v>
      </c>
      <c r="G539" s="262" t="s">
        <v>1751</v>
      </c>
      <c r="H539" s="258">
        <v>1200000</v>
      </c>
      <c r="I539" s="262">
        <v>1</v>
      </c>
      <c r="L539" s="258">
        <v>1200000</v>
      </c>
      <c r="O539" s="262"/>
    </row>
    <row r="540" spans="1:15">
      <c r="A540" s="264">
        <v>539</v>
      </c>
      <c r="B540" s="257">
        <v>45810</v>
      </c>
      <c r="C540" s="283" t="s">
        <v>1540</v>
      </c>
      <c r="F540" s="283" t="s">
        <v>1495</v>
      </c>
      <c r="H540" s="258">
        <v>350000</v>
      </c>
      <c r="I540" s="262">
        <v>1</v>
      </c>
      <c r="L540" s="258">
        <v>350000</v>
      </c>
      <c r="O540" s="262"/>
    </row>
    <row r="541" spans="1:15">
      <c r="A541" s="264">
        <v>540</v>
      </c>
      <c r="B541" s="257">
        <v>45810</v>
      </c>
      <c r="C541" s="283" t="s">
        <v>1540</v>
      </c>
      <c r="F541" s="283" t="s">
        <v>1702</v>
      </c>
      <c r="G541" s="262">
        <v>7252703114</v>
      </c>
      <c r="H541" s="258">
        <v>129000</v>
      </c>
      <c r="I541" s="262">
        <v>1</v>
      </c>
      <c r="L541" s="258">
        <v>129000</v>
      </c>
      <c r="O541" s="262"/>
    </row>
    <row r="542" spans="1:15">
      <c r="A542" s="264">
        <v>541</v>
      </c>
      <c r="B542" s="257">
        <v>45810</v>
      </c>
      <c r="C542" s="283" t="s">
        <v>2257</v>
      </c>
      <c r="F542" s="283" t="s">
        <v>2195</v>
      </c>
      <c r="H542" s="258">
        <v>1500000</v>
      </c>
      <c r="I542" s="262">
        <v>1</v>
      </c>
      <c r="L542" s="258">
        <v>1500000</v>
      </c>
      <c r="O542" s="262"/>
    </row>
    <row r="543" spans="1:15">
      <c r="A543" s="264">
        <v>542</v>
      </c>
      <c r="B543" s="257">
        <v>45811</v>
      </c>
      <c r="C543" s="283" t="s">
        <v>987</v>
      </c>
      <c r="F543" s="283" t="s">
        <v>1124</v>
      </c>
      <c r="M543" s="258">
        <v>-1000000</v>
      </c>
      <c r="O543" s="262"/>
    </row>
    <row r="544" spans="1:15">
      <c r="A544" s="264">
        <v>543</v>
      </c>
      <c r="B544" s="257">
        <v>45811</v>
      </c>
      <c r="C544" s="283" t="s">
        <v>1282</v>
      </c>
      <c r="F544" s="283" t="s">
        <v>2385</v>
      </c>
      <c r="H544" s="258">
        <v>700000</v>
      </c>
      <c r="I544" s="262">
        <v>1</v>
      </c>
      <c r="L544" s="258">
        <v>700000</v>
      </c>
      <c r="O544" s="262"/>
    </row>
    <row r="545" spans="1:15">
      <c r="A545" s="264">
        <v>544</v>
      </c>
      <c r="B545" s="257">
        <v>45811</v>
      </c>
      <c r="C545" s="283" t="s">
        <v>1448</v>
      </c>
      <c r="F545" s="283" t="s">
        <v>2361</v>
      </c>
      <c r="H545" s="258">
        <v>200000</v>
      </c>
      <c r="I545" s="262">
        <v>1</v>
      </c>
      <c r="L545" s="258">
        <v>200000</v>
      </c>
      <c r="O545" s="262"/>
    </row>
    <row r="546" spans="1:15">
      <c r="A546" s="264">
        <v>545</v>
      </c>
      <c r="B546" s="257">
        <v>45811</v>
      </c>
      <c r="C546" s="283" t="s">
        <v>2373</v>
      </c>
      <c r="F546" s="283" t="s">
        <v>2372</v>
      </c>
      <c r="H546" s="258">
        <v>1818182</v>
      </c>
      <c r="I546" s="262">
        <v>1</v>
      </c>
      <c r="K546" s="259">
        <v>181818</v>
      </c>
      <c r="L546" s="258">
        <v>2000000</v>
      </c>
      <c r="O546" s="262"/>
    </row>
    <row r="547" spans="1:15">
      <c r="A547" s="264">
        <v>546</v>
      </c>
      <c r="B547" s="257">
        <v>45812</v>
      </c>
      <c r="C547" s="283" t="s">
        <v>1448</v>
      </c>
      <c r="F547" s="283" t="s">
        <v>1124</v>
      </c>
      <c r="M547" s="258">
        <v>-200000</v>
      </c>
      <c r="O547" s="262"/>
    </row>
    <row r="548" spans="1:15">
      <c r="A548" s="264">
        <v>547</v>
      </c>
      <c r="B548" s="257">
        <v>45812</v>
      </c>
      <c r="C548" s="283" t="s">
        <v>1015</v>
      </c>
      <c r="F548" s="283" t="s">
        <v>1124</v>
      </c>
      <c r="M548" s="258">
        <v>-990000</v>
      </c>
      <c r="O548" s="262"/>
    </row>
    <row r="549" spans="1:15">
      <c r="A549" s="264">
        <v>548</v>
      </c>
      <c r="B549" s="257">
        <v>45812</v>
      </c>
      <c r="C549" s="283" t="s">
        <v>1597</v>
      </c>
      <c r="F549" s="283" t="s">
        <v>2195</v>
      </c>
      <c r="H549" s="258">
        <v>1500000</v>
      </c>
      <c r="I549" s="262">
        <v>1</v>
      </c>
      <c r="L549" s="258">
        <v>1500000</v>
      </c>
      <c r="O549" s="262"/>
    </row>
    <row r="550" spans="1:15">
      <c r="A550" s="264">
        <v>549</v>
      </c>
      <c r="B550" s="257">
        <v>45812</v>
      </c>
      <c r="C550" s="283" t="s">
        <v>2379</v>
      </c>
      <c r="F550" s="283" t="s">
        <v>1257</v>
      </c>
      <c r="G550" s="262" t="s">
        <v>1256</v>
      </c>
      <c r="H550" s="258">
        <v>700000</v>
      </c>
      <c r="I550" s="262">
        <v>1</v>
      </c>
      <c r="K550" s="259">
        <v>70000</v>
      </c>
      <c r="L550" s="258">
        <v>770000</v>
      </c>
      <c r="O550" s="262"/>
    </row>
    <row r="551" spans="1:15">
      <c r="A551" s="264">
        <v>550</v>
      </c>
      <c r="B551" s="257">
        <v>45812</v>
      </c>
      <c r="C551" s="283" t="s">
        <v>1455</v>
      </c>
      <c r="F551" s="283" t="s">
        <v>1124</v>
      </c>
      <c r="M551" s="258">
        <v>-150000</v>
      </c>
      <c r="O551" s="262"/>
    </row>
    <row r="552" spans="1:15">
      <c r="A552" s="264">
        <v>551</v>
      </c>
      <c r="B552" s="257">
        <v>45812</v>
      </c>
      <c r="C552" s="283" t="s">
        <v>2384</v>
      </c>
      <c r="F552" s="283" t="s">
        <v>1124</v>
      </c>
      <c r="M552" s="258">
        <v>-2000000</v>
      </c>
      <c r="O552" s="262"/>
    </row>
    <row r="553" spans="1:15">
      <c r="A553" s="264">
        <v>552</v>
      </c>
      <c r="B553" s="257">
        <v>45812</v>
      </c>
      <c r="C553" s="283" t="s">
        <v>2378</v>
      </c>
      <c r="F553" s="283" t="s">
        <v>1124</v>
      </c>
      <c r="M553" s="258">
        <v>-770000</v>
      </c>
      <c r="O553" s="262"/>
    </row>
    <row r="554" spans="1:15">
      <c r="A554" s="264">
        <v>553</v>
      </c>
      <c r="B554" s="257">
        <v>45812</v>
      </c>
      <c r="C554" s="283" t="s">
        <v>1579</v>
      </c>
      <c r="F554" s="283" t="s">
        <v>1534</v>
      </c>
      <c r="H554" s="258">
        <v>450000</v>
      </c>
      <c r="I554" s="262">
        <v>1</v>
      </c>
      <c r="K554" s="259">
        <v>45000</v>
      </c>
      <c r="L554" s="258">
        <v>495000</v>
      </c>
      <c r="O554" s="262"/>
    </row>
    <row r="555" spans="1:15">
      <c r="A555" s="264">
        <v>554</v>
      </c>
      <c r="B555" s="257">
        <v>45812</v>
      </c>
      <c r="C555" s="283" t="s">
        <v>1579</v>
      </c>
      <c r="F555" s="283" t="s">
        <v>1548</v>
      </c>
      <c r="G555" s="262">
        <v>24152333907</v>
      </c>
      <c r="H555" s="258">
        <v>50000</v>
      </c>
      <c r="I555" s="262">
        <v>1</v>
      </c>
      <c r="K555" s="259">
        <v>5000</v>
      </c>
      <c r="L555" s="258">
        <v>55000</v>
      </c>
      <c r="O555" s="262"/>
    </row>
    <row r="556" spans="1:15">
      <c r="A556" s="264">
        <v>555</v>
      </c>
      <c r="B556" s="257">
        <v>45812</v>
      </c>
      <c r="C556" s="283" t="s">
        <v>1721</v>
      </c>
      <c r="F556" s="283" t="s">
        <v>1124</v>
      </c>
      <c r="M556" s="258">
        <v>-7000000</v>
      </c>
      <c r="O556" s="262"/>
    </row>
    <row r="557" spans="1:15">
      <c r="A557" s="264">
        <v>556</v>
      </c>
      <c r="B557" s="257">
        <v>45812</v>
      </c>
      <c r="C557" s="283" t="s">
        <v>1721</v>
      </c>
      <c r="F557" s="283" t="s">
        <v>2387</v>
      </c>
      <c r="M557" s="258">
        <v>-805000</v>
      </c>
      <c r="O557" s="262"/>
    </row>
    <row r="558" spans="1:15">
      <c r="A558" s="264">
        <v>557</v>
      </c>
      <c r="B558" s="257">
        <v>45813</v>
      </c>
      <c r="C558" s="283" t="s">
        <v>1540</v>
      </c>
      <c r="F558" s="283" t="s">
        <v>2186</v>
      </c>
      <c r="G558" s="262" t="s">
        <v>1206</v>
      </c>
      <c r="H558" s="258">
        <v>569000</v>
      </c>
      <c r="I558" s="262">
        <v>1</v>
      </c>
      <c r="L558" s="258">
        <v>569000</v>
      </c>
      <c r="O558" s="262"/>
    </row>
    <row r="559" spans="1:15">
      <c r="A559" s="264">
        <v>558</v>
      </c>
      <c r="B559" s="257">
        <v>45813</v>
      </c>
      <c r="C559" s="283" t="s">
        <v>1540</v>
      </c>
      <c r="F559" s="283" t="s">
        <v>2189</v>
      </c>
      <c r="G559" s="262">
        <v>50229</v>
      </c>
      <c r="H559" s="258">
        <v>77000</v>
      </c>
      <c r="I559" s="262">
        <v>1</v>
      </c>
      <c r="L559" s="258">
        <v>77000</v>
      </c>
      <c r="O559" s="262"/>
    </row>
    <row r="560" spans="1:15">
      <c r="A560" s="264">
        <v>559</v>
      </c>
      <c r="B560" s="257">
        <v>45813</v>
      </c>
      <c r="C560" s="283" t="s">
        <v>1540</v>
      </c>
      <c r="F560" s="283" t="s">
        <v>2187</v>
      </c>
      <c r="G560" s="262" t="s">
        <v>1258</v>
      </c>
      <c r="H560" s="258">
        <v>130000</v>
      </c>
      <c r="I560" s="262">
        <v>1</v>
      </c>
      <c r="L560" s="258">
        <v>130000</v>
      </c>
      <c r="O560" s="262"/>
    </row>
    <row r="561" spans="1:15">
      <c r="A561" s="264">
        <v>560</v>
      </c>
      <c r="B561" s="257">
        <v>45813</v>
      </c>
      <c r="C561" s="283" t="s">
        <v>1540</v>
      </c>
      <c r="F561" s="283" t="s">
        <v>2191</v>
      </c>
      <c r="G561" s="262" t="s">
        <v>1821</v>
      </c>
      <c r="H561" s="258">
        <v>10000</v>
      </c>
      <c r="I561" s="262">
        <v>2</v>
      </c>
      <c r="L561" s="258">
        <v>20000</v>
      </c>
      <c r="O561" s="262"/>
    </row>
    <row r="562" spans="1:15">
      <c r="A562" s="264">
        <v>561</v>
      </c>
      <c r="B562" s="257">
        <v>45813</v>
      </c>
      <c r="C562" s="283" t="s">
        <v>1540</v>
      </c>
      <c r="F562" s="283" t="s">
        <v>2190</v>
      </c>
      <c r="G562" s="262" t="s">
        <v>1794</v>
      </c>
      <c r="H562" s="258">
        <v>35000</v>
      </c>
      <c r="I562" s="262">
        <v>1</v>
      </c>
      <c r="L562" s="258">
        <v>35000</v>
      </c>
      <c r="O562" s="262"/>
    </row>
    <row r="563" spans="1:15">
      <c r="A563" s="264">
        <v>562</v>
      </c>
      <c r="B563" s="257">
        <v>45813</v>
      </c>
      <c r="C563" s="283" t="s">
        <v>1597</v>
      </c>
      <c r="F563" s="283" t="s">
        <v>1124</v>
      </c>
      <c r="M563" s="258">
        <v>-1500000</v>
      </c>
      <c r="O563" s="262"/>
    </row>
    <row r="564" spans="1:15">
      <c r="A564" s="264">
        <v>563</v>
      </c>
      <c r="B564" s="257">
        <v>45813</v>
      </c>
      <c r="C564" s="283" t="s">
        <v>1455</v>
      </c>
      <c r="F564" s="283" t="s">
        <v>1716</v>
      </c>
      <c r="G564" s="262">
        <v>2800802</v>
      </c>
      <c r="H564" s="258">
        <v>150000</v>
      </c>
      <c r="I564" s="262">
        <v>1</v>
      </c>
      <c r="L564" s="258">
        <v>150000</v>
      </c>
      <c r="O564" s="262"/>
    </row>
    <row r="565" spans="1:15">
      <c r="A565" s="264">
        <v>564</v>
      </c>
      <c r="B565" s="257">
        <v>45813</v>
      </c>
      <c r="C565" s="283" t="s">
        <v>1146</v>
      </c>
      <c r="F565" s="283" t="s">
        <v>2394</v>
      </c>
      <c r="H565" s="258">
        <v>450000</v>
      </c>
      <c r="I565" s="262">
        <v>1</v>
      </c>
      <c r="L565" s="258">
        <v>450000</v>
      </c>
      <c r="O565" s="262"/>
    </row>
    <row r="566" spans="1:15">
      <c r="A566" s="264">
        <v>565</v>
      </c>
      <c r="B566" s="257">
        <v>45813</v>
      </c>
      <c r="C566" s="283" t="s">
        <v>1146</v>
      </c>
      <c r="F566" s="283" t="s">
        <v>2190</v>
      </c>
      <c r="G566" s="262" t="s">
        <v>1794</v>
      </c>
      <c r="H566" s="258">
        <v>55000</v>
      </c>
      <c r="I566" s="262">
        <v>1</v>
      </c>
      <c r="L566" s="258">
        <v>55000</v>
      </c>
      <c r="O566" s="262"/>
    </row>
    <row r="567" spans="1:15">
      <c r="A567" s="264">
        <v>566</v>
      </c>
      <c r="B567" s="257">
        <v>45813</v>
      </c>
      <c r="C567" s="283" t="s">
        <v>1146</v>
      </c>
      <c r="F567" s="283" t="s">
        <v>2193</v>
      </c>
      <c r="H567" s="258">
        <v>600000</v>
      </c>
      <c r="I567" s="262">
        <v>1</v>
      </c>
      <c r="L567" s="258">
        <v>600000</v>
      </c>
      <c r="O567" s="262"/>
    </row>
    <row r="568" spans="1:15">
      <c r="A568" s="264">
        <v>567</v>
      </c>
      <c r="B568" s="257">
        <v>45813</v>
      </c>
      <c r="C568" s="283" t="s">
        <v>1146</v>
      </c>
      <c r="F568" s="283" t="s">
        <v>2395</v>
      </c>
      <c r="H568" s="258">
        <v>600000</v>
      </c>
      <c r="I568" s="262">
        <v>1</v>
      </c>
      <c r="L568" s="258">
        <v>600000</v>
      </c>
      <c r="O568" s="262"/>
    </row>
    <row r="569" spans="1:15">
      <c r="A569" s="264">
        <v>568</v>
      </c>
      <c r="B569" s="257">
        <v>45813</v>
      </c>
      <c r="C569" s="283" t="s">
        <v>1579</v>
      </c>
      <c r="F569" s="283" t="s">
        <v>1124</v>
      </c>
      <c r="M569" s="258">
        <v>-550000</v>
      </c>
      <c r="O569" s="262"/>
    </row>
    <row r="570" spans="1:15">
      <c r="A570" s="264">
        <v>569</v>
      </c>
      <c r="B570" s="257">
        <v>45813</v>
      </c>
      <c r="C570" s="283" t="s">
        <v>2403</v>
      </c>
      <c r="F570" s="283" t="s">
        <v>2402</v>
      </c>
      <c r="H570" s="258">
        <v>200000</v>
      </c>
      <c r="I570" s="262">
        <v>1</v>
      </c>
      <c r="L570" s="258">
        <v>200000</v>
      </c>
      <c r="O570" s="262"/>
    </row>
    <row r="571" spans="1:15">
      <c r="A571" s="264">
        <v>570</v>
      </c>
      <c r="B571" s="257">
        <v>45814</v>
      </c>
      <c r="C571" s="283" t="s">
        <v>1721</v>
      </c>
      <c r="F571" s="283" t="s">
        <v>2186</v>
      </c>
      <c r="G571" s="262" t="s">
        <v>1206</v>
      </c>
      <c r="H571" s="258">
        <v>500000</v>
      </c>
      <c r="I571" s="262">
        <v>5</v>
      </c>
      <c r="L571" s="258">
        <v>2500000</v>
      </c>
      <c r="O571" s="262"/>
    </row>
    <row r="572" spans="1:15">
      <c r="A572" s="264">
        <v>571</v>
      </c>
      <c r="B572" s="257">
        <v>45817</v>
      </c>
      <c r="C572" s="283" t="s">
        <v>1058</v>
      </c>
      <c r="F572" s="283" t="s">
        <v>2427</v>
      </c>
      <c r="G572" s="262" t="s">
        <v>1214</v>
      </c>
      <c r="H572" s="258">
        <v>2200000</v>
      </c>
      <c r="I572" s="262">
        <v>1</v>
      </c>
      <c r="K572" s="259">
        <v>220000</v>
      </c>
      <c r="L572" s="258">
        <v>2420000</v>
      </c>
      <c r="O572" s="262"/>
    </row>
    <row r="573" spans="1:15">
      <c r="A573" s="264">
        <v>572</v>
      </c>
      <c r="B573" s="257">
        <v>45817</v>
      </c>
      <c r="C573" s="283" t="s">
        <v>2359</v>
      </c>
      <c r="F573" s="283" t="s">
        <v>2254</v>
      </c>
      <c r="G573" s="262" t="s">
        <v>2253</v>
      </c>
      <c r="H573" s="258">
        <v>1550000</v>
      </c>
      <c r="I573" s="262">
        <v>1</v>
      </c>
      <c r="L573" s="258">
        <v>1550000</v>
      </c>
      <c r="O573" s="262"/>
    </row>
    <row r="574" spans="1:15">
      <c r="A574" s="264">
        <v>573</v>
      </c>
      <c r="B574" s="257">
        <v>45817</v>
      </c>
      <c r="C574" s="283" t="s">
        <v>2359</v>
      </c>
      <c r="F574" s="283" t="s">
        <v>2054</v>
      </c>
      <c r="G574" s="262" t="s">
        <v>2432</v>
      </c>
      <c r="H574" s="258">
        <v>650000</v>
      </c>
      <c r="I574" s="262">
        <v>1</v>
      </c>
      <c r="L574" s="258">
        <v>650000</v>
      </c>
      <c r="O574" s="262"/>
    </row>
    <row r="575" spans="1:15">
      <c r="A575" s="264">
        <v>574</v>
      </c>
      <c r="B575" s="257">
        <v>45817</v>
      </c>
      <c r="C575" s="283" t="s">
        <v>1146</v>
      </c>
      <c r="F575" s="283" t="s">
        <v>2411</v>
      </c>
      <c r="H575" s="258">
        <v>35000</v>
      </c>
      <c r="I575" s="262">
        <v>1</v>
      </c>
      <c r="L575" s="258">
        <v>35000</v>
      </c>
      <c r="O575" s="262"/>
    </row>
    <row r="576" spans="1:15">
      <c r="A576" s="264">
        <v>575</v>
      </c>
      <c r="B576" s="257">
        <v>45817</v>
      </c>
      <c r="C576" s="283" t="s">
        <v>1146</v>
      </c>
      <c r="F576" s="283" t="s">
        <v>1873</v>
      </c>
      <c r="G576" s="262" t="s">
        <v>2412</v>
      </c>
      <c r="H576" s="258">
        <v>20000</v>
      </c>
      <c r="I576" s="262">
        <v>1</v>
      </c>
      <c r="L576" s="258">
        <v>20000</v>
      </c>
      <c r="O576" s="262"/>
    </row>
    <row r="577" spans="1:15">
      <c r="A577" s="264">
        <v>576</v>
      </c>
      <c r="B577" s="257">
        <v>45817</v>
      </c>
      <c r="C577" s="283" t="s">
        <v>1721</v>
      </c>
      <c r="F577" s="283" t="s">
        <v>1742</v>
      </c>
      <c r="H577" s="258">
        <v>1100000</v>
      </c>
      <c r="I577" s="262">
        <v>1</v>
      </c>
      <c r="L577" s="258">
        <v>1100000</v>
      </c>
      <c r="O577" s="262"/>
    </row>
    <row r="578" spans="1:15">
      <c r="A578" s="264">
        <v>577</v>
      </c>
      <c r="B578" s="257">
        <v>45817</v>
      </c>
      <c r="C578" s="283" t="s">
        <v>1018</v>
      </c>
      <c r="F578" s="283" t="s">
        <v>2416</v>
      </c>
      <c r="H578" s="258">
        <v>1100000</v>
      </c>
      <c r="I578" s="262">
        <v>1</v>
      </c>
      <c r="L578" s="258">
        <v>1100000</v>
      </c>
      <c r="O578" s="262"/>
    </row>
    <row r="579" spans="1:15">
      <c r="A579" s="264">
        <v>578</v>
      </c>
      <c r="B579" s="257">
        <v>45817</v>
      </c>
      <c r="C579" s="283" t="s">
        <v>1443</v>
      </c>
      <c r="F579" s="283" t="s">
        <v>2195</v>
      </c>
      <c r="H579" s="258">
        <v>1500000</v>
      </c>
      <c r="I579" s="262">
        <v>1</v>
      </c>
      <c r="L579" s="258">
        <v>1500000</v>
      </c>
      <c r="O579" s="262"/>
    </row>
    <row r="580" spans="1:15">
      <c r="A580" s="264">
        <v>579</v>
      </c>
      <c r="B580" s="257">
        <v>45817</v>
      </c>
      <c r="C580" s="283" t="s">
        <v>1398</v>
      </c>
      <c r="F580" s="283" t="s">
        <v>2195</v>
      </c>
      <c r="H580" s="258">
        <v>1500000</v>
      </c>
      <c r="I580" s="262">
        <v>1</v>
      </c>
      <c r="L580" s="258">
        <v>1500000</v>
      </c>
      <c r="O580" s="262"/>
    </row>
    <row r="581" spans="1:15">
      <c r="A581" s="264">
        <v>580</v>
      </c>
      <c r="B581" s="257">
        <v>45817</v>
      </c>
      <c r="C581" s="283" t="s">
        <v>1579</v>
      </c>
      <c r="F581" s="283" t="s">
        <v>2186</v>
      </c>
      <c r="G581" s="262" t="s">
        <v>1206</v>
      </c>
      <c r="H581" s="258">
        <v>517273</v>
      </c>
      <c r="I581" s="262">
        <v>1</v>
      </c>
      <c r="K581" s="259">
        <v>51727</v>
      </c>
      <c r="L581" s="258">
        <v>569000</v>
      </c>
      <c r="O581" s="262"/>
    </row>
    <row r="582" spans="1:15">
      <c r="A582" s="264">
        <v>581</v>
      </c>
      <c r="B582" s="257">
        <v>45817</v>
      </c>
      <c r="C582" s="283" t="s">
        <v>1579</v>
      </c>
      <c r="F582" s="283" t="s">
        <v>2187</v>
      </c>
      <c r="G582" s="262" t="s">
        <v>1258</v>
      </c>
      <c r="H582" s="258">
        <v>130000</v>
      </c>
      <c r="I582" s="262">
        <v>2</v>
      </c>
      <c r="K582" s="259">
        <v>26000</v>
      </c>
      <c r="L582" s="258">
        <v>286000</v>
      </c>
      <c r="O582" s="262"/>
    </row>
    <row r="583" spans="1:15">
      <c r="A583" s="264">
        <v>582</v>
      </c>
      <c r="B583" s="257">
        <v>45817</v>
      </c>
      <c r="C583" s="283" t="s">
        <v>1273</v>
      </c>
      <c r="F583" s="283" t="s">
        <v>2433</v>
      </c>
      <c r="H583" s="258">
        <v>600000</v>
      </c>
      <c r="I583" s="262">
        <v>1</v>
      </c>
      <c r="K583" s="259">
        <v>60000</v>
      </c>
      <c r="L583" s="258">
        <v>660000</v>
      </c>
      <c r="O583" s="262"/>
    </row>
    <row r="584" spans="1:15">
      <c r="A584" s="264">
        <v>583</v>
      </c>
      <c r="B584" s="257">
        <v>45817</v>
      </c>
      <c r="C584" s="283" t="s">
        <v>1576</v>
      </c>
      <c r="F584" s="283" t="s">
        <v>2421</v>
      </c>
      <c r="I584" s="262">
        <v>1</v>
      </c>
      <c r="L584" s="258">
        <v>0</v>
      </c>
      <c r="O584" s="262"/>
    </row>
    <row r="585" spans="1:15">
      <c r="A585" s="264">
        <v>584</v>
      </c>
      <c r="B585" s="257">
        <v>45817</v>
      </c>
      <c r="C585" s="283" t="s">
        <v>1576</v>
      </c>
      <c r="F585" s="283" t="s">
        <v>2423</v>
      </c>
      <c r="G585" s="262" t="s">
        <v>2422</v>
      </c>
      <c r="H585" s="258">
        <v>590910</v>
      </c>
      <c r="I585" s="262">
        <v>1</v>
      </c>
      <c r="K585" s="259">
        <v>59091</v>
      </c>
      <c r="L585" s="258">
        <v>650001</v>
      </c>
      <c r="O585" s="262"/>
    </row>
    <row r="586" spans="1:15">
      <c r="A586" s="264">
        <v>585</v>
      </c>
      <c r="B586" s="257">
        <v>45817</v>
      </c>
      <c r="C586" s="283" t="s">
        <v>1576</v>
      </c>
      <c r="F586" s="283" t="s">
        <v>2425</v>
      </c>
      <c r="G586" s="262" t="s">
        <v>2424</v>
      </c>
      <c r="H586" s="258">
        <v>100000</v>
      </c>
      <c r="I586" s="262">
        <v>1</v>
      </c>
      <c r="K586" s="259">
        <v>10000</v>
      </c>
      <c r="L586" s="258">
        <v>110000</v>
      </c>
      <c r="O586" s="262"/>
    </row>
    <row r="587" spans="1:15">
      <c r="A587" s="264">
        <v>586</v>
      </c>
      <c r="B587" s="257">
        <v>45817</v>
      </c>
      <c r="C587" s="283" t="s">
        <v>1576</v>
      </c>
      <c r="F587" s="283" t="s">
        <v>2191</v>
      </c>
      <c r="G587" s="262" t="s">
        <v>1821</v>
      </c>
      <c r="H587" s="258">
        <v>20000</v>
      </c>
      <c r="I587" s="262">
        <v>1</v>
      </c>
      <c r="K587" s="259">
        <v>2000</v>
      </c>
      <c r="L587" s="258">
        <v>22000</v>
      </c>
      <c r="O587" s="262"/>
    </row>
    <row r="588" spans="1:15">
      <c r="A588" s="264">
        <v>587</v>
      </c>
      <c r="B588" s="257">
        <v>45817</v>
      </c>
      <c r="C588" s="283" t="s">
        <v>2408</v>
      </c>
      <c r="F588" s="283" t="s">
        <v>1124</v>
      </c>
      <c r="M588" s="258">
        <v>-2420000</v>
      </c>
      <c r="O588" s="262"/>
    </row>
    <row r="589" spans="1:15">
      <c r="A589" s="264">
        <v>588</v>
      </c>
      <c r="B589" s="257">
        <v>45817</v>
      </c>
      <c r="C589" s="283" t="s">
        <v>1443</v>
      </c>
      <c r="F589" s="283" t="s">
        <v>2428</v>
      </c>
      <c r="M589" s="258">
        <v>-500000</v>
      </c>
      <c r="O589" s="262"/>
    </row>
    <row r="590" spans="1:15">
      <c r="A590" s="264">
        <v>589</v>
      </c>
      <c r="B590" s="257">
        <v>45817</v>
      </c>
      <c r="C590" s="283" t="s">
        <v>1443</v>
      </c>
      <c r="F590" s="283" t="s">
        <v>2429</v>
      </c>
      <c r="M590" s="258">
        <v>-300000</v>
      </c>
      <c r="O590" s="262"/>
    </row>
    <row r="591" spans="1:15">
      <c r="A591" s="264">
        <v>590</v>
      </c>
      <c r="B591" s="257">
        <v>45817</v>
      </c>
      <c r="C591" s="283" t="s">
        <v>1443</v>
      </c>
      <c r="F591" s="283" t="s">
        <v>2430</v>
      </c>
      <c r="M591" s="258">
        <v>-300000</v>
      </c>
      <c r="O591" s="262"/>
    </row>
    <row r="592" spans="1:15">
      <c r="A592" s="264">
        <v>591</v>
      </c>
      <c r="B592" s="257">
        <v>45817</v>
      </c>
      <c r="C592" s="283" t="s">
        <v>1443</v>
      </c>
      <c r="F592" s="283" t="s">
        <v>2431</v>
      </c>
      <c r="M592" s="258">
        <v>-380000</v>
      </c>
      <c r="O592" s="262"/>
    </row>
    <row r="593" spans="1:15">
      <c r="A593" s="264">
        <v>592</v>
      </c>
      <c r="B593" s="257">
        <v>45817</v>
      </c>
      <c r="C593" s="283" t="s">
        <v>987</v>
      </c>
      <c r="F593" s="283" t="s">
        <v>1124</v>
      </c>
      <c r="M593" s="258">
        <v>-2200000</v>
      </c>
      <c r="O593" s="262"/>
    </row>
    <row r="594" spans="1:15">
      <c r="A594" s="264">
        <v>593</v>
      </c>
      <c r="B594" s="257">
        <v>45817</v>
      </c>
      <c r="C594" s="283" t="s">
        <v>2257</v>
      </c>
      <c r="F594" s="283" t="s">
        <v>1124</v>
      </c>
      <c r="M594" s="258">
        <v>-1500000</v>
      </c>
      <c r="O594" s="262"/>
    </row>
    <row r="595" spans="1:15">
      <c r="A595" s="264">
        <v>594</v>
      </c>
      <c r="B595" s="257">
        <v>45807</v>
      </c>
      <c r="C595" s="283" t="s">
        <v>1053</v>
      </c>
      <c r="F595" s="283" t="s">
        <v>1124</v>
      </c>
      <c r="M595" s="258">
        <v>-2000000</v>
      </c>
      <c r="O595" s="262"/>
    </row>
    <row r="596" spans="1:15">
      <c r="A596" s="264">
        <v>595</v>
      </c>
      <c r="B596" s="257">
        <v>45817</v>
      </c>
      <c r="C596" s="283" t="s">
        <v>1398</v>
      </c>
      <c r="F596" s="283" t="s">
        <v>2338</v>
      </c>
      <c r="G596" s="262">
        <v>1087298437</v>
      </c>
      <c r="H596" s="258">
        <v>80000</v>
      </c>
      <c r="I596" s="262">
        <v>1</v>
      </c>
      <c r="L596" s="258">
        <v>80000</v>
      </c>
      <c r="O596" s="262"/>
    </row>
    <row r="597" spans="1:15">
      <c r="A597" s="264">
        <v>596</v>
      </c>
      <c r="B597" s="257">
        <v>45818</v>
      </c>
      <c r="C597" s="283" t="s">
        <v>2100</v>
      </c>
      <c r="F597" s="283" t="s">
        <v>1124</v>
      </c>
      <c r="M597" s="258">
        <v>-1550000</v>
      </c>
      <c r="O597" s="262"/>
    </row>
    <row r="598" spans="1:15">
      <c r="A598" s="264">
        <v>597</v>
      </c>
      <c r="B598" s="257">
        <v>45818</v>
      </c>
      <c r="C598" s="283" t="s">
        <v>1595</v>
      </c>
      <c r="F598" s="283" t="s">
        <v>1124</v>
      </c>
      <c r="M598" s="258">
        <v>-700000</v>
      </c>
      <c r="O598" s="262"/>
    </row>
    <row r="599" spans="1:15">
      <c r="A599" s="264">
        <v>598</v>
      </c>
      <c r="B599" s="257">
        <v>45818</v>
      </c>
      <c r="C599" s="283" t="s">
        <v>2363</v>
      </c>
      <c r="F599" s="283" t="s">
        <v>2449</v>
      </c>
      <c r="H599" s="258">
        <v>3000000</v>
      </c>
      <c r="I599" s="262">
        <v>1</v>
      </c>
      <c r="L599" s="258">
        <v>3000000</v>
      </c>
      <c r="O599" s="262"/>
    </row>
    <row r="600" spans="1:15">
      <c r="A600" s="264">
        <v>599</v>
      </c>
      <c r="B600" s="257">
        <v>45818</v>
      </c>
      <c r="C600" s="283" t="s">
        <v>1746</v>
      </c>
      <c r="F600" s="283" t="s">
        <v>2189</v>
      </c>
      <c r="G600" s="262">
        <v>50229</v>
      </c>
      <c r="H600" s="258">
        <v>75000</v>
      </c>
      <c r="I600" s="262">
        <v>2</v>
      </c>
      <c r="K600" s="259">
        <v>15000</v>
      </c>
      <c r="L600" s="258">
        <v>165000</v>
      </c>
      <c r="O600" s="262"/>
    </row>
    <row r="601" spans="1:15">
      <c r="A601" s="264">
        <v>600</v>
      </c>
      <c r="B601" s="257">
        <v>45818</v>
      </c>
      <c r="C601" s="283" t="s">
        <v>1746</v>
      </c>
      <c r="F601" s="283" t="s">
        <v>2187</v>
      </c>
      <c r="G601" s="262" t="s">
        <v>1258</v>
      </c>
      <c r="H601" s="258">
        <v>130000</v>
      </c>
      <c r="I601" s="262">
        <v>1</v>
      </c>
      <c r="K601" s="259">
        <v>13000</v>
      </c>
      <c r="L601" s="258">
        <v>143000</v>
      </c>
      <c r="O601" s="262"/>
    </row>
    <row r="602" spans="1:15">
      <c r="A602" s="264">
        <v>601</v>
      </c>
      <c r="B602" s="257">
        <v>45818</v>
      </c>
      <c r="C602" s="283" t="s">
        <v>1301</v>
      </c>
      <c r="F602" s="283" t="s">
        <v>2720</v>
      </c>
      <c r="G602" s="263">
        <v>602000700</v>
      </c>
      <c r="H602" s="258">
        <v>340000</v>
      </c>
      <c r="I602" s="262">
        <v>1</v>
      </c>
      <c r="L602" s="258">
        <v>340000</v>
      </c>
      <c r="O602" s="262"/>
    </row>
    <row r="603" spans="1:15">
      <c r="A603" s="264">
        <v>602</v>
      </c>
      <c r="B603" s="257">
        <v>45818</v>
      </c>
      <c r="C603" s="283" t="s">
        <v>1305</v>
      </c>
      <c r="F603" s="283" t="s">
        <v>2453</v>
      </c>
      <c r="H603" s="258">
        <v>850000</v>
      </c>
      <c r="I603" s="262">
        <v>1</v>
      </c>
      <c r="L603" s="258">
        <v>850000</v>
      </c>
      <c r="O603" s="262"/>
    </row>
    <row r="604" spans="1:15">
      <c r="A604" s="264">
        <v>603</v>
      </c>
      <c r="B604" s="257">
        <v>45818</v>
      </c>
      <c r="C604" s="283" t="s">
        <v>1305</v>
      </c>
      <c r="F604" s="283" t="s">
        <v>2103</v>
      </c>
      <c r="H604" s="258">
        <v>1000000</v>
      </c>
      <c r="I604" s="262">
        <v>1</v>
      </c>
      <c r="L604" s="258">
        <v>1000000</v>
      </c>
      <c r="O604" s="262"/>
    </row>
    <row r="605" spans="1:15">
      <c r="A605" s="264">
        <v>604</v>
      </c>
      <c r="B605" s="257">
        <v>45818</v>
      </c>
      <c r="C605" s="283" t="s">
        <v>1576</v>
      </c>
      <c r="F605" s="283" t="s">
        <v>2575</v>
      </c>
      <c r="H605" s="258">
        <v>1600000</v>
      </c>
      <c r="I605" s="262">
        <v>1</v>
      </c>
      <c r="K605" s="259">
        <v>160000</v>
      </c>
      <c r="L605" s="258">
        <v>1760000</v>
      </c>
      <c r="O605" s="262"/>
    </row>
    <row r="606" spans="1:15">
      <c r="A606" s="264">
        <v>605</v>
      </c>
      <c r="B606" s="257">
        <v>45818</v>
      </c>
      <c r="C606" s="283" t="s">
        <v>1576</v>
      </c>
      <c r="F606" s="283" t="s">
        <v>1518</v>
      </c>
      <c r="H606" s="258">
        <v>20000</v>
      </c>
      <c r="I606" s="262">
        <v>1</v>
      </c>
      <c r="K606" s="259">
        <v>2000</v>
      </c>
      <c r="L606" s="258">
        <v>22000</v>
      </c>
      <c r="O606" s="262"/>
    </row>
    <row r="607" spans="1:15">
      <c r="A607" s="264">
        <v>606</v>
      </c>
      <c r="B607" s="257">
        <v>45818</v>
      </c>
      <c r="C607" s="283" t="s">
        <v>1443</v>
      </c>
      <c r="F607" s="283" t="s">
        <v>2456</v>
      </c>
      <c r="H607" s="258">
        <v>100000</v>
      </c>
      <c r="I607" s="262">
        <v>1</v>
      </c>
      <c r="L607" s="258">
        <v>100000</v>
      </c>
      <c r="O607" s="262"/>
    </row>
    <row r="608" spans="1:15">
      <c r="A608" s="264">
        <v>607</v>
      </c>
      <c r="B608" s="257">
        <v>45818</v>
      </c>
      <c r="C608" s="283" t="s">
        <v>2318</v>
      </c>
      <c r="F608" s="283" t="s">
        <v>2458</v>
      </c>
      <c r="G608" s="262" t="s">
        <v>1197</v>
      </c>
      <c r="H608" s="258">
        <v>100000</v>
      </c>
      <c r="I608" s="262">
        <v>1</v>
      </c>
      <c r="L608" s="258">
        <v>100000</v>
      </c>
      <c r="O608" s="262"/>
    </row>
    <row r="609" spans="1:15">
      <c r="A609" s="264">
        <v>608</v>
      </c>
      <c r="B609" s="257">
        <v>45818</v>
      </c>
      <c r="C609" s="283" t="s">
        <v>1893</v>
      </c>
      <c r="F609" s="283" t="s">
        <v>1202</v>
      </c>
      <c r="G609" s="262" t="s">
        <v>1360</v>
      </c>
      <c r="H609" s="258">
        <v>1200000</v>
      </c>
      <c r="I609" s="262">
        <v>1</v>
      </c>
      <c r="L609" s="258">
        <v>1200000</v>
      </c>
      <c r="O609" s="262"/>
    </row>
    <row r="610" spans="1:15">
      <c r="A610" s="264">
        <v>609</v>
      </c>
      <c r="B610" s="257">
        <v>45818</v>
      </c>
      <c r="C610" s="283" t="s">
        <v>1443</v>
      </c>
      <c r="F610" s="283" t="s">
        <v>2461</v>
      </c>
      <c r="M610" s="258">
        <v>-1200000</v>
      </c>
      <c r="O610" s="262"/>
    </row>
    <row r="611" spans="1:15">
      <c r="A611" s="264">
        <v>610</v>
      </c>
      <c r="B611" s="257">
        <v>45813</v>
      </c>
      <c r="C611" s="283" t="s">
        <v>1455</v>
      </c>
      <c r="F611" s="283" t="s">
        <v>1124</v>
      </c>
      <c r="M611" s="258">
        <v>-150000</v>
      </c>
      <c r="O611" s="262"/>
    </row>
    <row r="612" spans="1:15">
      <c r="A612" s="264">
        <v>611</v>
      </c>
      <c r="B612" s="257">
        <v>45818</v>
      </c>
      <c r="C612" s="283" t="s">
        <v>2463</v>
      </c>
      <c r="F612" s="283" t="s">
        <v>2464</v>
      </c>
      <c r="G612" s="262" t="s">
        <v>1211</v>
      </c>
      <c r="H612" s="258">
        <v>-1500000</v>
      </c>
      <c r="I612" s="262">
        <v>1</v>
      </c>
      <c r="K612" s="259">
        <v>-150000</v>
      </c>
      <c r="L612" s="258">
        <v>-1650000</v>
      </c>
      <c r="O612" s="262"/>
    </row>
    <row r="613" spans="1:15">
      <c r="A613" s="264">
        <v>612</v>
      </c>
      <c r="B613" s="257">
        <v>45819</v>
      </c>
      <c r="C613" s="283" t="s">
        <v>1305</v>
      </c>
      <c r="F613" s="283" t="s">
        <v>1124</v>
      </c>
      <c r="M613" s="258">
        <v>-1850000</v>
      </c>
      <c r="O613" s="262"/>
    </row>
    <row r="614" spans="1:15">
      <c r="A614" s="264">
        <v>613</v>
      </c>
      <c r="B614" s="257">
        <v>45819</v>
      </c>
      <c r="C614" s="283" t="s">
        <v>1018</v>
      </c>
      <c r="F614" s="283" t="s">
        <v>1124</v>
      </c>
      <c r="M614" s="258">
        <v>-5487000</v>
      </c>
      <c r="O614" s="262"/>
    </row>
    <row r="615" spans="1:15">
      <c r="A615" s="264">
        <v>614</v>
      </c>
      <c r="B615" s="257">
        <v>45819</v>
      </c>
      <c r="C615" s="283" t="s">
        <v>2474</v>
      </c>
      <c r="F615" s="283" t="s">
        <v>1202</v>
      </c>
      <c r="G615" s="262" t="s">
        <v>1751</v>
      </c>
      <c r="H615" s="258">
        <v>1200000</v>
      </c>
      <c r="I615" s="262">
        <v>1</v>
      </c>
      <c r="K615" s="259">
        <v>120000</v>
      </c>
      <c r="L615" s="258">
        <v>1320000</v>
      </c>
      <c r="O615" s="262"/>
    </row>
    <row r="616" spans="1:15">
      <c r="A616" s="264">
        <v>615</v>
      </c>
      <c r="B616" s="257">
        <v>45819</v>
      </c>
      <c r="C616" s="283" t="s">
        <v>1451</v>
      </c>
      <c r="F616" s="283" t="s">
        <v>1204</v>
      </c>
      <c r="G616" s="262" t="s">
        <v>1203</v>
      </c>
      <c r="H616" s="258">
        <v>1200000</v>
      </c>
      <c r="I616" s="262">
        <v>1</v>
      </c>
      <c r="K616" s="259">
        <v>120000</v>
      </c>
      <c r="L616" s="258">
        <v>1320000</v>
      </c>
      <c r="O616" s="262"/>
    </row>
    <row r="617" spans="1:15">
      <c r="A617" s="264">
        <v>616</v>
      </c>
      <c r="B617" s="257">
        <v>45819</v>
      </c>
      <c r="C617" s="283" t="s">
        <v>1372</v>
      </c>
      <c r="F617" s="283" t="s">
        <v>1735</v>
      </c>
      <c r="G617" s="262">
        <v>2850701</v>
      </c>
      <c r="H617" s="258">
        <v>600000</v>
      </c>
      <c r="I617" s="262">
        <v>1</v>
      </c>
      <c r="L617" s="258">
        <v>600000</v>
      </c>
      <c r="O617" s="262"/>
    </row>
    <row r="618" spans="1:15">
      <c r="A618" s="264">
        <v>617</v>
      </c>
      <c r="B618" s="257">
        <v>45819</v>
      </c>
      <c r="C618" s="283" t="s">
        <v>2465</v>
      </c>
      <c r="F618" s="283" t="s">
        <v>1716</v>
      </c>
      <c r="G618" s="262">
        <v>2800802</v>
      </c>
      <c r="H618" s="258">
        <v>200000</v>
      </c>
      <c r="I618" s="262">
        <v>1</v>
      </c>
      <c r="K618" s="259">
        <v>20000</v>
      </c>
      <c r="L618" s="258">
        <v>220000</v>
      </c>
      <c r="O618" s="262"/>
    </row>
    <row r="619" spans="1:15">
      <c r="A619" s="264">
        <v>618</v>
      </c>
      <c r="B619" s="257">
        <v>45819</v>
      </c>
      <c r="C619" s="283" t="s">
        <v>1448</v>
      </c>
      <c r="F619" s="283" t="s">
        <v>1202</v>
      </c>
      <c r="G619" s="262" t="s">
        <v>1751</v>
      </c>
      <c r="H619" s="258">
        <v>1200000</v>
      </c>
      <c r="I619" s="262">
        <v>1</v>
      </c>
      <c r="L619" s="258">
        <v>1200000</v>
      </c>
      <c r="O619" s="262"/>
    </row>
    <row r="620" spans="1:15">
      <c r="A620" s="264">
        <v>619</v>
      </c>
      <c r="B620" s="257">
        <v>45818</v>
      </c>
      <c r="C620" s="283" t="s">
        <v>2363</v>
      </c>
      <c r="F620" s="283" t="s">
        <v>1124</v>
      </c>
      <c r="M620" s="258">
        <v>-3000000</v>
      </c>
      <c r="O620" s="262"/>
    </row>
    <row r="621" spans="1:15">
      <c r="A621" s="264">
        <v>620</v>
      </c>
      <c r="B621" s="257">
        <v>45819</v>
      </c>
      <c r="C621" s="283" t="s">
        <v>2465</v>
      </c>
      <c r="F621" s="283" t="s">
        <v>1124</v>
      </c>
      <c r="M621" s="258">
        <v>-220000</v>
      </c>
      <c r="O621" s="262"/>
    </row>
    <row r="622" spans="1:15">
      <c r="A622" s="264">
        <v>621</v>
      </c>
      <c r="B622" s="257">
        <v>45818</v>
      </c>
      <c r="C622" s="283" t="s">
        <v>2318</v>
      </c>
      <c r="F622" s="283" t="s">
        <v>1124</v>
      </c>
      <c r="M622" s="258">
        <v>-100000</v>
      </c>
      <c r="O622" s="262"/>
    </row>
    <row r="623" spans="1:15">
      <c r="A623" s="264">
        <v>622</v>
      </c>
      <c r="B623" s="257">
        <v>45820</v>
      </c>
      <c r="C623" s="283" t="s">
        <v>1448</v>
      </c>
      <c r="F623" s="283" t="s">
        <v>1124</v>
      </c>
      <c r="M623" s="258">
        <v>-1200000</v>
      </c>
      <c r="O623" s="262"/>
    </row>
    <row r="624" spans="1:15">
      <c r="A624" s="264">
        <v>623</v>
      </c>
      <c r="B624" s="257">
        <v>45820</v>
      </c>
      <c r="C624" s="283" t="s">
        <v>1487</v>
      </c>
      <c r="F624" s="283" t="s">
        <v>2179</v>
      </c>
      <c r="G624" s="262" t="s">
        <v>1200</v>
      </c>
      <c r="H624" s="258">
        <v>1500000</v>
      </c>
      <c r="I624" s="262">
        <v>1</v>
      </c>
      <c r="L624" s="258">
        <v>1500000</v>
      </c>
      <c r="O624" s="262"/>
    </row>
    <row r="625" spans="1:15">
      <c r="A625" s="264">
        <v>624</v>
      </c>
      <c r="B625" s="257">
        <v>45820</v>
      </c>
      <c r="C625" s="283" t="s">
        <v>1487</v>
      </c>
      <c r="F625" s="283" t="s">
        <v>2180</v>
      </c>
      <c r="G625" s="262" t="s">
        <v>1802</v>
      </c>
      <c r="H625" s="258">
        <v>50000</v>
      </c>
      <c r="I625" s="262">
        <v>1</v>
      </c>
      <c r="L625" s="258">
        <v>50000</v>
      </c>
      <c r="O625" s="262"/>
    </row>
    <row r="626" spans="1:15">
      <c r="A626" s="264">
        <v>625</v>
      </c>
      <c r="B626" s="257">
        <v>45820</v>
      </c>
      <c r="C626" s="283" t="s">
        <v>1472</v>
      </c>
      <c r="F626" s="283" t="s">
        <v>2195</v>
      </c>
      <c r="H626" s="258">
        <v>1500000</v>
      </c>
      <c r="I626" s="262">
        <v>1</v>
      </c>
      <c r="L626" s="258">
        <v>1500000</v>
      </c>
      <c r="O626" s="262"/>
    </row>
    <row r="627" spans="1:15">
      <c r="A627" s="264">
        <v>626</v>
      </c>
      <c r="B627" s="257">
        <v>45820</v>
      </c>
      <c r="C627" s="283" t="s">
        <v>1478</v>
      </c>
      <c r="F627" s="283" t="s">
        <v>1204</v>
      </c>
      <c r="G627" s="262" t="s">
        <v>1203</v>
      </c>
      <c r="H627" s="258">
        <v>1100000</v>
      </c>
      <c r="I627" s="262">
        <v>1</v>
      </c>
      <c r="L627" s="258">
        <v>1100000</v>
      </c>
      <c r="O627" s="262"/>
    </row>
    <row r="628" spans="1:15">
      <c r="A628" s="264">
        <v>627</v>
      </c>
      <c r="B628" s="257">
        <v>45820</v>
      </c>
      <c r="C628" s="283" t="s">
        <v>2474</v>
      </c>
      <c r="F628" s="283" t="s">
        <v>1124</v>
      </c>
      <c r="M628" s="258">
        <v>-1320000</v>
      </c>
      <c r="O628" s="262"/>
    </row>
    <row r="629" spans="1:15">
      <c r="A629" s="264">
        <v>628</v>
      </c>
      <c r="B629" s="257">
        <v>45821</v>
      </c>
      <c r="C629" s="283" t="s">
        <v>2147</v>
      </c>
      <c r="F629" s="283" t="s">
        <v>1124</v>
      </c>
      <c r="M629" s="258">
        <v>-900000</v>
      </c>
      <c r="O629" s="262"/>
    </row>
    <row r="630" spans="1:15">
      <c r="A630" s="264">
        <v>629</v>
      </c>
      <c r="B630" s="257">
        <v>45821</v>
      </c>
      <c r="C630" s="283" t="s">
        <v>2484</v>
      </c>
      <c r="F630" s="283" t="s">
        <v>1716</v>
      </c>
      <c r="G630" s="262">
        <v>2800802</v>
      </c>
      <c r="H630" s="258">
        <v>150000</v>
      </c>
      <c r="I630" s="262">
        <v>1</v>
      </c>
      <c r="L630" s="258">
        <v>150000</v>
      </c>
      <c r="O630" s="262"/>
    </row>
    <row r="631" spans="1:15">
      <c r="A631" s="264">
        <v>630</v>
      </c>
      <c r="B631" s="257">
        <v>45821</v>
      </c>
      <c r="C631" s="283" t="s">
        <v>1893</v>
      </c>
      <c r="F631" s="283" t="s">
        <v>1124</v>
      </c>
      <c r="M631" s="258">
        <v>-1200000</v>
      </c>
      <c r="O631" s="262"/>
    </row>
    <row r="632" spans="1:15">
      <c r="A632" s="264">
        <v>631</v>
      </c>
      <c r="B632" s="257">
        <v>45728</v>
      </c>
      <c r="C632" s="283" t="s">
        <v>1082</v>
      </c>
      <c r="F632" s="283" t="s">
        <v>1124</v>
      </c>
      <c r="M632" s="258">
        <v>-1500000</v>
      </c>
      <c r="O632" s="262"/>
    </row>
    <row r="633" spans="1:15">
      <c r="A633" s="264">
        <v>632</v>
      </c>
      <c r="B633" s="257">
        <v>45821</v>
      </c>
      <c r="C633" s="283" t="s">
        <v>1018</v>
      </c>
      <c r="F633" s="283" t="s">
        <v>2190</v>
      </c>
      <c r="G633" s="262" t="s">
        <v>1794</v>
      </c>
      <c r="H633" s="258">
        <v>35000</v>
      </c>
      <c r="I633" s="262">
        <v>1</v>
      </c>
      <c r="L633" s="258">
        <v>35000</v>
      </c>
      <c r="O633" s="262"/>
    </row>
    <row r="634" spans="1:15">
      <c r="A634" s="264">
        <v>633</v>
      </c>
      <c r="B634" s="257">
        <v>45821</v>
      </c>
      <c r="C634" s="283" t="s">
        <v>1018</v>
      </c>
      <c r="F634" s="283" t="s">
        <v>2191</v>
      </c>
      <c r="G634" s="262" t="s">
        <v>1821</v>
      </c>
      <c r="H634" s="258">
        <v>10000</v>
      </c>
      <c r="I634" s="262">
        <v>1</v>
      </c>
      <c r="L634" s="258">
        <v>10000</v>
      </c>
      <c r="O634" s="262"/>
    </row>
    <row r="635" spans="1:15">
      <c r="A635" s="264">
        <v>634</v>
      </c>
      <c r="B635" s="257">
        <v>45821</v>
      </c>
      <c r="C635" s="283" t="s">
        <v>1808</v>
      </c>
      <c r="F635" s="283" t="s">
        <v>2177</v>
      </c>
      <c r="G635" s="262" t="s">
        <v>1463</v>
      </c>
      <c r="H635" s="258">
        <v>1500000</v>
      </c>
      <c r="I635" s="262">
        <v>1</v>
      </c>
      <c r="L635" s="258">
        <v>1500000</v>
      </c>
      <c r="O635" s="262"/>
    </row>
    <row r="636" spans="1:15">
      <c r="A636" s="264">
        <v>635</v>
      </c>
      <c r="B636" s="257">
        <v>45821</v>
      </c>
      <c r="C636" s="283" t="s">
        <v>1979</v>
      </c>
      <c r="F636" s="283" t="s">
        <v>2185</v>
      </c>
      <c r="G636" s="262" t="s">
        <v>1199</v>
      </c>
      <c r="H636" s="258">
        <v>1400000</v>
      </c>
      <c r="I636" s="262">
        <v>1</v>
      </c>
      <c r="L636" s="258">
        <v>1400000</v>
      </c>
      <c r="O636" s="262"/>
    </row>
    <row r="637" spans="1:15">
      <c r="A637" s="264">
        <v>636</v>
      </c>
      <c r="B637" s="257">
        <v>45821</v>
      </c>
      <c r="C637" s="283" t="s">
        <v>2494</v>
      </c>
      <c r="F637" s="283" t="s">
        <v>2179</v>
      </c>
      <c r="G637" s="262" t="s">
        <v>1200</v>
      </c>
      <c r="H637" s="258">
        <v>1500000</v>
      </c>
      <c r="I637" s="262">
        <v>1</v>
      </c>
      <c r="L637" s="258">
        <v>1500000</v>
      </c>
      <c r="O637" s="262"/>
    </row>
    <row r="638" spans="1:15">
      <c r="A638" s="264">
        <v>637</v>
      </c>
      <c r="B638" s="257">
        <v>45821</v>
      </c>
      <c r="C638" s="283" t="s">
        <v>2494</v>
      </c>
      <c r="F638" s="283" t="s">
        <v>2180</v>
      </c>
      <c r="G638" s="262" t="s">
        <v>1802</v>
      </c>
      <c r="H638" s="258">
        <v>50000</v>
      </c>
      <c r="I638" s="262">
        <v>1</v>
      </c>
      <c r="L638" s="258">
        <v>50000</v>
      </c>
      <c r="O638" s="262"/>
    </row>
    <row r="639" spans="1:15">
      <c r="A639" s="264">
        <v>638</v>
      </c>
      <c r="B639" s="257">
        <v>45821</v>
      </c>
      <c r="C639" s="283" t="s">
        <v>1329</v>
      </c>
      <c r="F639" s="283" t="s">
        <v>2686</v>
      </c>
      <c r="H639" s="258">
        <v>480000</v>
      </c>
      <c r="I639" s="262">
        <v>1</v>
      </c>
      <c r="L639" s="258">
        <v>480000</v>
      </c>
      <c r="O639" s="262"/>
    </row>
    <row r="640" spans="1:15">
      <c r="A640" s="264">
        <v>639</v>
      </c>
      <c r="B640" s="257">
        <v>45821</v>
      </c>
      <c r="C640" s="283" t="s">
        <v>1468</v>
      </c>
      <c r="F640" s="283" t="s">
        <v>2498</v>
      </c>
      <c r="H640" s="258">
        <v>150000</v>
      </c>
      <c r="I640" s="262">
        <v>1</v>
      </c>
      <c r="L640" s="258">
        <v>150000</v>
      </c>
      <c r="O640" s="262"/>
    </row>
    <row r="641" spans="1:15">
      <c r="A641" s="264">
        <v>640</v>
      </c>
      <c r="B641" s="257">
        <v>45821</v>
      </c>
      <c r="C641" s="283" t="s">
        <v>1493</v>
      </c>
      <c r="F641" s="283" t="s">
        <v>2298</v>
      </c>
      <c r="H641" s="258">
        <v>650000</v>
      </c>
      <c r="I641" s="262">
        <v>1</v>
      </c>
      <c r="L641" s="258">
        <v>650000</v>
      </c>
      <c r="O641" s="262"/>
    </row>
    <row r="642" spans="1:15">
      <c r="A642" s="264">
        <v>641</v>
      </c>
      <c r="B642" s="257">
        <v>45821</v>
      </c>
      <c r="C642" s="283" t="s">
        <v>1493</v>
      </c>
      <c r="F642" s="283" t="s">
        <v>1495</v>
      </c>
      <c r="H642" s="258">
        <v>350000</v>
      </c>
      <c r="I642" s="262">
        <v>1</v>
      </c>
      <c r="L642" s="258">
        <v>350000</v>
      </c>
      <c r="O642" s="262"/>
    </row>
    <row r="643" spans="1:15">
      <c r="A643" s="264">
        <v>642</v>
      </c>
      <c r="B643" s="257">
        <v>45821</v>
      </c>
      <c r="C643" s="283" t="s">
        <v>2494</v>
      </c>
      <c r="F643" s="283" t="s">
        <v>1124</v>
      </c>
      <c r="M643" s="258">
        <v>-1550000</v>
      </c>
      <c r="O643" s="262"/>
    </row>
    <row r="644" spans="1:15">
      <c r="A644" s="264">
        <v>643</v>
      </c>
      <c r="B644" s="257">
        <v>45821</v>
      </c>
      <c r="C644" s="283" t="s">
        <v>1979</v>
      </c>
      <c r="F644" s="283" t="s">
        <v>1124</v>
      </c>
      <c r="M644" s="258">
        <v>-1400000</v>
      </c>
      <c r="O644" s="262"/>
    </row>
    <row r="645" spans="1:15">
      <c r="A645" s="264">
        <v>644</v>
      </c>
      <c r="B645" s="257">
        <v>45822</v>
      </c>
      <c r="C645" s="283" t="s">
        <v>1398</v>
      </c>
      <c r="F645" s="283" t="s">
        <v>1742</v>
      </c>
      <c r="H645" s="258">
        <v>650000</v>
      </c>
      <c r="I645" s="262">
        <v>1</v>
      </c>
      <c r="L645" s="258">
        <v>650000</v>
      </c>
      <c r="O645" s="262"/>
    </row>
    <row r="646" spans="1:15">
      <c r="A646" s="264">
        <v>645</v>
      </c>
      <c r="B646" s="257">
        <v>45822</v>
      </c>
      <c r="C646" s="283" t="s">
        <v>2484</v>
      </c>
      <c r="F646" s="283" t="s">
        <v>1124</v>
      </c>
      <c r="M646" s="258">
        <v>-150000</v>
      </c>
      <c r="O646" s="262"/>
    </row>
    <row r="647" spans="1:15">
      <c r="A647" s="264">
        <v>646</v>
      </c>
      <c r="B647" s="257">
        <v>45822</v>
      </c>
      <c r="C647" s="283" t="s">
        <v>1540</v>
      </c>
      <c r="F647" s="283" t="s">
        <v>1742</v>
      </c>
      <c r="H647" s="258">
        <v>1100000</v>
      </c>
      <c r="I647" s="262">
        <v>1</v>
      </c>
      <c r="L647" s="258">
        <v>1100000</v>
      </c>
      <c r="O647" s="262"/>
    </row>
    <row r="648" spans="1:15">
      <c r="A648" s="264">
        <v>647</v>
      </c>
      <c r="B648" s="257">
        <v>45824</v>
      </c>
      <c r="C648" s="283" t="s">
        <v>1046</v>
      </c>
      <c r="F648" s="283" t="s">
        <v>1124</v>
      </c>
      <c r="M648" s="258">
        <v>-1550000</v>
      </c>
      <c r="O648" s="262"/>
    </row>
    <row r="649" spans="1:15">
      <c r="A649" s="264">
        <v>648</v>
      </c>
      <c r="B649" s="257">
        <v>45824</v>
      </c>
      <c r="C649" s="283" t="s">
        <v>1453</v>
      </c>
      <c r="F649" s="283" t="s">
        <v>2126</v>
      </c>
      <c r="H649" s="258">
        <v>250000</v>
      </c>
      <c r="I649" s="262">
        <v>1</v>
      </c>
      <c r="L649" s="258">
        <v>250000</v>
      </c>
      <c r="O649" s="262"/>
    </row>
    <row r="650" spans="1:15">
      <c r="A650" s="264">
        <v>649</v>
      </c>
      <c r="B650" s="257">
        <v>45824</v>
      </c>
      <c r="C650" s="283" t="s">
        <v>1493</v>
      </c>
      <c r="F650" s="283" t="s">
        <v>1124</v>
      </c>
      <c r="M650" s="258">
        <v>-1000000</v>
      </c>
      <c r="O650" s="262"/>
    </row>
    <row r="651" spans="1:15">
      <c r="A651" s="264">
        <v>650</v>
      </c>
      <c r="B651" s="257">
        <v>45824</v>
      </c>
      <c r="C651" s="283" t="s">
        <v>1018</v>
      </c>
      <c r="F651" s="283" t="s">
        <v>1560</v>
      </c>
      <c r="G651" s="262" t="s">
        <v>1767</v>
      </c>
      <c r="H651" s="258">
        <v>1400000</v>
      </c>
      <c r="I651" s="262">
        <v>1</v>
      </c>
      <c r="L651" s="258">
        <v>1400000</v>
      </c>
      <c r="O651" s="262"/>
    </row>
    <row r="652" spans="1:15">
      <c r="A652" s="264">
        <v>651</v>
      </c>
      <c r="B652" s="257">
        <v>45824</v>
      </c>
      <c r="C652" s="283" t="s">
        <v>1018</v>
      </c>
      <c r="F652" s="283" t="s">
        <v>2509</v>
      </c>
      <c r="G652" s="262">
        <v>2463772400</v>
      </c>
      <c r="H652" s="258">
        <v>67500</v>
      </c>
      <c r="I652" s="262">
        <v>1</v>
      </c>
      <c r="L652" s="258">
        <v>67500</v>
      </c>
      <c r="O652" s="262"/>
    </row>
    <row r="653" spans="1:15">
      <c r="A653" s="264">
        <v>652</v>
      </c>
      <c r="B653" s="257">
        <v>45824</v>
      </c>
      <c r="C653" s="283" t="s">
        <v>2698</v>
      </c>
      <c r="F653" s="283" t="s">
        <v>2699</v>
      </c>
      <c r="G653" s="263">
        <v>2462500901</v>
      </c>
      <c r="H653" s="258">
        <v>1170000</v>
      </c>
      <c r="I653" s="262">
        <v>1</v>
      </c>
      <c r="L653" s="258">
        <v>1170000</v>
      </c>
      <c r="O653" s="262"/>
    </row>
    <row r="654" spans="1:15">
      <c r="A654" s="264">
        <v>653</v>
      </c>
      <c r="B654" s="257">
        <v>45824</v>
      </c>
      <c r="C654" s="283" t="s">
        <v>1018</v>
      </c>
      <c r="F654" s="283" t="s">
        <v>1736</v>
      </c>
      <c r="G654" s="262">
        <v>2810701</v>
      </c>
      <c r="H654" s="258">
        <v>450000</v>
      </c>
      <c r="I654" s="262">
        <v>1</v>
      </c>
      <c r="L654" s="258">
        <v>450000</v>
      </c>
      <c r="O654" s="262"/>
    </row>
    <row r="655" spans="1:15">
      <c r="A655" s="264">
        <v>654</v>
      </c>
      <c r="B655" s="257">
        <v>45824</v>
      </c>
      <c r="C655" s="283" t="s">
        <v>1398</v>
      </c>
      <c r="F655" s="283" t="s">
        <v>1742</v>
      </c>
      <c r="H655" s="258">
        <v>650000</v>
      </c>
      <c r="I655" s="262">
        <v>1</v>
      </c>
      <c r="L655" s="258">
        <v>650000</v>
      </c>
      <c r="O655" s="262"/>
    </row>
    <row r="656" spans="1:15">
      <c r="A656" s="264">
        <v>655</v>
      </c>
      <c r="B656" s="257">
        <v>45824</v>
      </c>
      <c r="C656" s="283" t="s">
        <v>1468</v>
      </c>
      <c r="F656" s="283" t="s">
        <v>1124</v>
      </c>
      <c r="M656" s="258">
        <v>-650000</v>
      </c>
      <c r="O656" s="262"/>
    </row>
    <row r="657" spans="1:15">
      <c r="A657" s="264">
        <v>656</v>
      </c>
      <c r="B657" s="257">
        <v>45824</v>
      </c>
      <c r="C657" s="283" t="s">
        <v>1478</v>
      </c>
      <c r="F657" s="283" t="s">
        <v>1124</v>
      </c>
      <c r="M657" s="258">
        <v>-2000000</v>
      </c>
      <c r="O657" s="262"/>
    </row>
    <row r="658" spans="1:15">
      <c r="A658" s="264">
        <v>657</v>
      </c>
      <c r="B658" s="257">
        <v>45825</v>
      </c>
      <c r="C658" s="283" t="s">
        <v>1377</v>
      </c>
      <c r="F658" s="283" t="s">
        <v>1202</v>
      </c>
      <c r="G658" s="262" t="s">
        <v>1751</v>
      </c>
      <c r="H658" s="258">
        <v>1300000</v>
      </c>
      <c r="I658" s="262">
        <v>1</v>
      </c>
      <c r="L658" s="258">
        <v>1300000</v>
      </c>
      <c r="O658" s="262"/>
    </row>
    <row r="659" spans="1:15">
      <c r="A659" s="264">
        <v>658</v>
      </c>
      <c r="B659" s="257">
        <v>45825</v>
      </c>
      <c r="C659" s="283" t="s">
        <v>1377</v>
      </c>
      <c r="F659" s="283" t="s">
        <v>1495</v>
      </c>
      <c r="H659" s="258">
        <v>350000</v>
      </c>
      <c r="I659" s="262">
        <v>1</v>
      </c>
      <c r="L659" s="258">
        <v>350000</v>
      </c>
      <c r="O659" s="262"/>
    </row>
    <row r="660" spans="1:15">
      <c r="A660" s="264">
        <v>659</v>
      </c>
      <c r="B660" s="257">
        <v>45825</v>
      </c>
      <c r="C660" s="283" t="s">
        <v>1377</v>
      </c>
      <c r="F660" s="283" t="s">
        <v>1518</v>
      </c>
      <c r="H660" s="258">
        <v>20000</v>
      </c>
      <c r="I660" s="262">
        <v>1</v>
      </c>
      <c r="L660" s="258">
        <v>20000</v>
      </c>
      <c r="O660" s="262"/>
    </row>
    <row r="661" spans="1:15">
      <c r="A661" s="264">
        <v>660</v>
      </c>
      <c r="B661" s="257">
        <v>45825</v>
      </c>
      <c r="C661" s="283" t="s">
        <v>1377</v>
      </c>
      <c r="F661" s="283" t="s">
        <v>1124</v>
      </c>
      <c r="M661" s="258">
        <v>-1670000</v>
      </c>
      <c r="O661" s="262"/>
    </row>
    <row r="662" spans="1:15">
      <c r="A662" s="264">
        <v>661</v>
      </c>
      <c r="B662" s="257">
        <v>45825</v>
      </c>
      <c r="C662" s="283" t="s">
        <v>1540</v>
      </c>
      <c r="F662" s="283" t="s">
        <v>2553</v>
      </c>
      <c r="H662" s="258">
        <v>2500000</v>
      </c>
      <c r="I662" s="262">
        <v>1</v>
      </c>
      <c r="L662" s="258">
        <v>2500000</v>
      </c>
      <c r="O662" s="262"/>
    </row>
    <row r="663" spans="1:15">
      <c r="A663" s="264">
        <v>662</v>
      </c>
      <c r="B663" s="257">
        <v>45825</v>
      </c>
      <c r="C663" s="283" t="s">
        <v>1540</v>
      </c>
      <c r="F663" s="283" t="s">
        <v>2555</v>
      </c>
      <c r="M663" s="258">
        <v>-2500000</v>
      </c>
      <c r="O663" s="262"/>
    </row>
    <row r="664" spans="1:15">
      <c r="A664" s="264">
        <v>663</v>
      </c>
      <c r="B664" s="257">
        <v>45825</v>
      </c>
      <c r="C664" s="283" t="s">
        <v>1398</v>
      </c>
      <c r="F664" s="283" t="s">
        <v>1742</v>
      </c>
      <c r="H664" s="258">
        <v>650000</v>
      </c>
      <c r="I664" s="262">
        <v>1</v>
      </c>
      <c r="L664" s="258">
        <v>650000</v>
      </c>
      <c r="O664" s="262"/>
    </row>
    <row r="665" spans="1:15">
      <c r="A665" s="264">
        <v>664</v>
      </c>
      <c r="B665" s="257">
        <v>45825</v>
      </c>
      <c r="C665" s="283" t="s">
        <v>2556</v>
      </c>
      <c r="F665" s="283" t="s">
        <v>2177</v>
      </c>
      <c r="G665" s="262" t="s">
        <v>1463</v>
      </c>
      <c r="H665" s="258">
        <v>1500000</v>
      </c>
      <c r="I665" s="262">
        <v>1</v>
      </c>
      <c r="L665" s="258">
        <v>1500000</v>
      </c>
      <c r="O665" s="262"/>
    </row>
    <row r="666" spans="1:15">
      <c r="A666" s="264">
        <v>665</v>
      </c>
      <c r="B666" s="257">
        <v>45825</v>
      </c>
      <c r="C666" s="283" t="s">
        <v>2556</v>
      </c>
      <c r="F666" s="283" t="s">
        <v>1124</v>
      </c>
      <c r="M666" s="258">
        <v>-1500000</v>
      </c>
      <c r="O666" s="262"/>
    </row>
    <row r="667" spans="1:15">
      <c r="A667" s="264">
        <v>666</v>
      </c>
      <c r="B667" s="257">
        <v>45826</v>
      </c>
      <c r="C667" s="283" t="s">
        <v>1451</v>
      </c>
      <c r="F667" s="283" t="s">
        <v>1124</v>
      </c>
      <c r="M667" s="258">
        <v>-1320000</v>
      </c>
      <c r="O667" s="262"/>
    </row>
    <row r="668" spans="1:15">
      <c r="A668" s="264">
        <v>667</v>
      </c>
      <c r="B668" s="257">
        <v>45826</v>
      </c>
      <c r="C668" s="283" t="s">
        <v>2698</v>
      </c>
      <c r="F668" s="283" t="s">
        <v>1826</v>
      </c>
      <c r="H668" s="258">
        <v>1350000</v>
      </c>
      <c r="I668" s="262">
        <v>1</v>
      </c>
      <c r="L668" s="258">
        <v>1350000</v>
      </c>
      <c r="O668" s="262"/>
    </row>
    <row r="669" spans="1:15">
      <c r="A669" s="264">
        <v>668</v>
      </c>
      <c r="B669" s="257">
        <v>45826</v>
      </c>
      <c r="C669" s="283" t="s">
        <v>1398</v>
      </c>
      <c r="F669" s="283" t="s">
        <v>2564</v>
      </c>
      <c r="G669" s="262" t="s">
        <v>2563</v>
      </c>
      <c r="H669" s="258">
        <v>1000000</v>
      </c>
      <c r="I669" s="262">
        <v>1</v>
      </c>
      <c r="L669" s="258">
        <v>1000000</v>
      </c>
      <c r="O669" s="262"/>
    </row>
    <row r="670" spans="1:15">
      <c r="A670" s="264">
        <v>669</v>
      </c>
      <c r="B670" s="257">
        <v>45826</v>
      </c>
      <c r="C670" s="283" t="s">
        <v>1304</v>
      </c>
      <c r="F670" s="283" t="s">
        <v>2237</v>
      </c>
      <c r="G670" s="263">
        <v>1087298388</v>
      </c>
      <c r="H670" s="258">
        <v>550000</v>
      </c>
      <c r="I670" s="262">
        <v>2</v>
      </c>
      <c r="K670" s="259">
        <v>110000</v>
      </c>
      <c r="L670" s="258" t="s">
        <v>2776</v>
      </c>
      <c r="O670" s="262"/>
    </row>
    <row r="671" spans="1:15">
      <c r="A671" s="264">
        <v>670</v>
      </c>
      <c r="B671" s="257">
        <v>45826</v>
      </c>
      <c r="C671" s="283" t="s">
        <v>1976</v>
      </c>
      <c r="F671" s="283" t="s">
        <v>2196</v>
      </c>
      <c r="G671" s="262" t="s">
        <v>1197</v>
      </c>
      <c r="H671" s="258">
        <v>1000000</v>
      </c>
      <c r="I671" s="262">
        <v>1</v>
      </c>
      <c r="L671" s="258">
        <v>1000000</v>
      </c>
      <c r="O671" s="262"/>
    </row>
    <row r="672" spans="1:15">
      <c r="A672" s="264">
        <v>671</v>
      </c>
      <c r="B672" s="257">
        <v>45826</v>
      </c>
      <c r="C672" s="283" t="s">
        <v>1976</v>
      </c>
      <c r="F672" s="283" t="s">
        <v>1518</v>
      </c>
      <c r="H672" s="258">
        <v>20000</v>
      </c>
      <c r="I672" s="262">
        <v>1</v>
      </c>
      <c r="L672" s="258">
        <v>20000</v>
      </c>
      <c r="O672" s="262"/>
    </row>
    <row r="673" spans="1:15">
      <c r="A673" s="264">
        <v>672</v>
      </c>
      <c r="B673" s="257">
        <v>45826</v>
      </c>
      <c r="C673" s="283" t="s">
        <v>1976</v>
      </c>
      <c r="F673" s="283" t="s">
        <v>2196</v>
      </c>
      <c r="G673" s="262" t="s">
        <v>1197</v>
      </c>
      <c r="H673" s="258">
        <v>1000000</v>
      </c>
      <c r="I673" s="262">
        <v>1</v>
      </c>
      <c r="L673" s="258">
        <v>1000000</v>
      </c>
      <c r="O673" s="262"/>
    </row>
    <row r="674" spans="1:15">
      <c r="A674" s="264">
        <v>673</v>
      </c>
      <c r="B674" s="257">
        <v>45826</v>
      </c>
      <c r="C674" s="283" t="s">
        <v>2291</v>
      </c>
      <c r="F674" s="283" t="s">
        <v>2036</v>
      </c>
      <c r="H674" s="258">
        <v>1000000</v>
      </c>
      <c r="I674" s="262">
        <v>1</v>
      </c>
      <c r="K674" s="259">
        <v>100000</v>
      </c>
      <c r="L674" s="258">
        <v>1100000</v>
      </c>
      <c r="O674" s="262"/>
    </row>
    <row r="675" spans="1:15">
      <c r="A675" s="264">
        <v>674</v>
      </c>
      <c r="B675" s="257">
        <v>45826</v>
      </c>
      <c r="C675" s="283" t="s">
        <v>2291</v>
      </c>
      <c r="F675" s="283" t="s">
        <v>1124</v>
      </c>
      <c r="M675" s="258">
        <v>-1100000</v>
      </c>
      <c r="O675" s="262"/>
    </row>
    <row r="676" spans="1:15">
      <c r="A676" s="264">
        <v>675</v>
      </c>
      <c r="B676" s="257">
        <v>45826</v>
      </c>
      <c r="C676" s="283" t="s">
        <v>1453</v>
      </c>
      <c r="F676" s="283" t="s">
        <v>1124</v>
      </c>
      <c r="M676" s="258">
        <v>-250000</v>
      </c>
      <c r="O676" s="262"/>
    </row>
    <row r="677" spans="1:15">
      <c r="A677" s="264">
        <v>676</v>
      </c>
      <c r="B677" s="257">
        <v>45826</v>
      </c>
      <c r="C677" s="283" t="s">
        <v>1976</v>
      </c>
      <c r="F677" s="283" t="s">
        <v>1124</v>
      </c>
      <c r="M677" s="258">
        <v>-2020000</v>
      </c>
      <c r="O677" s="262"/>
    </row>
    <row r="678" spans="1:15">
      <c r="A678" s="264">
        <v>677</v>
      </c>
      <c r="B678" s="257">
        <v>45826</v>
      </c>
      <c r="C678" s="283" t="s">
        <v>1721</v>
      </c>
      <c r="F678" s="283" t="s">
        <v>2328</v>
      </c>
      <c r="G678" s="262">
        <v>28120411</v>
      </c>
      <c r="H678" s="258">
        <v>1350000</v>
      </c>
      <c r="I678" s="262">
        <v>1</v>
      </c>
      <c r="L678" s="258">
        <v>1350000</v>
      </c>
      <c r="O678" s="262"/>
    </row>
    <row r="679" spans="1:15">
      <c r="A679" s="264">
        <v>678</v>
      </c>
      <c r="B679" s="257">
        <v>45826</v>
      </c>
      <c r="C679" s="283" t="s">
        <v>1398</v>
      </c>
      <c r="F679" s="283" t="s">
        <v>1202</v>
      </c>
      <c r="G679" s="262" t="s">
        <v>1751</v>
      </c>
      <c r="H679" s="258">
        <v>1200000</v>
      </c>
      <c r="I679" s="262">
        <v>1</v>
      </c>
      <c r="L679" s="258">
        <v>1200000</v>
      </c>
      <c r="O679" s="262"/>
    </row>
    <row r="680" spans="1:15">
      <c r="A680" s="264">
        <v>679</v>
      </c>
      <c r="B680" s="257">
        <v>45826</v>
      </c>
      <c r="C680" s="283" t="s">
        <v>1398</v>
      </c>
      <c r="F680" s="283" t="s">
        <v>1849</v>
      </c>
      <c r="G680" s="262" t="s">
        <v>1848</v>
      </c>
      <c r="H680" s="258">
        <v>190000</v>
      </c>
      <c r="I680" s="262">
        <v>1</v>
      </c>
      <c r="L680" s="258">
        <v>190000</v>
      </c>
      <c r="O680" s="262"/>
    </row>
    <row r="681" spans="1:15">
      <c r="A681" s="264">
        <v>680</v>
      </c>
      <c r="B681" s="257">
        <v>45827</v>
      </c>
      <c r="C681" s="283" t="s">
        <v>1976</v>
      </c>
      <c r="F681" s="283" t="s">
        <v>2575</v>
      </c>
      <c r="H681" s="258">
        <v>1500000</v>
      </c>
      <c r="I681" s="262">
        <v>1</v>
      </c>
      <c r="K681" s="259">
        <v>150000</v>
      </c>
      <c r="L681" s="258">
        <v>1650000</v>
      </c>
      <c r="O681" s="262"/>
    </row>
    <row r="682" spans="1:15">
      <c r="A682" s="264">
        <v>681</v>
      </c>
      <c r="B682" s="257">
        <v>45827</v>
      </c>
      <c r="C682" s="283" t="s">
        <v>1448</v>
      </c>
      <c r="F682" s="283" t="s">
        <v>1202</v>
      </c>
      <c r="G682" s="262" t="s">
        <v>1751</v>
      </c>
      <c r="H682" s="258">
        <v>1200000</v>
      </c>
      <c r="I682" s="262">
        <v>1</v>
      </c>
      <c r="L682" s="258">
        <v>1200000</v>
      </c>
      <c r="O682" s="262"/>
    </row>
    <row r="683" spans="1:15">
      <c r="A683" s="264">
        <v>682</v>
      </c>
      <c r="B683" s="257">
        <v>45827</v>
      </c>
      <c r="C683" s="283" t="s">
        <v>2556</v>
      </c>
      <c r="F683" s="283" t="s">
        <v>1202</v>
      </c>
      <c r="G683" s="262" t="s">
        <v>1751</v>
      </c>
      <c r="H683" s="258">
        <v>1200000</v>
      </c>
      <c r="I683" s="262">
        <v>1</v>
      </c>
      <c r="K683" s="259">
        <v>120000</v>
      </c>
      <c r="L683" s="258">
        <v>1320000</v>
      </c>
      <c r="O683" s="262"/>
    </row>
    <row r="684" spans="1:15">
      <c r="A684" s="264">
        <v>683</v>
      </c>
      <c r="B684" s="257">
        <v>45827</v>
      </c>
      <c r="C684" s="283" t="s">
        <v>2556</v>
      </c>
      <c r="F684" s="283" t="s">
        <v>1124</v>
      </c>
      <c r="M684" s="258">
        <v>-1320000</v>
      </c>
      <c r="O684" s="262"/>
    </row>
    <row r="685" spans="1:15">
      <c r="A685" s="264">
        <v>684</v>
      </c>
      <c r="B685" s="257">
        <v>45827</v>
      </c>
      <c r="C685" s="283" t="s">
        <v>1398</v>
      </c>
      <c r="F685" s="283" t="s">
        <v>2179</v>
      </c>
      <c r="G685" s="262" t="s">
        <v>1200</v>
      </c>
      <c r="H685" s="258">
        <v>1500000</v>
      </c>
      <c r="I685" s="262">
        <v>1</v>
      </c>
      <c r="L685" s="258">
        <v>1500000</v>
      </c>
      <c r="O685" s="262"/>
    </row>
    <row r="686" spans="1:15">
      <c r="A686" s="264">
        <v>685</v>
      </c>
      <c r="B686" s="257">
        <v>45827</v>
      </c>
      <c r="C686" s="283" t="s">
        <v>1398</v>
      </c>
      <c r="F686" s="283" t="s">
        <v>2180</v>
      </c>
      <c r="G686" s="262" t="s">
        <v>1802</v>
      </c>
      <c r="H686" s="258">
        <v>50000</v>
      </c>
      <c r="I686" s="262">
        <v>1</v>
      </c>
      <c r="L686" s="258">
        <v>50000</v>
      </c>
      <c r="O686" s="262"/>
    </row>
    <row r="687" spans="1:15">
      <c r="A687" s="264">
        <v>686</v>
      </c>
      <c r="B687" s="257">
        <v>45827</v>
      </c>
      <c r="C687" s="283" t="s">
        <v>1443</v>
      </c>
      <c r="F687" s="283" t="s">
        <v>2177</v>
      </c>
      <c r="G687" s="262" t="s">
        <v>1463</v>
      </c>
      <c r="H687" s="258">
        <v>1500000</v>
      </c>
      <c r="I687" s="262">
        <v>1</v>
      </c>
      <c r="L687" s="258">
        <v>1500000</v>
      </c>
      <c r="O687" s="262"/>
    </row>
    <row r="688" spans="1:15">
      <c r="A688" s="264">
        <v>687</v>
      </c>
      <c r="B688" s="257">
        <v>45827</v>
      </c>
      <c r="C688" s="283" t="s">
        <v>1335</v>
      </c>
      <c r="F688" s="283" t="s">
        <v>2655</v>
      </c>
      <c r="H688" s="258">
        <v>650000</v>
      </c>
      <c r="I688" s="262">
        <v>1</v>
      </c>
      <c r="L688" s="258">
        <v>650000</v>
      </c>
      <c r="O688" s="262"/>
    </row>
    <row r="689" spans="1:15">
      <c r="A689" s="264">
        <v>688</v>
      </c>
      <c r="B689" s="257">
        <v>45827</v>
      </c>
      <c r="C689" s="283" t="s">
        <v>2408</v>
      </c>
      <c r="F689" s="283" t="s">
        <v>2026</v>
      </c>
      <c r="G689" s="262" t="s">
        <v>1215</v>
      </c>
      <c r="H689" s="258">
        <v>1500000</v>
      </c>
      <c r="I689" s="262">
        <v>1</v>
      </c>
      <c r="K689" s="259">
        <v>150000</v>
      </c>
      <c r="L689" s="258">
        <v>1650000</v>
      </c>
      <c r="O689" s="262"/>
    </row>
    <row r="690" spans="1:15">
      <c r="A690" s="264">
        <v>689</v>
      </c>
      <c r="B690" s="257">
        <v>45827</v>
      </c>
      <c r="C690" s="283" t="s">
        <v>1576</v>
      </c>
      <c r="F690" s="283" t="s">
        <v>2585</v>
      </c>
      <c r="H690" s="258">
        <v>500000</v>
      </c>
      <c r="I690" s="262">
        <v>1</v>
      </c>
      <c r="K690" s="259">
        <v>50000</v>
      </c>
      <c r="L690" s="258">
        <v>550000</v>
      </c>
      <c r="O690" s="262"/>
    </row>
    <row r="691" spans="1:15">
      <c r="A691" s="264">
        <v>690</v>
      </c>
      <c r="B691" s="257">
        <v>45827</v>
      </c>
      <c r="C691" s="283" t="s">
        <v>1576</v>
      </c>
      <c r="F691" s="283" t="s">
        <v>1758</v>
      </c>
      <c r="G691" s="262">
        <v>6172091600</v>
      </c>
      <c r="H691" s="258">
        <v>250000</v>
      </c>
      <c r="I691" s="262">
        <v>1</v>
      </c>
      <c r="K691" s="259">
        <v>25000</v>
      </c>
      <c r="L691" s="258">
        <v>275000</v>
      </c>
      <c r="O691" s="262"/>
    </row>
    <row r="692" spans="1:15">
      <c r="A692" s="264">
        <v>691</v>
      </c>
      <c r="B692" s="257">
        <v>45827</v>
      </c>
      <c r="C692" s="283" t="s">
        <v>1576</v>
      </c>
      <c r="F692" s="283" t="s">
        <v>2111</v>
      </c>
      <c r="G692" s="262" t="s">
        <v>2580</v>
      </c>
      <c r="H692" s="258">
        <v>59091</v>
      </c>
      <c r="I692" s="262">
        <v>1</v>
      </c>
      <c r="K692" s="259">
        <v>5909</v>
      </c>
      <c r="L692" s="258">
        <v>65000</v>
      </c>
      <c r="O692" s="262"/>
    </row>
    <row r="693" spans="1:15">
      <c r="A693" s="264">
        <v>692</v>
      </c>
      <c r="B693" s="257">
        <v>45827</v>
      </c>
      <c r="C693" s="283" t="s">
        <v>1576</v>
      </c>
      <c r="F693" s="283" t="s">
        <v>2587</v>
      </c>
      <c r="H693" s="258">
        <v>330000</v>
      </c>
      <c r="I693" s="262">
        <v>1</v>
      </c>
      <c r="L693" s="258">
        <v>330000</v>
      </c>
      <c r="O693" s="262"/>
    </row>
    <row r="694" spans="1:15">
      <c r="A694" s="264">
        <v>693</v>
      </c>
      <c r="B694" s="257">
        <v>45827</v>
      </c>
      <c r="C694" s="283" t="s">
        <v>1976</v>
      </c>
      <c r="F694" s="283" t="s">
        <v>1124</v>
      </c>
      <c r="M694" s="258">
        <v>-1650000</v>
      </c>
      <c r="O694" s="262"/>
    </row>
    <row r="695" spans="1:15">
      <c r="A695" s="264">
        <v>694</v>
      </c>
      <c r="B695" s="257">
        <v>45827</v>
      </c>
      <c r="C695" s="283" t="s">
        <v>1808</v>
      </c>
      <c r="F695" s="283" t="s">
        <v>1124</v>
      </c>
      <c r="M695" s="258">
        <v>-1500000</v>
      </c>
      <c r="O695" s="262"/>
    </row>
    <row r="696" spans="1:15">
      <c r="A696" s="264">
        <v>695</v>
      </c>
      <c r="B696" s="257">
        <v>45828</v>
      </c>
      <c r="C696" s="283" t="s">
        <v>1320</v>
      </c>
      <c r="F696" s="283" t="s">
        <v>2254</v>
      </c>
      <c r="G696" s="262" t="s">
        <v>2253</v>
      </c>
      <c r="H696" s="258">
        <v>1500000</v>
      </c>
      <c r="I696" s="262">
        <v>1</v>
      </c>
      <c r="K696" s="259">
        <v>150000</v>
      </c>
      <c r="L696" s="258">
        <v>1650000</v>
      </c>
      <c r="O696" s="262"/>
    </row>
    <row r="697" spans="1:15">
      <c r="A697" s="264">
        <v>696</v>
      </c>
      <c r="B697" s="257">
        <v>45828</v>
      </c>
      <c r="C697" s="283" t="s">
        <v>1320</v>
      </c>
      <c r="F697" s="283" t="s">
        <v>2610</v>
      </c>
      <c r="G697" s="262" t="s">
        <v>1754</v>
      </c>
      <c r="H697" s="258">
        <v>50000</v>
      </c>
      <c r="I697" s="262">
        <v>1</v>
      </c>
      <c r="K697" s="259">
        <v>5000</v>
      </c>
      <c r="L697" s="258">
        <v>55000</v>
      </c>
      <c r="O697" s="262"/>
    </row>
    <row r="698" spans="1:15">
      <c r="A698" s="264">
        <v>697</v>
      </c>
      <c r="B698" s="257">
        <v>45828</v>
      </c>
      <c r="C698" s="283" t="s">
        <v>2408</v>
      </c>
      <c r="F698" s="283" t="s">
        <v>1124</v>
      </c>
      <c r="M698" s="258">
        <v>-1650000</v>
      </c>
      <c r="O698" s="262"/>
    </row>
    <row r="699" spans="1:15">
      <c r="A699" s="264">
        <v>698</v>
      </c>
      <c r="B699" s="257">
        <v>45828</v>
      </c>
      <c r="C699" s="283" t="s">
        <v>1540</v>
      </c>
      <c r="F699" s="283" t="s">
        <v>1124</v>
      </c>
      <c r="M699" s="258">
        <v>-3000000</v>
      </c>
      <c r="O699" s="262"/>
    </row>
    <row r="700" spans="1:15">
      <c r="A700" s="264">
        <v>699</v>
      </c>
      <c r="B700" s="257">
        <v>45828</v>
      </c>
      <c r="C700" s="283" t="s">
        <v>1579</v>
      </c>
      <c r="F700" s="283" t="s">
        <v>1202</v>
      </c>
      <c r="G700" s="262" t="s">
        <v>1751</v>
      </c>
      <c r="H700" s="258">
        <v>1200000</v>
      </c>
      <c r="I700" s="262">
        <v>1</v>
      </c>
      <c r="K700" s="259">
        <v>120000</v>
      </c>
      <c r="L700" s="258">
        <v>1320000</v>
      </c>
      <c r="O700" s="262"/>
    </row>
    <row r="701" spans="1:15">
      <c r="A701" s="264">
        <v>700</v>
      </c>
      <c r="B701" s="257">
        <v>45828</v>
      </c>
      <c r="C701" s="283" t="s">
        <v>1579</v>
      </c>
      <c r="F701" s="283" t="s">
        <v>1704</v>
      </c>
      <c r="G701" s="262" t="s">
        <v>1703</v>
      </c>
      <c r="H701" s="258">
        <v>50000</v>
      </c>
      <c r="I701" s="262">
        <v>1</v>
      </c>
      <c r="K701" s="259">
        <v>5000</v>
      </c>
      <c r="L701" s="258">
        <v>55000</v>
      </c>
      <c r="O701" s="262"/>
    </row>
    <row r="702" spans="1:15">
      <c r="A702" s="264">
        <v>701</v>
      </c>
      <c r="B702" s="257">
        <v>45828</v>
      </c>
      <c r="C702" s="283" t="s">
        <v>2214</v>
      </c>
      <c r="F702" s="283" t="s">
        <v>1218</v>
      </c>
      <c r="G702" s="262" t="s">
        <v>2161</v>
      </c>
      <c r="H702" s="258">
        <v>1200000</v>
      </c>
      <c r="I702" s="262">
        <v>1</v>
      </c>
      <c r="L702" s="258">
        <v>1200000</v>
      </c>
      <c r="O702" s="262"/>
    </row>
    <row r="703" spans="1:15">
      <c r="A703" s="264">
        <v>702</v>
      </c>
      <c r="B703" s="257">
        <v>45828</v>
      </c>
      <c r="C703" s="283" t="s">
        <v>2214</v>
      </c>
      <c r="F703" s="283" t="s">
        <v>2336</v>
      </c>
      <c r="H703" s="258">
        <v>350000</v>
      </c>
      <c r="I703" s="262">
        <v>1</v>
      </c>
      <c r="L703" s="258">
        <v>350000</v>
      </c>
      <c r="O703" s="262"/>
    </row>
    <row r="704" spans="1:15">
      <c r="A704" s="264">
        <v>703</v>
      </c>
      <c r="B704" s="257">
        <v>45828</v>
      </c>
      <c r="C704" s="283" t="s">
        <v>1540</v>
      </c>
      <c r="F704" s="283" t="s">
        <v>1202</v>
      </c>
      <c r="G704" s="262" t="s">
        <v>1751</v>
      </c>
      <c r="H704" s="258">
        <v>1200000</v>
      </c>
      <c r="I704" s="262">
        <v>1</v>
      </c>
      <c r="L704" s="258">
        <v>1200000</v>
      </c>
      <c r="O704" s="262"/>
    </row>
    <row r="705" spans="1:15">
      <c r="A705" s="264">
        <v>704</v>
      </c>
      <c r="B705" s="257">
        <v>45828</v>
      </c>
      <c r="C705" s="283" t="s">
        <v>1540</v>
      </c>
      <c r="F705" s="283" t="s">
        <v>1702</v>
      </c>
      <c r="G705" s="262">
        <v>7252703114</v>
      </c>
      <c r="H705" s="258">
        <v>129000</v>
      </c>
      <c r="I705" s="262">
        <v>1</v>
      </c>
      <c r="L705" s="258">
        <v>129000</v>
      </c>
      <c r="O705" s="262"/>
    </row>
    <row r="706" spans="1:15">
      <c r="A706" s="264">
        <v>705</v>
      </c>
      <c r="B706" s="257">
        <v>45828</v>
      </c>
      <c r="C706" s="283" t="s">
        <v>1540</v>
      </c>
      <c r="F706" s="283" t="s">
        <v>1495</v>
      </c>
      <c r="H706" s="258">
        <v>350000</v>
      </c>
      <c r="I706" s="262">
        <v>1</v>
      </c>
      <c r="L706" s="258">
        <v>350000</v>
      </c>
      <c r="O706" s="262"/>
    </row>
    <row r="707" spans="1:15">
      <c r="A707" s="264">
        <v>706</v>
      </c>
      <c r="B707" s="257">
        <v>45828</v>
      </c>
      <c r="C707" s="283" t="s">
        <v>2600</v>
      </c>
      <c r="F707" s="283" t="s">
        <v>1202</v>
      </c>
      <c r="G707" s="262" t="s">
        <v>1751</v>
      </c>
      <c r="H707" s="258">
        <v>1300000</v>
      </c>
      <c r="I707" s="262">
        <v>1</v>
      </c>
      <c r="L707" s="258">
        <v>1300000</v>
      </c>
      <c r="O707" s="262"/>
    </row>
    <row r="708" spans="1:15">
      <c r="A708" s="264">
        <v>707</v>
      </c>
      <c r="B708" s="257">
        <v>45828</v>
      </c>
      <c r="C708" s="283" t="s">
        <v>2600</v>
      </c>
      <c r="F708" s="283" t="s">
        <v>1518</v>
      </c>
      <c r="H708" s="258">
        <v>20000</v>
      </c>
      <c r="I708" s="262">
        <v>1</v>
      </c>
      <c r="L708" s="258">
        <v>20000</v>
      </c>
      <c r="O708" s="262"/>
    </row>
    <row r="709" spans="1:15">
      <c r="A709" s="264">
        <v>708</v>
      </c>
      <c r="B709" s="257">
        <v>45828</v>
      </c>
      <c r="C709" s="283" t="s">
        <v>1579</v>
      </c>
      <c r="F709" s="283" t="s">
        <v>1265</v>
      </c>
      <c r="G709" s="262" t="s">
        <v>1264</v>
      </c>
      <c r="H709" s="258">
        <v>50000</v>
      </c>
      <c r="I709" s="262">
        <v>1</v>
      </c>
      <c r="K709" s="259">
        <v>5000</v>
      </c>
      <c r="L709" s="258">
        <v>55000</v>
      </c>
      <c r="O709" s="262"/>
    </row>
    <row r="710" spans="1:15">
      <c r="A710" s="264">
        <v>709</v>
      </c>
      <c r="B710" s="257">
        <v>45828</v>
      </c>
      <c r="C710" s="283" t="s">
        <v>1448</v>
      </c>
      <c r="F710" s="283" t="s">
        <v>1124</v>
      </c>
      <c r="M710" s="258">
        <v>-1200000</v>
      </c>
      <c r="O710" s="262"/>
    </row>
    <row r="711" spans="1:15">
      <c r="A711" s="264">
        <v>710</v>
      </c>
      <c r="B711" s="257">
        <v>45828</v>
      </c>
      <c r="C711" s="283" t="s">
        <v>1579</v>
      </c>
      <c r="F711" s="283" t="s">
        <v>1124</v>
      </c>
      <c r="M711" s="258">
        <v>-2285000</v>
      </c>
      <c r="O711" s="262"/>
    </row>
    <row r="712" spans="1:15">
      <c r="A712" s="264">
        <v>711</v>
      </c>
      <c r="B712" s="257">
        <v>45828</v>
      </c>
      <c r="C712" s="283" t="s">
        <v>2608</v>
      </c>
      <c r="F712" s="283" t="s">
        <v>1716</v>
      </c>
      <c r="G712" s="262">
        <v>2800802</v>
      </c>
      <c r="H712" s="258">
        <v>200000</v>
      </c>
      <c r="I712" s="262">
        <v>1</v>
      </c>
      <c r="L712" s="258">
        <v>200000</v>
      </c>
      <c r="O712" s="262"/>
    </row>
    <row r="713" spans="1:15">
      <c r="A713" s="264">
        <v>712</v>
      </c>
      <c r="B713" s="257">
        <v>45828</v>
      </c>
      <c r="C713" s="283" t="s">
        <v>2608</v>
      </c>
      <c r="F713" s="283" t="s">
        <v>1745</v>
      </c>
      <c r="M713" s="258">
        <v>-200000</v>
      </c>
      <c r="O713" s="262"/>
    </row>
    <row r="714" spans="1:15">
      <c r="A714" s="264">
        <v>713</v>
      </c>
      <c r="B714" s="257">
        <v>45829</v>
      </c>
      <c r="C714" s="283" t="s">
        <v>2595</v>
      </c>
      <c r="F714" s="283" t="s">
        <v>1124</v>
      </c>
      <c r="M714" s="258">
        <v>-1705000</v>
      </c>
      <c r="O714" s="262"/>
    </row>
    <row r="715" spans="1:15">
      <c r="A715" s="264">
        <v>714</v>
      </c>
      <c r="B715" s="257">
        <v>45829</v>
      </c>
      <c r="C715" s="283" t="s">
        <v>1585</v>
      </c>
      <c r="F715" s="283" t="s">
        <v>1742</v>
      </c>
      <c r="H715" s="258">
        <v>650000</v>
      </c>
      <c r="I715" s="262">
        <v>1</v>
      </c>
      <c r="K715" s="259">
        <v>65000</v>
      </c>
      <c r="L715" s="258">
        <v>715000</v>
      </c>
      <c r="O715" s="262"/>
    </row>
    <row r="716" spans="1:15">
      <c r="A716" s="264">
        <v>715</v>
      </c>
      <c r="B716" s="257">
        <v>45829</v>
      </c>
      <c r="C716" s="283" t="s">
        <v>2670</v>
      </c>
      <c r="F716" s="283" t="s">
        <v>2671</v>
      </c>
      <c r="H716" s="258">
        <v>300000</v>
      </c>
      <c r="I716" s="262">
        <v>1</v>
      </c>
      <c r="K716" s="259">
        <v>30000</v>
      </c>
      <c r="L716" s="258">
        <v>330000</v>
      </c>
      <c r="O716" s="262"/>
    </row>
    <row r="717" spans="1:15">
      <c r="A717" s="264">
        <v>716</v>
      </c>
      <c r="B717" s="257">
        <v>45829</v>
      </c>
      <c r="C717" s="283" t="s">
        <v>1721</v>
      </c>
      <c r="F717" s="283" t="s">
        <v>2614</v>
      </c>
      <c r="G717" s="262" t="s">
        <v>2613</v>
      </c>
      <c r="H717" s="258">
        <v>1500000</v>
      </c>
      <c r="I717" s="262">
        <v>1</v>
      </c>
      <c r="L717" s="258">
        <v>1500000</v>
      </c>
      <c r="O717" s="262"/>
    </row>
    <row r="718" spans="1:15">
      <c r="A718" s="264">
        <v>717</v>
      </c>
      <c r="B718" s="257">
        <v>45831</v>
      </c>
      <c r="C718" s="283" t="s">
        <v>1746</v>
      </c>
      <c r="F718" s="283" t="s">
        <v>1124</v>
      </c>
      <c r="M718" s="258">
        <v>-308000</v>
      </c>
      <c r="O718" s="262"/>
    </row>
    <row r="719" spans="1:15">
      <c r="A719" s="264">
        <v>718</v>
      </c>
      <c r="B719" s="257">
        <v>45831</v>
      </c>
      <c r="C719" s="283" t="s">
        <v>2600</v>
      </c>
      <c r="F719" s="283" t="s">
        <v>1124</v>
      </c>
      <c r="M719" s="258">
        <v>-1320000</v>
      </c>
      <c r="O719" s="262"/>
    </row>
    <row r="720" spans="1:15">
      <c r="A720" s="264">
        <v>719</v>
      </c>
      <c r="B720" s="257">
        <v>45831</v>
      </c>
      <c r="C720" s="283" t="s">
        <v>2616</v>
      </c>
      <c r="F720" s="283" t="s">
        <v>1204</v>
      </c>
      <c r="G720" s="262" t="s">
        <v>1562</v>
      </c>
      <c r="H720" s="258">
        <v>600000</v>
      </c>
      <c r="I720" s="262">
        <v>1</v>
      </c>
      <c r="L720" s="258">
        <v>600000</v>
      </c>
      <c r="O720" s="262"/>
    </row>
    <row r="721" spans="1:16">
      <c r="A721" s="264">
        <v>720</v>
      </c>
      <c r="B721" s="257">
        <v>45831</v>
      </c>
      <c r="C721" s="283" t="s">
        <v>2616</v>
      </c>
      <c r="F721" s="283" t="s">
        <v>1124</v>
      </c>
      <c r="M721" s="258">
        <v>-600000</v>
      </c>
      <c r="O721" s="262"/>
    </row>
    <row r="722" spans="1:16">
      <c r="A722" s="264">
        <v>721</v>
      </c>
      <c r="B722" s="257">
        <v>45831</v>
      </c>
      <c r="C722" s="283" t="s">
        <v>2621</v>
      </c>
      <c r="F722" s="283" t="s">
        <v>2620</v>
      </c>
      <c r="H722" s="258">
        <v>1100000</v>
      </c>
      <c r="I722" s="262">
        <v>1</v>
      </c>
      <c r="K722" s="259">
        <v>110000</v>
      </c>
      <c r="L722" s="258">
        <v>1210000</v>
      </c>
      <c r="O722" s="262"/>
    </row>
    <row r="723" spans="1:16">
      <c r="A723" s="264">
        <v>722</v>
      </c>
      <c r="B723" s="257">
        <v>45831</v>
      </c>
      <c r="C723" s="283" t="s">
        <v>983</v>
      </c>
      <c r="F723" s="283" t="s">
        <v>1686</v>
      </c>
      <c r="H723" s="258">
        <v>100000</v>
      </c>
      <c r="I723" s="262">
        <v>2</v>
      </c>
      <c r="K723" s="259">
        <v>10000</v>
      </c>
      <c r="L723" s="258">
        <v>110000</v>
      </c>
      <c r="O723" s="262"/>
    </row>
    <row r="724" spans="1:16">
      <c r="A724" s="264">
        <v>723</v>
      </c>
      <c r="B724" s="257">
        <v>45831</v>
      </c>
      <c r="C724" s="283" t="s">
        <v>1443</v>
      </c>
      <c r="F724" s="283" t="s">
        <v>2623</v>
      </c>
      <c r="M724" s="258">
        <v>-300000</v>
      </c>
      <c r="O724" s="262"/>
    </row>
    <row r="725" spans="1:16">
      <c r="A725" s="264">
        <v>724</v>
      </c>
      <c r="B725" s="257">
        <v>45832</v>
      </c>
      <c r="C725" s="283" t="s">
        <v>1146</v>
      </c>
      <c r="F725" s="283" t="s">
        <v>1495</v>
      </c>
      <c r="H725" s="258">
        <v>350000</v>
      </c>
      <c r="I725" s="262">
        <v>1</v>
      </c>
      <c r="L725" s="258">
        <v>350000</v>
      </c>
      <c r="O725" s="262"/>
    </row>
    <row r="726" spans="1:16">
      <c r="A726" s="264">
        <v>725</v>
      </c>
      <c r="B726" s="257">
        <v>45832</v>
      </c>
      <c r="C726" s="283" t="s">
        <v>1146</v>
      </c>
      <c r="F726" s="283" t="s">
        <v>2627</v>
      </c>
      <c r="O726" s="262"/>
    </row>
    <row r="727" spans="1:16">
      <c r="A727" s="264">
        <v>726</v>
      </c>
      <c r="B727" s="257">
        <v>45832</v>
      </c>
      <c r="C727" s="283" t="s">
        <v>1579</v>
      </c>
      <c r="F727" s="283" t="s">
        <v>2179</v>
      </c>
      <c r="G727" s="262" t="s">
        <v>1200</v>
      </c>
      <c r="H727" s="258">
        <v>1500000</v>
      </c>
      <c r="I727" s="262">
        <v>1</v>
      </c>
      <c r="K727" s="259">
        <v>150000</v>
      </c>
      <c r="L727" s="258">
        <v>1650000</v>
      </c>
      <c r="O727" s="262"/>
    </row>
    <row r="728" spans="1:16">
      <c r="A728" s="264">
        <v>727</v>
      </c>
      <c r="B728" s="257">
        <v>45832</v>
      </c>
      <c r="C728" s="283" t="s">
        <v>1579</v>
      </c>
      <c r="F728" s="283" t="s">
        <v>2180</v>
      </c>
      <c r="G728" s="262" t="s">
        <v>1802</v>
      </c>
      <c r="H728" s="258">
        <v>50000</v>
      </c>
      <c r="I728" s="262">
        <v>1</v>
      </c>
      <c r="K728" s="259">
        <v>5000</v>
      </c>
      <c r="L728" s="258">
        <v>55000</v>
      </c>
      <c r="O728" s="262"/>
    </row>
    <row r="729" spans="1:16">
      <c r="A729" s="264">
        <v>728</v>
      </c>
      <c r="B729" s="257">
        <v>45832</v>
      </c>
      <c r="C729" s="283" t="s">
        <v>1304</v>
      </c>
      <c r="F729" s="283" t="s">
        <v>1218</v>
      </c>
      <c r="G729" s="262" t="s">
        <v>2161</v>
      </c>
      <c r="H729" s="258">
        <v>1200000</v>
      </c>
      <c r="I729" s="262">
        <v>1</v>
      </c>
      <c r="K729" s="259">
        <v>120000</v>
      </c>
      <c r="L729" s="258">
        <v>1320000</v>
      </c>
      <c r="O729" s="262"/>
      <c r="P729" s="303"/>
    </row>
    <row r="730" spans="1:16">
      <c r="A730" s="264">
        <v>729</v>
      </c>
      <c r="B730" s="257">
        <v>45832</v>
      </c>
      <c r="C730" s="283" t="s">
        <v>1304</v>
      </c>
      <c r="F730" s="283" t="s">
        <v>2668</v>
      </c>
      <c r="G730" s="263">
        <v>7252703114</v>
      </c>
      <c r="H730" s="258">
        <v>129000</v>
      </c>
      <c r="I730" s="262">
        <v>1</v>
      </c>
      <c r="K730" s="259">
        <v>12900</v>
      </c>
      <c r="L730" s="258">
        <v>141900</v>
      </c>
      <c r="O730" s="262"/>
    </row>
    <row r="731" spans="1:16">
      <c r="A731" s="264">
        <v>730</v>
      </c>
      <c r="B731" s="257">
        <v>45832</v>
      </c>
      <c r="C731" s="283" t="s">
        <v>2630</v>
      </c>
      <c r="F731" s="283" t="s">
        <v>1495</v>
      </c>
      <c r="H731" s="258">
        <v>350000</v>
      </c>
      <c r="I731" s="262">
        <v>1</v>
      </c>
      <c r="K731" s="259">
        <v>35000</v>
      </c>
      <c r="L731" s="258">
        <v>385000</v>
      </c>
      <c r="O731" s="262"/>
    </row>
    <row r="732" spans="1:16">
      <c r="A732" s="264">
        <v>731</v>
      </c>
      <c r="B732" s="257">
        <v>45832</v>
      </c>
      <c r="C732" s="283" t="s">
        <v>1721</v>
      </c>
      <c r="F732" s="283" t="s">
        <v>2185</v>
      </c>
      <c r="G732" s="262" t="s">
        <v>1199</v>
      </c>
      <c r="H732" s="258">
        <v>1400000</v>
      </c>
      <c r="I732" s="262">
        <v>1</v>
      </c>
      <c r="L732" s="258">
        <v>1400000</v>
      </c>
      <c r="O732" s="262"/>
    </row>
    <row r="733" spans="1:16">
      <c r="A733" s="264">
        <v>732</v>
      </c>
      <c r="B733" s="257">
        <v>45832</v>
      </c>
      <c r="C733" s="283" t="s">
        <v>1540</v>
      </c>
      <c r="F733" s="283" t="s">
        <v>2180</v>
      </c>
      <c r="G733" s="262" t="s">
        <v>1802</v>
      </c>
      <c r="H733" s="258">
        <v>50000</v>
      </c>
      <c r="I733" s="262">
        <v>1</v>
      </c>
      <c r="L733" s="258">
        <v>50000</v>
      </c>
      <c r="O733" s="262"/>
    </row>
    <row r="734" spans="1:16">
      <c r="A734" s="264">
        <v>733</v>
      </c>
      <c r="B734" s="257">
        <v>45833</v>
      </c>
      <c r="C734" s="283" t="s">
        <v>1046</v>
      </c>
      <c r="F734" s="283" t="s">
        <v>2179</v>
      </c>
      <c r="G734" s="262" t="s">
        <v>1200</v>
      </c>
      <c r="H734" s="258">
        <v>1500000</v>
      </c>
      <c r="I734" s="262">
        <v>1</v>
      </c>
      <c r="L734" s="258">
        <v>1500000</v>
      </c>
      <c r="O734" s="262"/>
    </row>
    <row r="735" spans="1:16">
      <c r="A735" s="264">
        <v>734</v>
      </c>
      <c r="B735" s="257">
        <v>45833</v>
      </c>
      <c r="C735" s="283" t="s">
        <v>1046</v>
      </c>
      <c r="F735" s="283" t="s">
        <v>2180</v>
      </c>
      <c r="G735" s="262" t="s">
        <v>1802</v>
      </c>
      <c r="H735" s="258">
        <v>50000</v>
      </c>
      <c r="I735" s="262">
        <v>1</v>
      </c>
      <c r="L735" s="258">
        <v>50000</v>
      </c>
      <c r="O735" s="262"/>
    </row>
    <row r="736" spans="1:16">
      <c r="A736" s="264">
        <v>735</v>
      </c>
      <c r="B736" s="257">
        <v>45833</v>
      </c>
      <c r="C736" s="283" t="s">
        <v>979</v>
      </c>
      <c r="F736" s="283" t="s">
        <v>1580</v>
      </c>
      <c r="G736" s="262" t="s">
        <v>1922</v>
      </c>
      <c r="H736" s="258">
        <v>1000000</v>
      </c>
      <c r="I736" s="262">
        <v>1</v>
      </c>
      <c r="K736" s="259">
        <v>100000</v>
      </c>
      <c r="L736" s="258">
        <v>1100000</v>
      </c>
      <c r="O736" s="262"/>
    </row>
    <row r="737" spans="1:15">
      <c r="A737" s="264">
        <v>736</v>
      </c>
      <c r="B737" s="257">
        <v>45833</v>
      </c>
      <c r="C737" s="283" t="s">
        <v>1893</v>
      </c>
      <c r="F737" s="283" t="s">
        <v>1202</v>
      </c>
      <c r="G737" s="262" t="s">
        <v>1751</v>
      </c>
      <c r="H737" s="258">
        <v>1200000</v>
      </c>
      <c r="I737" s="262">
        <v>1</v>
      </c>
      <c r="L737" s="258">
        <v>1200000</v>
      </c>
      <c r="O737" s="262"/>
    </row>
    <row r="738" spans="1:15">
      <c r="A738" s="264">
        <v>737</v>
      </c>
      <c r="B738" s="257">
        <v>45833</v>
      </c>
      <c r="C738" s="283" t="s">
        <v>1312</v>
      </c>
      <c r="F738" s="283" t="s">
        <v>2652</v>
      </c>
      <c r="H738" s="258">
        <v>1700000</v>
      </c>
      <c r="I738" s="262">
        <v>1</v>
      </c>
      <c r="K738" s="259">
        <v>170000</v>
      </c>
      <c r="L738" s="258">
        <v>1870000</v>
      </c>
      <c r="O738" s="262"/>
    </row>
    <row r="739" spans="1:15">
      <c r="A739" s="264">
        <v>738</v>
      </c>
      <c r="B739" s="257">
        <v>45833</v>
      </c>
      <c r="C739" s="283" t="s">
        <v>2641</v>
      </c>
      <c r="F739" s="283" t="s">
        <v>2298</v>
      </c>
      <c r="H739" s="258">
        <v>600000</v>
      </c>
      <c r="I739" s="262">
        <v>2</v>
      </c>
      <c r="K739" s="259">
        <v>120000</v>
      </c>
      <c r="L739" s="258">
        <v>1320000</v>
      </c>
      <c r="O739" s="262"/>
    </row>
    <row r="740" spans="1:15">
      <c r="A740" s="264">
        <v>739</v>
      </c>
      <c r="B740" s="257">
        <v>45833</v>
      </c>
      <c r="C740" s="283" t="s">
        <v>1597</v>
      </c>
      <c r="F740" s="283" t="s">
        <v>1124</v>
      </c>
      <c r="M740" s="258">
        <v>-1870000</v>
      </c>
      <c r="O740" s="262"/>
    </row>
    <row r="741" spans="1:15">
      <c r="A741" s="264">
        <v>740</v>
      </c>
      <c r="B741" s="257">
        <v>45833</v>
      </c>
      <c r="C741" s="283" t="s">
        <v>1053</v>
      </c>
      <c r="F741" s="283" t="s">
        <v>1139</v>
      </c>
      <c r="H741" s="258">
        <v>800000</v>
      </c>
      <c r="I741" s="262">
        <v>1</v>
      </c>
      <c r="L741" s="258">
        <v>800000</v>
      </c>
      <c r="O741" s="262"/>
    </row>
    <row r="742" spans="1:15">
      <c r="A742" s="264">
        <v>741</v>
      </c>
      <c r="B742" s="257">
        <v>45833</v>
      </c>
      <c r="C742" s="283" t="s">
        <v>1585</v>
      </c>
      <c r="F742" s="283" t="s">
        <v>1742</v>
      </c>
      <c r="H742" s="258">
        <v>650000</v>
      </c>
      <c r="I742" s="262">
        <v>1</v>
      </c>
      <c r="K742" s="259">
        <v>65000</v>
      </c>
      <c r="L742" s="258">
        <v>715000</v>
      </c>
      <c r="O742" s="262"/>
    </row>
    <row r="743" spans="1:15">
      <c r="A743" s="264">
        <v>742</v>
      </c>
      <c r="B743" s="257">
        <v>45833</v>
      </c>
      <c r="C743" s="283" t="s">
        <v>2641</v>
      </c>
      <c r="F743" s="283" t="s">
        <v>1124</v>
      </c>
      <c r="M743" s="258">
        <v>-1320000</v>
      </c>
      <c r="O743" s="262"/>
    </row>
    <row r="744" spans="1:15">
      <c r="A744" s="264">
        <v>743</v>
      </c>
      <c r="B744" s="257">
        <v>45832</v>
      </c>
      <c r="C744" s="283" t="s">
        <v>2630</v>
      </c>
      <c r="F744" s="283" t="s">
        <v>1124</v>
      </c>
      <c r="M744" s="258">
        <v>-385000</v>
      </c>
      <c r="O744" s="262"/>
    </row>
    <row r="745" spans="1:15">
      <c r="A745" s="264">
        <v>744</v>
      </c>
      <c r="B745" s="257">
        <v>45833</v>
      </c>
      <c r="C745" s="283" t="s">
        <v>1316</v>
      </c>
      <c r="F745" s="283" t="s">
        <v>2665</v>
      </c>
      <c r="G745" s="263">
        <v>1087298437</v>
      </c>
      <c r="H745" s="258">
        <v>80000</v>
      </c>
      <c r="I745" s="262">
        <v>3</v>
      </c>
      <c r="L745" s="258">
        <v>240000</v>
      </c>
      <c r="O745" s="262"/>
    </row>
    <row r="746" spans="1:15">
      <c r="A746" s="264">
        <v>745</v>
      </c>
      <c r="B746" s="257">
        <v>45821</v>
      </c>
      <c r="C746" s="283" t="s">
        <v>1329</v>
      </c>
      <c r="F746" s="283" t="s">
        <v>2661</v>
      </c>
      <c r="G746" s="262" t="s">
        <v>1732</v>
      </c>
      <c r="H746" s="258">
        <v>10000</v>
      </c>
      <c r="I746" s="262">
        <v>2</v>
      </c>
      <c r="L746" s="258">
        <v>20000</v>
      </c>
      <c r="O746" s="262"/>
    </row>
    <row r="747" spans="1:15">
      <c r="A747" s="264">
        <v>746</v>
      </c>
      <c r="B747" s="257">
        <v>45834</v>
      </c>
      <c r="C747" s="283" t="s">
        <v>1721</v>
      </c>
      <c r="F747" s="283" t="s">
        <v>2662</v>
      </c>
      <c r="G747" s="262" t="s">
        <v>1794</v>
      </c>
      <c r="H747" s="258">
        <v>20000</v>
      </c>
      <c r="I747" s="262">
        <v>3</v>
      </c>
      <c r="L747" s="258">
        <v>60000</v>
      </c>
      <c r="O747" s="262"/>
    </row>
    <row r="748" spans="1:15">
      <c r="A748" s="264">
        <v>747</v>
      </c>
      <c r="B748" s="257">
        <v>45834</v>
      </c>
      <c r="C748" s="283" t="s">
        <v>1398</v>
      </c>
      <c r="F748" s="283" t="s">
        <v>2179</v>
      </c>
      <c r="G748" s="262" t="s">
        <v>1200</v>
      </c>
      <c r="H748" s="258">
        <v>1500000</v>
      </c>
      <c r="I748" s="262">
        <v>1</v>
      </c>
      <c r="L748" s="258">
        <v>1500000</v>
      </c>
      <c r="O748" s="262"/>
    </row>
    <row r="749" spans="1:15">
      <c r="A749" s="264">
        <v>748</v>
      </c>
      <c r="B749" s="257">
        <v>45834</v>
      </c>
      <c r="C749" s="283" t="s">
        <v>1398</v>
      </c>
      <c r="F749" s="283" t="s">
        <v>2180</v>
      </c>
      <c r="G749" s="262" t="s">
        <v>1802</v>
      </c>
      <c r="H749" s="258">
        <v>50000</v>
      </c>
      <c r="I749" s="262">
        <v>1</v>
      </c>
      <c r="L749" s="258">
        <v>50000</v>
      </c>
      <c r="O749" s="262"/>
    </row>
    <row r="750" spans="1:15">
      <c r="A750" s="264">
        <v>749</v>
      </c>
      <c r="B750" s="257">
        <v>45834</v>
      </c>
      <c r="C750" s="283" t="s">
        <v>979</v>
      </c>
      <c r="F750" s="283" t="s">
        <v>1124</v>
      </c>
      <c r="M750" s="258">
        <v>-1100000</v>
      </c>
      <c r="O750" s="262"/>
    </row>
    <row r="751" spans="1:15">
      <c r="A751" s="264">
        <v>750</v>
      </c>
      <c r="B751" s="257">
        <v>45834</v>
      </c>
      <c r="C751" s="283" t="s">
        <v>1398</v>
      </c>
      <c r="F751" s="283" t="s">
        <v>1702</v>
      </c>
      <c r="G751" s="262">
        <v>7252703114</v>
      </c>
      <c r="H751" s="258">
        <v>129000</v>
      </c>
      <c r="I751" s="262">
        <v>1</v>
      </c>
      <c r="L751" s="258">
        <v>129000</v>
      </c>
      <c r="O751" s="262"/>
    </row>
    <row r="752" spans="1:15">
      <c r="A752" s="264">
        <v>751</v>
      </c>
      <c r="B752" s="257">
        <v>45834</v>
      </c>
      <c r="C752" s="283" t="s">
        <v>1301</v>
      </c>
      <c r="F752" s="283" t="s">
        <v>2667</v>
      </c>
      <c r="H752" s="258">
        <v>25000</v>
      </c>
      <c r="I752" s="262">
        <v>1</v>
      </c>
      <c r="L752" s="258">
        <v>25000</v>
      </c>
      <c r="O752" s="262"/>
    </row>
    <row r="753" spans="1:15">
      <c r="A753" s="264">
        <v>752</v>
      </c>
      <c r="B753" s="257">
        <v>45834</v>
      </c>
      <c r="C753" s="283" t="s">
        <v>1015</v>
      </c>
      <c r="F753" s="283" t="s">
        <v>2669</v>
      </c>
      <c r="M753" s="258">
        <v>-1550000</v>
      </c>
      <c r="O753" s="262"/>
    </row>
    <row r="754" spans="1:15">
      <c r="A754" s="264">
        <v>753</v>
      </c>
      <c r="B754" s="257">
        <v>45834</v>
      </c>
      <c r="C754" s="283" t="s">
        <v>2500</v>
      </c>
      <c r="F754" s="283" t="s">
        <v>1124</v>
      </c>
      <c r="M754" s="258">
        <v>-330000</v>
      </c>
      <c r="O754" s="262"/>
    </row>
    <row r="755" spans="1:15">
      <c r="A755" s="264">
        <v>754</v>
      </c>
      <c r="B755" s="257">
        <v>45834</v>
      </c>
      <c r="C755" s="283" t="s">
        <v>2474</v>
      </c>
      <c r="F755" s="283" t="s">
        <v>1124</v>
      </c>
      <c r="M755" s="258">
        <v>-2671900</v>
      </c>
      <c r="O755" s="262"/>
    </row>
    <row r="756" spans="1:15">
      <c r="A756" s="264">
        <v>755</v>
      </c>
      <c r="B756" s="257">
        <v>45834</v>
      </c>
      <c r="C756" s="283" t="s">
        <v>1398</v>
      </c>
      <c r="F756" s="283" t="s">
        <v>2289</v>
      </c>
      <c r="H756" s="258">
        <v>1100000</v>
      </c>
      <c r="I756" s="262">
        <v>1</v>
      </c>
      <c r="L756" s="258">
        <v>1100000</v>
      </c>
      <c r="O756" s="262"/>
    </row>
    <row r="757" spans="1:15">
      <c r="A757" s="264">
        <v>756</v>
      </c>
      <c r="B757" s="257">
        <v>45834</v>
      </c>
      <c r="C757" s="283" t="s">
        <v>1053</v>
      </c>
      <c r="F757" s="283" t="s">
        <v>2201</v>
      </c>
      <c r="G757" s="262" t="s">
        <v>1955</v>
      </c>
      <c r="H757" s="258">
        <v>1800000</v>
      </c>
      <c r="I757" s="262">
        <v>1</v>
      </c>
      <c r="L757" s="258">
        <v>1800000</v>
      </c>
      <c r="O757" s="262"/>
    </row>
    <row r="758" spans="1:15">
      <c r="A758" s="264">
        <v>757</v>
      </c>
      <c r="B758" s="257">
        <v>45834</v>
      </c>
      <c r="C758" s="283" t="s">
        <v>1053</v>
      </c>
      <c r="F758" s="283" t="s">
        <v>2180</v>
      </c>
      <c r="G758" s="262" t="s">
        <v>1802</v>
      </c>
      <c r="H758" s="258">
        <v>50000</v>
      </c>
      <c r="I758" s="262">
        <v>1</v>
      </c>
      <c r="L758" s="258">
        <v>50000</v>
      </c>
      <c r="O758" s="262"/>
    </row>
    <row r="759" spans="1:15">
      <c r="A759" s="264">
        <v>758</v>
      </c>
      <c r="B759" s="257">
        <v>45834</v>
      </c>
      <c r="C759" s="283" t="s">
        <v>1053</v>
      </c>
      <c r="F759" s="283" t="s">
        <v>2678</v>
      </c>
      <c r="H759" s="258">
        <v>150000</v>
      </c>
      <c r="I759" s="262">
        <v>1</v>
      </c>
      <c r="L759" s="258">
        <v>150000</v>
      </c>
      <c r="O759" s="262"/>
    </row>
    <row r="760" spans="1:15">
      <c r="A760" s="264">
        <v>759</v>
      </c>
      <c r="B760" s="257">
        <v>45835</v>
      </c>
      <c r="C760" s="283" t="s">
        <v>1377</v>
      </c>
      <c r="F760" s="283" t="s">
        <v>1716</v>
      </c>
      <c r="G760" s="262">
        <v>2800802</v>
      </c>
      <c r="H760" s="258">
        <v>150000</v>
      </c>
      <c r="I760" s="262">
        <v>3</v>
      </c>
      <c r="L760" s="258">
        <v>450000</v>
      </c>
      <c r="O760" s="262"/>
    </row>
    <row r="761" spans="1:15">
      <c r="A761" s="264">
        <v>760</v>
      </c>
      <c r="B761" s="257">
        <v>45835</v>
      </c>
      <c r="C761" s="283" t="s">
        <v>1377</v>
      </c>
      <c r="F761" s="283" t="s">
        <v>1854</v>
      </c>
      <c r="G761" s="262">
        <v>2800801</v>
      </c>
      <c r="H761" s="258">
        <v>150000</v>
      </c>
      <c r="I761" s="262">
        <v>1</v>
      </c>
      <c r="L761" s="258">
        <v>150000</v>
      </c>
      <c r="O761" s="262"/>
    </row>
    <row r="762" spans="1:15">
      <c r="A762" s="264">
        <v>761</v>
      </c>
      <c r="B762" s="257">
        <v>45835</v>
      </c>
      <c r="C762" s="283" t="s">
        <v>1289</v>
      </c>
      <c r="F762" s="283" t="s">
        <v>2908</v>
      </c>
      <c r="H762" s="258">
        <v>200000</v>
      </c>
      <c r="I762" s="262">
        <v>1</v>
      </c>
      <c r="K762" s="259">
        <v>20000</v>
      </c>
      <c r="L762" s="258">
        <v>220000</v>
      </c>
      <c r="O762" s="262"/>
    </row>
    <row r="763" spans="1:15">
      <c r="A763" s="264">
        <v>762</v>
      </c>
      <c r="B763" s="257">
        <v>45835</v>
      </c>
      <c r="C763" s="283" t="s">
        <v>1053</v>
      </c>
      <c r="F763" s="283" t="s">
        <v>2179</v>
      </c>
      <c r="G763" s="262" t="s">
        <v>1200</v>
      </c>
      <c r="H763" s="258">
        <v>1500000</v>
      </c>
      <c r="I763" s="262">
        <v>1</v>
      </c>
      <c r="L763" s="258">
        <v>1500000</v>
      </c>
      <c r="O763" s="262"/>
    </row>
    <row r="764" spans="1:15">
      <c r="A764" s="264">
        <v>763</v>
      </c>
      <c r="B764" s="257">
        <v>45835</v>
      </c>
      <c r="C764" s="283" t="s">
        <v>1053</v>
      </c>
      <c r="F764" s="283" t="s">
        <v>2180</v>
      </c>
      <c r="G764" s="262" t="s">
        <v>1802</v>
      </c>
      <c r="H764" s="258">
        <v>50000</v>
      </c>
      <c r="I764" s="262">
        <v>1</v>
      </c>
      <c r="L764" s="258">
        <v>50000</v>
      </c>
      <c r="O764" s="262"/>
    </row>
    <row r="765" spans="1:15">
      <c r="A765" s="264">
        <v>764</v>
      </c>
      <c r="B765" s="257">
        <v>45835</v>
      </c>
      <c r="C765" s="283" t="s">
        <v>1053</v>
      </c>
      <c r="F765" s="283" t="s">
        <v>1124</v>
      </c>
      <c r="M765" s="258">
        <v>-4350000</v>
      </c>
      <c r="O765" s="262"/>
    </row>
    <row r="766" spans="1:15">
      <c r="A766" s="264">
        <v>765</v>
      </c>
      <c r="B766" s="257">
        <v>45835</v>
      </c>
      <c r="C766" s="283" t="s">
        <v>1576</v>
      </c>
      <c r="F766" s="283" t="s">
        <v>1204</v>
      </c>
      <c r="G766" s="262" t="s">
        <v>1203</v>
      </c>
      <c r="H766" s="258">
        <v>1200000</v>
      </c>
      <c r="I766" s="262">
        <v>1</v>
      </c>
      <c r="K766" s="259">
        <v>120000</v>
      </c>
      <c r="L766" s="258">
        <v>1320000</v>
      </c>
      <c r="O766" s="262"/>
    </row>
    <row r="767" spans="1:15">
      <c r="A767" s="264">
        <v>766</v>
      </c>
      <c r="B767" s="257">
        <v>45835</v>
      </c>
      <c r="C767" s="283" t="s">
        <v>1472</v>
      </c>
      <c r="F767" s="283" t="s">
        <v>1124</v>
      </c>
      <c r="M767" s="258">
        <v>-1500000</v>
      </c>
      <c r="O767" s="262"/>
    </row>
    <row r="768" spans="1:15">
      <c r="A768" s="264">
        <v>767</v>
      </c>
      <c r="B768" s="257">
        <v>45835</v>
      </c>
      <c r="C768" s="283" t="s">
        <v>1721</v>
      </c>
      <c r="F768" s="283" t="s">
        <v>1560</v>
      </c>
      <c r="G768" s="262" t="s">
        <v>2695</v>
      </c>
      <c r="H768" s="258">
        <v>1600000</v>
      </c>
      <c r="I768" s="262">
        <v>1</v>
      </c>
      <c r="L768" s="258">
        <v>1600000</v>
      </c>
      <c r="O768" s="262"/>
    </row>
    <row r="769" spans="1:15">
      <c r="A769" s="264">
        <v>768</v>
      </c>
      <c r="B769" s="257">
        <v>45835</v>
      </c>
      <c r="C769" s="283" t="s">
        <v>1472</v>
      </c>
      <c r="F769" s="283" t="s">
        <v>2195</v>
      </c>
      <c r="G769" s="262">
        <v>2820403</v>
      </c>
      <c r="H769" s="258">
        <v>1500000</v>
      </c>
      <c r="I769" s="262">
        <v>1</v>
      </c>
      <c r="L769" s="258">
        <v>1500000</v>
      </c>
      <c r="O769" s="262"/>
    </row>
    <row r="770" spans="1:15">
      <c r="A770" s="264">
        <v>769</v>
      </c>
      <c r="B770" s="257">
        <v>45835</v>
      </c>
      <c r="C770" s="283" t="s">
        <v>1585</v>
      </c>
      <c r="F770" s="283" t="s">
        <v>1124</v>
      </c>
      <c r="M770" s="258">
        <v>-1430000</v>
      </c>
      <c r="O770" s="262"/>
    </row>
    <row r="771" spans="1:15">
      <c r="A771" s="264">
        <v>770</v>
      </c>
      <c r="B771" s="257">
        <v>45838</v>
      </c>
      <c r="C771" s="283" t="s">
        <v>2291</v>
      </c>
      <c r="F771" s="283" t="s">
        <v>1743</v>
      </c>
      <c r="G771" s="262">
        <v>2830501</v>
      </c>
      <c r="H771" s="258">
        <v>1550000</v>
      </c>
      <c r="I771" s="262">
        <v>1</v>
      </c>
      <c r="L771" s="258">
        <v>1550000</v>
      </c>
      <c r="O771" s="262"/>
    </row>
    <row r="772" spans="1:15">
      <c r="A772" s="264">
        <v>771</v>
      </c>
      <c r="B772" s="257">
        <v>45838</v>
      </c>
      <c r="C772" s="283" t="s">
        <v>2621</v>
      </c>
      <c r="F772" s="283" t="s">
        <v>1124</v>
      </c>
      <c r="M772" s="258">
        <v>-1320000</v>
      </c>
      <c r="O772" s="262"/>
    </row>
    <row r="773" spans="1:15">
      <c r="A773" s="264">
        <v>772</v>
      </c>
      <c r="B773" s="257">
        <v>45838</v>
      </c>
      <c r="C773" s="283" t="s">
        <v>1335</v>
      </c>
      <c r="F773" s="283" t="s">
        <v>2254</v>
      </c>
      <c r="G773" s="262" t="s">
        <v>2253</v>
      </c>
      <c r="H773" s="258">
        <v>1450000</v>
      </c>
      <c r="I773" s="262">
        <v>1</v>
      </c>
      <c r="L773" s="258">
        <v>1450000</v>
      </c>
      <c r="O773" s="262"/>
    </row>
    <row r="774" spans="1:15">
      <c r="A774" s="264">
        <v>773</v>
      </c>
      <c r="B774" s="257">
        <v>45838</v>
      </c>
      <c r="C774" s="283" t="s">
        <v>1082</v>
      </c>
      <c r="F774" s="283" t="s">
        <v>2711</v>
      </c>
      <c r="G774" s="262" t="s">
        <v>2710</v>
      </c>
      <c r="H774" s="258">
        <v>1500000</v>
      </c>
      <c r="I774" s="262">
        <v>1</v>
      </c>
      <c r="L774" s="258">
        <v>1500000</v>
      </c>
      <c r="O774" s="262"/>
    </row>
    <row r="775" spans="1:15">
      <c r="A775" s="264">
        <v>774</v>
      </c>
      <c r="B775" s="257">
        <v>45838</v>
      </c>
      <c r="C775" s="283" t="s">
        <v>2717</v>
      </c>
      <c r="F775" s="283" t="s">
        <v>2336</v>
      </c>
      <c r="G775" s="262" t="s">
        <v>2718</v>
      </c>
      <c r="H775" s="258">
        <v>350000</v>
      </c>
      <c r="I775" s="262">
        <v>1</v>
      </c>
      <c r="K775" s="259">
        <v>35000</v>
      </c>
      <c r="L775" s="258">
        <v>385000</v>
      </c>
      <c r="O775" s="262"/>
    </row>
    <row r="776" spans="1:15">
      <c r="A776" s="264">
        <v>775</v>
      </c>
      <c r="B776" s="257">
        <v>45838</v>
      </c>
      <c r="C776" s="283" t="s">
        <v>1443</v>
      </c>
      <c r="F776" s="283" t="s">
        <v>2179</v>
      </c>
      <c r="G776" s="262" t="s">
        <v>1200</v>
      </c>
      <c r="H776" s="258">
        <v>1500000</v>
      </c>
      <c r="I776" s="262">
        <v>1</v>
      </c>
      <c r="L776" s="258">
        <v>1500000</v>
      </c>
      <c r="O776" s="262"/>
    </row>
    <row r="777" spans="1:15">
      <c r="A777" s="264">
        <v>776</v>
      </c>
      <c r="B777" s="257">
        <v>45838</v>
      </c>
      <c r="C777" s="283" t="s">
        <v>1443</v>
      </c>
      <c r="F777" s="283" t="s">
        <v>2180</v>
      </c>
      <c r="G777" s="262" t="s">
        <v>1802</v>
      </c>
      <c r="H777" s="258">
        <v>50000</v>
      </c>
      <c r="I777" s="262">
        <v>1</v>
      </c>
      <c r="L777" s="258">
        <v>50000</v>
      </c>
      <c r="O777" s="262"/>
    </row>
    <row r="778" spans="1:15">
      <c r="A778" s="264">
        <v>777</v>
      </c>
      <c r="B778" s="257">
        <v>45838</v>
      </c>
      <c r="C778" s="283" t="s">
        <v>1721</v>
      </c>
      <c r="F778" s="283" t="s">
        <v>2187</v>
      </c>
      <c r="G778" s="262" t="s">
        <v>1258</v>
      </c>
      <c r="H778" s="258">
        <v>130000</v>
      </c>
      <c r="I778" s="262">
        <v>2</v>
      </c>
      <c r="L778" s="258">
        <v>260000</v>
      </c>
      <c r="O778" s="262"/>
    </row>
    <row r="779" spans="1:15">
      <c r="A779" s="264">
        <v>778</v>
      </c>
      <c r="B779" s="257">
        <v>45838</v>
      </c>
      <c r="C779" s="283" t="s">
        <v>1979</v>
      </c>
      <c r="F779" s="283" t="s">
        <v>2179</v>
      </c>
      <c r="G779" s="262" t="s">
        <v>1200</v>
      </c>
      <c r="H779" s="258">
        <v>1500000</v>
      </c>
      <c r="I779" s="262">
        <v>1</v>
      </c>
      <c r="L779" s="258">
        <v>1500000</v>
      </c>
      <c r="O779" s="262"/>
    </row>
    <row r="780" spans="1:15">
      <c r="A780" s="264">
        <v>779</v>
      </c>
      <c r="B780" s="257">
        <v>45838</v>
      </c>
      <c r="C780" s="283" t="s">
        <v>1979</v>
      </c>
      <c r="F780" s="283" t="s">
        <v>2180</v>
      </c>
      <c r="G780" s="262" t="s">
        <v>1802</v>
      </c>
      <c r="H780" s="258">
        <v>50000</v>
      </c>
      <c r="I780" s="262">
        <v>1</v>
      </c>
      <c r="L780" s="258">
        <v>50000</v>
      </c>
      <c r="O780" s="262"/>
    </row>
    <row r="781" spans="1:15">
      <c r="A781" s="264">
        <v>780</v>
      </c>
      <c r="B781" s="257">
        <v>45838</v>
      </c>
      <c r="C781" s="283" t="s">
        <v>1466</v>
      </c>
      <c r="F781" s="283" t="s">
        <v>2177</v>
      </c>
      <c r="G781" s="262" t="s">
        <v>1463</v>
      </c>
      <c r="H781" s="258">
        <v>1500000</v>
      </c>
      <c r="I781" s="262">
        <v>1</v>
      </c>
      <c r="L781" s="258">
        <v>1500000</v>
      </c>
      <c r="O781" s="262"/>
    </row>
    <row r="782" spans="1:15">
      <c r="A782" s="264">
        <v>781</v>
      </c>
      <c r="B782" s="257">
        <v>45838</v>
      </c>
      <c r="C782" s="283" t="s">
        <v>2702</v>
      </c>
      <c r="F782" s="283" t="s">
        <v>1124</v>
      </c>
      <c r="M782" s="258">
        <v>-385000</v>
      </c>
      <c r="O782" s="262"/>
    </row>
    <row r="783" spans="1:15">
      <c r="A783" s="264">
        <v>782</v>
      </c>
      <c r="B783" s="257">
        <v>45836</v>
      </c>
      <c r="C783" s="283" t="s">
        <v>1893</v>
      </c>
      <c r="F783" s="283" t="s">
        <v>1124</v>
      </c>
      <c r="M783" s="258">
        <v>-1200000</v>
      </c>
      <c r="O783" s="262"/>
    </row>
    <row r="784" spans="1:15">
      <c r="A784" s="264">
        <v>783</v>
      </c>
      <c r="B784" s="257">
        <v>45838</v>
      </c>
      <c r="C784" s="283" t="s">
        <v>2291</v>
      </c>
      <c r="F784" s="283" t="s">
        <v>1124</v>
      </c>
      <c r="M784" s="258">
        <v>-1550000</v>
      </c>
      <c r="O784" s="262"/>
    </row>
    <row r="785" spans="1:16">
      <c r="A785" s="264">
        <v>784</v>
      </c>
      <c r="B785" s="257">
        <v>45838</v>
      </c>
      <c r="C785" s="283" t="s">
        <v>1540</v>
      </c>
      <c r="F785" s="283" t="s">
        <v>1124</v>
      </c>
      <c r="M785" s="258">
        <v>-2439000</v>
      </c>
      <c r="O785" s="262"/>
    </row>
    <row r="786" spans="1:16">
      <c r="A786" s="264">
        <v>785</v>
      </c>
      <c r="B786" s="257">
        <v>45838</v>
      </c>
      <c r="C786" s="283" t="s">
        <v>1576</v>
      </c>
      <c r="F786" s="283" t="s">
        <v>1124</v>
      </c>
      <c r="M786" s="258">
        <v>-5764000</v>
      </c>
      <c r="O786" s="262"/>
    </row>
    <row r="787" spans="1:16">
      <c r="A787" s="264">
        <v>786</v>
      </c>
      <c r="B787" s="257">
        <v>45838</v>
      </c>
      <c r="C787" s="283" t="s">
        <v>1579</v>
      </c>
      <c r="F787" s="283" t="s">
        <v>1124</v>
      </c>
      <c r="M787" s="258">
        <v>-1705000</v>
      </c>
      <c r="O787" s="262"/>
    </row>
    <row r="788" spans="1:16">
      <c r="A788" s="264">
        <v>787</v>
      </c>
      <c r="B788" s="257">
        <v>45839</v>
      </c>
      <c r="C788" s="283" t="s">
        <v>1146</v>
      </c>
      <c r="F788" s="283" t="s">
        <v>1124</v>
      </c>
      <c r="M788" s="258">
        <v>-2110000</v>
      </c>
      <c r="O788" s="262"/>
    </row>
    <row r="789" spans="1:16">
      <c r="A789" s="264">
        <v>788</v>
      </c>
      <c r="B789" s="257">
        <v>45838</v>
      </c>
      <c r="C789" s="283" t="s">
        <v>1297</v>
      </c>
      <c r="F789" s="283" t="s">
        <v>1669</v>
      </c>
      <c r="M789" s="258">
        <v>-450000</v>
      </c>
      <c r="O789" s="262"/>
    </row>
    <row r="790" spans="1:16">
      <c r="A790" s="264">
        <v>789</v>
      </c>
      <c r="B790" s="257">
        <v>45838</v>
      </c>
      <c r="C790" s="283" t="s">
        <v>1377</v>
      </c>
      <c r="F790" s="283" t="s">
        <v>2721</v>
      </c>
      <c r="M790" s="258">
        <v>-150000</v>
      </c>
      <c r="O790" s="262"/>
    </row>
    <row r="791" spans="1:16">
      <c r="A791" s="264">
        <v>790</v>
      </c>
      <c r="B791" s="257">
        <v>45839</v>
      </c>
      <c r="C791" s="283" t="s">
        <v>1046</v>
      </c>
      <c r="F791" s="283" t="s">
        <v>1124</v>
      </c>
      <c r="M791" s="258">
        <v>-1550000</v>
      </c>
      <c r="O791" s="262"/>
    </row>
    <row r="792" spans="1:16">
      <c r="A792" s="264">
        <v>791</v>
      </c>
      <c r="B792" s="257">
        <v>45839</v>
      </c>
      <c r="C792" s="283" t="s">
        <v>2723</v>
      </c>
      <c r="F792" s="283" t="s">
        <v>2722</v>
      </c>
      <c r="H792" s="258">
        <v>150000</v>
      </c>
      <c r="I792" s="262">
        <v>1</v>
      </c>
      <c r="L792" s="258">
        <v>150000</v>
      </c>
      <c r="O792" s="262"/>
      <c r="P792" s="262" t="s">
        <v>2861</v>
      </c>
    </row>
    <row r="793" spans="1:16">
      <c r="A793" s="264">
        <v>792</v>
      </c>
      <c r="B793" s="257">
        <v>45839</v>
      </c>
      <c r="C793" s="283" t="s">
        <v>1478</v>
      </c>
      <c r="F793" s="283" t="s">
        <v>1743</v>
      </c>
      <c r="G793" s="262">
        <v>2830501</v>
      </c>
      <c r="H793" s="258">
        <v>1550000</v>
      </c>
      <c r="I793" s="262">
        <v>1</v>
      </c>
      <c r="L793" s="258">
        <v>1550000</v>
      </c>
      <c r="O793" s="262"/>
      <c r="P793" s="262" t="s">
        <v>2861</v>
      </c>
    </row>
    <row r="794" spans="1:16">
      <c r="A794" s="264">
        <v>793</v>
      </c>
      <c r="B794" s="257">
        <v>45839</v>
      </c>
      <c r="C794" s="283" t="s">
        <v>1579</v>
      </c>
      <c r="F794" s="283" t="s">
        <v>1204</v>
      </c>
      <c r="G794" s="262" t="s">
        <v>1203</v>
      </c>
      <c r="H794" s="258">
        <v>1200000</v>
      </c>
      <c r="I794" s="262">
        <v>1</v>
      </c>
      <c r="K794" s="259">
        <v>120000</v>
      </c>
      <c r="L794" s="258">
        <v>1320000</v>
      </c>
      <c r="O794" s="262"/>
      <c r="P794" s="262" t="s">
        <v>2861</v>
      </c>
    </row>
    <row r="795" spans="1:16">
      <c r="A795" s="264">
        <v>794</v>
      </c>
      <c r="B795" s="257">
        <v>45839</v>
      </c>
      <c r="C795" s="283" t="s">
        <v>1372</v>
      </c>
      <c r="F795" s="283" t="s">
        <v>1745</v>
      </c>
      <c r="M795" s="258">
        <v>-600000</v>
      </c>
      <c r="O795" s="262"/>
    </row>
    <row r="796" spans="1:16">
      <c r="A796" s="264">
        <v>795</v>
      </c>
      <c r="B796" s="257">
        <v>45839</v>
      </c>
      <c r="C796" s="283" t="s">
        <v>1289</v>
      </c>
      <c r="F796" s="283" t="s">
        <v>2728</v>
      </c>
      <c r="M796" s="258">
        <v>-1500000</v>
      </c>
      <c r="O796" s="262"/>
    </row>
    <row r="797" spans="1:16">
      <c r="A797" s="264">
        <v>796</v>
      </c>
      <c r="B797" s="257">
        <v>45839</v>
      </c>
      <c r="C797" s="283" t="s">
        <v>1398</v>
      </c>
      <c r="F797" s="283" t="s">
        <v>1124</v>
      </c>
      <c r="M797" s="258">
        <v>-10500000</v>
      </c>
      <c r="O797" s="262"/>
    </row>
    <row r="798" spans="1:16">
      <c r="A798" s="264">
        <v>797</v>
      </c>
      <c r="B798" s="257">
        <v>45839</v>
      </c>
      <c r="C798" s="283" t="s">
        <v>1398</v>
      </c>
      <c r="F798" s="283" t="s">
        <v>2729</v>
      </c>
      <c r="M798" s="258">
        <v>-114000</v>
      </c>
      <c r="O798" s="262"/>
    </row>
    <row r="799" spans="1:16">
      <c r="A799" s="264">
        <v>798</v>
      </c>
      <c r="B799" s="257">
        <v>45839</v>
      </c>
      <c r="C799" s="283" t="s">
        <v>2730</v>
      </c>
      <c r="F799" s="283" t="s">
        <v>2341</v>
      </c>
      <c r="H799" s="258">
        <v>150000</v>
      </c>
      <c r="I799" s="262">
        <v>1</v>
      </c>
      <c r="L799" s="258">
        <v>150000</v>
      </c>
      <c r="O799" s="262"/>
      <c r="P799" s="262" t="s">
        <v>2861</v>
      </c>
    </row>
    <row r="800" spans="1:16">
      <c r="A800" s="264">
        <v>799</v>
      </c>
      <c r="B800" s="257">
        <v>45839</v>
      </c>
      <c r="C800" s="283" t="s">
        <v>1443</v>
      </c>
      <c r="F800" s="283" t="s">
        <v>1702</v>
      </c>
      <c r="G800" s="262">
        <v>7252703114</v>
      </c>
      <c r="H800" s="258">
        <v>129000</v>
      </c>
      <c r="I800" s="262">
        <v>3</v>
      </c>
      <c r="L800" s="258">
        <v>387000</v>
      </c>
      <c r="O800" s="262"/>
      <c r="P800" s="262" t="s">
        <v>2861</v>
      </c>
    </row>
    <row r="801" spans="1:16">
      <c r="A801" s="264">
        <v>800</v>
      </c>
      <c r="B801" s="257">
        <v>45839</v>
      </c>
      <c r="C801" s="283" t="s">
        <v>1443</v>
      </c>
      <c r="F801" s="283" t="s">
        <v>2665</v>
      </c>
      <c r="G801" s="262">
        <v>1087298437</v>
      </c>
      <c r="H801" s="258">
        <v>80000</v>
      </c>
      <c r="I801" s="262">
        <v>1</v>
      </c>
      <c r="L801" s="258">
        <v>80000</v>
      </c>
      <c r="O801" s="262"/>
      <c r="P801" s="262" t="s">
        <v>2861</v>
      </c>
    </row>
    <row r="802" spans="1:16">
      <c r="A802" s="264">
        <v>801</v>
      </c>
      <c r="B802" s="257">
        <v>45839</v>
      </c>
      <c r="C802" s="283" t="s">
        <v>2730</v>
      </c>
      <c r="F802" s="283" t="s">
        <v>1124</v>
      </c>
      <c r="M802" s="258">
        <v>-150000</v>
      </c>
      <c r="O802" s="262"/>
    </row>
    <row r="803" spans="1:16">
      <c r="A803" s="264">
        <v>802</v>
      </c>
      <c r="B803" s="257">
        <v>45839</v>
      </c>
      <c r="C803" s="283" t="s">
        <v>1979</v>
      </c>
      <c r="F803" s="283" t="s">
        <v>1124</v>
      </c>
      <c r="M803" s="258">
        <v>-1550000</v>
      </c>
      <c r="O803" s="262"/>
    </row>
    <row r="804" spans="1:16">
      <c r="A804" s="264">
        <v>803</v>
      </c>
      <c r="B804" s="257">
        <v>45840</v>
      </c>
      <c r="C804" s="283" t="s">
        <v>2738</v>
      </c>
      <c r="F804" s="283" t="s">
        <v>2298</v>
      </c>
      <c r="H804" s="258">
        <v>650000</v>
      </c>
      <c r="I804" s="262">
        <v>1</v>
      </c>
      <c r="K804" s="259">
        <v>65000</v>
      </c>
      <c r="L804" s="258">
        <v>715000</v>
      </c>
      <c r="O804" s="262"/>
      <c r="P804" s="262" t="s">
        <v>2861</v>
      </c>
    </row>
    <row r="805" spans="1:16">
      <c r="A805" s="264">
        <v>804</v>
      </c>
      <c r="B805" s="257">
        <v>45840</v>
      </c>
      <c r="C805" s="283" t="s">
        <v>2740</v>
      </c>
      <c r="F805" s="283" t="s">
        <v>1202</v>
      </c>
      <c r="G805" s="262" t="s">
        <v>1751</v>
      </c>
      <c r="H805" s="258">
        <v>1200000</v>
      </c>
      <c r="I805" s="262">
        <v>1</v>
      </c>
      <c r="L805" s="258">
        <v>1200000</v>
      </c>
      <c r="O805" s="262"/>
      <c r="P805" s="262" t="s">
        <v>2861</v>
      </c>
    </row>
    <row r="806" spans="1:16">
      <c r="A806" s="264">
        <v>805</v>
      </c>
      <c r="B806" s="257">
        <v>45840</v>
      </c>
      <c r="C806" s="283" t="s">
        <v>2740</v>
      </c>
      <c r="F806" s="283" t="s">
        <v>2745</v>
      </c>
      <c r="M806" s="258">
        <v>-1200000</v>
      </c>
      <c r="O806" s="262"/>
    </row>
    <row r="807" spans="1:16">
      <c r="A807" s="264">
        <v>806</v>
      </c>
      <c r="B807" s="257">
        <v>45840</v>
      </c>
      <c r="C807" s="283" t="s">
        <v>1579</v>
      </c>
      <c r="F807" s="283" t="s">
        <v>1124</v>
      </c>
      <c r="M807" s="258">
        <v>-1375000</v>
      </c>
      <c r="O807" s="262"/>
    </row>
    <row r="808" spans="1:16">
      <c r="A808" s="264">
        <v>807</v>
      </c>
      <c r="B808" s="257">
        <v>45840</v>
      </c>
      <c r="C808" s="283" t="s">
        <v>1579</v>
      </c>
      <c r="F808" s="283" t="s">
        <v>1265</v>
      </c>
      <c r="G808" s="262" t="s">
        <v>1264</v>
      </c>
      <c r="H808" s="258">
        <v>50000</v>
      </c>
      <c r="I808" s="262">
        <v>1</v>
      </c>
      <c r="K808" s="259">
        <v>5000</v>
      </c>
      <c r="L808" s="258">
        <v>55000</v>
      </c>
      <c r="O808" s="262"/>
      <c r="P808" s="262" t="s">
        <v>2861</v>
      </c>
    </row>
    <row r="809" spans="1:16">
      <c r="A809" s="264">
        <v>808</v>
      </c>
      <c r="B809" s="257">
        <v>45840</v>
      </c>
      <c r="C809" s="283" t="s">
        <v>1960</v>
      </c>
      <c r="F809" s="283" t="s">
        <v>2179</v>
      </c>
      <c r="G809" s="262" t="s">
        <v>1200</v>
      </c>
      <c r="H809" s="258">
        <v>1500000</v>
      </c>
      <c r="I809" s="262">
        <v>1</v>
      </c>
      <c r="L809" s="258">
        <v>1500000</v>
      </c>
      <c r="O809" s="262"/>
      <c r="P809" s="262" t="s">
        <v>2861</v>
      </c>
    </row>
    <row r="810" spans="1:16">
      <c r="A810" s="264">
        <v>809</v>
      </c>
      <c r="B810" s="257">
        <v>45840</v>
      </c>
      <c r="C810" s="283" t="s">
        <v>1960</v>
      </c>
      <c r="F810" s="283" t="s">
        <v>2180</v>
      </c>
      <c r="G810" s="262" t="s">
        <v>1802</v>
      </c>
      <c r="H810" s="258">
        <v>50000</v>
      </c>
      <c r="I810" s="262">
        <v>1</v>
      </c>
      <c r="L810" s="258">
        <v>50000</v>
      </c>
      <c r="O810" s="262"/>
      <c r="P810" s="262" t="s">
        <v>2861</v>
      </c>
    </row>
    <row r="811" spans="1:16">
      <c r="A811" s="264">
        <v>810</v>
      </c>
      <c r="B811" s="257">
        <v>45840</v>
      </c>
      <c r="C811" s="283" t="s">
        <v>1960</v>
      </c>
      <c r="F811" s="283" t="s">
        <v>2181</v>
      </c>
      <c r="G811" s="262" t="s">
        <v>2216</v>
      </c>
      <c r="H811" s="258">
        <v>250000</v>
      </c>
      <c r="I811" s="262">
        <v>1</v>
      </c>
      <c r="L811" s="258">
        <v>250000</v>
      </c>
      <c r="O811" s="262"/>
      <c r="P811" s="262" t="s">
        <v>2861</v>
      </c>
    </row>
    <row r="812" spans="1:16">
      <c r="A812" s="264">
        <v>811</v>
      </c>
      <c r="B812" s="257">
        <v>45840</v>
      </c>
      <c r="C812" s="283" t="s">
        <v>1960</v>
      </c>
      <c r="F812" s="283" t="s">
        <v>2182</v>
      </c>
      <c r="G812" s="262" t="s">
        <v>1719</v>
      </c>
      <c r="H812" s="258">
        <v>70000</v>
      </c>
      <c r="I812" s="262">
        <v>1</v>
      </c>
      <c r="L812" s="258">
        <v>70000</v>
      </c>
      <c r="O812" s="262"/>
      <c r="P812" s="262" t="s">
        <v>2861</v>
      </c>
    </row>
    <row r="813" spans="1:16">
      <c r="A813" s="264">
        <v>812</v>
      </c>
      <c r="B813" s="257">
        <v>45840</v>
      </c>
      <c r="C813" s="283" t="s">
        <v>1327</v>
      </c>
      <c r="F813" s="283" t="s">
        <v>1218</v>
      </c>
      <c r="G813" s="262" t="s">
        <v>2161</v>
      </c>
      <c r="H813" s="258">
        <v>1200000</v>
      </c>
      <c r="I813" s="262">
        <v>1</v>
      </c>
      <c r="L813" s="258">
        <v>1200000</v>
      </c>
      <c r="O813" s="262"/>
      <c r="P813" s="262" t="s">
        <v>2861</v>
      </c>
    </row>
    <row r="814" spans="1:16">
      <c r="A814" s="264">
        <v>813</v>
      </c>
      <c r="B814" s="257">
        <v>45841</v>
      </c>
      <c r="C814" s="283" t="s">
        <v>1046</v>
      </c>
      <c r="F814" s="283" t="s">
        <v>2179</v>
      </c>
      <c r="G814" s="262" t="s">
        <v>1200</v>
      </c>
      <c r="H814" s="258">
        <v>1500000</v>
      </c>
      <c r="I814" s="262">
        <v>1</v>
      </c>
      <c r="L814" s="258">
        <v>1500000</v>
      </c>
      <c r="O814" s="262"/>
      <c r="P814" s="262" t="s">
        <v>2861</v>
      </c>
    </row>
    <row r="815" spans="1:16">
      <c r="A815" s="264">
        <v>814</v>
      </c>
      <c r="B815" s="257">
        <v>45841</v>
      </c>
      <c r="C815" s="283" t="s">
        <v>1046</v>
      </c>
      <c r="F815" s="283" t="s">
        <v>2180</v>
      </c>
      <c r="G815" s="262" t="s">
        <v>1802</v>
      </c>
      <c r="H815" s="258">
        <v>50000</v>
      </c>
      <c r="I815" s="262">
        <v>1</v>
      </c>
      <c r="L815" s="258">
        <v>50000</v>
      </c>
      <c r="O815" s="262"/>
      <c r="P815" s="262" t="s">
        <v>2861</v>
      </c>
    </row>
    <row r="816" spans="1:16">
      <c r="A816" s="264">
        <v>815</v>
      </c>
      <c r="B816" s="257">
        <v>45841</v>
      </c>
      <c r="C816" s="283" t="s">
        <v>2723</v>
      </c>
      <c r="F816" s="283" t="s">
        <v>1124</v>
      </c>
      <c r="M816" s="258">
        <v>-150000</v>
      </c>
      <c r="O816" s="262"/>
    </row>
    <row r="817" spans="1:16">
      <c r="A817" s="264">
        <v>816</v>
      </c>
      <c r="B817" s="257">
        <v>45841</v>
      </c>
      <c r="C817" s="283" t="s">
        <v>2760</v>
      </c>
      <c r="F817" s="283" t="s">
        <v>1560</v>
      </c>
      <c r="G817" s="262">
        <v>54463610</v>
      </c>
      <c r="H817" s="258">
        <v>1600000</v>
      </c>
      <c r="I817" s="262">
        <v>1</v>
      </c>
      <c r="L817" s="258">
        <v>1600000</v>
      </c>
      <c r="O817" s="262"/>
      <c r="P817" s="262" t="s">
        <v>2861</v>
      </c>
    </row>
    <row r="818" spans="1:16">
      <c r="A818" s="264">
        <v>817</v>
      </c>
      <c r="B818" s="257">
        <v>45841</v>
      </c>
      <c r="C818" s="283" t="s">
        <v>1808</v>
      </c>
      <c r="F818" s="283" t="s">
        <v>1495</v>
      </c>
      <c r="G818" s="262" t="s">
        <v>2677</v>
      </c>
      <c r="H818" s="258">
        <v>350000</v>
      </c>
      <c r="I818" s="262">
        <v>1</v>
      </c>
      <c r="L818" s="258">
        <v>350000</v>
      </c>
      <c r="O818" s="262"/>
      <c r="P818" s="262" t="s">
        <v>2861</v>
      </c>
    </row>
    <row r="819" spans="1:16">
      <c r="A819" s="264">
        <v>818</v>
      </c>
      <c r="B819" s="257">
        <v>45841</v>
      </c>
      <c r="C819" s="283" t="s">
        <v>2260</v>
      </c>
      <c r="F819" s="283" t="s">
        <v>1202</v>
      </c>
      <c r="G819" s="262" t="s">
        <v>1751</v>
      </c>
      <c r="H819" s="258">
        <v>1200000</v>
      </c>
      <c r="I819" s="262">
        <v>1</v>
      </c>
      <c r="L819" s="258">
        <v>1200000</v>
      </c>
      <c r="O819" s="262"/>
      <c r="P819" s="262" t="s">
        <v>2861</v>
      </c>
    </row>
    <row r="820" spans="1:16">
      <c r="A820" s="264">
        <v>819</v>
      </c>
      <c r="B820" s="257">
        <v>45841</v>
      </c>
      <c r="C820" s="283" t="s">
        <v>1286</v>
      </c>
      <c r="F820" s="283" t="s">
        <v>1218</v>
      </c>
      <c r="G820" s="262" t="s">
        <v>2161</v>
      </c>
      <c r="H820" s="258">
        <v>1200000</v>
      </c>
      <c r="I820" s="262">
        <v>1</v>
      </c>
      <c r="K820" s="259">
        <v>120000</v>
      </c>
      <c r="L820" s="258">
        <v>1320000</v>
      </c>
      <c r="O820" s="262"/>
      <c r="P820" s="262" t="s">
        <v>2861</v>
      </c>
    </row>
    <row r="821" spans="1:16">
      <c r="A821" s="264">
        <v>820</v>
      </c>
      <c r="B821" s="257">
        <v>45841</v>
      </c>
      <c r="C821" s="283" t="s">
        <v>2760</v>
      </c>
      <c r="F821" s="283" t="s">
        <v>1124</v>
      </c>
      <c r="M821" s="258">
        <v>-1600000</v>
      </c>
      <c r="O821" s="262"/>
    </row>
    <row r="822" spans="1:16">
      <c r="A822" s="264">
        <v>821</v>
      </c>
      <c r="B822" s="257">
        <v>45841</v>
      </c>
      <c r="C822" s="283" t="s">
        <v>2260</v>
      </c>
      <c r="F822" s="283" t="s">
        <v>1124</v>
      </c>
      <c r="M822" s="258">
        <v>-1200000</v>
      </c>
      <c r="O822" s="262"/>
    </row>
    <row r="823" spans="1:16">
      <c r="A823" s="264">
        <v>822</v>
      </c>
      <c r="B823" s="257">
        <v>45841</v>
      </c>
      <c r="C823" s="283" t="s">
        <v>1960</v>
      </c>
      <c r="F823" s="283" t="s">
        <v>1124</v>
      </c>
      <c r="M823" s="258">
        <v>-1870000</v>
      </c>
      <c r="O823" s="262"/>
    </row>
    <row r="824" spans="1:16">
      <c r="A824" s="264">
        <v>823</v>
      </c>
      <c r="B824" s="257">
        <v>45842</v>
      </c>
      <c r="C824" s="283" t="s">
        <v>2767</v>
      </c>
      <c r="F824" s="283" t="s">
        <v>2254</v>
      </c>
      <c r="G824" s="262" t="s">
        <v>2253</v>
      </c>
      <c r="H824" s="258">
        <v>1600000</v>
      </c>
      <c r="I824" s="262">
        <v>1</v>
      </c>
      <c r="K824" s="259">
        <v>160000</v>
      </c>
      <c r="L824" s="258">
        <v>1760000</v>
      </c>
      <c r="O824" s="262"/>
      <c r="P824" s="262" t="s">
        <v>2861</v>
      </c>
    </row>
    <row r="825" spans="1:16">
      <c r="A825" s="264">
        <v>824</v>
      </c>
      <c r="B825" s="257">
        <v>45842</v>
      </c>
      <c r="C825" s="283" t="s">
        <v>2767</v>
      </c>
      <c r="F825" s="283" t="s">
        <v>2610</v>
      </c>
      <c r="G825" s="262" t="s">
        <v>1754</v>
      </c>
      <c r="H825" s="258">
        <v>50000</v>
      </c>
      <c r="I825" s="262">
        <v>1</v>
      </c>
      <c r="K825" s="259">
        <v>5000</v>
      </c>
      <c r="L825" s="258">
        <v>55000</v>
      </c>
      <c r="O825" s="262"/>
      <c r="P825" s="262" t="s">
        <v>2861</v>
      </c>
    </row>
    <row r="826" spans="1:16">
      <c r="A826" s="264">
        <v>825</v>
      </c>
      <c r="B826" s="257">
        <v>45842</v>
      </c>
      <c r="C826" s="283" t="s">
        <v>1082</v>
      </c>
      <c r="F826" s="283" t="s">
        <v>1124</v>
      </c>
      <c r="M826" s="258">
        <v>-1450000</v>
      </c>
      <c r="O826" s="262"/>
    </row>
    <row r="827" spans="1:16">
      <c r="A827" s="264">
        <v>826</v>
      </c>
      <c r="B827" s="257">
        <v>45842</v>
      </c>
      <c r="C827" s="283" t="s">
        <v>2770</v>
      </c>
      <c r="F827" s="283" t="s">
        <v>1124</v>
      </c>
      <c r="M827" s="258">
        <v>-1815000</v>
      </c>
      <c r="O827" s="262"/>
    </row>
    <row r="828" spans="1:16">
      <c r="A828" s="264">
        <v>827</v>
      </c>
      <c r="B828" s="257">
        <v>45842</v>
      </c>
      <c r="C828" s="283" t="s">
        <v>1082</v>
      </c>
      <c r="F828" s="283" t="s">
        <v>2729</v>
      </c>
      <c r="M828" s="258">
        <v>-50000</v>
      </c>
      <c r="O828" s="262"/>
    </row>
    <row r="829" spans="1:16">
      <c r="A829" s="264">
        <v>828</v>
      </c>
      <c r="B829" s="257">
        <v>45842</v>
      </c>
      <c r="C829" s="283" t="s">
        <v>1597</v>
      </c>
      <c r="F829" s="283" t="s">
        <v>1202</v>
      </c>
      <c r="G829" s="262" t="s">
        <v>1751</v>
      </c>
      <c r="H829" s="258">
        <v>1000000</v>
      </c>
      <c r="I829" s="262">
        <v>1</v>
      </c>
      <c r="L829" s="258">
        <v>1000000</v>
      </c>
      <c r="O829" s="262"/>
      <c r="P829" s="262" t="s">
        <v>2861</v>
      </c>
    </row>
    <row r="830" spans="1:16">
      <c r="A830" s="264">
        <v>829</v>
      </c>
      <c r="B830" s="257">
        <v>45842</v>
      </c>
      <c r="C830" s="283" t="s">
        <v>1579</v>
      </c>
      <c r="F830" s="283" t="s">
        <v>1704</v>
      </c>
      <c r="G830" s="262" t="s">
        <v>1703</v>
      </c>
      <c r="H830" s="258">
        <v>50000</v>
      </c>
      <c r="I830" s="262">
        <v>1</v>
      </c>
      <c r="K830" s="259">
        <v>5000</v>
      </c>
      <c r="L830" s="258">
        <v>55000</v>
      </c>
      <c r="O830" s="262"/>
      <c r="P830" s="262" t="s">
        <v>2861</v>
      </c>
    </row>
    <row r="831" spans="1:16">
      <c r="A831" s="264">
        <v>830</v>
      </c>
      <c r="B831" s="257">
        <v>45842</v>
      </c>
      <c r="C831" s="283" t="s">
        <v>1289</v>
      </c>
      <c r="F831" s="283" t="s">
        <v>2575</v>
      </c>
      <c r="G831" s="262" t="s">
        <v>2574</v>
      </c>
      <c r="H831" s="258">
        <v>1500000</v>
      </c>
      <c r="I831" s="262">
        <v>1</v>
      </c>
      <c r="K831" s="259" t="s">
        <v>2905</v>
      </c>
      <c r="L831" s="258">
        <v>1650000</v>
      </c>
      <c r="O831" s="262"/>
      <c r="P831" s="262" t="s">
        <v>2861</v>
      </c>
    </row>
    <row r="832" spans="1:16">
      <c r="A832" s="264">
        <v>831</v>
      </c>
      <c r="B832" s="257">
        <v>45842</v>
      </c>
      <c r="C832" s="283" t="s">
        <v>1146</v>
      </c>
      <c r="F832" s="283" t="s">
        <v>1202</v>
      </c>
      <c r="G832" s="262" t="s">
        <v>1751</v>
      </c>
      <c r="H832" s="258">
        <v>1200000</v>
      </c>
      <c r="I832" s="262">
        <v>1</v>
      </c>
      <c r="L832" s="258">
        <v>1200000</v>
      </c>
      <c r="O832" s="262"/>
      <c r="P832" s="262" t="s">
        <v>2861</v>
      </c>
    </row>
    <row r="833" spans="1:16">
      <c r="A833" s="264">
        <v>832</v>
      </c>
      <c r="B833" s="257">
        <v>45842</v>
      </c>
      <c r="C833" s="283" t="s">
        <v>2738</v>
      </c>
      <c r="F833" s="283" t="s">
        <v>1124</v>
      </c>
      <c r="M833" s="258">
        <v>-715000</v>
      </c>
      <c r="O833" s="262"/>
    </row>
    <row r="834" spans="1:16">
      <c r="A834" s="264">
        <v>833</v>
      </c>
      <c r="B834" s="257">
        <v>45842</v>
      </c>
      <c r="C834" s="283" t="s">
        <v>1472</v>
      </c>
      <c r="F834" s="283" t="s">
        <v>1124</v>
      </c>
      <c r="M834" s="258">
        <v>-1500000</v>
      </c>
      <c r="O834" s="262"/>
    </row>
    <row r="835" spans="1:16">
      <c r="A835" s="264">
        <v>834</v>
      </c>
      <c r="B835" s="257">
        <v>45842</v>
      </c>
      <c r="C835" s="283" t="s">
        <v>1808</v>
      </c>
      <c r="F835" s="283" t="s">
        <v>1124</v>
      </c>
      <c r="M835" s="258">
        <v>-350000</v>
      </c>
      <c r="O835" s="262"/>
    </row>
    <row r="836" spans="1:16">
      <c r="A836" s="264">
        <v>835</v>
      </c>
      <c r="B836" s="257">
        <v>45842</v>
      </c>
      <c r="C836" s="283" t="s">
        <v>1597</v>
      </c>
      <c r="F836" s="283" t="s">
        <v>1124</v>
      </c>
      <c r="M836" s="258">
        <v>-1000000</v>
      </c>
      <c r="O836" s="262"/>
    </row>
    <row r="837" spans="1:16">
      <c r="A837" s="264">
        <v>836</v>
      </c>
      <c r="B837" s="257">
        <v>45842</v>
      </c>
      <c r="C837" s="283" t="s">
        <v>1721</v>
      </c>
      <c r="F837" s="283" t="s">
        <v>1124</v>
      </c>
      <c r="M837" s="258">
        <v>-10000000</v>
      </c>
      <c r="O837" s="262"/>
    </row>
    <row r="838" spans="1:16">
      <c r="A838" s="264">
        <v>837</v>
      </c>
      <c r="B838" s="257">
        <v>45843</v>
      </c>
      <c r="C838" s="283" t="s">
        <v>1540</v>
      </c>
      <c r="F838" s="283" t="s">
        <v>1202</v>
      </c>
      <c r="G838" s="262" t="s">
        <v>1751</v>
      </c>
      <c r="H838" s="258">
        <v>1200000</v>
      </c>
      <c r="I838" s="262">
        <v>1</v>
      </c>
      <c r="L838" s="258">
        <v>1200000</v>
      </c>
      <c r="O838" s="262"/>
      <c r="P838" s="262" t="s">
        <v>2861</v>
      </c>
    </row>
    <row r="839" spans="1:16">
      <c r="A839" s="264">
        <v>838</v>
      </c>
      <c r="B839" s="257">
        <v>45843</v>
      </c>
      <c r="C839" s="283" t="s">
        <v>1540</v>
      </c>
      <c r="F839" s="283" t="s">
        <v>1495</v>
      </c>
      <c r="G839" s="262" t="s">
        <v>2677</v>
      </c>
      <c r="H839" s="258">
        <v>350000</v>
      </c>
      <c r="I839" s="262">
        <v>1</v>
      </c>
      <c r="L839" s="258">
        <v>350000</v>
      </c>
      <c r="O839" s="262"/>
      <c r="P839" s="262" t="s">
        <v>2861</v>
      </c>
    </row>
    <row r="840" spans="1:16">
      <c r="A840" s="264">
        <v>839</v>
      </c>
      <c r="B840" s="257">
        <v>45845</v>
      </c>
      <c r="C840" s="283" t="s">
        <v>1018</v>
      </c>
      <c r="F840" s="283" t="s">
        <v>1124</v>
      </c>
      <c r="M840" s="258">
        <v>-5582500</v>
      </c>
      <c r="O840" s="262"/>
    </row>
    <row r="841" spans="1:16">
      <c r="A841" s="264">
        <v>840</v>
      </c>
      <c r="B841" s="257">
        <v>45845</v>
      </c>
      <c r="C841" s="283" t="s">
        <v>1443</v>
      </c>
      <c r="F841" s="283" t="s">
        <v>1504</v>
      </c>
      <c r="H841" s="258">
        <v>1200000</v>
      </c>
      <c r="I841" s="262">
        <v>1</v>
      </c>
      <c r="L841" s="258">
        <v>1200000</v>
      </c>
      <c r="O841" s="262"/>
      <c r="P841" s="262" t="s">
        <v>2861</v>
      </c>
    </row>
    <row r="842" spans="1:16">
      <c r="A842" s="264">
        <v>841</v>
      </c>
      <c r="B842" s="257">
        <v>45845</v>
      </c>
      <c r="C842" s="283" t="s">
        <v>1443</v>
      </c>
      <c r="F842" s="283" t="s">
        <v>1505</v>
      </c>
      <c r="H842" s="258">
        <v>100000</v>
      </c>
      <c r="I842" s="262">
        <v>1</v>
      </c>
      <c r="L842" s="258">
        <v>100000</v>
      </c>
      <c r="O842" s="262"/>
      <c r="P842" s="262" t="s">
        <v>2861</v>
      </c>
    </row>
    <row r="843" spans="1:16">
      <c r="A843" s="264">
        <v>842</v>
      </c>
      <c r="B843" s="257">
        <v>45845</v>
      </c>
      <c r="C843" s="283" t="s">
        <v>1478</v>
      </c>
      <c r="F843" s="283" t="s">
        <v>2416</v>
      </c>
      <c r="G843" s="262" t="s">
        <v>2746</v>
      </c>
      <c r="H843" s="258">
        <v>1100000</v>
      </c>
      <c r="I843" s="262">
        <v>1</v>
      </c>
      <c r="L843" s="258">
        <v>1100000</v>
      </c>
      <c r="O843" s="262"/>
      <c r="P843" s="262" t="s">
        <v>2861</v>
      </c>
    </row>
    <row r="844" spans="1:16">
      <c r="A844" s="264">
        <v>843</v>
      </c>
      <c r="B844" s="257">
        <v>45845</v>
      </c>
      <c r="C844" s="283" t="s">
        <v>2787</v>
      </c>
      <c r="F844" s="283" t="s">
        <v>2179</v>
      </c>
      <c r="G844" s="262" t="s">
        <v>1200</v>
      </c>
      <c r="H844" s="258">
        <v>1500000</v>
      </c>
      <c r="I844" s="262">
        <v>1</v>
      </c>
      <c r="L844" s="258">
        <v>1500000</v>
      </c>
      <c r="O844" s="262"/>
      <c r="P844" s="262" t="s">
        <v>2861</v>
      </c>
    </row>
    <row r="845" spans="1:16">
      <c r="A845" s="264">
        <v>844</v>
      </c>
      <c r="B845" s="257">
        <v>45845</v>
      </c>
      <c r="C845" s="283" t="s">
        <v>2787</v>
      </c>
      <c r="F845" s="283" t="s">
        <v>2180</v>
      </c>
      <c r="G845" s="262" t="s">
        <v>1802</v>
      </c>
      <c r="H845" s="258">
        <v>50000</v>
      </c>
      <c r="I845" s="262">
        <v>1</v>
      </c>
      <c r="L845" s="258">
        <v>50000</v>
      </c>
      <c r="O845" s="262"/>
      <c r="P845" s="262" t="s">
        <v>2861</v>
      </c>
    </row>
    <row r="846" spans="1:16">
      <c r="A846" s="264">
        <v>845</v>
      </c>
      <c r="B846" s="257">
        <v>45845</v>
      </c>
      <c r="C846" s="283" t="s">
        <v>2595</v>
      </c>
      <c r="F846" s="283" t="s">
        <v>2179</v>
      </c>
      <c r="G846" s="262" t="s">
        <v>1200</v>
      </c>
      <c r="H846" s="258">
        <v>1500000</v>
      </c>
      <c r="I846" s="262">
        <v>1</v>
      </c>
      <c r="L846" s="258">
        <v>1500000</v>
      </c>
      <c r="O846" s="262"/>
      <c r="P846" s="262" t="s">
        <v>2861</v>
      </c>
    </row>
    <row r="847" spans="1:16">
      <c r="A847" s="264">
        <v>846</v>
      </c>
      <c r="B847" s="257">
        <v>45845</v>
      </c>
      <c r="C847" s="283" t="s">
        <v>2595</v>
      </c>
      <c r="F847" s="283" t="s">
        <v>2180</v>
      </c>
      <c r="G847" s="262" t="s">
        <v>1802</v>
      </c>
      <c r="H847" s="258">
        <v>50000</v>
      </c>
      <c r="I847" s="262">
        <v>1</v>
      </c>
      <c r="L847" s="258">
        <v>50000</v>
      </c>
      <c r="O847" s="262"/>
      <c r="P847" s="262" t="s">
        <v>2861</v>
      </c>
    </row>
    <row r="848" spans="1:16">
      <c r="A848" s="264">
        <v>847</v>
      </c>
      <c r="B848" s="257">
        <v>45845</v>
      </c>
      <c r="C848" s="283" t="s">
        <v>2781</v>
      </c>
      <c r="F848" s="283" t="s">
        <v>2179</v>
      </c>
      <c r="G848" s="262" t="s">
        <v>1200</v>
      </c>
      <c r="H848" s="258">
        <v>1500000</v>
      </c>
      <c r="I848" s="262">
        <v>1</v>
      </c>
      <c r="L848" s="258">
        <v>1500000</v>
      </c>
      <c r="O848" s="262"/>
      <c r="P848" s="262" t="s">
        <v>2861</v>
      </c>
    </row>
    <row r="849" spans="1:16">
      <c r="A849" s="264">
        <v>848</v>
      </c>
      <c r="B849" s="257">
        <v>45845</v>
      </c>
      <c r="C849" s="283" t="s">
        <v>2781</v>
      </c>
      <c r="F849" s="283" t="s">
        <v>2180</v>
      </c>
      <c r="G849" s="262" t="s">
        <v>1802</v>
      </c>
      <c r="H849" s="258">
        <v>50000</v>
      </c>
      <c r="I849" s="262">
        <v>1</v>
      </c>
      <c r="L849" s="258">
        <v>50000</v>
      </c>
      <c r="O849" s="262"/>
      <c r="P849" s="262" t="s">
        <v>2861</v>
      </c>
    </row>
    <row r="850" spans="1:16">
      <c r="A850" s="264">
        <v>849</v>
      </c>
      <c r="B850" s="257">
        <v>45845</v>
      </c>
      <c r="C850" s="283" t="s">
        <v>1146</v>
      </c>
      <c r="F850" s="283" t="s">
        <v>2398</v>
      </c>
      <c r="G850" s="262" t="s">
        <v>2397</v>
      </c>
      <c r="H850" s="258">
        <v>900000</v>
      </c>
      <c r="I850" s="262">
        <v>1</v>
      </c>
      <c r="L850" s="258">
        <v>900000</v>
      </c>
      <c r="O850" s="262"/>
      <c r="P850" s="262" t="s">
        <v>2861</v>
      </c>
    </row>
    <row r="851" spans="1:16">
      <c r="A851" s="264">
        <v>850</v>
      </c>
      <c r="B851" s="257">
        <v>45845</v>
      </c>
      <c r="C851" s="283" t="s">
        <v>1146</v>
      </c>
      <c r="F851" s="283" t="s">
        <v>2411</v>
      </c>
      <c r="H851" s="258">
        <v>50000</v>
      </c>
      <c r="I851" s="262">
        <v>1</v>
      </c>
      <c r="L851" s="258">
        <v>50000</v>
      </c>
      <c r="O851" s="262"/>
      <c r="P851" s="262" t="s">
        <v>2861</v>
      </c>
    </row>
    <row r="852" spans="1:16">
      <c r="A852" s="264">
        <v>851</v>
      </c>
      <c r="B852" s="257">
        <v>45845</v>
      </c>
      <c r="C852" s="283" t="s">
        <v>1869</v>
      </c>
      <c r="F852" s="283" t="s">
        <v>2185</v>
      </c>
      <c r="G852" s="262" t="s">
        <v>1199</v>
      </c>
      <c r="H852" s="258">
        <v>900000</v>
      </c>
      <c r="I852" s="262">
        <v>1</v>
      </c>
      <c r="L852" s="258">
        <v>900000</v>
      </c>
      <c r="O852" s="262"/>
      <c r="P852" s="262" t="s">
        <v>2861</v>
      </c>
    </row>
    <row r="853" spans="1:16">
      <c r="A853" s="264">
        <v>852</v>
      </c>
      <c r="B853" s="257">
        <v>45845</v>
      </c>
      <c r="C853" s="283" t="s">
        <v>1443</v>
      </c>
      <c r="F853" s="283" t="s">
        <v>2186</v>
      </c>
      <c r="G853" s="262" t="s">
        <v>1206</v>
      </c>
      <c r="H853" s="258">
        <v>510000</v>
      </c>
      <c r="I853" s="262">
        <v>1</v>
      </c>
      <c r="L853" s="258">
        <v>510000</v>
      </c>
      <c r="O853" s="262"/>
      <c r="P853" s="262" t="s">
        <v>2861</v>
      </c>
    </row>
    <row r="854" spans="1:16">
      <c r="A854" s="264">
        <v>853</v>
      </c>
      <c r="B854" s="257">
        <v>45845</v>
      </c>
      <c r="C854" s="283" t="s">
        <v>1443</v>
      </c>
      <c r="F854" s="283" t="s">
        <v>2189</v>
      </c>
      <c r="G854" s="262">
        <v>50229</v>
      </c>
      <c r="H854" s="258">
        <v>70000</v>
      </c>
      <c r="I854" s="262">
        <v>2</v>
      </c>
      <c r="L854" s="258">
        <v>140000</v>
      </c>
      <c r="O854" s="262"/>
      <c r="P854" s="262" t="s">
        <v>2861</v>
      </c>
    </row>
    <row r="855" spans="1:16">
      <c r="A855" s="264">
        <v>854</v>
      </c>
      <c r="B855" s="257">
        <v>45845</v>
      </c>
      <c r="C855" s="283" t="s">
        <v>1721</v>
      </c>
      <c r="F855" s="283" t="s">
        <v>2797</v>
      </c>
      <c r="G855" s="262">
        <v>1094302044</v>
      </c>
      <c r="H855" s="258">
        <v>200000</v>
      </c>
      <c r="I855" s="262">
        <v>1</v>
      </c>
      <c r="L855" s="258">
        <v>200000</v>
      </c>
      <c r="O855" s="262"/>
    </row>
    <row r="856" spans="1:16">
      <c r="A856" s="264">
        <v>855</v>
      </c>
      <c r="B856" s="257">
        <v>45845</v>
      </c>
      <c r="C856" s="283" t="s">
        <v>2781</v>
      </c>
      <c r="F856" s="283" t="s">
        <v>1124</v>
      </c>
      <c r="M856" s="258">
        <v>-1550000</v>
      </c>
      <c r="O856" s="262"/>
    </row>
    <row r="857" spans="1:16">
      <c r="A857" s="264">
        <v>856</v>
      </c>
      <c r="B857" s="257">
        <v>45845</v>
      </c>
      <c r="C857" s="283" t="s">
        <v>2787</v>
      </c>
      <c r="F857" s="283" t="s">
        <v>1124</v>
      </c>
      <c r="M857" s="258">
        <v>-1550000</v>
      </c>
      <c r="O857" s="262"/>
    </row>
    <row r="858" spans="1:16">
      <c r="A858" s="264">
        <v>857</v>
      </c>
      <c r="B858" s="257">
        <v>45845</v>
      </c>
      <c r="C858" s="283" t="s">
        <v>1869</v>
      </c>
      <c r="F858" s="283" t="s">
        <v>1124</v>
      </c>
      <c r="M858" s="258">
        <v>-900000</v>
      </c>
      <c r="O858" s="262"/>
    </row>
    <row r="859" spans="1:16">
      <c r="A859" s="264">
        <v>858</v>
      </c>
      <c r="B859" s="257">
        <v>45845</v>
      </c>
      <c r="C859" s="283" t="s">
        <v>1721</v>
      </c>
      <c r="F859" s="283" t="s">
        <v>2799</v>
      </c>
      <c r="M859" s="258">
        <v>-1870000</v>
      </c>
      <c r="O859" s="262"/>
    </row>
    <row r="860" spans="1:16">
      <c r="A860" s="264">
        <v>859</v>
      </c>
      <c r="B860" s="257">
        <v>45846</v>
      </c>
      <c r="C860" s="283" t="s">
        <v>1579</v>
      </c>
      <c r="F860" s="283" t="s">
        <v>1124</v>
      </c>
      <c r="M860" s="258">
        <v>-1375000</v>
      </c>
      <c r="O860" s="262"/>
    </row>
    <row r="861" spans="1:16">
      <c r="A861" s="264">
        <v>860</v>
      </c>
      <c r="B861" s="257">
        <v>45846</v>
      </c>
      <c r="C861" s="283" t="s">
        <v>1398</v>
      </c>
      <c r="F861" s="283" t="s">
        <v>1742</v>
      </c>
      <c r="H861" s="258">
        <v>450000</v>
      </c>
      <c r="I861" s="262">
        <v>1</v>
      </c>
      <c r="L861" s="258">
        <v>450000</v>
      </c>
      <c r="O861" s="262"/>
      <c r="P861" s="262" t="s">
        <v>2861</v>
      </c>
    </row>
    <row r="862" spans="1:16">
      <c r="A862" s="264">
        <v>861</v>
      </c>
      <c r="B862" s="257">
        <v>45846</v>
      </c>
      <c r="C862" s="283" t="s">
        <v>1398</v>
      </c>
      <c r="F862" s="283" t="s">
        <v>2186</v>
      </c>
      <c r="G862" s="262" t="s">
        <v>1206</v>
      </c>
      <c r="H862" s="258">
        <v>490000</v>
      </c>
      <c r="I862" s="262">
        <v>1</v>
      </c>
      <c r="L862" s="258">
        <v>490000</v>
      </c>
      <c r="O862" s="262"/>
      <c r="P862" s="262" t="s">
        <v>2861</v>
      </c>
    </row>
    <row r="863" spans="1:16">
      <c r="A863" s="264">
        <v>862</v>
      </c>
      <c r="B863" s="257">
        <v>45846</v>
      </c>
      <c r="C863" s="283" t="s">
        <v>1398</v>
      </c>
      <c r="F863" s="283" t="s">
        <v>2187</v>
      </c>
      <c r="G863" s="262" t="s">
        <v>1258</v>
      </c>
      <c r="H863" s="258">
        <v>130000</v>
      </c>
      <c r="I863" s="262">
        <v>1</v>
      </c>
      <c r="L863" s="258">
        <v>130000</v>
      </c>
      <c r="O863" s="262"/>
      <c r="P863" s="262" t="s">
        <v>2861</v>
      </c>
    </row>
    <row r="864" spans="1:16">
      <c r="A864" s="264">
        <v>863</v>
      </c>
      <c r="B864" s="257">
        <v>45846</v>
      </c>
      <c r="C864" s="283" t="s">
        <v>1398</v>
      </c>
      <c r="F864" s="283" t="s">
        <v>2191</v>
      </c>
      <c r="G864" s="262" t="s">
        <v>1821</v>
      </c>
      <c r="H864" s="258">
        <v>10000</v>
      </c>
      <c r="I864" s="262">
        <v>1</v>
      </c>
      <c r="L864" s="258">
        <v>10000</v>
      </c>
      <c r="O864" s="262"/>
      <c r="P864" s="262" t="s">
        <v>2861</v>
      </c>
    </row>
    <row r="865" spans="1:16">
      <c r="A865" s="264">
        <v>864</v>
      </c>
      <c r="B865" s="257">
        <v>45846</v>
      </c>
      <c r="C865" s="283" t="s">
        <v>1398</v>
      </c>
      <c r="F865" s="283" t="s">
        <v>2190</v>
      </c>
      <c r="G865" s="262" t="s">
        <v>1794</v>
      </c>
      <c r="H865" s="258">
        <v>30000</v>
      </c>
      <c r="I865" s="262">
        <v>1</v>
      </c>
      <c r="L865" s="258">
        <v>30000</v>
      </c>
      <c r="O865" s="262"/>
      <c r="P865" s="262" t="s">
        <v>2861</v>
      </c>
    </row>
    <row r="866" spans="1:16">
      <c r="A866" s="264">
        <v>865</v>
      </c>
      <c r="B866" s="257">
        <v>45846</v>
      </c>
      <c r="C866" s="283" t="s">
        <v>2787</v>
      </c>
      <c r="F866" s="283" t="s">
        <v>2803</v>
      </c>
      <c r="G866" s="262" t="s">
        <v>2802</v>
      </c>
      <c r="H866" s="258">
        <v>400000</v>
      </c>
      <c r="I866" s="262">
        <v>1</v>
      </c>
      <c r="L866" s="258">
        <v>400000</v>
      </c>
      <c r="O866" s="262"/>
      <c r="P866" s="262" t="s">
        <v>2861</v>
      </c>
    </row>
    <row r="867" spans="1:16">
      <c r="A867" s="264">
        <v>866</v>
      </c>
      <c r="B867" s="257">
        <v>45846</v>
      </c>
      <c r="C867" s="283" t="s">
        <v>2787</v>
      </c>
      <c r="F867" s="283" t="s">
        <v>2182</v>
      </c>
      <c r="G867" s="262" t="s">
        <v>1719</v>
      </c>
      <c r="H867" s="258">
        <v>70000</v>
      </c>
      <c r="I867" s="262">
        <v>1</v>
      </c>
      <c r="L867" s="258">
        <v>70000</v>
      </c>
      <c r="O867" s="262"/>
      <c r="P867" s="262" t="s">
        <v>2861</v>
      </c>
    </row>
    <row r="868" spans="1:16">
      <c r="A868" s="264">
        <v>867</v>
      </c>
      <c r="B868" s="257">
        <v>45846</v>
      </c>
      <c r="C868" s="283" t="s">
        <v>1540</v>
      </c>
      <c r="F868" s="283" t="s">
        <v>1202</v>
      </c>
      <c r="G868" s="262" t="s">
        <v>1751</v>
      </c>
      <c r="H868" s="258">
        <v>1200000</v>
      </c>
      <c r="I868" s="262">
        <v>1</v>
      </c>
      <c r="L868" s="258">
        <v>1200000</v>
      </c>
      <c r="O868" s="262"/>
      <c r="P868" s="262" t="s">
        <v>2861</v>
      </c>
    </row>
    <row r="869" spans="1:16">
      <c r="A869" s="264">
        <v>868</v>
      </c>
      <c r="B869" s="257">
        <v>45846</v>
      </c>
      <c r="C869" s="283" t="s">
        <v>1540</v>
      </c>
      <c r="F869" s="283" t="s">
        <v>1495</v>
      </c>
      <c r="G869" s="262" t="s">
        <v>2677</v>
      </c>
      <c r="H869" s="258">
        <v>350000</v>
      </c>
      <c r="I869" s="262">
        <v>1</v>
      </c>
      <c r="L869" s="258">
        <v>350000</v>
      </c>
      <c r="O869" s="262"/>
      <c r="P869" s="262" t="s">
        <v>2861</v>
      </c>
    </row>
    <row r="870" spans="1:16">
      <c r="A870" s="264">
        <v>869</v>
      </c>
      <c r="B870" s="257">
        <v>45846</v>
      </c>
      <c r="C870" s="283" t="s">
        <v>1808</v>
      </c>
      <c r="F870" s="283" t="s">
        <v>1763</v>
      </c>
      <c r="G870" s="262" t="s">
        <v>1765</v>
      </c>
      <c r="H870" s="258">
        <v>65000</v>
      </c>
      <c r="I870" s="262">
        <v>1</v>
      </c>
      <c r="L870" s="258">
        <v>65000</v>
      </c>
      <c r="O870" s="262"/>
      <c r="P870" s="262" t="s">
        <v>2861</v>
      </c>
    </row>
    <row r="871" spans="1:16">
      <c r="A871" s="264">
        <v>870</v>
      </c>
      <c r="B871" s="257">
        <v>45846</v>
      </c>
      <c r="C871" s="283" t="s">
        <v>1808</v>
      </c>
      <c r="F871" s="283" t="s">
        <v>1763</v>
      </c>
      <c r="G871" s="262" t="s">
        <v>1762</v>
      </c>
      <c r="H871" s="258">
        <v>25000</v>
      </c>
      <c r="I871" s="262">
        <v>1</v>
      </c>
      <c r="L871" s="258">
        <v>25000</v>
      </c>
      <c r="O871" s="262"/>
      <c r="P871" s="262" t="s">
        <v>2861</v>
      </c>
    </row>
    <row r="872" spans="1:16">
      <c r="A872" s="264">
        <v>871</v>
      </c>
      <c r="B872" s="257">
        <v>45846</v>
      </c>
      <c r="C872" s="283" t="s">
        <v>2807</v>
      </c>
      <c r="F872" s="283" t="s">
        <v>1735</v>
      </c>
      <c r="G872" s="262">
        <v>2850701</v>
      </c>
      <c r="H872" s="258">
        <v>450000</v>
      </c>
      <c r="I872" s="262">
        <v>1</v>
      </c>
      <c r="L872" s="258">
        <v>450000</v>
      </c>
      <c r="O872" s="262"/>
      <c r="P872" s="262" t="s">
        <v>2861</v>
      </c>
    </row>
    <row r="873" spans="1:16">
      <c r="A873" s="264">
        <v>872</v>
      </c>
      <c r="B873" s="257">
        <v>45846</v>
      </c>
      <c r="C873" s="283" t="s">
        <v>1015</v>
      </c>
      <c r="F873" s="283" t="s">
        <v>2812</v>
      </c>
      <c r="G873" s="262">
        <v>28120504</v>
      </c>
      <c r="H873" s="258">
        <v>1000000</v>
      </c>
      <c r="I873" s="262">
        <v>1</v>
      </c>
      <c r="K873" s="259">
        <v>100000</v>
      </c>
      <c r="L873" s="258">
        <v>1100000</v>
      </c>
      <c r="O873" s="262"/>
      <c r="P873" s="262" t="s">
        <v>2861</v>
      </c>
    </row>
    <row r="874" spans="1:16">
      <c r="A874" s="264">
        <v>873</v>
      </c>
      <c r="B874" s="257">
        <v>45846</v>
      </c>
      <c r="C874" s="283" t="s">
        <v>1585</v>
      </c>
      <c r="F874" s="283" t="s">
        <v>1202</v>
      </c>
      <c r="G874" s="262" t="s">
        <v>1751</v>
      </c>
      <c r="H874" s="258">
        <v>1200000</v>
      </c>
      <c r="I874" s="262">
        <v>1</v>
      </c>
      <c r="K874" s="259">
        <v>120000</v>
      </c>
      <c r="L874" s="258">
        <v>1320000</v>
      </c>
      <c r="O874" s="262"/>
      <c r="P874" s="262" t="s">
        <v>2861</v>
      </c>
    </row>
    <row r="875" spans="1:16">
      <c r="A875" s="264">
        <v>874</v>
      </c>
      <c r="B875" s="257">
        <v>45846</v>
      </c>
      <c r="C875" s="283" t="s">
        <v>1576</v>
      </c>
      <c r="F875" s="283" t="s">
        <v>2185</v>
      </c>
      <c r="G875" s="262" t="s">
        <v>1199</v>
      </c>
      <c r="H875" s="258">
        <v>1400000</v>
      </c>
      <c r="I875" s="262">
        <v>1</v>
      </c>
      <c r="K875" s="259">
        <v>140000</v>
      </c>
      <c r="L875" s="258">
        <v>1540000</v>
      </c>
      <c r="O875" s="262"/>
      <c r="P875" s="262" t="s">
        <v>2861</v>
      </c>
    </row>
    <row r="876" spans="1:16">
      <c r="A876" s="264">
        <v>875</v>
      </c>
      <c r="B876" s="257">
        <v>45846</v>
      </c>
      <c r="C876" s="283" t="s">
        <v>1576</v>
      </c>
      <c r="F876" s="283" t="s">
        <v>2189</v>
      </c>
      <c r="G876" s="262">
        <v>50229</v>
      </c>
      <c r="H876" s="258">
        <v>70000</v>
      </c>
      <c r="I876" s="262">
        <v>1</v>
      </c>
      <c r="K876" s="259">
        <v>7000</v>
      </c>
      <c r="L876" s="258">
        <v>77000</v>
      </c>
      <c r="O876" s="262"/>
      <c r="P876" s="262" t="s">
        <v>2861</v>
      </c>
    </row>
    <row r="877" spans="1:16">
      <c r="A877" s="264">
        <v>876</v>
      </c>
      <c r="B877" s="257">
        <v>45846</v>
      </c>
      <c r="C877" s="283" t="s">
        <v>1576</v>
      </c>
      <c r="F877" s="283" t="s">
        <v>2190</v>
      </c>
      <c r="G877" s="262" t="s">
        <v>1794</v>
      </c>
      <c r="H877" s="258">
        <v>32000</v>
      </c>
      <c r="I877" s="262">
        <v>1</v>
      </c>
      <c r="K877" s="259">
        <v>3200</v>
      </c>
      <c r="L877" s="258">
        <v>35200</v>
      </c>
      <c r="O877" s="262"/>
      <c r="P877" s="262" t="s">
        <v>2861</v>
      </c>
    </row>
    <row r="878" spans="1:16">
      <c r="A878" s="264">
        <v>877</v>
      </c>
      <c r="B878" s="257">
        <v>45846</v>
      </c>
      <c r="C878" s="283" t="s">
        <v>1576</v>
      </c>
      <c r="F878" s="283" t="s">
        <v>1518</v>
      </c>
      <c r="H878" s="258">
        <v>20000</v>
      </c>
      <c r="I878" s="262">
        <v>1</v>
      </c>
      <c r="K878" s="259">
        <v>2000</v>
      </c>
      <c r="L878" s="258">
        <v>22000</v>
      </c>
      <c r="O878" s="262"/>
      <c r="P878" s="262" t="s">
        <v>2861</v>
      </c>
    </row>
    <row r="879" spans="1:16">
      <c r="A879" s="264">
        <v>878</v>
      </c>
      <c r="B879" s="257">
        <v>45846</v>
      </c>
      <c r="C879" s="283" t="s">
        <v>1576</v>
      </c>
      <c r="F879" s="283" t="s">
        <v>2186</v>
      </c>
      <c r="G879" s="262" t="s">
        <v>1206</v>
      </c>
      <c r="H879" s="258">
        <v>517273</v>
      </c>
      <c r="I879" s="262">
        <v>1</v>
      </c>
      <c r="K879" s="259">
        <v>51727</v>
      </c>
      <c r="L879" s="258">
        <v>569000</v>
      </c>
      <c r="O879" s="262"/>
      <c r="P879" s="262" t="s">
        <v>2861</v>
      </c>
    </row>
    <row r="880" spans="1:16">
      <c r="A880" s="264">
        <v>879</v>
      </c>
      <c r="B880" s="257">
        <v>45846</v>
      </c>
      <c r="C880" s="283" t="s">
        <v>1146</v>
      </c>
      <c r="F880" s="283" t="s">
        <v>1202</v>
      </c>
      <c r="G880" s="262" t="s">
        <v>1751</v>
      </c>
      <c r="H880" s="258">
        <v>1200000</v>
      </c>
      <c r="I880" s="262">
        <v>1</v>
      </c>
      <c r="L880" s="258">
        <v>1200000</v>
      </c>
      <c r="O880" s="262"/>
      <c r="P880" s="262" t="s">
        <v>2861</v>
      </c>
    </row>
    <row r="881" spans="1:16">
      <c r="A881" s="264">
        <v>880</v>
      </c>
      <c r="B881" s="257">
        <v>45846</v>
      </c>
      <c r="C881" s="283" t="s">
        <v>2595</v>
      </c>
      <c r="F881" s="283" t="s">
        <v>1124</v>
      </c>
      <c r="M881" s="258">
        <v>-1550000</v>
      </c>
      <c r="O881" s="262"/>
    </row>
    <row r="882" spans="1:16">
      <c r="A882" s="264">
        <v>881</v>
      </c>
      <c r="B882" s="257">
        <v>45846</v>
      </c>
      <c r="C882" s="283" t="s">
        <v>2787</v>
      </c>
      <c r="F882" s="283" t="s">
        <v>1124</v>
      </c>
      <c r="M882" s="258">
        <v>-470000</v>
      </c>
      <c r="O882" s="262"/>
    </row>
    <row r="883" spans="1:16">
      <c r="A883" s="264">
        <v>882</v>
      </c>
      <c r="B883" s="257">
        <v>45847</v>
      </c>
      <c r="C883" s="283" t="s">
        <v>1398</v>
      </c>
      <c r="F883" s="283" t="s">
        <v>1742</v>
      </c>
      <c r="H883" s="258">
        <v>650000</v>
      </c>
      <c r="I883" s="262">
        <v>1</v>
      </c>
      <c r="L883" s="258">
        <v>650000</v>
      </c>
      <c r="O883" s="262"/>
      <c r="P883" s="262" t="s">
        <v>2861</v>
      </c>
    </row>
    <row r="884" spans="1:16">
      <c r="A884" s="264">
        <v>883</v>
      </c>
      <c r="B884" s="257">
        <v>45847</v>
      </c>
      <c r="C884" s="283" t="s">
        <v>2408</v>
      </c>
      <c r="F884" s="283" t="s">
        <v>2026</v>
      </c>
      <c r="G884" s="262" t="s">
        <v>1215</v>
      </c>
      <c r="H884" s="258">
        <v>1500000</v>
      </c>
      <c r="I884" s="262">
        <v>1</v>
      </c>
      <c r="K884" s="259">
        <v>150000</v>
      </c>
      <c r="L884" s="258">
        <v>1650000</v>
      </c>
      <c r="O884" s="262"/>
      <c r="P884" s="262" t="s">
        <v>2861</v>
      </c>
    </row>
    <row r="885" spans="1:16">
      <c r="A885" s="264">
        <v>884</v>
      </c>
      <c r="B885" s="257">
        <v>45847</v>
      </c>
      <c r="C885" s="283" t="s">
        <v>2257</v>
      </c>
      <c r="F885" s="283" t="s">
        <v>2182</v>
      </c>
      <c r="G885" s="262" t="s">
        <v>1719</v>
      </c>
      <c r="H885" s="258">
        <v>70000</v>
      </c>
      <c r="I885" s="262">
        <v>1</v>
      </c>
      <c r="L885" s="258">
        <v>70000</v>
      </c>
      <c r="O885" s="262"/>
      <c r="P885" s="262" t="s">
        <v>2861</v>
      </c>
    </row>
    <row r="886" spans="1:16">
      <c r="A886" s="264">
        <v>885</v>
      </c>
      <c r="B886" s="257">
        <v>45847</v>
      </c>
      <c r="C886" s="283" t="s">
        <v>1443</v>
      </c>
      <c r="F886" s="283" t="s">
        <v>2179</v>
      </c>
      <c r="G886" s="262" t="s">
        <v>1200</v>
      </c>
      <c r="H886" s="258">
        <v>1500000</v>
      </c>
      <c r="I886" s="262">
        <v>1</v>
      </c>
      <c r="L886" s="258">
        <v>1500000</v>
      </c>
      <c r="O886" s="262"/>
      <c r="P886" s="262" t="s">
        <v>2861</v>
      </c>
    </row>
    <row r="887" spans="1:16">
      <c r="A887" s="264">
        <v>886</v>
      </c>
      <c r="B887" s="257">
        <v>45847</v>
      </c>
      <c r="C887" s="283" t="s">
        <v>1443</v>
      </c>
      <c r="F887" s="283" t="s">
        <v>2180</v>
      </c>
      <c r="G887" s="262" t="s">
        <v>1802</v>
      </c>
      <c r="H887" s="258">
        <v>50000</v>
      </c>
      <c r="I887" s="262">
        <v>1</v>
      </c>
      <c r="L887" s="258">
        <v>50000</v>
      </c>
      <c r="O887" s="262"/>
      <c r="P887" s="262" t="s">
        <v>2861</v>
      </c>
    </row>
    <row r="888" spans="1:16">
      <c r="A888" s="264">
        <v>887</v>
      </c>
      <c r="B888" s="257">
        <v>45847</v>
      </c>
      <c r="C888" s="283" t="s">
        <v>1721</v>
      </c>
      <c r="F888" s="283" t="s">
        <v>2328</v>
      </c>
      <c r="G888" s="262">
        <v>28120411</v>
      </c>
      <c r="H888" s="258">
        <v>1200000</v>
      </c>
      <c r="I888" s="262">
        <v>1</v>
      </c>
      <c r="L888" s="258">
        <v>1200000</v>
      </c>
      <c r="O888" s="262"/>
      <c r="P888" s="262" t="s">
        <v>2861</v>
      </c>
    </row>
    <row r="889" spans="1:16">
      <c r="A889" s="264">
        <v>888</v>
      </c>
      <c r="B889" s="257">
        <v>45847</v>
      </c>
      <c r="C889" s="283" t="s">
        <v>1746</v>
      </c>
      <c r="F889" s="283" t="s">
        <v>2298</v>
      </c>
      <c r="H889" s="258">
        <v>650000</v>
      </c>
      <c r="I889" s="262">
        <v>2</v>
      </c>
      <c r="K889" s="259">
        <v>130000</v>
      </c>
      <c r="L889" s="258">
        <v>1430000</v>
      </c>
      <c r="O889" s="262"/>
      <c r="P889" s="262" t="s">
        <v>2861</v>
      </c>
    </row>
    <row r="890" spans="1:16">
      <c r="A890" s="264">
        <v>889</v>
      </c>
      <c r="B890" s="257">
        <v>45847</v>
      </c>
      <c r="C890" s="283" t="s">
        <v>1746</v>
      </c>
      <c r="F890" s="283" t="s">
        <v>1518</v>
      </c>
      <c r="H890" s="258">
        <v>20000</v>
      </c>
      <c r="I890" s="262">
        <v>1</v>
      </c>
      <c r="K890" s="259">
        <v>2000</v>
      </c>
      <c r="L890" s="258">
        <v>22000</v>
      </c>
      <c r="O890" s="262"/>
      <c r="P890" s="262" t="s">
        <v>2861</v>
      </c>
    </row>
    <row r="891" spans="1:16">
      <c r="A891" s="264">
        <v>890</v>
      </c>
      <c r="B891" s="257">
        <v>45847</v>
      </c>
      <c r="C891" s="283" t="s">
        <v>2257</v>
      </c>
      <c r="F891" s="283" t="s">
        <v>1124</v>
      </c>
      <c r="M891" s="258">
        <v>-70000</v>
      </c>
      <c r="O891" s="262"/>
    </row>
    <row r="892" spans="1:16">
      <c r="A892" s="264">
        <v>891</v>
      </c>
      <c r="B892" s="257">
        <v>45847</v>
      </c>
      <c r="C892" s="283" t="s">
        <v>2807</v>
      </c>
      <c r="F892" s="283" t="s">
        <v>1124</v>
      </c>
      <c r="M892" s="258">
        <v>-450000</v>
      </c>
      <c r="O892" s="262"/>
    </row>
    <row r="893" spans="1:16">
      <c r="A893" s="264">
        <v>892</v>
      </c>
      <c r="B893" s="257">
        <v>45848</v>
      </c>
      <c r="C893" s="283" t="s">
        <v>1585</v>
      </c>
      <c r="F893" s="283" t="s">
        <v>1124</v>
      </c>
      <c r="M893" s="258">
        <v>-1320000</v>
      </c>
      <c r="O893" s="262"/>
    </row>
    <row r="894" spans="1:16">
      <c r="A894" s="264">
        <v>893</v>
      </c>
      <c r="B894" s="257">
        <v>45848</v>
      </c>
      <c r="C894" s="283" t="s">
        <v>2408</v>
      </c>
      <c r="F894" s="283" t="s">
        <v>1124</v>
      </c>
      <c r="M894" s="258">
        <v>-1650000</v>
      </c>
      <c r="O894" s="262"/>
    </row>
    <row r="895" spans="1:16">
      <c r="A895" s="264">
        <v>894</v>
      </c>
      <c r="B895" s="257">
        <v>45848</v>
      </c>
      <c r="C895" s="283" t="s">
        <v>2723</v>
      </c>
      <c r="F895" s="283" t="s">
        <v>2186</v>
      </c>
      <c r="G895" s="262" t="s">
        <v>1206</v>
      </c>
      <c r="H895" s="258">
        <v>581818</v>
      </c>
      <c r="I895" s="262">
        <v>1</v>
      </c>
      <c r="K895" s="259">
        <v>58182</v>
      </c>
      <c r="L895" s="258">
        <v>640000</v>
      </c>
      <c r="O895" s="262"/>
      <c r="P895" s="262" t="s">
        <v>2861</v>
      </c>
    </row>
    <row r="896" spans="1:16">
      <c r="A896" s="264">
        <v>895</v>
      </c>
      <c r="B896" s="257">
        <v>45848</v>
      </c>
      <c r="C896" s="283" t="s">
        <v>2723</v>
      </c>
      <c r="F896" s="283" t="s">
        <v>2189</v>
      </c>
      <c r="G896" s="262">
        <v>50229</v>
      </c>
      <c r="H896" s="258">
        <v>80000</v>
      </c>
      <c r="I896" s="262">
        <v>1</v>
      </c>
      <c r="K896" s="259">
        <v>8000</v>
      </c>
      <c r="L896" s="258">
        <v>88000</v>
      </c>
      <c r="O896" s="262"/>
      <c r="P896" s="262" t="s">
        <v>2861</v>
      </c>
    </row>
    <row r="897" spans="1:16">
      <c r="A897" s="264">
        <v>896</v>
      </c>
      <c r="B897" s="257">
        <v>45848</v>
      </c>
      <c r="C897" s="283" t="s">
        <v>2723</v>
      </c>
      <c r="F897" s="283" t="s">
        <v>1901</v>
      </c>
      <c r="G897" s="262" t="s">
        <v>1900</v>
      </c>
      <c r="H897" s="258">
        <v>20000</v>
      </c>
      <c r="I897" s="262">
        <v>1</v>
      </c>
      <c r="K897" s="259">
        <v>2000</v>
      </c>
      <c r="L897" s="258">
        <v>22000</v>
      </c>
      <c r="O897" s="262"/>
      <c r="P897" s="262" t="s">
        <v>2861</v>
      </c>
    </row>
    <row r="898" spans="1:16">
      <c r="A898" s="264">
        <v>897</v>
      </c>
      <c r="B898" s="257">
        <v>45848</v>
      </c>
      <c r="C898" s="283" t="s">
        <v>2318</v>
      </c>
      <c r="F898" s="283" t="s">
        <v>2834</v>
      </c>
      <c r="G898" s="262" t="s">
        <v>1991</v>
      </c>
      <c r="H898" s="258">
        <v>150000</v>
      </c>
      <c r="I898" s="262">
        <v>1</v>
      </c>
      <c r="L898" s="258">
        <v>150000</v>
      </c>
      <c r="O898" s="262"/>
      <c r="P898" s="262" t="s">
        <v>2861</v>
      </c>
    </row>
    <row r="899" spans="1:16">
      <c r="A899" s="264">
        <v>898</v>
      </c>
      <c r="B899" s="257">
        <v>45848</v>
      </c>
      <c r="C899" s="283" t="s">
        <v>1398</v>
      </c>
      <c r="F899" s="283" t="s">
        <v>2103</v>
      </c>
      <c r="G899" s="262">
        <v>2830401</v>
      </c>
      <c r="H899" s="258">
        <v>1000000</v>
      </c>
      <c r="I899" s="262">
        <v>1</v>
      </c>
      <c r="L899" s="258">
        <v>1000000</v>
      </c>
      <c r="O899" s="262"/>
      <c r="P899" s="262" t="s">
        <v>2861</v>
      </c>
    </row>
    <row r="900" spans="1:16">
      <c r="A900" s="264">
        <v>899</v>
      </c>
      <c r="B900" s="257">
        <v>45848</v>
      </c>
      <c r="C900" s="283" t="s">
        <v>1026</v>
      </c>
      <c r="F900" s="283" t="s">
        <v>2195</v>
      </c>
      <c r="G900" s="262">
        <v>2820403</v>
      </c>
      <c r="H900" s="258">
        <v>1500000</v>
      </c>
      <c r="I900" s="262">
        <v>1</v>
      </c>
      <c r="L900" s="258">
        <v>1500000</v>
      </c>
      <c r="O900" s="262"/>
      <c r="P900" s="262" t="s">
        <v>2861</v>
      </c>
    </row>
    <row r="901" spans="1:16">
      <c r="A901" s="264">
        <v>900</v>
      </c>
      <c r="B901" s="257">
        <v>45847</v>
      </c>
      <c r="C901" s="283" t="s">
        <v>1015</v>
      </c>
      <c r="F901" s="283" t="s">
        <v>1202</v>
      </c>
      <c r="G901" s="262" t="s">
        <v>1751</v>
      </c>
      <c r="H901" s="258">
        <v>1200000</v>
      </c>
      <c r="I901" s="262">
        <v>1</v>
      </c>
      <c r="K901" s="259">
        <v>120000</v>
      </c>
      <c r="L901" s="258">
        <v>1320000</v>
      </c>
      <c r="O901" s="262"/>
      <c r="P901" s="262" t="s">
        <v>2861</v>
      </c>
    </row>
    <row r="902" spans="1:16">
      <c r="A902" s="264">
        <v>901</v>
      </c>
      <c r="B902" s="257">
        <v>45847</v>
      </c>
      <c r="C902" s="283" t="s">
        <v>1015</v>
      </c>
      <c r="F902" s="283" t="s">
        <v>2838</v>
      </c>
      <c r="G902" s="262" t="s">
        <v>2748</v>
      </c>
      <c r="H902" s="258">
        <v>129000</v>
      </c>
      <c r="I902" s="262">
        <v>1</v>
      </c>
      <c r="K902" s="259">
        <v>12900</v>
      </c>
      <c r="L902" s="258">
        <v>141900</v>
      </c>
      <c r="O902" s="262"/>
      <c r="P902" s="262" t="s">
        <v>2861</v>
      </c>
    </row>
    <row r="903" spans="1:16">
      <c r="A903" s="264">
        <v>902</v>
      </c>
      <c r="B903" s="257">
        <v>45847</v>
      </c>
      <c r="C903" s="283" t="s">
        <v>1015</v>
      </c>
      <c r="F903" s="283" t="s">
        <v>2411</v>
      </c>
      <c r="G903" s="262">
        <v>1087298441</v>
      </c>
      <c r="H903" s="258">
        <v>33000</v>
      </c>
      <c r="I903" s="262">
        <v>2</v>
      </c>
      <c r="K903" s="259">
        <v>6600</v>
      </c>
      <c r="L903" s="258">
        <v>72600</v>
      </c>
      <c r="O903" s="262"/>
      <c r="P903" s="262" t="s">
        <v>2861</v>
      </c>
    </row>
    <row r="904" spans="1:16">
      <c r="A904" s="264">
        <v>903</v>
      </c>
      <c r="B904" s="257">
        <v>45849</v>
      </c>
      <c r="C904" s="283" t="s">
        <v>1015</v>
      </c>
      <c r="F904" s="283" t="s">
        <v>1124</v>
      </c>
      <c r="M904" s="258">
        <v>-2634500</v>
      </c>
      <c r="O904" s="262"/>
    </row>
    <row r="905" spans="1:16">
      <c r="A905" s="264">
        <v>904</v>
      </c>
      <c r="B905" s="257">
        <v>45849</v>
      </c>
      <c r="C905" s="283" t="s">
        <v>1576</v>
      </c>
      <c r="F905" s="283" t="s">
        <v>2845</v>
      </c>
      <c r="G905" s="262" t="s">
        <v>2844</v>
      </c>
      <c r="H905" s="258">
        <v>13000</v>
      </c>
      <c r="I905" s="262">
        <v>1</v>
      </c>
      <c r="K905" s="259">
        <v>1300</v>
      </c>
      <c r="L905" s="258">
        <v>14300</v>
      </c>
      <c r="O905" s="262"/>
      <c r="P905" s="262" t="s">
        <v>2861</v>
      </c>
    </row>
    <row r="906" spans="1:16">
      <c r="A906" s="264">
        <v>905</v>
      </c>
      <c r="B906" s="257">
        <v>45849</v>
      </c>
      <c r="C906" s="283" t="s">
        <v>1576</v>
      </c>
      <c r="F906" s="283" t="s">
        <v>2847</v>
      </c>
      <c r="G906" s="262" t="s">
        <v>2843</v>
      </c>
      <c r="H906" s="258">
        <v>75000</v>
      </c>
      <c r="I906" s="262">
        <v>1</v>
      </c>
      <c r="K906" s="259">
        <v>7500</v>
      </c>
      <c r="L906" s="258">
        <v>82500</v>
      </c>
      <c r="O906" s="262"/>
      <c r="P906" s="262" t="s">
        <v>2861</v>
      </c>
    </row>
    <row r="907" spans="1:16">
      <c r="A907" s="264">
        <v>906</v>
      </c>
      <c r="B907" s="257">
        <v>45849</v>
      </c>
      <c r="C907" s="283" t="s">
        <v>1579</v>
      </c>
      <c r="F907" s="283" t="s">
        <v>2179</v>
      </c>
      <c r="G907" s="262" t="s">
        <v>1200</v>
      </c>
      <c r="H907" s="258">
        <v>1500000</v>
      </c>
      <c r="I907" s="262">
        <v>1</v>
      </c>
      <c r="K907" s="259">
        <v>150000</v>
      </c>
      <c r="L907" s="258">
        <v>1650000</v>
      </c>
      <c r="O907" s="262"/>
      <c r="P907" s="262" t="s">
        <v>2861</v>
      </c>
    </row>
    <row r="908" spans="1:16">
      <c r="A908" s="264">
        <v>907</v>
      </c>
      <c r="B908" s="257">
        <v>45849</v>
      </c>
      <c r="C908" s="283" t="s">
        <v>1579</v>
      </c>
      <c r="F908" s="283" t="s">
        <v>2180</v>
      </c>
      <c r="G908" s="262" t="s">
        <v>1802</v>
      </c>
      <c r="H908" s="258">
        <v>50000</v>
      </c>
      <c r="I908" s="262">
        <v>1</v>
      </c>
      <c r="K908" s="259">
        <v>5000</v>
      </c>
      <c r="L908" s="258">
        <v>55000</v>
      </c>
      <c r="O908" s="262"/>
      <c r="P908" s="262" t="s">
        <v>2861</v>
      </c>
    </row>
    <row r="909" spans="1:16">
      <c r="A909" s="264">
        <v>908</v>
      </c>
      <c r="B909" s="257">
        <v>45849</v>
      </c>
      <c r="C909" s="283" t="s">
        <v>1398</v>
      </c>
      <c r="F909" s="283" t="s">
        <v>1742</v>
      </c>
      <c r="H909" s="258">
        <v>1100000</v>
      </c>
      <c r="I909" s="262">
        <v>1</v>
      </c>
      <c r="L909" s="258">
        <v>1100000</v>
      </c>
      <c r="O909" s="262"/>
      <c r="P909" s="262" t="s">
        <v>2861</v>
      </c>
    </row>
    <row r="910" spans="1:16">
      <c r="A910" s="264">
        <v>909</v>
      </c>
      <c r="B910" s="257">
        <v>45849</v>
      </c>
      <c r="C910" s="283" t="s">
        <v>1457</v>
      </c>
      <c r="F910" s="283" t="s">
        <v>2747</v>
      </c>
      <c r="G910" s="262">
        <v>7252703114</v>
      </c>
      <c r="H910" s="258">
        <v>199000</v>
      </c>
      <c r="I910" s="262">
        <v>1</v>
      </c>
      <c r="L910" s="258">
        <v>199000</v>
      </c>
      <c r="O910" s="262"/>
      <c r="P910" s="262" t="s">
        <v>2861</v>
      </c>
    </row>
    <row r="911" spans="1:16">
      <c r="A911" s="264">
        <v>910</v>
      </c>
      <c r="B911" s="257">
        <v>45849</v>
      </c>
      <c r="C911" s="283" t="s">
        <v>1448</v>
      </c>
      <c r="F911" s="283" t="s">
        <v>1534</v>
      </c>
      <c r="H911" s="258">
        <v>450000</v>
      </c>
      <c r="I911" s="262">
        <v>1</v>
      </c>
      <c r="L911" s="258">
        <v>450000</v>
      </c>
      <c r="O911" s="262"/>
      <c r="P911" s="262" t="s">
        <v>2861</v>
      </c>
    </row>
    <row r="912" spans="1:16">
      <c r="A912" s="264">
        <v>911</v>
      </c>
      <c r="B912" s="257">
        <v>45849</v>
      </c>
      <c r="C912" s="283" t="s">
        <v>1585</v>
      </c>
      <c r="F912" s="283" t="s">
        <v>1202</v>
      </c>
      <c r="G912" s="262" t="s">
        <v>1751</v>
      </c>
      <c r="H912" s="258">
        <v>1200000</v>
      </c>
      <c r="I912" s="262">
        <v>1</v>
      </c>
      <c r="K912" s="259">
        <v>120000</v>
      </c>
      <c r="L912" s="258">
        <v>1320000</v>
      </c>
      <c r="O912" s="262"/>
      <c r="P912" s="262" t="s">
        <v>2861</v>
      </c>
    </row>
    <row r="913" spans="1:16">
      <c r="A913" s="264">
        <v>912</v>
      </c>
      <c r="B913" s="257">
        <v>45849</v>
      </c>
      <c r="C913" s="283" t="s">
        <v>1585</v>
      </c>
      <c r="F913" s="283" t="s">
        <v>1495</v>
      </c>
      <c r="G913" s="262" t="s">
        <v>2677</v>
      </c>
      <c r="H913" s="258">
        <v>350000</v>
      </c>
      <c r="I913" s="262">
        <v>1</v>
      </c>
      <c r="K913" s="259">
        <v>35000</v>
      </c>
      <c r="L913" s="258">
        <v>385000</v>
      </c>
      <c r="O913" s="262"/>
      <c r="P913" s="262" t="s">
        <v>2861</v>
      </c>
    </row>
    <row r="914" spans="1:16">
      <c r="A914" s="264">
        <v>913</v>
      </c>
      <c r="B914" s="257">
        <v>45849</v>
      </c>
      <c r="C914" s="283" t="s">
        <v>1585</v>
      </c>
      <c r="F914" s="283" t="s">
        <v>1736</v>
      </c>
      <c r="G914" s="262" t="s">
        <v>2832</v>
      </c>
      <c r="H914" s="258">
        <v>500000</v>
      </c>
      <c r="I914" s="262">
        <v>1</v>
      </c>
      <c r="K914" s="259">
        <v>50000</v>
      </c>
      <c r="L914" s="258">
        <v>550000</v>
      </c>
      <c r="O914" s="262"/>
      <c r="P914" s="262" t="s">
        <v>2861</v>
      </c>
    </row>
    <row r="915" spans="1:16">
      <c r="A915" s="264">
        <v>914</v>
      </c>
      <c r="B915" s="257">
        <v>45849</v>
      </c>
      <c r="C915" s="283" t="s">
        <v>1585</v>
      </c>
      <c r="F915" s="283" t="s">
        <v>2831</v>
      </c>
      <c r="G915" s="262">
        <v>1087298388</v>
      </c>
      <c r="H915" s="258">
        <v>500000</v>
      </c>
      <c r="I915" s="262">
        <v>1</v>
      </c>
      <c r="K915" s="259">
        <v>50000</v>
      </c>
      <c r="L915" s="258">
        <v>550000</v>
      </c>
      <c r="O915" s="262"/>
      <c r="P915" s="262" t="s">
        <v>2861</v>
      </c>
    </row>
    <row r="916" spans="1:16">
      <c r="A916" s="264">
        <v>915</v>
      </c>
      <c r="B916" s="257">
        <v>45849</v>
      </c>
      <c r="C916" s="283" t="s">
        <v>2858</v>
      </c>
      <c r="F916" s="283" t="s">
        <v>2254</v>
      </c>
      <c r="G916" s="262" t="s">
        <v>2253</v>
      </c>
      <c r="H916" s="258">
        <v>1500000</v>
      </c>
      <c r="I916" s="262">
        <v>1</v>
      </c>
      <c r="K916" s="259">
        <v>150000</v>
      </c>
      <c r="L916" s="258">
        <v>1650000</v>
      </c>
      <c r="O916" s="262"/>
      <c r="P916" s="262" t="s">
        <v>2861</v>
      </c>
    </row>
    <row r="917" spans="1:16">
      <c r="A917" s="264">
        <v>916</v>
      </c>
      <c r="B917" s="257">
        <v>45849</v>
      </c>
      <c r="C917" s="283" t="s">
        <v>2858</v>
      </c>
      <c r="F917" s="283" t="s">
        <v>2610</v>
      </c>
      <c r="G917" s="262" t="s">
        <v>1754</v>
      </c>
      <c r="H917" s="258">
        <v>50000</v>
      </c>
      <c r="I917" s="262">
        <v>1</v>
      </c>
      <c r="K917" s="259">
        <v>5000</v>
      </c>
      <c r="L917" s="258">
        <v>55000</v>
      </c>
      <c r="O917" s="262"/>
      <c r="P917" s="262" t="s">
        <v>2861</v>
      </c>
    </row>
    <row r="918" spans="1:16">
      <c r="A918" s="264">
        <v>917</v>
      </c>
      <c r="B918" s="257">
        <v>45849</v>
      </c>
      <c r="C918" s="283" t="s">
        <v>1286</v>
      </c>
      <c r="F918" s="283" t="s">
        <v>1669</v>
      </c>
      <c r="M918" s="258">
        <v>-1705000</v>
      </c>
      <c r="O918" s="262"/>
    </row>
    <row r="919" spans="1:16">
      <c r="A919" s="264">
        <v>918</v>
      </c>
      <c r="B919" s="257">
        <v>45849</v>
      </c>
      <c r="C919" s="283" t="s">
        <v>2856</v>
      </c>
      <c r="F919" s="283" t="s">
        <v>1124</v>
      </c>
      <c r="M919" s="258">
        <v>-1705000</v>
      </c>
      <c r="O919" s="262"/>
    </row>
    <row r="920" spans="1:16">
      <c r="A920" s="264">
        <v>919</v>
      </c>
      <c r="B920" s="257">
        <v>45849</v>
      </c>
      <c r="C920" s="283" t="s">
        <v>1448</v>
      </c>
      <c r="F920" s="283" t="s">
        <v>1124</v>
      </c>
      <c r="M920" s="258">
        <v>-450000</v>
      </c>
      <c r="O920" s="262"/>
    </row>
    <row r="921" spans="1:16">
      <c r="A921" s="264">
        <v>920</v>
      </c>
      <c r="B921" s="257">
        <v>45850</v>
      </c>
      <c r="C921" s="283" t="s">
        <v>1597</v>
      </c>
      <c r="F921" s="283" t="s">
        <v>2859</v>
      </c>
      <c r="H921" s="258">
        <v>170000</v>
      </c>
      <c r="I921" s="262">
        <v>1</v>
      </c>
      <c r="L921" s="258">
        <v>170000</v>
      </c>
      <c r="O921" s="262"/>
      <c r="P921" s="262" t="s">
        <v>2861</v>
      </c>
    </row>
    <row r="922" spans="1:16">
      <c r="A922" s="264">
        <v>921</v>
      </c>
      <c r="B922" s="257">
        <v>45850</v>
      </c>
      <c r="C922" s="283" t="s">
        <v>2318</v>
      </c>
      <c r="F922" s="283" t="s">
        <v>1124</v>
      </c>
      <c r="M922" s="258">
        <v>-150000</v>
      </c>
      <c r="O922" s="262"/>
    </row>
    <row r="923" spans="1:16">
      <c r="A923" s="264">
        <v>922</v>
      </c>
      <c r="B923" s="257">
        <v>45850</v>
      </c>
      <c r="C923" s="283" t="s">
        <v>1597</v>
      </c>
      <c r="F923" s="283" t="s">
        <v>1124</v>
      </c>
      <c r="M923" s="258">
        <v>-170000</v>
      </c>
      <c r="O923" s="262"/>
    </row>
    <row r="924" spans="1:16">
      <c r="A924" s="264">
        <v>923</v>
      </c>
      <c r="B924" s="257">
        <v>45850</v>
      </c>
      <c r="C924" s="283" t="s">
        <v>2723</v>
      </c>
      <c r="F924" s="283" t="s">
        <v>2185</v>
      </c>
      <c r="G924" s="262" t="s">
        <v>1199</v>
      </c>
      <c r="H924" s="258">
        <v>1500000</v>
      </c>
      <c r="I924" s="262">
        <v>1</v>
      </c>
      <c r="K924" s="259">
        <v>150000</v>
      </c>
      <c r="L924" s="258">
        <v>1650000</v>
      </c>
      <c r="O924" s="262"/>
      <c r="P924" s="262" t="s">
        <v>2861</v>
      </c>
    </row>
    <row r="925" spans="1:16">
      <c r="A925" s="264">
        <v>924</v>
      </c>
      <c r="B925" s="257">
        <v>45850</v>
      </c>
      <c r="C925" s="283" t="s">
        <v>2863</v>
      </c>
      <c r="F925" s="283" t="s">
        <v>1669</v>
      </c>
      <c r="M925" s="258">
        <v>-1500000</v>
      </c>
      <c r="O925" s="262"/>
    </row>
    <row r="926" spans="1:16">
      <c r="A926" s="264">
        <v>925</v>
      </c>
      <c r="B926" s="257">
        <v>45852</v>
      </c>
      <c r="C926" s="283" t="s">
        <v>1585</v>
      </c>
      <c r="F926" s="283" t="s">
        <v>1124</v>
      </c>
      <c r="M926" s="258">
        <v>-2805000</v>
      </c>
      <c r="O926" s="262"/>
    </row>
    <row r="927" spans="1:16">
      <c r="A927" s="264">
        <v>926</v>
      </c>
      <c r="B927" s="257">
        <v>45852</v>
      </c>
      <c r="C927" s="283" t="s">
        <v>2906</v>
      </c>
      <c r="F927" s="283" t="s">
        <v>2652</v>
      </c>
      <c r="H927" s="258">
        <v>1750000</v>
      </c>
      <c r="I927" s="262">
        <v>1</v>
      </c>
      <c r="K927" s="259" t="s">
        <v>2907</v>
      </c>
      <c r="L927" s="258">
        <v>1925000</v>
      </c>
      <c r="O927" s="262"/>
      <c r="P927" s="262" t="s">
        <v>2861</v>
      </c>
    </row>
    <row r="928" spans="1:16">
      <c r="A928" s="264">
        <v>927</v>
      </c>
      <c r="B928" s="257">
        <v>45852</v>
      </c>
      <c r="C928" s="283" t="s">
        <v>2871</v>
      </c>
      <c r="F928" s="283" t="s">
        <v>2382</v>
      </c>
      <c r="G928" s="262" t="s">
        <v>2874</v>
      </c>
      <c r="H928" s="258">
        <v>1100000</v>
      </c>
      <c r="I928" s="262">
        <v>1</v>
      </c>
      <c r="L928" s="258">
        <v>1100000</v>
      </c>
      <c r="O928" s="262"/>
      <c r="P928" s="262" t="s">
        <v>2861</v>
      </c>
    </row>
    <row r="929" spans="1:16">
      <c r="A929" s="264">
        <v>928</v>
      </c>
      <c r="B929" s="257">
        <v>45852</v>
      </c>
      <c r="C929" s="283" t="s">
        <v>1398</v>
      </c>
      <c r="F929" s="283" t="s">
        <v>1742</v>
      </c>
      <c r="H929" s="258">
        <v>650000</v>
      </c>
      <c r="I929" s="262">
        <v>1</v>
      </c>
      <c r="L929" s="258">
        <v>650000</v>
      </c>
      <c r="O929" s="262"/>
      <c r="P929" s="262" t="s">
        <v>2861</v>
      </c>
    </row>
    <row r="930" spans="1:16">
      <c r="A930" s="264">
        <v>929</v>
      </c>
      <c r="B930" s="257">
        <v>45852</v>
      </c>
      <c r="C930" s="283" t="s">
        <v>2408</v>
      </c>
      <c r="F930" s="283" t="s">
        <v>2026</v>
      </c>
      <c r="G930" s="262" t="s">
        <v>1215</v>
      </c>
      <c r="H930" s="258">
        <v>1500000</v>
      </c>
      <c r="I930" s="262">
        <v>1</v>
      </c>
      <c r="K930" s="259">
        <v>150000</v>
      </c>
      <c r="L930" s="258">
        <v>1650000</v>
      </c>
      <c r="O930" s="262" t="s">
        <v>2909</v>
      </c>
      <c r="P930" s="262" t="s">
        <v>2861</v>
      </c>
    </row>
    <row r="931" spans="1:16">
      <c r="A931" s="264">
        <v>930</v>
      </c>
      <c r="B931" s="257">
        <v>45852</v>
      </c>
      <c r="C931" s="283" t="s">
        <v>2318</v>
      </c>
      <c r="F931" s="283" t="s">
        <v>2834</v>
      </c>
      <c r="G931" s="262" t="s">
        <v>1203</v>
      </c>
      <c r="H931" s="258">
        <v>150000</v>
      </c>
      <c r="I931" s="262">
        <v>1</v>
      </c>
      <c r="L931" s="258">
        <v>150000</v>
      </c>
      <c r="O931" s="262"/>
      <c r="P931" s="262" t="s">
        <v>2861</v>
      </c>
    </row>
    <row r="932" spans="1:16">
      <c r="A932" s="264">
        <v>931</v>
      </c>
      <c r="B932" s="257">
        <v>45852</v>
      </c>
      <c r="C932" s="283" t="s">
        <v>1597</v>
      </c>
      <c r="F932" s="283" t="s">
        <v>1204</v>
      </c>
      <c r="G932" s="262" t="s">
        <v>1205</v>
      </c>
      <c r="H932" s="258">
        <v>1200000</v>
      </c>
      <c r="I932" s="262">
        <v>1</v>
      </c>
      <c r="L932" s="258">
        <v>1200000</v>
      </c>
      <c r="O932" s="262"/>
      <c r="P932" s="262" t="s">
        <v>2861</v>
      </c>
    </row>
    <row r="933" spans="1:16">
      <c r="A933" s="264">
        <v>932</v>
      </c>
      <c r="B933" s="257">
        <v>45852</v>
      </c>
      <c r="C933" s="283" t="s">
        <v>1443</v>
      </c>
      <c r="F933" s="283" t="s">
        <v>2179</v>
      </c>
      <c r="G933" s="262" t="s">
        <v>1200</v>
      </c>
      <c r="H933" s="258">
        <v>1500000</v>
      </c>
      <c r="I933" s="262">
        <v>1</v>
      </c>
      <c r="L933" s="258">
        <v>1500000</v>
      </c>
      <c r="O933" s="262"/>
      <c r="P933" s="262" t="s">
        <v>2861</v>
      </c>
    </row>
    <row r="934" spans="1:16">
      <c r="A934" s="264">
        <v>933</v>
      </c>
      <c r="B934" s="257">
        <v>45852</v>
      </c>
      <c r="C934" s="283" t="s">
        <v>1443</v>
      </c>
      <c r="F934" s="283" t="s">
        <v>2180</v>
      </c>
      <c r="G934" s="262" t="s">
        <v>1802</v>
      </c>
      <c r="H934" s="258">
        <v>50000</v>
      </c>
      <c r="I934" s="262">
        <v>1</v>
      </c>
      <c r="L934" s="258">
        <v>50000</v>
      </c>
      <c r="O934" s="262"/>
      <c r="P934" s="262" t="s">
        <v>2861</v>
      </c>
    </row>
    <row r="935" spans="1:16">
      <c r="A935" s="264">
        <v>934</v>
      </c>
      <c r="B935" s="257">
        <v>45852</v>
      </c>
      <c r="C935" s="283" t="s">
        <v>1597</v>
      </c>
      <c r="F935" s="283" t="s">
        <v>1124</v>
      </c>
      <c r="M935" s="258">
        <v>-1200000</v>
      </c>
      <c r="O935" s="262"/>
    </row>
    <row r="936" spans="1:16">
      <c r="A936" s="264">
        <v>935</v>
      </c>
      <c r="B936" s="257">
        <v>45852</v>
      </c>
      <c r="C936" s="283" t="s">
        <v>2318</v>
      </c>
      <c r="F936" s="283" t="s">
        <v>1124</v>
      </c>
      <c r="M936" s="258">
        <v>-150000</v>
      </c>
      <c r="O936" s="262"/>
    </row>
    <row r="937" spans="1:16">
      <c r="A937" s="264">
        <v>936</v>
      </c>
      <c r="B937" s="257">
        <v>45852</v>
      </c>
      <c r="C937" s="283" t="s">
        <v>2906</v>
      </c>
      <c r="F937" s="283" t="s">
        <v>1669</v>
      </c>
      <c r="M937" s="258">
        <v>-1925000</v>
      </c>
      <c r="O937" s="262"/>
    </row>
    <row r="938" spans="1:16">
      <c r="A938" s="264">
        <v>937</v>
      </c>
      <c r="B938" s="257">
        <v>45853</v>
      </c>
      <c r="C938" s="283" t="s">
        <v>2408</v>
      </c>
      <c r="F938" s="283" t="s">
        <v>2179</v>
      </c>
      <c r="G938" s="262" t="s">
        <v>1200</v>
      </c>
      <c r="H938" s="258">
        <v>1500000</v>
      </c>
      <c r="I938" s="262">
        <v>1</v>
      </c>
      <c r="K938" s="259">
        <v>150000</v>
      </c>
      <c r="L938" s="258">
        <v>1650000</v>
      </c>
      <c r="O938" s="262"/>
      <c r="P938" s="262" t="s">
        <v>2861</v>
      </c>
    </row>
    <row r="939" spans="1:16">
      <c r="A939" s="264">
        <v>938</v>
      </c>
      <c r="B939" s="257">
        <v>45853</v>
      </c>
      <c r="C939" s="283" t="s">
        <v>2408</v>
      </c>
      <c r="F939" s="283" t="s">
        <v>2180</v>
      </c>
      <c r="G939" s="262" t="s">
        <v>1802</v>
      </c>
      <c r="H939" s="258">
        <v>50000</v>
      </c>
      <c r="I939" s="262">
        <v>1</v>
      </c>
      <c r="K939" s="259">
        <v>5000</v>
      </c>
      <c r="L939" s="258">
        <v>55000</v>
      </c>
      <c r="O939" s="262"/>
      <c r="P939" s="262" t="s">
        <v>2861</v>
      </c>
    </row>
    <row r="940" spans="1:16">
      <c r="A940" s="264">
        <v>939</v>
      </c>
      <c r="B940" s="257">
        <v>45853</v>
      </c>
      <c r="C940" s="283" t="s">
        <v>1015</v>
      </c>
      <c r="F940" s="283" t="s">
        <v>1204</v>
      </c>
      <c r="G940" s="262" t="s">
        <v>1205</v>
      </c>
      <c r="H940" s="258">
        <v>1200000</v>
      </c>
      <c r="I940" s="262">
        <v>1</v>
      </c>
      <c r="K940" s="259">
        <v>120000</v>
      </c>
      <c r="L940" s="258">
        <v>1320000</v>
      </c>
      <c r="O940" s="262"/>
      <c r="P940" s="262" t="s">
        <v>2861</v>
      </c>
    </row>
    <row r="941" spans="1:16">
      <c r="A941" s="264">
        <v>940</v>
      </c>
      <c r="B941" s="257">
        <v>45853</v>
      </c>
      <c r="C941" s="283" t="s">
        <v>2894</v>
      </c>
      <c r="F941" s="283" t="s">
        <v>2179</v>
      </c>
      <c r="G941" s="262" t="s">
        <v>1200</v>
      </c>
      <c r="H941" s="258">
        <v>1500000</v>
      </c>
      <c r="I941" s="262">
        <v>1</v>
      </c>
      <c r="K941" s="259">
        <v>150000</v>
      </c>
      <c r="L941" s="258">
        <v>1650000</v>
      </c>
      <c r="O941" s="262"/>
      <c r="P941" s="262" t="s">
        <v>2861</v>
      </c>
    </row>
    <row r="942" spans="1:16">
      <c r="A942" s="264">
        <v>941</v>
      </c>
      <c r="B942" s="257">
        <v>45853</v>
      </c>
      <c r="C942" s="283" t="s">
        <v>2894</v>
      </c>
      <c r="F942" s="283" t="s">
        <v>2180</v>
      </c>
      <c r="G942" s="262" t="s">
        <v>1802</v>
      </c>
      <c r="H942" s="258">
        <v>50000</v>
      </c>
      <c r="I942" s="262">
        <v>1</v>
      </c>
      <c r="K942" s="259">
        <v>5000</v>
      </c>
      <c r="L942" s="258">
        <v>55000</v>
      </c>
      <c r="O942" s="262"/>
      <c r="P942" s="262" t="s">
        <v>2861</v>
      </c>
    </row>
    <row r="943" spans="1:16">
      <c r="A943" s="264">
        <v>942</v>
      </c>
      <c r="B943" s="257">
        <v>45853</v>
      </c>
      <c r="C943" s="283" t="s">
        <v>2894</v>
      </c>
      <c r="F943" s="283" t="s">
        <v>2181</v>
      </c>
      <c r="G943" s="262" t="s">
        <v>2216</v>
      </c>
      <c r="H943" s="258">
        <v>250000</v>
      </c>
      <c r="I943" s="262">
        <v>1</v>
      </c>
      <c r="K943" s="259">
        <v>25000</v>
      </c>
      <c r="L943" s="258">
        <v>275000</v>
      </c>
      <c r="O943" s="262"/>
      <c r="P943" s="262" t="s">
        <v>2861</v>
      </c>
    </row>
    <row r="944" spans="1:16">
      <c r="A944" s="264">
        <v>943</v>
      </c>
      <c r="B944" s="257">
        <v>45853</v>
      </c>
      <c r="C944" s="283" t="s">
        <v>2318</v>
      </c>
      <c r="F944" s="283" t="s">
        <v>2177</v>
      </c>
      <c r="G944" s="262" t="s">
        <v>1463</v>
      </c>
      <c r="H944" s="258">
        <v>1500000</v>
      </c>
      <c r="I944" s="262">
        <v>1</v>
      </c>
      <c r="K944" s="259">
        <v>150000</v>
      </c>
      <c r="L944" s="258">
        <v>1650000</v>
      </c>
      <c r="O944" s="262"/>
      <c r="P944" s="262" t="s">
        <v>2861</v>
      </c>
    </row>
    <row r="945" spans="1:16">
      <c r="A945" s="264">
        <v>944</v>
      </c>
      <c r="B945" s="257">
        <v>45853</v>
      </c>
      <c r="C945" s="283" t="s">
        <v>1289</v>
      </c>
      <c r="F945" s="283" t="s">
        <v>2575</v>
      </c>
      <c r="G945" s="262" t="s">
        <v>2574</v>
      </c>
      <c r="H945" s="258">
        <v>1500000</v>
      </c>
      <c r="I945" s="262">
        <v>1</v>
      </c>
      <c r="K945" s="259" t="s">
        <v>2905</v>
      </c>
      <c r="L945" s="258">
        <v>1650000</v>
      </c>
      <c r="O945" s="262"/>
      <c r="P945" s="262" t="s">
        <v>2861</v>
      </c>
    </row>
    <row r="946" spans="1:16">
      <c r="A946" s="264">
        <v>945</v>
      </c>
      <c r="B946" s="257">
        <v>45853</v>
      </c>
      <c r="C946" s="283" t="s">
        <v>1146</v>
      </c>
      <c r="F946" s="283" t="s">
        <v>1716</v>
      </c>
      <c r="G946" s="262">
        <v>2800802</v>
      </c>
      <c r="H946" s="258">
        <v>150000</v>
      </c>
      <c r="I946" s="262">
        <v>1</v>
      </c>
      <c r="L946" s="258">
        <v>150000</v>
      </c>
      <c r="O946" s="262"/>
      <c r="P946" s="262" t="s">
        <v>2861</v>
      </c>
    </row>
    <row r="947" spans="1:16">
      <c r="A947" s="264">
        <v>946</v>
      </c>
      <c r="B947" s="257">
        <v>45853</v>
      </c>
      <c r="C947" s="283" t="s">
        <v>1455</v>
      </c>
      <c r="F947" s="283" t="s">
        <v>1716</v>
      </c>
      <c r="G947" s="262">
        <v>2800802</v>
      </c>
      <c r="H947" s="258">
        <v>150000</v>
      </c>
      <c r="I947" s="262">
        <v>2</v>
      </c>
      <c r="L947" s="258">
        <v>300000</v>
      </c>
      <c r="O947" s="262"/>
      <c r="P947" s="262" t="s">
        <v>2861</v>
      </c>
    </row>
    <row r="948" spans="1:16">
      <c r="A948" s="264">
        <v>947</v>
      </c>
      <c r="B948" s="257">
        <v>45853</v>
      </c>
      <c r="C948" s="283" t="s">
        <v>2888</v>
      </c>
      <c r="F948" s="283" t="s">
        <v>2195</v>
      </c>
      <c r="G948" s="262">
        <v>2820403</v>
      </c>
      <c r="H948" s="258">
        <v>1500000</v>
      </c>
      <c r="I948" s="262">
        <v>1</v>
      </c>
      <c r="L948" s="258">
        <v>1500000</v>
      </c>
      <c r="O948" s="262"/>
      <c r="P948" s="262" t="s">
        <v>2861</v>
      </c>
    </row>
    <row r="949" spans="1:16">
      <c r="A949" s="264">
        <v>948</v>
      </c>
      <c r="B949" s="257">
        <v>45853</v>
      </c>
      <c r="C949" s="283" t="s">
        <v>2888</v>
      </c>
      <c r="F949" s="283" t="s">
        <v>2902</v>
      </c>
      <c r="H949" s="258">
        <v>50000</v>
      </c>
      <c r="I949" s="262">
        <v>1</v>
      </c>
      <c r="L949" s="258">
        <v>50000</v>
      </c>
      <c r="O949" s="262"/>
      <c r="P949" s="262" t="s">
        <v>2861</v>
      </c>
    </row>
    <row r="950" spans="1:16">
      <c r="A950" s="264">
        <v>949</v>
      </c>
      <c r="B950" s="257">
        <v>45853</v>
      </c>
      <c r="C950" s="283" t="s">
        <v>1721</v>
      </c>
      <c r="F950" s="283" t="s">
        <v>2711</v>
      </c>
      <c r="G950" s="262" t="s">
        <v>2710</v>
      </c>
      <c r="H950" s="258">
        <v>1550000</v>
      </c>
      <c r="I950" s="262">
        <v>1</v>
      </c>
      <c r="L950" s="258">
        <v>1550000</v>
      </c>
      <c r="O950" s="262"/>
      <c r="P950" s="262" t="s">
        <v>2861</v>
      </c>
    </row>
    <row r="951" spans="1:16">
      <c r="A951" s="264">
        <v>950</v>
      </c>
      <c r="B951" s="257">
        <v>45853</v>
      </c>
      <c r="C951" s="283" t="s">
        <v>2894</v>
      </c>
      <c r="F951" s="283" t="s">
        <v>1124</v>
      </c>
      <c r="M951" s="258">
        <v>-1980000</v>
      </c>
      <c r="O951" s="262"/>
    </row>
    <row r="952" spans="1:16">
      <c r="A952" s="264">
        <v>951</v>
      </c>
      <c r="B952" s="257">
        <v>45853</v>
      </c>
      <c r="C952" s="283" t="s">
        <v>2318</v>
      </c>
      <c r="F952" s="283" t="s">
        <v>1124</v>
      </c>
      <c r="M952" s="258">
        <v>-1650000</v>
      </c>
      <c r="O952" s="262"/>
    </row>
    <row r="953" spans="1:16">
      <c r="A953" s="264">
        <v>952</v>
      </c>
      <c r="B953" s="257">
        <v>45854</v>
      </c>
      <c r="C953" s="283" t="s">
        <v>2408</v>
      </c>
      <c r="F953" s="283" t="s">
        <v>1124</v>
      </c>
      <c r="M953" s="258">
        <v>-3355000</v>
      </c>
      <c r="O953" s="262"/>
    </row>
    <row r="954" spans="1:16">
      <c r="A954" s="264">
        <v>953</v>
      </c>
      <c r="B954" s="257">
        <v>45854</v>
      </c>
      <c r="C954" s="283" t="s">
        <v>2291</v>
      </c>
      <c r="F954" s="283" t="s">
        <v>2186</v>
      </c>
      <c r="G954" s="262" t="s">
        <v>1206</v>
      </c>
      <c r="H954" s="258">
        <v>517273</v>
      </c>
      <c r="I954" s="262">
        <v>1</v>
      </c>
      <c r="K954" s="259">
        <v>51727</v>
      </c>
      <c r="L954" s="258">
        <v>569000</v>
      </c>
      <c r="O954" s="262"/>
      <c r="P954" s="262" t="s">
        <v>2861</v>
      </c>
    </row>
    <row r="955" spans="1:16">
      <c r="A955" s="264">
        <v>954</v>
      </c>
      <c r="B955" s="257">
        <v>45854</v>
      </c>
      <c r="C955" s="283" t="s">
        <v>2291</v>
      </c>
      <c r="F955" s="283" t="s">
        <v>2189</v>
      </c>
      <c r="G955" s="262">
        <v>50229</v>
      </c>
      <c r="H955" s="258">
        <v>70000</v>
      </c>
      <c r="I955" s="262">
        <v>1</v>
      </c>
      <c r="K955" s="259">
        <v>7000</v>
      </c>
      <c r="L955" s="258">
        <v>77000</v>
      </c>
      <c r="O955" s="262"/>
      <c r="P955" s="262" t="s">
        <v>2861</v>
      </c>
    </row>
    <row r="956" spans="1:16">
      <c r="A956" s="264">
        <v>955</v>
      </c>
      <c r="B956" s="257">
        <v>45854</v>
      </c>
      <c r="C956" s="283" t="s">
        <v>1804</v>
      </c>
      <c r="F956" s="283" t="s">
        <v>2911</v>
      </c>
      <c r="G956" s="262">
        <v>24046895</v>
      </c>
      <c r="H956" s="258">
        <v>120000</v>
      </c>
      <c r="I956" s="262">
        <v>1</v>
      </c>
      <c r="K956" s="259">
        <v>12000</v>
      </c>
      <c r="L956" s="258">
        <v>132000</v>
      </c>
      <c r="O956" s="262"/>
      <c r="P956" s="262" t="s">
        <v>2861</v>
      </c>
    </row>
    <row r="957" spans="1:16">
      <c r="A957" s="264">
        <v>956</v>
      </c>
      <c r="B957" s="257">
        <v>45854</v>
      </c>
      <c r="C957" s="283" t="s">
        <v>1670</v>
      </c>
      <c r="F957" s="283" t="s">
        <v>2179</v>
      </c>
      <c r="G957" s="262" t="s">
        <v>1200</v>
      </c>
      <c r="H957" s="258">
        <v>1500000</v>
      </c>
      <c r="I957" s="262">
        <v>1</v>
      </c>
      <c r="K957" s="259">
        <v>150000</v>
      </c>
      <c r="L957" s="258">
        <v>1650000</v>
      </c>
      <c r="O957" s="262"/>
      <c r="P957" s="262" t="s">
        <v>2861</v>
      </c>
    </row>
    <row r="958" spans="1:16">
      <c r="A958" s="264">
        <v>957</v>
      </c>
      <c r="B958" s="257">
        <v>45854</v>
      </c>
      <c r="C958" s="283" t="s">
        <v>1670</v>
      </c>
      <c r="F958" s="283" t="s">
        <v>2180</v>
      </c>
      <c r="G958" s="262" t="s">
        <v>1802</v>
      </c>
      <c r="H958" s="258">
        <v>50000</v>
      </c>
      <c r="I958" s="262">
        <v>1</v>
      </c>
      <c r="K958" s="259">
        <v>5000</v>
      </c>
      <c r="L958" s="258">
        <v>55000</v>
      </c>
      <c r="O958" s="262"/>
      <c r="P958" s="262" t="s">
        <v>2861</v>
      </c>
    </row>
    <row r="959" spans="1:16">
      <c r="A959" s="264">
        <v>958</v>
      </c>
      <c r="B959" s="257">
        <v>45854</v>
      </c>
      <c r="C959" s="283" t="s">
        <v>2914</v>
      </c>
      <c r="F959" s="283" t="s">
        <v>2179</v>
      </c>
      <c r="G959" s="262" t="s">
        <v>1200</v>
      </c>
      <c r="H959" s="258">
        <v>1500000</v>
      </c>
      <c r="I959" s="262">
        <v>1</v>
      </c>
      <c r="L959" s="258">
        <v>1500000</v>
      </c>
      <c r="O959" s="262"/>
      <c r="P959" s="262" t="s">
        <v>2861</v>
      </c>
    </row>
    <row r="960" spans="1:16">
      <c r="A960" s="264">
        <v>959</v>
      </c>
      <c r="B960" s="257">
        <v>45854</v>
      </c>
      <c r="C960" s="283" t="s">
        <v>2291</v>
      </c>
      <c r="F960" s="283" t="s">
        <v>1124</v>
      </c>
      <c r="M960" s="258">
        <v>-646000</v>
      </c>
      <c r="O960" s="262"/>
    </row>
    <row r="961" spans="1:16">
      <c r="A961" s="264">
        <v>960</v>
      </c>
      <c r="B961" s="257">
        <v>45854</v>
      </c>
      <c r="C961" s="283" t="s">
        <v>2914</v>
      </c>
      <c r="F961" s="283" t="s">
        <v>1124</v>
      </c>
      <c r="M961" s="258">
        <v>-1500000</v>
      </c>
      <c r="O961" s="262"/>
    </row>
    <row r="962" spans="1:16">
      <c r="A962" s="264">
        <v>961</v>
      </c>
      <c r="B962" s="257">
        <v>45853</v>
      </c>
      <c r="C962" s="283" t="s">
        <v>1466</v>
      </c>
      <c r="F962" s="283" t="s">
        <v>1124</v>
      </c>
      <c r="M962" s="258">
        <v>-1870000</v>
      </c>
      <c r="O962" s="262"/>
    </row>
    <row r="963" spans="1:16">
      <c r="A963" s="264">
        <v>962</v>
      </c>
      <c r="B963" s="257">
        <v>45854</v>
      </c>
      <c r="C963" s="283" t="s">
        <v>1046</v>
      </c>
      <c r="F963" s="283" t="s">
        <v>1124</v>
      </c>
      <c r="M963" s="258">
        <v>-1550000</v>
      </c>
      <c r="O963" s="262"/>
    </row>
    <row r="964" spans="1:16">
      <c r="A964" s="264">
        <v>963</v>
      </c>
      <c r="B964" s="257">
        <v>45853</v>
      </c>
      <c r="C964" s="283" t="s">
        <v>2888</v>
      </c>
      <c r="F964" s="283" t="s">
        <v>1124</v>
      </c>
      <c r="M964" s="258">
        <v>-1550000</v>
      </c>
      <c r="O964" s="262"/>
    </row>
    <row r="965" spans="1:16">
      <c r="A965" s="264">
        <v>964</v>
      </c>
      <c r="B965" s="257">
        <v>45854</v>
      </c>
      <c r="C965" s="283" t="s">
        <v>2871</v>
      </c>
      <c r="F965" s="283" t="s">
        <v>1124</v>
      </c>
      <c r="M965" s="258">
        <v>-1100000</v>
      </c>
      <c r="O965" s="262"/>
    </row>
    <row r="966" spans="1:16">
      <c r="A966" s="264">
        <v>965</v>
      </c>
      <c r="B966" s="257">
        <v>45855</v>
      </c>
      <c r="C966" s="283" t="s">
        <v>2100</v>
      </c>
      <c r="F966" s="283" t="s">
        <v>1124</v>
      </c>
      <c r="M966" s="258">
        <v>-1200000</v>
      </c>
      <c r="O966" s="262"/>
    </row>
    <row r="967" spans="1:16">
      <c r="A967" s="264">
        <v>966</v>
      </c>
      <c r="B967" s="257">
        <v>45855</v>
      </c>
      <c r="C967" s="283" t="s">
        <v>1018</v>
      </c>
      <c r="F967" s="283" t="s">
        <v>2917</v>
      </c>
      <c r="G967" s="262">
        <v>415054509</v>
      </c>
      <c r="H967" s="258">
        <v>342000</v>
      </c>
      <c r="I967" s="262">
        <v>1</v>
      </c>
      <c r="L967" s="258">
        <v>342000</v>
      </c>
      <c r="O967" s="262"/>
      <c r="P967" s="262" t="s">
        <v>2861</v>
      </c>
    </row>
    <row r="968" spans="1:16">
      <c r="A968" s="264">
        <v>967</v>
      </c>
      <c r="B968" s="257">
        <v>45855</v>
      </c>
      <c r="C968" s="283" t="s">
        <v>1018</v>
      </c>
      <c r="F968" s="283" t="s">
        <v>2918</v>
      </c>
      <c r="G968" s="262">
        <v>602000700</v>
      </c>
      <c r="H968" s="258">
        <v>354000</v>
      </c>
      <c r="I968" s="262">
        <v>1</v>
      </c>
      <c r="L968" s="258">
        <v>354000</v>
      </c>
      <c r="O968" s="262"/>
      <c r="P968" s="262" t="s">
        <v>2861</v>
      </c>
    </row>
    <row r="969" spans="1:16">
      <c r="A969" s="264">
        <v>968</v>
      </c>
      <c r="B969" s="257">
        <v>45855</v>
      </c>
      <c r="C969" s="283" t="s">
        <v>1018</v>
      </c>
      <c r="F969" s="283" t="s">
        <v>2922</v>
      </c>
      <c r="H969" s="258">
        <v>35000</v>
      </c>
      <c r="I969" s="262">
        <v>1</v>
      </c>
      <c r="L969" s="258">
        <v>35000</v>
      </c>
      <c r="O969" s="262"/>
      <c r="P969" s="262" t="s">
        <v>2861</v>
      </c>
    </row>
    <row r="970" spans="1:16">
      <c r="A970" s="264">
        <v>969</v>
      </c>
      <c r="B970" s="257">
        <v>45855</v>
      </c>
      <c r="C970" s="283" t="s">
        <v>1466</v>
      </c>
      <c r="F970" s="283" t="s">
        <v>2924</v>
      </c>
      <c r="G970" s="262">
        <v>6058008117</v>
      </c>
      <c r="H970" s="258">
        <v>900000</v>
      </c>
      <c r="I970" s="262">
        <v>1</v>
      </c>
      <c r="K970" s="259">
        <v>90000</v>
      </c>
      <c r="L970" s="258">
        <v>990000</v>
      </c>
      <c r="O970" s="262"/>
      <c r="P970" s="262" t="s">
        <v>2861</v>
      </c>
    </row>
    <row r="971" spans="1:16">
      <c r="A971" s="264">
        <v>970</v>
      </c>
      <c r="B971" s="257">
        <v>45855</v>
      </c>
      <c r="C971" s="283" t="s">
        <v>2621</v>
      </c>
      <c r="F971" s="283" t="s">
        <v>2289</v>
      </c>
      <c r="H971" s="258">
        <v>1700000</v>
      </c>
      <c r="I971" s="262">
        <v>1</v>
      </c>
      <c r="K971" s="259">
        <v>170000</v>
      </c>
      <c r="L971" s="258">
        <v>1870000</v>
      </c>
      <c r="O971" s="262"/>
      <c r="P971" s="262" t="s">
        <v>2861</v>
      </c>
    </row>
    <row r="972" spans="1:16">
      <c r="A972" s="264">
        <v>971</v>
      </c>
      <c r="B972" s="257">
        <v>45855</v>
      </c>
      <c r="C972" s="283" t="s">
        <v>1398</v>
      </c>
      <c r="F972" s="283" t="s">
        <v>2179</v>
      </c>
      <c r="G972" s="262" t="s">
        <v>1200</v>
      </c>
      <c r="H972" s="258">
        <v>1500000</v>
      </c>
      <c r="I972" s="262">
        <v>1</v>
      </c>
      <c r="L972" s="258">
        <v>1500000</v>
      </c>
      <c r="O972" s="262"/>
      <c r="P972" s="262" t="s">
        <v>2861</v>
      </c>
    </row>
    <row r="973" spans="1:16">
      <c r="A973" s="264">
        <v>972</v>
      </c>
      <c r="B973" s="257">
        <v>45856</v>
      </c>
      <c r="C973" s="283" t="s">
        <v>1333</v>
      </c>
      <c r="F973" s="283" t="s">
        <v>2215</v>
      </c>
      <c r="G973" s="262" t="s">
        <v>1759</v>
      </c>
      <c r="H973" s="258">
        <v>510000</v>
      </c>
      <c r="I973" s="262">
        <v>1</v>
      </c>
      <c r="K973" s="259" t="s">
        <v>2983</v>
      </c>
      <c r="L973" s="258">
        <v>561000</v>
      </c>
      <c r="O973" s="262"/>
      <c r="P973" s="262" t="s">
        <v>2861</v>
      </c>
    </row>
    <row r="974" spans="1:16">
      <c r="A974" s="264">
        <v>973</v>
      </c>
      <c r="B974" s="257">
        <v>45856</v>
      </c>
      <c r="C974" s="283" t="s">
        <v>1333</v>
      </c>
      <c r="F974" s="283" t="s">
        <v>2984</v>
      </c>
      <c r="G974" s="263">
        <v>50229</v>
      </c>
      <c r="H974" s="258">
        <v>70000</v>
      </c>
      <c r="I974" s="262">
        <v>1</v>
      </c>
      <c r="K974" s="259">
        <v>7000</v>
      </c>
      <c r="L974" s="258">
        <v>77000</v>
      </c>
      <c r="O974" s="262"/>
      <c r="P974" s="262" t="s">
        <v>2861</v>
      </c>
    </row>
    <row r="975" spans="1:16">
      <c r="A975" s="264">
        <v>974</v>
      </c>
      <c r="B975" s="257">
        <v>45856</v>
      </c>
      <c r="C975" s="283" t="s">
        <v>2933</v>
      </c>
      <c r="F975" s="283" t="s">
        <v>2179</v>
      </c>
      <c r="G975" s="262" t="s">
        <v>1200</v>
      </c>
      <c r="H975" s="258">
        <v>1700000</v>
      </c>
      <c r="I975" s="262">
        <v>1</v>
      </c>
      <c r="L975" s="258">
        <v>1700000</v>
      </c>
      <c r="O975" s="262"/>
      <c r="P975" s="262" t="s">
        <v>2861</v>
      </c>
    </row>
    <row r="976" spans="1:16">
      <c r="A976" s="264">
        <v>975</v>
      </c>
      <c r="B976" s="257">
        <v>45856</v>
      </c>
      <c r="C976" s="283" t="s">
        <v>2933</v>
      </c>
      <c r="F976" s="283" t="s">
        <v>2936</v>
      </c>
      <c r="H976" s="258">
        <v>100000</v>
      </c>
      <c r="I976" s="262">
        <v>1</v>
      </c>
      <c r="L976" s="258">
        <v>100000</v>
      </c>
      <c r="O976" s="262"/>
      <c r="P976" s="262" t="s">
        <v>2861</v>
      </c>
    </row>
    <row r="977" spans="1:16">
      <c r="A977" s="264">
        <v>976</v>
      </c>
      <c r="B977" s="257">
        <v>45856</v>
      </c>
      <c r="C977" s="283" t="s">
        <v>1478</v>
      </c>
      <c r="F977" s="283" t="s">
        <v>2938</v>
      </c>
      <c r="H977" s="258">
        <v>1000000</v>
      </c>
      <c r="I977" s="262">
        <v>1</v>
      </c>
      <c r="L977" s="258">
        <v>1000000</v>
      </c>
      <c r="O977" s="262"/>
      <c r="P977" s="262" t="s">
        <v>2861</v>
      </c>
    </row>
    <row r="978" spans="1:16">
      <c r="A978" s="264">
        <v>977</v>
      </c>
      <c r="B978" s="257">
        <v>45856</v>
      </c>
      <c r="C978" s="283" t="s">
        <v>2940</v>
      </c>
      <c r="F978" s="283" t="s">
        <v>1560</v>
      </c>
      <c r="G978" s="262" t="s">
        <v>1222</v>
      </c>
      <c r="H978" s="258">
        <v>1500000</v>
      </c>
      <c r="I978" s="262">
        <v>1</v>
      </c>
      <c r="L978" s="258">
        <v>1500000</v>
      </c>
      <c r="O978" s="262"/>
      <c r="P978" s="262" t="s">
        <v>2861</v>
      </c>
    </row>
    <row r="979" spans="1:16">
      <c r="A979" s="264">
        <v>978</v>
      </c>
      <c r="B979" s="257">
        <v>45856</v>
      </c>
      <c r="C979" s="283" t="s">
        <v>2940</v>
      </c>
      <c r="F979" s="283" t="s">
        <v>2941</v>
      </c>
      <c r="H979" s="258">
        <v>200000</v>
      </c>
      <c r="I979" s="262">
        <v>1</v>
      </c>
      <c r="L979" s="258">
        <v>200000</v>
      </c>
      <c r="O979" s="262"/>
      <c r="P979" s="262" t="s">
        <v>2861</v>
      </c>
    </row>
    <row r="980" spans="1:16">
      <c r="A980" s="264">
        <v>979</v>
      </c>
      <c r="B980" s="257">
        <v>45856</v>
      </c>
      <c r="C980" s="283" t="s">
        <v>1846</v>
      </c>
      <c r="F980" s="283" t="s">
        <v>2186</v>
      </c>
      <c r="G980" s="262" t="s">
        <v>1206</v>
      </c>
      <c r="H980" s="258">
        <v>510000</v>
      </c>
      <c r="I980" s="262">
        <v>1</v>
      </c>
      <c r="L980" s="258">
        <v>510000</v>
      </c>
      <c r="O980" s="262"/>
      <c r="P980" s="262" t="s">
        <v>2861</v>
      </c>
    </row>
    <row r="981" spans="1:16">
      <c r="A981" s="264">
        <v>980</v>
      </c>
      <c r="B981" s="257">
        <v>45856</v>
      </c>
      <c r="C981" s="283" t="s">
        <v>1979</v>
      </c>
      <c r="F981" s="283" t="s">
        <v>1202</v>
      </c>
      <c r="G981" s="262" t="s">
        <v>1751</v>
      </c>
      <c r="H981" s="258">
        <v>1200000</v>
      </c>
      <c r="I981" s="262">
        <v>1</v>
      </c>
      <c r="L981" s="258">
        <v>1200000</v>
      </c>
      <c r="O981" s="262"/>
      <c r="P981" s="262" t="s">
        <v>2861</v>
      </c>
    </row>
    <row r="982" spans="1:16">
      <c r="A982" s="264">
        <v>981</v>
      </c>
      <c r="B982" s="257">
        <v>45856</v>
      </c>
      <c r="C982" s="283" t="s">
        <v>1979</v>
      </c>
      <c r="F982" s="283" t="s">
        <v>1202</v>
      </c>
      <c r="G982" s="262" t="s">
        <v>1751</v>
      </c>
      <c r="M982" s="258">
        <v>-1200000</v>
      </c>
      <c r="O982" s="262"/>
      <c r="P982" s="262" t="s">
        <v>2861</v>
      </c>
    </row>
    <row r="983" spans="1:16">
      <c r="A983" s="264">
        <v>982</v>
      </c>
      <c r="B983" s="257">
        <v>45856</v>
      </c>
      <c r="C983" s="283" t="s">
        <v>2940</v>
      </c>
      <c r="F983" s="283" t="s">
        <v>1669</v>
      </c>
      <c r="G983" s="262" t="s">
        <v>1222</v>
      </c>
      <c r="M983" s="258">
        <v>-1700000</v>
      </c>
      <c r="O983" s="262"/>
    </row>
    <row r="984" spans="1:16">
      <c r="A984" s="264">
        <v>983</v>
      </c>
      <c r="B984" s="257">
        <v>45856</v>
      </c>
      <c r="C984" s="283" t="s">
        <v>2933</v>
      </c>
      <c r="F984" s="283" t="s">
        <v>1669</v>
      </c>
      <c r="M984" s="258">
        <v>-1800000</v>
      </c>
      <c r="O984" s="262"/>
    </row>
    <row r="985" spans="1:16">
      <c r="A985" s="264">
        <v>984</v>
      </c>
      <c r="B985" s="257">
        <v>45857</v>
      </c>
      <c r="C985" s="283" t="s">
        <v>2318</v>
      </c>
      <c r="F985" s="283" t="s">
        <v>2179</v>
      </c>
      <c r="G985" s="262" t="s">
        <v>1200</v>
      </c>
      <c r="H985" s="258">
        <v>1500000</v>
      </c>
      <c r="I985" s="262">
        <v>1</v>
      </c>
      <c r="L985" s="258">
        <v>1500000</v>
      </c>
      <c r="O985" s="262"/>
      <c r="P985" s="262" t="s">
        <v>2861</v>
      </c>
    </row>
    <row r="986" spans="1:16">
      <c r="A986" s="264">
        <v>985</v>
      </c>
      <c r="B986" s="257">
        <v>45859</v>
      </c>
      <c r="C986" s="283" t="s">
        <v>1808</v>
      </c>
      <c r="F986" s="283" t="s">
        <v>1124</v>
      </c>
      <c r="M986" s="258">
        <v>-90000</v>
      </c>
      <c r="O986" s="262"/>
    </row>
    <row r="987" spans="1:16">
      <c r="A987" s="264">
        <v>986</v>
      </c>
      <c r="B987" s="257">
        <v>45859</v>
      </c>
      <c r="C987" s="283" t="s">
        <v>2621</v>
      </c>
      <c r="F987" s="283" t="s">
        <v>1124</v>
      </c>
      <c r="M987" s="258">
        <v>-1870000</v>
      </c>
      <c r="O987" s="262"/>
    </row>
    <row r="988" spans="1:16">
      <c r="A988" s="264">
        <v>987</v>
      </c>
      <c r="B988" s="257">
        <v>45859</v>
      </c>
      <c r="C988" s="283" t="s">
        <v>2608</v>
      </c>
      <c r="F988" s="283" t="s">
        <v>2950</v>
      </c>
      <c r="G988" s="262" t="s">
        <v>1751</v>
      </c>
      <c r="H988" s="258">
        <v>650000</v>
      </c>
      <c r="I988" s="262">
        <v>1</v>
      </c>
      <c r="K988" s="259">
        <v>65000</v>
      </c>
      <c r="L988" s="258">
        <v>715000</v>
      </c>
      <c r="O988" s="262"/>
      <c r="P988" s="262" t="s">
        <v>2861</v>
      </c>
    </row>
    <row r="989" spans="1:16">
      <c r="A989" s="264">
        <v>988</v>
      </c>
      <c r="B989" s="257">
        <v>45859</v>
      </c>
      <c r="C989" s="283" t="s">
        <v>2257</v>
      </c>
      <c r="F989" s="283" t="s">
        <v>2953</v>
      </c>
      <c r="G989" s="262" t="s">
        <v>2952</v>
      </c>
      <c r="H989" s="258">
        <v>500000</v>
      </c>
      <c r="I989" s="262">
        <v>1</v>
      </c>
      <c r="L989" s="258">
        <v>500000</v>
      </c>
      <c r="O989" s="262"/>
      <c r="P989" s="262" t="s">
        <v>2861</v>
      </c>
    </row>
    <row r="990" spans="1:16">
      <c r="A990" s="264">
        <v>989</v>
      </c>
      <c r="B990" s="257">
        <v>45859</v>
      </c>
      <c r="C990" s="283" t="s">
        <v>1553</v>
      </c>
      <c r="F990" s="283" t="s">
        <v>1265</v>
      </c>
      <c r="G990" s="262" t="s">
        <v>1264</v>
      </c>
      <c r="H990" s="258">
        <v>50000</v>
      </c>
      <c r="I990" s="262">
        <v>5</v>
      </c>
      <c r="K990" s="259">
        <v>25000</v>
      </c>
      <c r="L990" s="258">
        <v>275000</v>
      </c>
      <c r="O990" s="262"/>
      <c r="P990" s="262" t="s">
        <v>2861</v>
      </c>
    </row>
    <row r="991" spans="1:16">
      <c r="A991" s="264">
        <v>990</v>
      </c>
      <c r="B991" s="257">
        <v>45859</v>
      </c>
      <c r="C991" s="283" t="s">
        <v>1146</v>
      </c>
      <c r="F991" s="283" t="s">
        <v>2956</v>
      </c>
      <c r="G991" s="262">
        <v>33108841535</v>
      </c>
      <c r="H991" s="258">
        <v>1200000</v>
      </c>
      <c r="I991" s="262">
        <v>1</v>
      </c>
      <c r="L991" s="258">
        <v>1200000</v>
      </c>
      <c r="O991" s="262"/>
      <c r="P991" s="262" t="s">
        <v>2861</v>
      </c>
    </row>
    <row r="992" spans="1:16">
      <c r="A992" s="264">
        <v>991</v>
      </c>
      <c r="B992" s="257">
        <v>45859</v>
      </c>
      <c r="C992" s="283" t="s">
        <v>1146</v>
      </c>
      <c r="F992" s="283" t="s">
        <v>1505</v>
      </c>
      <c r="H992" s="258">
        <v>50000</v>
      </c>
      <c r="I992" s="262">
        <v>1</v>
      </c>
      <c r="L992" s="258">
        <v>50000</v>
      </c>
      <c r="O992" s="262"/>
      <c r="P992" s="262" t="s">
        <v>2861</v>
      </c>
    </row>
    <row r="993" spans="1:16">
      <c r="A993" s="264">
        <v>992</v>
      </c>
      <c r="B993" s="257">
        <v>45859</v>
      </c>
      <c r="C993" s="283" t="s">
        <v>2608</v>
      </c>
      <c r="F993" s="283" t="s">
        <v>1124</v>
      </c>
      <c r="M993" s="258">
        <v>-715000</v>
      </c>
      <c r="O993" s="262"/>
    </row>
    <row r="994" spans="1:16">
      <c r="A994" s="264">
        <v>993</v>
      </c>
      <c r="B994" s="257">
        <v>45859</v>
      </c>
      <c r="C994" s="283" t="s">
        <v>2257</v>
      </c>
      <c r="F994" s="283" t="s">
        <v>1124</v>
      </c>
      <c r="M994" s="258">
        <v>-500000</v>
      </c>
      <c r="O994" s="262"/>
    </row>
    <row r="995" spans="1:16">
      <c r="A995" s="264">
        <v>994</v>
      </c>
      <c r="B995" s="257">
        <v>45859</v>
      </c>
      <c r="C995" s="283" t="s">
        <v>1468</v>
      </c>
      <c r="F995" s="283" t="s">
        <v>2402</v>
      </c>
      <c r="H995" s="258">
        <v>150000</v>
      </c>
      <c r="I995" s="262">
        <v>1</v>
      </c>
      <c r="L995" s="258">
        <v>150000</v>
      </c>
      <c r="O995" s="262"/>
      <c r="P995" s="262" t="s">
        <v>2861</v>
      </c>
    </row>
    <row r="996" spans="1:16">
      <c r="A996" s="264">
        <v>995</v>
      </c>
      <c r="B996" s="257">
        <v>45860</v>
      </c>
      <c r="C996" s="283" t="s">
        <v>1455</v>
      </c>
      <c r="F996" s="283" t="s">
        <v>1124</v>
      </c>
      <c r="M996" s="258">
        <v>-300000</v>
      </c>
      <c r="O996" s="262"/>
    </row>
    <row r="997" spans="1:16">
      <c r="A997" s="264">
        <v>996</v>
      </c>
      <c r="B997" s="257">
        <v>45860</v>
      </c>
      <c r="C997" s="283" t="s">
        <v>1540</v>
      </c>
      <c r="F997" s="283" t="s">
        <v>2186</v>
      </c>
      <c r="G997" s="262" t="s">
        <v>1206</v>
      </c>
      <c r="H997" s="258">
        <v>510000</v>
      </c>
      <c r="I997" s="262">
        <v>1</v>
      </c>
      <c r="L997" s="258">
        <v>510000</v>
      </c>
      <c r="O997" s="262"/>
      <c r="P997" s="262" t="s">
        <v>2861</v>
      </c>
    </row>
    <row r="998" spans="1:16">
      <c r="A998" s="264">
        <v>997</v>
      </c>
      <c r="B998" s="257">
        <v>45860</v>
      </c>
      <c r="C998" s="283" t="s">
        <v>1540</v>
      </c>
      <c r="F998" s="283" t="s">
        <v>2187</v>
      </c>
      <c r="G998" s="262" t="s">
        <v>1258</v>
      </c>
      <c r="H998" s="258">
        <v>130000</v>
      </c>
      <c r="I998" s="262">
        <v>1</v>
      </c>
      <c r="L998" s="258">
        <v>130000</v>
      </c>
      <c r="O998" s="262"/>
      <c r="P998" s="262" t="s">
        <v>2861</v>
      </c>
    </row>
    <row r="999" spans="1:16">
      <c r="A999" s="264">
        <v>998</v>
      </c>
      <c r="B999" s="257">
        <v>45860</v>
      </c>
      <c r="C999" s="283" t="s">
        <v>1540</v>
      </c>
      <c r="F999" s="283" t="s">
        <v>2190</v>
      </c>
      <c r="G999" s="262" t="s">
        <v>1794</v>
      </c>
      <c r="H999" s="258">
        <v>35000</v>
      </c>
      <c r="I999" s="262">
        <v>1</v>
      </c>
      <c r="L999" s="258">
        <v>35000</v>
      </c>
      <c r="O999" s="262"/>
      <c r="P999" s="262" t="s">
        <v>2861</v>
      </c>
    </row>
    <row r="1000" spans="1:16">
      <c r="A1000" s="264">
        <v>999</v>
      </c>
      <c r="B1000" s="257">
        <v>45860</v>
      </c>
      <c r="C1000" s="283" t="s">
        <v>1540</v>
      </c>
      <c r="F1000" s="283" t="s">
        <v>2191</v>
      </c>
      <c r="G1000" s="262" t="s">
        <v>1821</v>
      </c>
      <c r="H1000" s="258">
        <v>10000</v>
      </c>
      <c r="I1000" s="262">
        <v>1</v>
      </c>
      <c r="L1000" s="258">
        <v>10000</v>
      </c>
      <c r="O1000" s="262"/>
      <c r="P1000" s="262" t="s">
        <v>2861</v>
      </c>
    </row>
    <row r="1001" spans="1:16">
      <c r="A1001" s="264">
        <v>1000</v>
      </c>
      <c r="B1001" s="257">
        <v>45860</v>
      </c>
      <c r="C1001" s="283" t="s">
        <v>1811</v>
      </c>
      <c r="F1001" s="283" t="s">
        <v>1742</v>
      </c>
      <c r="H1001" s="258">
        <v>650000</v>
      </c>
      <c r="I1001" s="262">
        <v>1</v>
      </c>
      <c r="K1001" s="259">
        <v>65000</v>
      </c>
      <c r="L1001" s="258">
        <v>715000</v>
      </c>
      <c r="O1001" s="262"/>
      <c r="P1001" s="262" t="s">
        <v>2861</v>
      </c>
    </row>
    <row r="1002" spans="1:16">
      <c r="A1002" s="264">
        <v>1001</v>
      </c>
      <c r="B1002" s="257">
        <v>45860</v>
      </c>
      <c r="C1002" s="283" t="s">
        <v>1811</v>
      </c>
      <c r="F1002" s="283" t="s">
        <v>1518</v>
      </c>
      <c r="H1002" s="258">
        <v>10000</v>
      </c>
      <c r="I1002" s="262">
        <v>1</v>
      </c>
      <c r="K1002" s="259">
        <v>1000</v>
      </c>
      <c r="L1002" s="258">
        <v>11000</v>
      </c>
      <c r="O1002" s="262"/>
      <c r="P1002" s="262" t="s">
        <v>2861</v>
      </c>
    </row>
    <row r="1003" spans="1:16">
      <c r="A1003" s="264">
        <v>1002</v>
      </c>
      <c r="B1003" s="257">
        <v>45860</v>
      </c>
      <c r="C1003" s="283" t="s">
        <v>1018</v>
      </c>
      <c r="F1003" s="283" t="s">
        <v>2090</v>
      </c>
      <c r="G1003" s="262">
        <v>1068298046</v>
      </c>
      <c r="H1003" s="258">
        <v>450000</v>
      </c>
      <c r="I1003" s="262">
        <v>1</v>
      </c>
      <c r="L1003" s="258">
        <v>450000</v>
      </c>
      <c r="O1003" s="262"/>
      <c r="P1003" s="262" t="s">
        <v>2861</v>
      </c>
    </row>
    <row r="1004" spans="1:16">
      <c r="A1004" s="264">
        <v>1003</v>
      </c>
      <c r="B1004" s="257">
        <v>45860</v>
      </c>
      <c r="C1004" s="283" t="s">
        <v>2962</v>
      </c>
      <c r="F1004" s="283" t="s">
        <v>2186</v>
      </c>
      <c r="G1004" s="262" t="s">
        <v>1206</v>
      </c>
      <c r="H1004" s="258">
        <v>510000</v>
      </c>
      <c r="I1004" s="262">
        <v>1</v>
      </c>
      <c r="L1004" s="258">
        <v>510000</v>
      </c>
      <c r="O1004" s="262"/>
      <c r="P1004" s="262" t="s">
        <v>2861</v>
      </c>
    </row>
    <row r="1005" spans="1:16">
      <c r="A1005" s="264">
        <v>1004</v>
      </c>
      <c r="B1005" s="257">
        <v>45860</v>
      </c>
      <c r="C1005" s="283" t="s">
        <v>1721</v>
      </c>
      <c r="F1005" s="283" t="s">
        <v>1716</v>
      </c>
      <c r="G1005" s="262">
        <v>2800802</v>
      </c>
      <c r="H1005" s="258">
        <v>150000</v>
      </c>
      <c r="I1005" s="262">
        <v>1</v>
      </c>
      <c r="L1005" s="258">
        <v>150000</v>
      </c>
      <c r="O1005" s="262"/>
      <c r="P1005" s="262" t="s">
        <v>2861</v>
      </c>
    </row>
    <row r="1006" spans="1:16">
      <c r="A1006" s="264">
        <v>1005</v>
      </c>
      <c r="B1006" s="257">
        <v>45860</v>
      </c>
      <c r="C1006" s="283" t="s">
        <v>2969</v>
      </c>
      <c r="F1006" s="283" t="s">
        <v>1218</v>
      </c>
      <c r="G1006" s="262" t="s">
        <v>2161</v>
      </c>
      <c r="H1006" s="258">
        <v>1200000</v>
      </c>
      <c r="I1006" s="262">
        <v>1</v>
      </c>
      <c r="K1006" s="259" t="s">
        <v>2970</v>
      </c>
      <c r="L1006" s="258">
        <v>1320000</v>
      </c>
      <c r="O1006" s="262"/>
      <c r="P1006" s="262" t="s">
        <v>2861</v>
      </c>
    </row>
    <row r="1007" spans="1:16">
      <c r="A1007" s="264">
        <v>1006</v>
      </c>
      <c r="B1007" s="257">
        <v>45860</v>
      </c>
      <c r="C1007" s="283" t="s">
        <v>2888</v>
      </c>
      <c r="F1007" s="283" t="s">
        <v>1124</v>
      </c>
      <c r="M1007" s="258">
        <v>-1320000</v>
      </c>
      <c r="O1007" s="262"/>
    </row>
    <row r="1008" spans="1:16">
      <c r="A1008" s="264">
        <v>1007</v>
      </c>
      <c r="B1008" s="257">
        <v>45861</v>
      </c>
      <c r="C1008" s="283" t="s">
        <v>2962</v>
      </c>
      <c r="F1008" s="283" t="s">
        <v>1124</v>
      </c>
      <c r="M1008" s="258">
        <v>-510000</v>
      </c>
      <c r="O1008" s="262"/>
    </row>
    <row r="1009" spans="1:16">
      <c r="A1009" s="264">
        <v>1008</v>
      </c>
      <c r="B1009" s="257">
        <v>45861</v>
      </c>
      <c r="C1009" s="283" t="s">
        <v>1398</v>
      </c>
      <c r="F1009" s="283" t="s">
        <v>2090</v>
      </c>
      <c r="G1009" s="262">
        <v>1068298046</v>
      </c>
      <c r="H1009" s="258">
        <v>450000</v>
      </c>
      <c r="I1009" s="262">
        <v>1</v>
      </c>
      <c r="L1009" s="258">
        <v>450000</v>
      </c>
      <c r="O1009" s="262"/>
      <c r="P1009" s="262" t="s">
        <v>2861</v>
      </c>
    </row>
    <row r="1010" spans="1:16">
      <c r="A1010" s="264">
        <v>1009</v>
      </c>
      <c r="B1010" s="257">
        <v>45861</v>
      </c>
      <c r="C1010" s="283" t="s">
        <v>1398</v>
      </c>
      <c r="F1010" s="283" t="s">
        <v>2973</v>
      </c>
      <c r="H1010" s="258">
        <v>20000</v>
      </c>
      <c r="I1010" s="262">
        <v>1</v>
      </c>
      <c r="L1010" s="258">
        <v>20000</v>
      </c>
      <c r="O1010" s="262"/>
      <c r="P1010" s="262" t="s">
        <v>2861</v>
      </c>
    </row>
    <row r="1011" spans="1:16">
      <c r="A1011" s="264">
        <v>1010</v>
      </c>
      <c r="B1011" s="257">
        <v>45861</v>
      </c>
      <c r="C1011" s="283" t="s">
        <v>1746</v>
      </c>
      <c r="F1011" s="283" t="s">
        <v>1204</v>
      </c>
      <c r="G1011" s="262" t="s">
        <v>1203</v>
      </c>
      <c r="H1011" s="258">
        <v>1200000</v>
      </c>
      <c r="I1011" s="262">
        <v>1</v>
      </c>
      <c r="K1011" s="259">
        <v>120000</v>
      </c>
      <c r="L1011" s="258">
        <v>1320000</v>
      </c>
      <c r="O1011" s="262"/>
      <c r="P1011" s="262" t="s">
        <v>2861</v>
      </c>
    </row>
    <row r="1012" spans="1:16">
      <c r="A1012" s="264">
        <v>1011</v>
      </c>
      <c r="B1012" s="257">
        <v>45861</v>
      </c>
      <c r="C1012" s="283" t="s">
        <v>1808</v>
      </c>
      <c r="F1012" s="283" t="s">
        <v>1495</v>
      </c>
      <c r="G1012" s="262" t="s">
        <v>2677</v>
      </c>
      <c r="H1012" s="258">
        <v>350000</v>
      </c>
      <c r="I1012" s="262">
        <v>1</v>
      </c>
      <c r="L1012" s="258">
        <v>350000</v>
      </c>
      <c r="O1012" s="262"/>
      <c r="P1012" s="262" t="s">
        <v>2861</v>
      </c>
    </row>
    <row r="1013" spans="1:16">
      <c r="A1013" s="264">
        <v>1012</v>
      </c>
      <c r="B1013" s="257">
        <v>45861</v>
      </c>
      <c r="C1013" s="283" t="s">
        <v>1846</v>
      </c>
      <c r="F1013" s="283" t="s">
        <v>2188</v>
      </c>
      <c r="G1013" s="262" t="s">
        <v>1199</v>
      </c>
      <c r="H1013" s="258">
        <v>100000</v>
      </c>
      <c r="I1013" s="262">
        <v>1</v>
      </c>
      <c r="L1013" s="258">
        <v>100000</v>
      </c>
      <c r="O1013" s="262"/>
      <c r="P1013" s="262" t="s">
        <v>2861</v>
      </c>
    </row>
    <row r="1014" spans="1:16">
      <c r="A1014" s="264">
        <v>1013</v>
      </c>
      <c r="B1014" s="257">
        <v>45861</v>
      </c>
      <c r="C1014" s="283" t="s">
        <v>1466</v>
      </c>
      <c r="F1014" s="283" t="s">
        <v>2179</v>
      </c>
      <c r="G1014" s="262" t="s">
        <v>1200</v>
      </c>
      <c r="H1014" s="258">
        <v>1500000</v>
      </c>
      <c r="I1014" s="262">
        <v>1</v>
      </c>
      <c r="K1014" s="259">
        <v>150000</v>
      </c>
      <c r="L1014" s="258">
        <v>1650000</v>
      </c>
      <c r="O1014" s="262"/>
      <c r="P1014" s="262" t="s">
        <v>2861</v>
      </c>
    </row>
    <row r="1015" spans="1:16">
      <c r="A1015" s="264">
        <v>1014</v>
      </c>
      <c r="B1015" s="257">
        <v>45861</v>
      </c>
      <c r="C1015" s="283" t="s">
        <v>1466</v>
      </c>
      <c r="F1015" s="283" t="s">
        <v>2180</v>
      </c>
      <c r="G1015" s="262" t="s">
        <v>1802</v>
      </c>
      <c r="H1015" s="258">
        <v>50000</v>
      </c>
      <c r="I1015" s="262">
        <v>1</v>
      </c>
      <c r="K1015" s="259">
        <v>5000</v>
      </c>
      <c r="L1015" s="258">
        <v>55000</v>
      </c>
      <c r="O1015" s="262"/>
      <c r="P1015" s="262" t="s">
        <v>2861</v>
      </c>
    </row>
    <row r="1016" spans="1:16">
      <c r="A1016" s="264">
        <v>1015</v>
      </c>
      <c r="B1016" s="257">
        <v>45861</v>
      </c>
      <c r="C1016" s="283" t="s">
        <v>1053</v>
      </c>
      <c r="F1016" s="283" t="s">
        <v>2179</v>
      </c>
      <c r="G1016" s="262" t="s">
        <v>1200</v>
      </c>
      <c r="H1016" s="258">
        <v>1500000</v>
      </c>
      <c r="I1016" s="262">
        <v>1</v>
      </c>
      <c r="L1016" s="258">
        <v>1500000</v>
      </c>
      <c r="O1016" s="262"/>
      <c r="P1016" s="262" t="s">
        <v>2861</v>
      </c>
    </row>
    <row r="1017" spans="1:16">
      <c r="A1017" s="264">
        <v>1016</v>
      </c>
      <c r="B1017" s="257">
        <v>45861</v>
      </c>
      <c r="C1017" s="283" t="s">
        <v>1053</v>
      </c>
      <c r="F1017" s="283" t="s">
        <v>2180</v>
      </c>
      <c r="G1017" s="262" t="s">
        <v>1802</v>
      </c>
      <c r="H1017" s="258">
        <v>50000</v>
      </c>
      <c r="I1017" s="262">
        <v>1</v>
      </c>
      <c r="L1017" s="258">
        <v>50000</v>
      </c>
      <c r="O1017" s="262"/>
      <c r="P1017" s="262" t="s">
        <v>2861</v>
      </c>
    </row>
    <row r="1018" spans="1:16">
      <c r="A1018" s="264">
        <v>1017</v>
      </c>
      <c r="B1018" s="257">
        <v>45861</v>
      </c>
      <c r="C1018" s="283" t="s">
        <v>1053</v>
      </c>
      <c r="F1018" s="283" t="s">
        <v>2182</v>
      </c>
      <c r="G1018" s="262" t="s">
        <v>1719</v>
      </c>
      <c r="H1018" s="258">
        <v>70000</v>
      </c>
      <c r="I1018" s="262">
        <v>1</v>
      </c>
      <c r="L1018" s="258">
        <v>70000</v>
      </c>
      <c r="O1018" s="262"/>
      <c r="P1018" s="262" t="s">
        <v>2861</v>
      </c>
    </row>
    <row r="1019" spans="1:16">
      <c r="A1019" s="264">
        <v>1018</v>
      </c>
      <c r="B1019" s="257">
        <v>45861</v>
      </c>
      <c r="C1019" s="283" t="s">
        <v>2318</v>
      </c>
      <c r="F1019" s="283" t="s">
        <v>2179</v>
      </c>
      <c r="G1019" s="262" t="s">
        <v>1200</v>
      </c>
      <c r="H1019" s="258">
        <v>1500000</v>
      </c>
      <c r="I1019" s="262">
        <v>1</v>
      </c>
      <c r="K1019" s="259">
        <v>150000</v>
      </c>
      <c r="L1019" s="258">
        <v>1650000</v>
      </c>
      <c r="O1019" s="262"/>
      <c r="P1019" s="262" t="s">
        <v>2861</v>
      </c>
    </row>
    <row r="1020" spans="1:16">
      <c r="A1020" s="264">
        <v>1019</v>
      </c>
      <c r="B1020" s="257">
        <v>45861</v>
      </c>
      <c r="C1020" s="283" t="s">
        <v>2318</v>
      </c>
      <c r="F1020" s="283" t="s">
        <v>2981</v>
      </c>
      <c r="M1020" s="258">
        <v>-3150000</v>
      </c>
      <c r="O1020" s="262"/>
      <c r="P1020" s="262" t="s">
        <v>2861</v>
      </c>
    </row>
    <row r="1021" spans="1:16">
      <c r="A1021" s="264">
        <v>1020</v>
      </c>
      <c r="B1021" s="257">
        <v>45861</v>
      </c>
      <c r="C1021" s="283" t="s">
        <v>1846</v>
      </c>
      <c r="F1021" s="283" t="s">
        <v>2982</v>
      </c>
      <c r="M1021" s="258">
        <v>-100000</v>
      </c>
      <c r="O1021" s="262"/>
    </row>
    <row r="1022" spans="1:16">
      <c r="A1022" s="264">
        <v>1021</v>
      </c>
      <c r="B1022" s="257">
        <v>45862</v>
      </c>
      <c r="C1022" s="283" t="s">
        <v>1808</v>
      </c>
      <c r="F1022" s="283" t="s">
        <v>1124</v>
      </c>
      <c r="M1022" s="258">
        <v>-350000</v>
      </c>
      <c r="O1022" s="262"/>
    </row>
    <row r="1023" spans="1:16">
      <c r="A1023" s="264">
        <v>1022</v>
      </c>
      <c r="B1023" s="257">
        <v>45862</v>
      </c>
      <c r="C1023" s="283" t="s">
        <v>1053</v>
      </c>
      <c r="F1023" s="283" t="s">
        <v>1124</v>
      </c>
      <c r="M1023" s="258">
        <v>-1620000</v>
      </c>
      <c r="O1023" s="262"/>
    </row>
    <row r="1024" spans="1:16">
      <c r="A1024" s="264">
        <v>1023</v>
      </c>
      <c r="B1024" s="257">
        <v>45862</v>
      </c>
      <c r="C1024" s="283" t="s">
        <v>1448</v>
      </c>
      <c r="F1024" s="283" t="s">
        <v>1124</v>
      </c>
      <c r="M1024" s="258">
        <v>-638000</v>
      </c>
      <c r="O1024" s="262"/>
    </row>
    <row r="1025" spans="1:16">
      <c r="A1025" s="264">
        <v>1024</v>
      </c>
      <c r="B1025" s="257">
        <v>45862</v>
      </c>
      <c r="C1025" s="283" t="s">
        <v>1398</v>
      </c>
      <c r="F1025" s="283" t="s">
        <v>2179</v>
      </c>
      <c r="G1025" s="262" t="s">
        <v>1200</v>
      </c>
      <c r="H1025" s="258">
        <v>1500000</v>
      </c>
      <c r="I1025" s="262">
        <v>1</v>
      </c>
      <c r="L1025" s="258">
        <v>1500000</v>
      </c>
      <c r="O1025" s="262"/>
      <c r="P1025" s="262" t="s">
        <v>2861</v>
      </c>
    </row>
    <row r="1026" spans="1:16">
      <c r="A1026" s="264">
        <v>1025</v>
      </c>
      <c r="B1026" s="257">
        <v>45862</v>
      </c>
      <c r="C1026" s="283" t="s">
        <v>1398</v>
      </c>
      <c r="F1026" s="283" t="s">
        <v>2180</v>
      </c>
      <c r="G1026" s="262" t="s">
        <v>1802</v>
      </c>
      <c r="H1026" s="258">
        <v>50000</v>
      </c>
      <c r="I1026" s="262">
        <v>1</v>
      </c>
      <c r="L1026" s="258">
        <v>50000</v>
      </c>
      <c r="O1026" s="262"/>
      <c r="P1026" s="262" t="s">
        <v>2861</v>
      </c>
    </row>
    <row r="1027" spans="1:16">
      <c r="A1027" s="264">
        <v>1026</v>
      </c>
      <c r="B1027" s="257">
        <v>45862</v>
      </c>
      <c r="C1027" s="283" t="s">
        <v>1398</v>
      </c>
      <c r="F1027" s="283" t="s">
        <v>1548</v>
      </c>
      <c r="G1027" s="262">
        <v>24152333907</v>
      </c>
      <c r="H1027" s="258">
        <v>50000</v>
      </c>
      <c r="I1027" s="262">
        <v>1</v>
      </c>
      <c r="L1027" s="258">
        <v>50000</v>
      </c>
      <c r="O1027" s="262"/>
      <c r="P1027" s="262" t="s">
        <v>2861</v>
      </c>
    </row>
    <row r="1028" spans="1:16">
      <c r="A1028" s="264">
        <v>1027</v>
      </c>
      <c r="B1028" s="257">
        <v>45862</v>
      </c>
      <c r="C1028" s="283" t="s">
        <v>1158</v>
      </c>
      <c r="F1028" s="283" t="s">
        <v>2671</v>
      </c>
      <c r="H1028" s="258">
        <v>1600000</v>
      </c>
      <c r="I1028" s="262">
        <v>1</v>
      </c>
      <c r="K1028" s="259" t="s">
        <v>2998</v>
      </c>
      <c r="L1028" s="258">
        <v>1760000</v>
      </c>
      <c r="O1028" s="262"/>
      <c r="P1028" s="262" t="s">
        <v>2861</v>
      </c>
    </row>
    <row r="1029" spans="1:16">
      <c r="A1029" s="264">
        <v>1028</v>
      </c>
      <c r="B1029" s="257">
        <v>45862</v>
      </c>
      <c r="C1029" s="283" t="s">
        <v>1457</v>
      </c>
      <c r="F1029" s="283" t="s">
        <v>2179</v>
      </c>
      <c r="G1029" s="262" t="s">
        <v>1200</v>
      </c>
      <c r="H1029" s="258">
        <v>1500000</v>
      </c>
      <c r="I1029" s="262">
        <v>1</v>
      </c>
      <c r="L1029" s="258">
        <v>1500000</v>
      </c>
      <c r="O1029" s="262"/>
      <c r="P1029" s="262" t="s">
        <v>2861</v>
      </c>
    </row>
    <row r="1030" spans="1:16">
      <c r="A1030" s="264">
        <v>1029</v>
      </c>
      <c r="B1030" s="257">
        <v>45862</v>
      </c>
      <c r="C1030" s="283" t="s">
        <v>1457</v>
      </c>
      <c r="F1030" s="283" t="s">
        <v>2180</v>
      </c>
      <c r="G1030" s="262" t="s">
        <v>1802</v>
      </c>
      <c r="H1030" s="258">
        <v>50000</v>
      </c>
      <c r="I1030" s="262">
        <v>1</v>
      </c>
      <c r="L1030" s="258">
        <v>50000</v>
      </c>
      <c r="O1030" s="262"/>
      <c r="P1030" s="262" t="s">
        <v>2861</v>
      </c>
    </row>
    <row r="1031" spans="1:16">
      <c r="A1031" s="264">
        <v>1030</v>
      </c>
      <c r="B1031" s="257">
        <v>45862</v>
      </c>
      <c r="C1031" s="283" t="s">
        <v>1448</v>
      </c>
      <c r="F1031" s="283" t="s">
        <v>2186</v>
      </c>
      <c r="G1031" s="262" t="s">
        <v>1206</v>
      </c>
      <c r="H1031" s="258">
        <v>510000</v>
      </c>
      <c r="I1031" s="262">
        <v>1</v>
      </c>
      <c r="K1031" s="259">
        <v>51000</v>
      </c>
      <c r="L1031" s="258">
        <v>561000</v>
      </c>
      <c r="O1031" s="262"/>
      <c r="P1031" s="262" t="s">
        <v>2861</v>
      </c>
    </row>
    <row r="1032" spans="1:16">
      <c r="A1032" s="264">
        <v>1031</v>
      </c>
      <c r="B1032" s="257">
        <v>45862</v>
      </c>
      <c r="C1032" s="283" t="s">
        <v>1448</v>
      </c>
      <c r="F1032" s="283" t="s">
        <v>2189</v>
      </c>
      <c r="G1032" s="262">
        <v>50229</v>
      </c>
      <c r="H1032" s="258">
        <v>70000</v>
      </c>
      <c r="I1032" s="262">
        <v>1</v>
      </c>
      <c r="K1032" s="259">
        <v>7000</v>
      </c>
      <c r="L1032" s="258">
        <v>77000</v>
      </c>
      <c r="O1032" s="262"/>
      <c r="P1032" s="262" t="s">
        <v>2861</v>
      </c>
    </row>
    <row r="1033" spans="1:16">
      <c r="A1033" s="264">
        <v>1032</v>
      </c>
      <c r="B1033" s="257">
        <v>45862</v>
      </c>
      <c r="C1033" s="283" t="s">
        <v>1579</v>
      </c>
      <c r="F1033" s="283" t="s">
        <v>1265</v>
      </c>
      <c r="G1033" s="262" t="s">
        <v>1264</v>
      </c>
      <c r="H1033" s="258">
        <v>50000</v>
      </c>
      <c r="I1033" s="262">
        <v>1</v>
      </c>
      <c r="K1033" s="259">
        <v>5000</v>
      </c>
      <c r="L1033" s="258">
        <v>55000</v>
      </c>
      <c r="O1033" s="262"/>
      <c r="P1033" s="262" t="s">
        <v>2861</v>
      </c>
    </row>
    <row r="1034" spans="1:16">
      <c r="A1034" s="264">
        <v>1033</v>
      </c>
      <c r="B1034" s="257">
        <v>45862</v>
      </c>
      <c r="C1034" s="283" t="s">
        <v>1443</v>
      </c>
      <c r="F1034" s="283" t="s">
        <v>2992</v>
      </c>
      <c r="G1034" s="262" t="s">
        <v>2993</v>
      </c>
      <c r="H1034" s="258">
        <v>-230000</v>
      </c>
      <c r="I1034" s="262">
        <v>1</v>
      </c>
      <c r="L1034" s="258">
        <v>-230000</v>
      </c>
      <c r="O1034" s="262"/>
      <c r="P1034" s="262" t="s">
        <v>2861</v>
      </c>
    </row>
    <row r="1035" spans="1:16">
      <c r="A1035" s="264">
        <v>1034</v>
      </c>
      <c r="B1035" s="257">
        <v>45862</v>
      </c>
      <c r="C1035" s="283" t="s">
        <v>2470</v>
      </c>
      <c r="F1035" s="283" t="s">
        <v>2671</v>
      </c>
      <c r="H1035" s="258">
        <v>1500000</v>
      </c>
      <c r="I1035" s="262">
        <v>1</v>
      </c>
      <c r="K1035" s="259">
        <v>150000</v>
      </c>
      <c r="L1035" s="258">
        <v>1650000</v>
      </c>
      <c r="O1035" s="262"/>
    </row>
    <row r="1036" spans="1:16">
      <c r="A1036" s="264">
        <v>1035</v>
      </c>
      <c r="B1036" s="257">
        <v>45862</v>
      </c>
      <c r="C1036" s="283" t="s">
        <v>1287</v>
      </c>
      <c r="F1036" s="283" t="s">
        <v>3068</v>
      </c>
      <c r="H1036" s="258">
        <v>50000</v>
      </c>
      <c r="I1036" s="262">
        <v>1</v>
      </c>
      <c r="L1036" s="258">
        <v>50000</v>
      </c>
      <c r="O1036" s="262"/>
      <c r="P1036" s="262" t="s">
        <v>2861</v>
      </c>
    </row>
    <row r="1037" spans="1:16">
      <c r="A1037" s="264">
        <v>1036</v>
      </c>
      <c r="B1037" s="257">
        <v>45862</v>
      </c>
      <c r="C1037" s="283" t="s">
        <v>1023</v>
      </c>
      <c r="F1037" s="283" t="s">
        <v>2254</v>
      </c>
      <c r="G1037" s="262" t="s">
        <v>2253</v>
      </c>
      <c r="H1037" s="258">
        <v>1500000</v>
      </c>
      <c r="I1037" s="262">
        <v>1</v>
      </c>
      <c r="L1037" s="258">
        <v>1500000</v>
      </c>
      <c r="O1037" s="262"/>
      <c r="P1037" s="262" t="s">
        <v>2861</v>
      </c>
    </row>
    <row r="1038" spans="1:16">
      <c r="A1038" s="264">
        <v>1037</v>
      </c>
      <c r="B1038" s="257">
        <v>45862</v>
      </c>
      <c r="C1038" s="283" t="s">
        <v>1023</v>
      </c>
      <c r="F1038" s="283" t="s">
        <v>2610</v>
      </c>
      <c r="G1038" s="262" t="s">
        <v>1754</v>
      </c>
      <c r="H1038" s="258">
        <v>50000</v>
      </c>
      <c r="I1038" s="262">
        <v>1</v>
      </c>
      <c r="L1038" s="258">
        <v>50000</v>
      </c>
      <c r="O1038" s="262"/>
      <c r="P1038" s="262" t="s">
        <v>2861</v>
      </c>
    </row>
    <row r="1039" spans="1:16">
      <c r="A1039" s="264">
        <v>1038</v>
      </c>
      <c r="B1039" s="257">
        <v>45862</v>
      </c>
      <c r="C1039" s="283" t="s">
        <v>1457</v>
      </c>
      <c r="F1039" s="283" t="s">
        <v>2999</v>
      </c>
      <c r="H1039" s="258">
        <v>40000</v>
      </c>
      <c r="I1039" s="262">
        <v>1</v>
      </c>
      <c r="L1039" s="258">
        <v>40000</v>
      </c>
      <c r="O1039" s="262"/>
      <c r="P1039" s="262" t="s">
        <v>2861</v>
      </c>
    </row>
    <row r="1040" spans="1:16">
      <c r="A1040" s="264">
        <v>1039</v>
      </c>
      <c r="B1040" s="257">
        <v>45862</v>
      </c>
      <c r="C1040" s="283" t="s">
        <v>1811</v>
      </c>
      <c r="F1040" s="283" t="s">
        <v>1124</v>
      </c>
      <c r="M1040" s="258">
        <v>-726000</v>
      </c>
      <c r="O1040" s="262"/>
    </row>
    <row r="1041" spans="1:16">
      <c r="A1041" s="264">
        <v>1040</v>
      </c>
      <c r="B1041" s="257">
        <v>45863</v>
      </c>
      <c r="C1041" s="283" t="s">
        <v>2384</v>
      </c>
      <c r="F1041" s="283" t="s">
        <v>3002</v>
      </c>
      <c r="G1041" s="262" t="s">
        <v>3003</v>
      </c>
      <c r="H1041" s="258">
        <v>2000000</v>
      </c>
      <c r="I1041" s="262">
        <v>1</v>
      </c>
      <c r="L1041" s="258">
        <v>2000000</v>
      </c>
      <c r="O1041" s="262"/>
      <c r="P1041" s="262" t="s">
        <v>2861</v>
      </c>
    </row>
    <row r="1042" spans="1:16">
      <c r="A1042" s="264">
        <v>1041</v>
      </c>
      <c r="B1042" s="257">
        <v>45863</v>
      </c>
      <c r="C1042" s="283" t="s">
        <v>1979</v>
      </c>
      <c r="F1042" s="283" t="s">
        <v>1715</v>
      </c>
      <c r="G1042" s="262" t="s">
        <v>1714</v>
      </c>
      <c r="H1042" s="258">
        <v>23000</v>
      </c>
      <c r="I1042" s="262">
        <v>10</v>
      </c>
      <c r="L1042" s="258">
        <v>230000</v>
      </c>
      <c r="O1042" s="262"/>
      <c r="P1042" s="262" t="s">
        <v>2861</v>
      </c>
    </row>
    <row r="1043" spans="1:16">
      <c r="A1043" s="264">
        <v>1042</v>
      </c>
      <c r="B1043" s="257">
        <v>45863</v>
      </c>
      <c r="C1043" s="283" t="s">
        <v>1597</v>
      </c>
      <c r="F1043" s="283" t="s">
        <v>1202</v>
      </c>
      <c r="G1043" s="262" t="s">
        <v>1751</v>
      </c>
      <c r="H1043" s="258">
        <v>1000000</v>
      </c>
      <c r="I1043" s="262">
        <v>1</v>
      </c>
      <c r="L1043" s="258">
        <v>1000000</v>
      </c>
      <c r="O1043" s="262"/>
      <c r="P1043" s="262" t="s">
        <v>2861</v>
      </c>
    </row>
    <row r="1044" spans="1:16">
      <c r="A1044" s="264">
        <v>1043</v>
      </c>
      <c r="B1044" s="257">
        <v>45863</v>
      </c>
      <c r="C1044" s="283" t="s">
        <v>979</v>
      </c>
      <c r="F1044" s="283" t="s">
        <v>3008</v>
      </c>
      <c r="H1044" s="258">
        <v>1100000</v>
      </c>
      <c r="I1044" s="262">
        <v>1</v>
      </c>
      <c r="K1044" s="259">
        <v>110000</v>
      </c>
      <c r="L1044" s="258">
        <v>1210000</v>
      </c>
      <c r="O1044" s="262"/>
      <c r="P1044" s="262" t="s">
        <v>2861</v>
      </c>
    </row>
    <row r="1045" spans="1:16">
      <c r="A1045" s="264">
        <v>1044</v>
      </c>
      <c r="B1045" s="257">
        <v>45863</v>
      </c>
      <c r="C1045" s="283" t="s">
        <v>1082</v>
      </c>
      <c r="F1045" s="283" t="s">
        <v>2179</v>
      </c>
      <c r="G1045" s="262" t="s">
        <v>1200</v>
      </c>
      <c r="H1045" s="258">
        <v>1500000</v>
      </c>
      <c r="I1045" s="262">
        <v>1</v>
      </c>
      <c r="L1045" s="258">
        <v>1500000</v>
      </c>
      <c r="O1045" s="262"/>
      <c r="P1045" s="262" t="s">
        <v>2861</v>
      </c>
    </row>
    <row r="1046" spans="1:16">
      <c r="A1046" s="264">
        <v>1045</v>
      </c>
      <c r="B1046" s="257">
        <v>45863</v>
      </c>
      <c r="C1046" s="283" t="s">
        <v>1082</v>
      </c>
      <c r="F1046" s="283" t="s">
        <v>2180</v>
      </c>
      <c r="G1046" s="262" t="s">
        <v>1802</v>
      </c>
      <c r="H1046" s="258">
        <v>50000</v>
      </c>
      <c r="I1046" s="262">
        <v>1</v>
      </c>
      <c r="L1046" s="258">
        <v>50000</v>
      </c>
      <c r="O1046" s="262"/>
      <c r="P1046" s="262" t="s">
        <v>2861</v>
      </c>
    </row>
    <row r="1047" spans="1:16">
      <c r="A1047" s="264">
        <v>1046</v>
      </c>
      <c r="B1047" s="257">
        <v>45863</v>
      </c>
      <c r="C1047" s="283" t="s">
        <v>979</v>
      </c>
      <c r="F1047" s="283" t="s">
        <v>1124</v>
      </c>
      <c r="M1047" s="258">
        <v>-1210000</v>
      </c>
      <c r="O1047" s="262"/>
    </row>
    <row r="1048" spans="1:16">
      <c r="A1048" s="264">
        <v>1047</v>
      </c>
      <c r="B1048" s="257">
        <v>45863</v>
      </c>
      <c r="C1048" s="283" t="s">
        <v>1869</v>
      </c>
      <c r="F1048" s="283" t="s">
        <v>1124</v>
      </c>
      <c r="M1048" s="258">
        <v>-1760000</v>
      </c>
      <c r="O1048" s="262"/>
    </row>
    <row r="1049" spans="1:16">
      <c r="A1049" s="264">
        <v>1048</v>
      </c>
      <c r="B1049" s="257">
        <v>45863</v>
      </c>
      <c r="C1049" s="283" t="s">
        <v>2384</v>
      </c>
      <c r="F1049" s="283" t="s">
        <v>1124</v>
      </c>
      <c r="M1049" s="258">
        <v>-2000000</v>
      </c>
      <c r="O1049" s="262"/>
    </row>
    <row r="1050" spans="1:16">
      <c r="A1050" s="264">
        <v>1049</v>
      </c>
      <c r="B1050" s="257">
        <v>45863</v>
      </c>
      <c r="C1050" s="283" t="s">
        <v>1468</v>
      </c>
      <c r="F1050" s="283" t="s">
        <v>1202</v>
      </c>
      <c r="G1050" s="262" t="s">
        <v>1360</v>
      </c>
      <c r="H1050" s="258">
        <v>1300000</v>
      </c>
      <c r="I1050" s="262">
        <v>1</v>
      </c>
      <c r="L1050" s="258">
        <v>1300000</v>
      </c>
      <c r="O1050" s="262"/>
      <c r="P1050" s="262" t="s">
        <v>2861</v>
      </c>
    </row>
    <row r="1051" spans="1:16">
      <c r="A1051" s="264">
        <v>1050</v>
      </c>
      <c r="B1051" s="257">
        <v>45864</v>
      </c>
      <c r="C1051" s="283" t="s">
        <v>1448</v>
      </c>
      <c r="F1051" s="283" t="s">
        <v>1745</v>
      </c>
      <c r="M1051" s="258">
        <v>-638000</v>
      </c>
      <c r="O1051" s="262"/>
    </row>
    <row r="1052" spans="1:16">
      <c r="A1052" s="264">
        <v>1051</v>
      </c>
      <c r="B1052" s="257">
        <v>45864</v>
      </c>
      <c r="C1052" s="283" t="s">
        <v>1443</v>
      </c>
      <c r="F1052" s="283" t="s">
        <v>2177</v>
      </c>
      <c r="G1052" s="262" t="s">
        <v>1463</v>
      </c>
      <c r="H1052" s="258">
        <v>1500000</v>
      </c>
      <c r="I1052" s="262">
        <v>1</v>
      </c>
      <c r="L1052" s="258">
        <v>1500000</v>
      </c>
      <c r="O1052" s="262"/>
      <c r="P1052" s="262" t="s">
        <v>2861</v>
      </c>
    </row>
    <row r="1053" spans="1:16">
      <c r="A1053" s="264">
        <v>1052</v>
      </c>
      <c r="B1053" s="257">
        <v>45864</v>
      </c>
      <c r="C1053" s="283" t="s">
        <v>1597</v>
      </c>
      <c r="F1053" s="283" t="s">
        <v>1745</v>
      </c>
      <c r="M1053" s="258">
        <v>-1000000</v>
      </c>
      <c r="O1053" s="262"/>
    </row>
    <row r="1054" spans="1:16">
      <c r="A1054" s="264">
        <v>1053</v>
      </c>
      <c r="B1054" s="257">
        <v>45866</v>
      </c>
      <c r="C1054" s="283" t="s">
        <v>2996</v>
      </c>
      <c r="F1054" s="283" t="s">
        <v>1124</v>
      </c>
      <c r="M1054" s="258">
        <v>-1550000</v>
      </c>
      <c r="O1054" s="262"/>
    </row>
    <row r="1055" spans="1:16">
      <c r="A1055" s="264">
        <v>1054</v>
      </c>
      <c r="B1055" s="257">
        <v>45866</v>
      </c>
      <c r="C1055" s="283" t="s">
        <v>1082</v>
      </c>
      <c r="F1055" s="283" t="s">
        <v>1124</v>
      </c>
      <c r="M1055" s="258">
        <v>-1550000</v>
      </c>
      <c r="O1055" s="262"/>
    </row>
    <row r="1056" spans="1:16">
      <c r="A1056" s="264">
        <v>1055</v>
      </c>
      <c r="B1056" s="257">
        <v>45866</v>
      </c>
      <c r="C1056" s="283" t="s">
        <v>1746</v>
      </c>
      <c r="F1056" s="283" t="s">
        <v>1124</v>
      </c>
      <c r="M1056" s="258">
        <v>-1452000</v>
      </c>
      <c r="O1056" s="262"/>
    </row>
    <row r="1057" spans="1:16">
      <c r="A1057" s="264">
        <v>1056</v>
      </c>
      <c r="B1057" s="257">
        <v>45866</v>
      </c>
      <c r="C1057" s="283" t="s">
        <v>1053</v>
      </c>
      <c r="F1057" s="283" t="s">
        <v>2103</v>
      </c>
      <c r="G1057" s="262">
        <v>2830401</v>
      </c>
      <c r="H1057" s="258">
        <v>1000000</v>
      </c>
      <c r="I1057" s="262">
        <v>1</v>
      </c>
      <c r="L1057" s="258">
        <v>1000000</v>
      </c>
      <c r="O1057" s="262"/>
      <c r="P1057" s="262" t="s">
        <v>2861</v>
      </c>
    </row>
    <row r="1058" spans="1:16">
      <c r="A1058" s="264">
        <v>1057</v>
      </c>
      <c r="B1058" s="257">
        <v>45866</v>
      </c>
      <c r="C1058" s="283" t="s">
        <v>1398</v>
      </c>
      <c r="F1058" s="283" t="s">
        <v>1736</v>
      </c>
      <c r="G1058" s="262" t="s">
        <v>2832</v>
      </c>
      <c r="H1058" s="258">
        <v>500000</v>
      </c>
      <c r="I1058" s="262">
        <v>1</v>
      </c>
      <c r="L1058" s="258">
        <v>500000</v>
      </c>
      <c r="O1058" s="262"/>
      <c r="P1058" s="262" t="s">
        <v>2861</v>
      </c>
    </row>
    <row r="1059" spans="1:16">
      <c r="A1059" s="264">
        <v>1058</v>
      </c>
      <c r="B1059" s="257">
        <v>45866</v>
      </c>
      <c r="C1059" s="283" t="s">
        <v>1398</v>
      </c>
      <c r="F1059" s="283" t="s">
        <v>2917</v>
      </c>
      <c r="G1059" s="262">
        <v>415089709</v>
      </c>
      <c r="H1059" s="258">
        <v>430000</v>
      </c>
      <c r="I1059" s="262">
        <v>1</v>
      </c>
      <c r="L1059" s="258">
        <v>430000</v>
      </c>
      <c r="O1059" s="262"/>
      <c r="P1059" s="262" t="s">
        <v>2861</v>
      </c>
    </row>
    <row r="1060" spans="1:16">
      <c r="A1060" s="264">
        <v>1059</v>
      </c>
      <c r="B1060" s="257">
        <v>45866</v>
      </c>
      <c r="C1060" s="283" t="s">
        <v>1746</v>
      </c>
      <c r="F1060" s="283" t="s">
        <v>1735</v>
      </c>
      <c r="G1060" s="262">
        <v>2850701</v>
      </c>
      <c r="H1060" s="258">
        <v>600000</v>
      </c>
      <c r="I1060" s="262">
        <v>1</v>
      </c>
      <c r="K1060" s="259">
        <v>60000</v>
      </c>
      <c r="L1060" s="258">
        <v>660000</v>
      </c>
      <c r="O1060" s="262"/>
      <c r="P1060" s="262" t="s">
        <v>2861</v>
      </c>
    </row>
    <row r="1061" spans="1:16">
      <c r="A1061" s="264">
        <v>1060</v>
      </c>
      <c r="B1061" s="257">
        <v>45866</v>
      </c>
      <c r="C1061" s="283" t="s">
        <v>1846</v>
      </c>
      <c r="F1061" s="283" t="s">
        <v>2188</v>
      </c>
      <c r="G1061" s="262" t="s">
        <v>1199</v>
      </c>
      <c r="H1061" s="258">
        <v>200000</v>
      </c>
      <c r="I1061" s="262">
        <v>1</v>
      </c>
      <c r="L1061" s="258">
        <v>200000</v>
      </c>
      <c r="O1061" s="262"/>
      <c r="P1061" s="262" t="s">
        <v>2861</v>
      </c>
    </row>
    <row r="1062" spans="1:16">
      <c r="A1062" s="264">
        <v>1061</v>
      </c>
      <c r="B1062" s="257">
        <v>45866</v>
      </c>
      <c r="C1062" s="283" t="s">
        <v>1670</v>
      </c>
      <c r="F1062" s="283" t="s">
        <v>1828</v>
      </c>
      <c r="G1062" s="262">
        <v>6058008122</v>
      </c>
      <c r="H1062" s="258">
        <v>2500000</v>
      </c>
      <c r="I1062" s="262">
        <v>1</v>
      </c>
      <c r="K1062" s="259">
        <v>250000</v>
      </c>
      <c r="L1062" s="258">
        <v>2750000</v>
      </c>
      <c r="O1062" s="262"/>
      <c r="P1062" s="262" t="s">
        <v>2861</v>
      </c>
    </row>
    <row r="1063" spans="1:16">
      <c r="A1063" s="264">
        <v>1062</v>
      </c>
      <c r="B1063" s="257">
        <v>45866</v>
      </c>
      <c r="C1063" s="283" t="s">
        <v>1472</v>
      </c>
      <c r="F1063" s="283" t="s">
        <v>2186</v>
      </c>
      <c r="G1063" s="262" t="s">
        <v>1206</v>
      </c>
      <c r="H1063" s="258">
        <v>500000</v>
      </c>
      <c r="I1063" s="262">
        <v>1</v>
      </c>
      <c r="L1063" s="258">
        <v>500000</v>
      </c>
      <c r="O1063" s="262"/>
      <c r="P1063" s="262" t="s">
        <v>2861</v>
      </c>
    </row>
    <row r="1064" spans="1:16">
      <c r="A1064" s="264">
        <v>1063</v>
      </c>
      <c r="B1064" s="257">
        <v>45866</v>
      </c>
      <c r="C1064" s="283" t="s">
        <v>3020</v>
      </c>
      <c r="F1064" s="283" t="s">
        <v>1858</v>
      </c>
      <c r="G1064" s="262" t="s">
        <v>3672</v>
      </c>
      <c r="H1064" s="258">
        <v>1100000</v>
      </c>
      <c r="I1064" s="262">
        <v>1</v>
      </c>
      <c r="L1064" s="258">
        <v>1100000</v>
      </c>
      <c r="O1064" s="262"/>
      <c r="P1064" s="262" t="s">
        <v>2861</v>
      </c>
    </row>
    <row r="1065" spans="1:16">
      <c r="A1065" s="264">
        <v>1064</v>
      </c>
      <c r="B1065" s="257">
        <v>45866</v>
      </c>
      <c r="C1065" s="283" t="s">
        <v>1543</v>
      </c>
      <c r="F1065" s="283" t="s">
        <v>2185</v>
      </c>
      <c r="G1065" s="262" t="s">
        <v>1199</v>
      </c>
      <c r="H1065" s="258">
        <v>1400000</v>
      </c>
      <c r="I1065" s="262">
        <v>1</v>
      </c>
      <c r="L1065" s="258">
        <v>1400000</v>
      </c>
      <c r="O1065" s="262"/>
      <c r="P1065" s="262" t="s">
        <v>2861</v>
      </c>
    </row>
    <row r="1066" spans="1:16">
      <c r="A1066" s="264">
        <v>1065</v>
      </c>
      <c r="B1066" s="257">
        <v>45866</v>
      </c>
      <c r="C1066" s="283" t="s">
        <v>1860</v>
      </c>
      <c r="F1066" s="283" t="s">
        <v>2179</v>
      </c>
      <c r="G1066" s="262" t="s">
        <v>1200</v>
      </c>
      <c r="H1066" s="258">
        <v>1500000</v>
      </c>
      <c r="I1066" s="262">
        <v>1</v>
      </c>
      <c r="L1066" s="258">
        <v>1500000</v>
      </c>
      <c r="O1066" s="262"/>
      <c r="P1066" s="262" t="s">
        <v>2861</v>
      </c>
    </row>
    <row r="1067" spans="1:16">
      <c r="A1067" s="264">
        <v>1066</v>
      </c>
      <c r="B1067" s="257">
        <v>45866</v>
      </c>
      <c r="C1067" s="283" t="s">
        <v>1860</v>
      </c>
      <c r="F1067" s="283" t="s">
        <v>2180</v>
      </c>
      <c r="G1067" s="262" t="s">
        <v>1802</v>
      </c>
      <c r="H1067" s="258">
        <v>50000</v>
      </c>
      <c r="I1067" s="262">
        <v>1</v>
      </c>
      <c r="L1067" s="258">
        <v>50000</v>
      </c>
      <c r="O1067" s="262"/>
      <c r="P1067" s="262" t="s">
        <v>2861</v>
      </c>
    </row>
    <row r="1068" spans="1:16">
      <c r="A1068" s="264">
        <v>1067</v>
      </c>
      <c r="B1068" s="257">
        <v>45866</v>
      </c>
      <c r="C1068" s="283" t="s">
        <v>1746</v>
      </c>
      <c r="F1068" s="283" t="s">
        <v>2416</v>
      </c>
      <c r="G1068" s="262" t="s">
        <v>2746</v>
      </c>
      <c r="H1068" s="258">
        <v>1100000</v>
      </c>
      <c r="I1068" s="262">
        <v>1</v>
      </c>
      <c r="K1068" s="259">
        <v>110000</v>
      </c>
      <c r="L1068" s="258">
        <v>1210000</v>
      </c>
      <c r="O1068" s="262"/>
      <c r="P1068" s="262" t="s">
        <v>2861</v>
      </c>
    </row>
    <row r="1069" spans="1:16">
      <c r="A1069" s="264">
        <v>1068</v>
      </c>
      <c r="B1069" s="257">
        <v>45866</v>
      </c>
      <c r="C1069" s="283" t="s">
        <v>1746</v>
      </c>
      <c r="F1069" s="283" t="s">
        <v>1518</v>
      </c>
      <c r="H1069" s="258">
        <v>20000</v>
      </c>
      <c r="I1069" s="262">
        <v>1</v>
      </c>
      <c r="K1069" s="259">
        <v>2000</v>
      </c>
      <c r="L1069" s="258">
        <v>22000</v>
      </c>
      <c r="O1069" s="262"/>
      <c r="P1069" s="262" t="s">
        <v>2861</v>
      </c>
    </row>
    <row r="1070" spans="1:16">
      <c r="A1070" s="264">
        <v>1069</v>
      </c>
      <c r="B1070" s="257">
        <v>45866</v>
      </c>
      <c r="C1070" s="283" t="s">
        <v>1448</v>
      </c>
      <c r="F1070" s="283" t="s">
        <v>1202</v>
      </c>
      <c r="G1070" s="262" t="s">
        <v>1751</v>
      </c>
      <c r="H1070" s="258">
        <v>1200000</v>
      </c>
      <c r="I1070" s="262">
        <v>1</v>
      </c>
      <c r="K1070" s="259">
        <v>120000</v>
      </c>
      <c r="L1070" s="258">
        <v>1320000</v>
      </c>
      <c r="O1070" s="262"/>
      <c r="P1070" s="262" t="s">
        <v>2861</v>
      </c>
    </row>
    <row r="1071" spans="1:16">
      <c r="A1071" s="264">
        <v>1070</v>
      </c>
      <c r="B1071" s="257">
        <v>45866</v>
      </c>
      <c r="C1071" s="283" t="s">
        <v>3020</v>
      </c>
      <c r="F1071" s="283" t="s">
        <v>1745</v>
      </c>
      <c r="M1071" s="258">
        <v>-1100000</v>
      </c>
      <c r="O1071" s="262"/>
    </row>
    <row r="1072" spans="1:16">
      <c r="A1072" s="264">
        <v>1071</v>
      </c>
      <c r="B1072" s="257">
        <v>45866</v>
      </c>
      <c r="C1072" s="283" t="s">
        <v>3028</v>
      </c>
      <c r="F1072" s="283" t="s">
        <v>2179</v>
      </c>
      <c r="G1072" s="262" t="s">
        <v>1200</v>
      </c>
      <c r="H1072" s="258">
        <v>1500000</v>
      </c>
      <c r="I1072" s="262">
        <v>1</v>
      </c>
      <c r="K1072" s="259">
        <v>150000</v>
      </c>
      <c r="L1072" s="258">
        <v>1650000</v>
      </c>
      <c r="O1072" s="262"/>
      <c r="P1072" s="262" t="s">
        <v>2861</v>
      </c>
    </row>
    <row r="1073" spans="1:16">
      <c r="A1073" s="264">
        <v>1072</v>
      </c>
      <c r="B1073" s="257">
        <v>45866</v>
      </c>
      <c r="C1073" s="283" t="s">
        <v>3028</v>
      </c>
      <c r="F1073" s="283" t="s">
        <v>2180</v>
      </c>
      <c r="G1073" s="262" t="s">
        <v>1802</v>
      </c>
      <c r="H1073" s="258">
        <v>50000</v>
      </c>
      <c r="I1073" s="262">
        <v>1</v>
      </c>
      <c r="K1073" s="259">
        <v>5000</v>
      </c>
      <c r="L1073" s="258">
        <v>55000</v>
      </c>
      <c r="O1073" s="262"/>
      <c r="P1073" s="262" t="s">
        <v>2861</v>
      </c>
    </row>
    <row r="1074" spans="1:16">
      <c r="A1074" s="264">
        <v>1073</v>
      </c>
      <c r="B1074" s="257">
        <v>45866</v>
      </c>
      <c r="C1074" s="283" t="s">
        <v>3028</v>
      </c>
      <c r="F1074" s="283" t="s">
        <v>1745</v>
      </c>
      <c r="M1074" s="258">
        <v>-1705000</v>
      </c>
      <c r="O1074" s="262"/>
    </row>
    <row r="1075" spans="1:16">
      <c r="A1075" s="264">
        <v>1074</v>
      </c>
      <c r="B1075" s="257">
        <v>45866</v>
      </c>
      <c r="C1075" s="283" t="s">
        <v>1448</v>
      </c>
      <c r="F1075" s="283" t="s">
        <v>1745</v>
      </c>
      <c r="M1075" s="258">
        <v>-1320000</v>
      </c>
      <c r="O1075" s="262"/>
    </row>
    <row r="1076" spans="1:16">
      <c r="A1076" s="264">
        <v>1075</v>
      </c>
      <c r="B1076" s="257">
        <v>45866</v>
      </c>
      <c r="C1076" s="283" t="s">
        <v>1670</v>
      </c>
      <c r="F1076" s="283" t="s">
        <v>1745</v>
      </c>
      <c r="M1076" s="258">
        <v>-1705000</v>
      </c>
      <c r="O1076" s="262"/>
    </row>
    <row r="1077" spans="1:16">
      <c r="A1077" s="264">
        <v>1076</v>
      </c>
      <c r="B1077" s="257">
        <v>45866</v>
      </c>
      <c r="C1077" s="283" t="s">
        <v>1543</v>
      </c>
      <c r="F1077" s="283" t="s">
        <v>1745</v>
      </c>
      <c r="M1077" s="258">
        <v>-1400000</v>
      </c>
      <c r="O1077" s="262"/>
    </row>
    <row r="1078" spans="1:16">
      <c r="A1078" s="264">
        <v>1077</v>
      </c>
      <c r="B1078" s="257">
        <v>45866</v>
      </c>
      <c r="C1078" s="283" t="s">
        <v>1457</v>
      </c>
      <c r="F1078" s="283" t="s">
        <v>1745</v>
      </c>
      <c r="M1078" s="258">
        <v>-1789000</v>
      </c>
      <c r="O1078" s="262"/>
    </row>
    <row r="1079" spans="1:16">
      <c r="A1079" s="264">
        <v>1078</v>
      </c>
      <c r="B1079" s="257">
        <v>45866</v>
      </c>
      <c r="C1079" s="283" t="s">
        <v>1846</v>
      </c>
      <c r="F1079" s="283" t="s">
        <v>1745</v>
      </c>
      <c r="M1079" s="258">
        <v>-710000</v>
      </c>
      <c r="O1079" s="262"/>
    </row>
    <row r="1080" spans="1:16">
      <c r="A1080" s="264">
        <v>1079</v>
      </c>
      <c r="B1080" s="257">
        <v>45866</v>
      </c>
      <c r="C1080" s="283" t="s">
        <v>1979</v>
      </c>
      <c r="F1080" s="283" t="s">
        <v>1745</v>
      </c>
      <c r="M1080" s="258">
        <v>-230000</v>
      </c>
      <c r="O1080" s="262"/>
    </row>
    <row r="1081" spans="1:16">
      <c r="A1081" s="264">
        <v>1080</v>
      </c>
      <c r="B1081" s="257">
        <v>45867</v>
      </c>
      <c r="C1081" s="283" t="s">
        <v>1053</v>
      </c>
      <c r="F1081" s="283" t="s">
        <v>1745</v>
      </c>
      <c r="M1081" s="258">
        <v>-1000000</v>
      </c>
      <c r="O1081" s="262"/>
    </row>
    <row r="1082" spans="1:16">
      <c r="A1082" s="264">
        <v>1081</v>
      </c>
      <c r="B1082" s="257">
        <v>45867</v>
      </c>
      <c r="C1082" s="283" t="s">
        <v>1015</v>
      </c>
      <c r="F1082" s="283" t="s">
        <v>1745</v>
      </c>
      <c r="M1082" s="258">
        <v>-1320000</v>
      </c>
      <c r="O1082" s="262"/>
    </row>
    <row r="1083" spans="1:16">
      <c r="A1083" s="264">
        <v>1082</v>
      </c>
      <c r="B1083" s="257">
        <v>45867</v>
      </c>
      <c r="C1083" s="283" t="s">
        <v>1579</v>
      </c>
      <c r="F1083" s="283" t="s">
        <v>2982</v>
      </c>
      <c r="M1083" s="258">
        <v>-500000</v>
      </c>
      <c r="O1083" s="262"/>
    </row>
    <row r="1084" spans="1:16">
      <c r="A1084" s="264">
        <v>1083</v>
      </c>
      <c r="B1084" s="257">
        <v>45867</v>
      </c>
      <c r="C1084" s="283" t="s">
        <v>1443</v>
      </c>
      <c r="F1084" s="283" t="s">
        <v>3059</v>
      </c>
      <c r="G1084" s="262" t="s">
        <v>3058</v>
      </c>
      <c r="H1084" s="258">
        <v>250000</v>
      </c>
      <c r="I1084" s="262">
        <v>1</v>
      </c>
      <c r="L1084" s="258">
        <v>250000</v>
      </c>
      <c r="O1084" s="262"/>
      <c r="P1084" s="262" t="s">
        <v>2861</v>
      </c>
    </row>
    <row r="1085" spans="1:16">
      <c r="A1085" s="264">
        <v>1084</v>
      </c>
      <c r="B1085" s="257">
        <v>45867</v>
      </c>
      <c r="C1085" s="283" t="s">
        <v>1789</v>
      </c>
      <c r="F1085" s="283" t="s">
        <v>2179</v>
      </c>
      <c r="G1085" s="262" t="s">
        <v>1200</v>
      </c>
      <c r="H1085" s="258">
        <v>1500000</v>
      </c>
      <c r="I1085" s="262">
        <v>1</v>
      </c>
      <c r="L1085" s="258">
        <v>1500000</v>
      </c>
      <c r="O1085" s="262"/>
      <c r="P1085" s="262" t="s">
        <v>2861</v>
      </c>
    </row>
    <row r="1086" spans="1:16">
      <c r="A1086" s="264">
        <v>1085</v>
      </c>
      <c r="B1086" s="257">
        <v>45867</v>
      </c>
      <c r="C1086" s="283" t="s">
        <v>1789</v>
      </c>
      <c r="F1086" s="283" t="s">
        <v>2180</v>
      </c>
      <c r="G1086" s="262" t="s">
        <v>1802</v>
      </c>
      <c r="H1086" s="258">
        <v>50000</v>
      </c>
      <c r="I1086" s="262">
        <v>1</v>
      </c>
      <c r="L1086" s="258">
        <v>50000</v>
      </c>
      <c r="O1086" s="262"/>
      <c r="P1086" s="262" t="s">
        <v>2861</v>
      </c>
    </row>
    <row r="1087" spans="1:16">
      <c r="A1087" s="264">
        <v>1086</v>
      </c>
      <c r="B1087" s="257">
        <v>45867</v>
      </c>
      <c r="C1087" s="283" t="s">
        <v>1082</v>
      </c>
      <c r="F1087" s="283" t="s">
        <v>2185</v>
      </c>
      <c r="G1087" s="262" t="s">
        <v>1199</v>
      </c>
      <c r="H1087" s="258">
        <v>900000</v>
      </c>
      <c r="I1087" s="262">
        <v>1</v>
      </c>
      <c r="L1087" s="258">
        <v>900000</v>
      </c>
      <c r="O1087" s="262"/>
      <c r="P1087" s="262" t="s">
        <v>2861</v>
      </c>
    </row>
    <row r="1088" spans="1:16">
      <c r="A1088" s="264">
        <v>1087</v>
      </c>
      <c r="B1088" s="257">
        <v>45867</v>
      </c>
      <c r="C1088" s="283" t="s">
        <v>1305</v>
      </c>
      <c r="F1088" s="283" t="s">
        <v>2186</v>
      </c>
      <c r="G1088" s="262" t="s">
        <v>1206</v>
      </c>
      <c r="H1088" s="258">
        <v>520000</v>
      </c>
      <c r="I1088" s="262">
        <v>1</v>
      </c>
      <c r="L1088" s="258">
        <v>520000</v>
      </c>
      <c r="O1088" s="262"/>
      <c r="P1088" s="262" t="s">
        <v>2861</v>
      </c>
    </row>
    <row r="1089" spans="1:16">
      <c r="A1089" s="264">
        <v>1088</v>
      </c>
      <c r="B1089" s="257">
        <v>45867</v>
      </c>
      <c r="C1089" s="283" t="s">
        <v>1305</v>
      </c>
      <c r="F1089" s="283" t="s">
        <v>2189</v>
      </c>
      <c r="G1089" s="262">
        <v>50229</v>
      </c>
      <c r="H1089" s="258">
        <v>70000</v>
      </c>
      <c r="I1089" s="262">
        <v>1</v>
      </c>
      <c r="L1089" s="258">
        <v>70000</v>
      </c>
      <c r="O1089" s="262"/>
      <c r="P1089" s="262" t="s">
        <v>2861</v>
      </c>
    </row>
    <row r="1090" spans="1:16">
      <c r="A1090" s="264">
        <v>1089</v>
      </c>
      <c r="B1090" s="257">
        <v>45867</v>
      </c>
      <c r="C1090" s="283" t="s">
        <v>1305</v>
      </c>
      <c r="F1090" s="283" t="s">
        <v>2190</v>
      </c>
      <c r="G1090" s="262" t="s">
        <v>1794</v>
      </c>
      <c r="H1090" s="258">
        <v>35000</v>
      </c>
      <c r="I1090" s="262">
        <v>1</v>
      </c>
      <c r="L1090" s="258">
        <v>35000</v>
      </c>
      <c r="O1090" s="262"/>
      <c r="P1090" s="262" t="s">
        <v>2861</v>
      </c>
    </row>
    <row r="1091" spans="1:16">
      <c r="A1091" s="264">
        <v>1090</v>
      </c>
      <c r="B1091" s="257">
        <v>45867</v>
      </c>
      <c r="C1091" s="283" t="s">
        <v>1305</v>
      </c>
      <c r="F1091" s="283" t="s">
        <v>2520</v>
      </c>
      <c r="G1091" s="262">
        <v>4150862090</v>
      </c>
      <c r="H1091" s="258">
        <v>450000</v>
      </c>
      <c r="I1091" s="262">
        <v>1</v>
      </c>
      <c r="L1091" s="258">
        <v>450000</v>
      </c>
      <c r="O1091" s="262"/>
      <c r="P1091" s="262" t="s">
        <v>2861</v>
      </c>
    </row>
    <row r="1092" spans="1:16">
      <c r="A1092" s="264">
        <v>1091</v>
      </c>
      <c r="B1092" s="257">
        <v>45867</v>
      </c>
      <c r="C1092" s="283" t="s">
        <v>1804</v>
      </c>
      <c r="F1092" s="283" t="s">
        <v>2614</v>
      </c>
      <c r="G1092" s="262" t="s">
        <v>2613</v>
      </c>
      <c r="H1092" s="258">
        <v>1600000</v>
      </c>
      <c r="I1092" s="262">
        <v>1</v>
      </c>
      <c r="K1092" s="259">
        <v>160000</v>
      </c>
      <c r="L1092" s="258">
        <v>1760000</v>
      </c>
      <c r="O1092" s="262"/>
      <c r="P1092" s="262" t="s">
        <v>2861</v>
      </c>
    </row>
    <row r="1093" spans="1:16">
      <c r="A1093" s="264">
        <v>1092</v>
      </c>
      <c r="B1093" s="257">
        <v>45867</v>
      </c>
      <c r="C1093" s="283" t="s">
        <v>2914</v>
      </c>
      <c r="F1093" s="283" t="s">
        <v>1202</v>
      </c>
      <c r="G1093" s="262" t="s">
        <v>1751</v>
      </c>
      <c r="H1093" s="258">
        <v>1000000</v>
      </c>
      <c r="I1093" s="262">
        <v>1</v>
      </c>
      <c r="L1093" s="258">
        <v>1000000</v>
      </c>
      <c r="O1093" s="262"/>
      <c r="P1093" s="262" t="s">
        <v>2861</v>
      </c>
    </row>
    <row r="1094" spans="1:16">
      <c r="A1094" s="264">
        <v>1093</v>
      </c>
      <c r="B1094" s="257">
        <v>45867</v>
      </c>
      <c r="C1094" s="283" t="s">
        <v>1721</v>
      </c>
      <c r="F1094" s="283" t="s">
        <v>3069</v>
      </c>
      <c r="G1094" s="262" t="s">
        <v>2326</v>
      </c>
      <c r="H1094" s="258">
        <v>900000</v>
      </c>
      <c r="I1094" s="262">
        <v>1</v>
      </c>
      <c r="L1094" s="258">
        <v>900000</v>
      </c>
      <c r="O1094" s="262"/>
      <c r="P1094" s="262" t="s">
        <v>2861</v>
      </c>
    </row>
    <row r="1095" spans="1:16">
      <c r="A1095" s="264">
        <v>1094</v>
      </c>
      <c r="B1095" s="257">
        <v>45867</v>
      </c>
      <c r="C1095" s="283" t="s">
        <v>1443</v>
      </c>
      <c r="F1095" s="283" t="s">
        <v>2179</v>
      </c>
      <c r="G1095" s="262" t="s">
        <v>1200</v>
      </c>
      <c r="H1095" s="258">
        <v>1500000</v>
      </c>
      <c r="I1095" s="262">
        <v>1</v>
      </c>
      <c r="L1095" s="258">
        <v>1500000</v>
      </c>
      <c r="O1095" s="262"/>
      <c r="P1095" s="262" t="s">
        <v>2861</v>
      </c>
    </row>
    <row r="1096" spans="1:16">
      <c r="A1096" s="264">
        <v>1095</v>
      </c>
      <c r="B1096" s="257">
        <v>45867</v>
      </c>
      <c r="C1096" s="283" t="s">
        <v>1443</v>
      </c>
      <c r="F1096" s="283" t="s">
        <v>2180</v>
      </c>
      <c r="G1096" s="262" t="s">
        <v>1802</v>
      </c>
      <c r="H1096" s="258">
        <v>50000</v>
      </c>
      <c r="I1096" s="262">
        <v>1</v>
      </c>
      <c r="L1096" s="258">
        <v>50000</v>
      </c>
      <c r="O1096" s="262"/>
      <c r="P1096" s="262" t="s">
        <v>2861</v>
      </c>
    </row>
    <row r="1097" spans="1:16">
      <c r="A1097" s="264">
        <v>1096</v>
      </c>
      <c r="B1097" s="257">
        <v>45867</v>
      </c>
      <c r="C1097" s="283" t="s">
        <v>1443</v>
      </c>
      <c r="F1097" s="283" t="s">
        <v>1548</v>
      </c>
      <c r="G1097" s="262">
        <v>24152333907</v>
      </c>
      <c r="H1097" s="258">
        <v>50000</v>
      </c>
      <c r="I1097" s="262">
        <v>1</v>
      </c>
      <c r="L1097" s="258">
        <v>50000</v>
      </c>
      <c r="O1097" s="262"/>
      <c r="P1097" s="262" t="s">
        <v>2861</v>
      </c>
    </row>
    <row r="1098" spans="1:16">
      <c r="A1098" s="264">
        <v>1097</v>
      </c>
      <c r="B1098" s="257">
        <v>45867</v>
      </c>
      <c r="C1098" s="283" t="s">
        <v>1804</v>
      </c>
      <c r="F1098" s="283" t="s">
        <v>1124</v>
      </c>
      <c r="M1098" s="258">
        <v>-132000</v>
      </c>
      <c r="O1098" s="262"/>
    </row>
    <row r="1099" spans="1:16">
      <c r="A1099" s="264">
        <v>1098</v>
      </c>
      <c r="B1099" s="257">
        <v>45867</v>
      </c>
      <c r="C1099" s="283" t="s">
        <v>2914</v>
      </c>
      <c r="F1099" s="283" t="s">
        <v>1124</v>
      </c>
      <c r="M1099" s="258">
        <v>-1000000</v>
      </c>
      <c r="O1099" s="262"/>
    </row>
    <row r="1100" spans="1:16">
      <c r="A1100" s="264">
        <v>1099</v>
      </c>
      <c r="B1100" s="257">
        <v>45868</v>
      </c>
      <c r="C1100" s="283" t="s">
        <v>1305</v>
      </c>
      <c r="F1100" s="283" t="s">
        <v>1745</v>
      </c>
      <c r="M1100" s="258">
        <v>-1075000</v>
      </c>
      <c r="O1100" s="262"/>
    </row>
    <row r="1101" spans="1:16">
      <c r="A1101" s="264">
        <v>1100</v>
      </c>
      <c r="B1101" s="257">
        <v>45868</v>
      </c>
      <c r="C1101" s="283" t="s">
        <v>1976</v>
      </c>
      <c r="F1101" s="283" t="s">
        <v>2179</v>
      </c>
      <c r="G1101" s="262" t="s">
        <v>1200</v>
      </c>
      <c r="H1101" s="258">
        <v>1500000</v>
      </c>
      <c r="I1101" s="262">
        <v>1</v>
      </c>
      <c r="K1101" s="259">
        <v>150000</v>
      </c>
      <c r="L1101" s="258">
        <v>1650000</v>
      </c>
      <c r="O1101" s="262"/>
      <c r="P1101" s="262" t="s">
        <v>2861</v>
      </c>
    </row>
    <row r="1102" spans="1:16">
      <c r="A1102" s="264">
        <v>1101</v>
      </c>
      <c r="B1102" s="257">
        <v>45868</v>
      </c>
      <c r="C1102" s="283" t="s">
        <v>1976</v>
      </c>
      <c r="F1102" s="283" t="s">
        <v>2180</v>
      </c>
      <c r="G1102" s="262" t="s">
        <v>1802</v>
      </c>
      <c r="H1102" s="258">
        <v>50000</v>
      </c>
      <c r="I1102" s="262">
        <v>1</v>
      </c>
      <c r="K1102" s="259">
        <v>5000</v>
      </c>
      <c r="L1102" s="258">
        <v>55000</v>
      </c>
      <c r="O1102" s="262"/>
      <c r="P1102" s="262" t="s">
        <v>2861</v>
      </c>
    </row>
    <row r="1103" spans="1:16">
      <c r="A1103" s="264">
        <v>1102</v>
      </c>
      <c r="B1103" s="257">
        <v>45868</v>
      </c>
      <c r="C1103" s="283" t="s">
        <v>1808</v>
      </c>
      <c r="F1103" s="283" t="s">
        <v>2179</v>
      </c>
      <c r="G1103" s="262" t="s">
        <v>1200</v>
      </c>
      <c r="H1103" s="258">
        <v>1500000</v>
      </c>
      <c r="I1103" s="262">
        <v>1</v>
      </c>
      <c r="L1103" s="258">
        <v>1500000</v>
      </c>
      <c r="O1103" s="262"/>
      <c r="P1103" s="262" t="s">
        <v>2861</v>
      </c>
    </row>
    <row r="1104" spans="1:16">
      <c r="A1104" s="264">
        <v>1103</v>
      </c>
      <c r="B1104" s="257">
        <v>45868</v>
      </c>
      <c r="C1104" s="283" t="s">
        <v>1808</v>
      </c>
      <c r="F1104" s="283" t="s">
        <v>2180</v>
      </c>
      <c r="G1104" s="262" t="s">
        <v>1802</v>
      </c>
      <c r="H1104" s="258">
        <v>50000</v>
      </c>
      <c r="I1104" s="262">
        <v>1</v>
      </c>
      <c r="L1104" s="258">
        <v>50000</v>
      </c>
      <c r="O1104" s="262"/>
      <c r="P1104" s="262" t="s">
        <v>2861</v>
      </c>
    </row>
    <row r="1105" spans="1:16">
      <c r="A1105" s="264">
        <v>1104</v>
      </c>
      <c r="B1105" s="257">
        <v>45868</v>
      </c>
      <c r="C1105" s="283" t="s">
        <v>2787</v>
      </c>
      <c r="F1105" s="283" t="s">
        <v>2181</v>
      </c>
      <c r="G1105" s="262" t="s">
        <v>2216</v>
      </c>
      <c r="H1105" s="258">
        <v>250000</v>
      </c>
      <c r="I1105" s="262">
        <v>1</v>
      </c>
      <c r="L1105" s="258">
        <v>250000</v>
      </c>
      <c r="O1105" s="262"/>
      <c r="P1105" s="262" t="s">
        <v>2861</v>
      </c>
    </row>
    <row r="1106" spans="1:16">
      <c r="A1106" s="264">
        <v>1105</v>
      </c>
      <c r="B1106" s="257">
        <v>45868</v>
      </c>
      <c r="C1106" s="283" t="s">
        <v>1804</v>
      </c>
      <c r="F1106" s="283" t="s">
        <v>3073</v>
      </c>
      <c r="H1106" s="258">
        <v>200000</v>
      </c>
      <c r="I1106" s="262">
        <v>1</v>
      </c>
      <c r="K1106" s="259">
        <v>20000</v>
      </c>
      <c r="L1106" s="258">
        <v>220000</v>
      </c>
      <c r="O1106" s="262"/>
      <c r="P1106" s="262" t="s">
        <v>2861</v>
      </c>
    </row>
    <row r="1107" spans="1:16">
      <c r="A1107" s="264">
        <v>1106</v>
      </c>
      <c r="B1107" s="257">
        <v>45868</v>
      </c>
      <c r="C1107" s="283" t="s">
        <v>1576</v>
      </c>
      <c r="F1107" s="283" t="s">
        <v>2917</v>
      </c>
      <c r="G1107" s="262">
        <v>4150862090</v>
      </c>
      <c r="H1107" s="258">
        <v>450000</v>
      </c>
      <c r="I1107" s="262">
        <v>1</v>
      </c>
      <c r="K1107" s="259">
        <v>45000</v>
      </c>
      <c r="L1107" s="258">
        <v>495000</v>
      </c>
      <c r="O1107" s="262"/>
      <c r="P1107" s="262" t="s">
        <v>2861</v>
      </c>
    </row>
    <row r="1108" spans="1:16">
      <c r="A1108" s="264">
        <v>1107</v>
      </c>
      <c r="B1108" s="257">
        <v>45868</v>
      </c>
      <c r="C1108" s="283" t="s">
        <v>3076</v>
      </c>
      <c r="F1108" s="283" t="s">
        <v>1202</v>
      </c>
      <c r="G1108" s="262" t="s">
        <v>1751</v>
      </c>
      <c r="H1108" s="258">
        <v>1200000</v>
      </c>
      <c r="I1108" s="262">
        <v>1</v>
      </c>
      <c r="K1108" s="259">
        <v>120000</v>
      </c>
      <c r="L1108" s="258">
        <v>1320000</v>
      </c>
      <c r="O1108" s="262"/>
      <c r="P1108" s="262" t="s">
        <v>2861</v>
      </c>
    </row>
    <row r="1109" spans="1:16">
      <c r="A1109" s="264">
        <v>1108</v>
      </c>
      <c r="B1109" s="257">
        <v>45868</v>
      </c>
      <c r="C1109" s="283" t="s">
        <v>2318</v>
      </c>
      <c r="F1109" s="283" t="s">
        <v>2917</v>
      </c>
      <c r="G1109" s="262">
        <v>2212500301</v>
      </c>
      <c r="H1109" s="258">
        <v>863636</v>
      </c>
      <c r="I1109" s="262">
        <v>1</v>
      </c>
      <c r="K1109" s="259">
        <v>86364</v>
      </c>
      <c r="L1109" s="258">
        <v>950000</v>
      </c>
      <c r="O1109" s="262"/>
      <c r="P1109" s="262" t="s">
        <v>2861</v>
      </c>
    </row>
    <row r="1110" spans="1:16">
      <c r="A1110" s="264">
        <v>1109</v>
      </c>
      <c r="B1110" s="257">
        <v>45868</v>
      </c>
      <c r="C1110" s="283" t="s">
        <v>1670</v>
      </c>
      <c r="F1110" s="283" t="s">
        <v>1124</v>
      </c>
      <c r="M1110" s="258">
        <v>-2750000</v>
      </c>
      <c r="O1110" s="262"/>
    </row>
    <row r="1111" spans="1:16">
      <c r="A1111" s="264">
        <v>1110</v>
      </c>
      <c r="B1111" s="257">
        <v>45868</v>
      </c>
      <c r="C1111" s="283" t="s">
        <v>2723</v>
      </c>
      <c r="F1111" s="283" t="s">
        <v>1124</v>
      </c>
      <c r="M1111" s="258">
        <v>-2400000</v>
      </c>
      <c r="O1111" s="262"/>
    </row>
    <row r="1112" spans="1:16">
      <c r="A1112" s="264">
        <v>1111</v>
      </c>
      <c r="B1112" s="257">
        <v>45868</v>
      </c>
      <c r="C1112" s="283" t="s">
        <v>2318</v>
      </c>
      <c r="F1112" s="283" t="s">
        <v>1124</v>
      </c>
      <c r="M1112" s="258">
        <v>-950000</v>
      </c>
      <c r="O1112" s="262"/>
    </row>
    <row r="1113" spans="1:16">
      <c r="A1113" s="264">
        <v>1112</v>
      </c>
      <c r="B1113" s="257">
        <v>45868</v>
      </c>
      <c r="C1113" s="283" t="s">
        <v>1976</v>
      </c>
      <c r="F1113" s="283" t="s">
        <v>1124</v>
      </c>
      <c r="M1113" s="258">
        <v>-1705000</v>
      </c>
      <c r="O1113" s="262"/>
    </row>
    <row r="1114" spans="1:16">
      <c r="A1114" s="264">
        <v>1113</v>
      </c>
      <c r="B1114" s="257">
        <v>45868</v>
      </c>
      <c r="C1114" s="283" t="s">
        <v>2787</v>
      </c>
      <c r="F1114" s="283" t="s">
        <v>1124</v>
      </c>
      <c r="M1114" s="258">
        <v>-250000</v>
      </c>
      <c r="O1114" s="262"/>
    </row>
    <row r="1115" spans="1:16">
      <c r="A1115" s="264">
        <v>1114</v>
      </c>
      <c r="B1115" s="257">
        <v>45868</v>
      </c>
      <c r="C1115" s="283" t="s">
        <v>3076</v>
      </c>
      <c r="F1115" s="283" t="s">
        <v>1124</v>
      </c>
      <c r="M1115" s="258">
        <v>-1320000</v>
      </c>
      <c r="O1115" s="262"/>
    </row>
    <row r="1116" spans="1:16">
      <c r="A1116" s="264">
        <v>1115</v>
      </c>
      <c r="B1116" s="257">
        <v>45869</v>
      </c>
      <c r="C1116" s="283" t="s">
        <v>1451</v>
      </c>
      <c r="F1116" s="283" t="s">
        <v>1124</v>
      </c>
      <c r="M1116" s="258">
        <v>-50000</v>
      </c>
      <c r="O1116" s="262"/>
    </row>
    <row r="1117" spans="1:16">
      <c r="A1117" s="264">
        <v>1116</v>
      </c>
      <c r="B1117" s="257">
        <v>45869</v>
      </c>
      <c r="C1117" s="283" t="s">
        <v>1082</v>
      </c>
      <c r="F1117" s="283" t="s">
        <v>1124</v>
      </c>
      <c r="M1117" s="258">
        <v>-900000</v>
      </c>
      <c r="O1117" s="262"/>
    </row>
    <row r="1118" spans="1:16">
      <c r="A1118" s="264">
        <v>1117</v>
      </c>
      <c r="B1118" s="257">
        <v>45869</v>
      </c>
      <c r="C1118" s="283" t="s">
        <v>2318</v>
      </c>
      <c r="F1118" s="283" t="s">
        <v>1124</v>
      </c>
      <c r="M1118" s="258">
        <v>-1650000</v>
      </c>
      <c r="O1118" s="262"/>
    </row>
    <row r="1119" spans="1:16">
      <c r="A1119" s="264">
        <v>1118</v>
      </c>
      <c r="B1119" s="257">
        <v>45869</v>
      </c>
      <c r="C1119" s="283" t="s">
        <v>1472</v>
      </c>
      <c r="F1119" s="283" t="s">
        <v>2179</v>
      </c>
      <c r="G1119" s="262" t="s">
        <v>1200</v>
      </c>
      <c r="H1119" s="258">
        <v>1500000</v>
      </c>
      <c r="I1119" s="262">
        <v>1</v>
      </c>
      <c r="L1119" s="258">
        <v>1500000</v>
      </c>
      <c r="O1119" s="262"/>
      <c r="P1119" s="262" t="s">
        <v>2861</v>
      </c>
    </row>
    <row r="1120" spans="1:16">
      <c r="A1120" s="264">
        <v>1119</v>
      </c>
      <c r="B1120" s="257">
        <v>45869</v>
      </c>
      <c r="C1120" s="283" t="s">
        <v>1789</v>
      </c>
      <c r="F1120" s="283" t="s">
        <v>2179</v>
      </c>
      <c r="G1120" s="262" t="s">
        <v>1200</v>
      </c>
      <c r="H1120" s="258">
        <v>1500000</v>
      </c>
      <c r="I1120" s="262">
        <v>1</v>
      </c>
      <c r="L1120" s="258">
        <v>1500000</v>
      </c>
      <c r="O1120" s="262"/>
      <c r="P1120" s="262" t="s">
        <v>2861</v>
      </c>
    </row>
    <row r="1121" spans="1:16">
      <c r="A1121" s="264">
        <v>1120</v>
      </c>
      <c r="B1121" s="257">
        <v>45869</v>
      </c>
      <c r="C1121" s="283" t="s">
        <v>1789</v>
      </c>
      <c r="F1121" s="283" t="s">
        <v>2180</v>
      </c>
      <c r="G1121" s="262" t="s">
        <v>1802</v>
      </c>
      <c r="H1121" s="258">
        <v>50000</v>
      </c>
      <c r="I1121" s="262">
        <v>1</v>
      </c>
      <c r="L1121" s="258">
        <v>50000</v>
      </c>
      <c r="O1121" s="262"/>
      <c r="P1121" s="262" t="s">
        <v>2861</v>
      </c>
    </row>
    <row r="1122" spans="1:16">
      <c r="A1122" s="264">
        <v>1121</v>
      </c>
      <c r="B1122" s="257">
        <v>45869</v>
      </c>
      <c r="C1122" s="283" t="s">
        <v>1497</v>
      </c>
      <c r="F1122" s="283" t="s">
        <v>1202</v>
      </c>
      <c r="G1122" s="262" t="s">
        <v>1751</v>
      </c>
      <c r="H1122" s="258">
        <v>1200000</v>
      </c>
      <c r="I1122" s="262">
        <v>1</v>
      </c>
      <c r="L1122" s="258">
        <v>1200000</v>
      </c>
      <c r="O1122" s="262"/>
      <c r="P1122" s="262" t="s">
        <v>2861</v>
      </c>
    </row>
    <row r="1123" spans="1:16">
      <c r="A1123" s="264">
        <v>1122</v>
      </c>
      <c r="B1123" s="257">
        <v>45869</v>
      </c>
      <c r="C1123" s="283" t="s">
        <v>1497</v>
      </c>
      <c r="F1123" s="283" t="s">
        <v>1518</v>
      </c>
      <c r="H1123" s="258">
        <v>20000</v>
      </c>
      <c r="I1123" s="262">
        <v>1</v>
      </c>
      <c r="L1123" s="258">
        <v>20000</v>
      </c>
      <c r="O1123" s="262"/>
      <c r="P1123" s="262" t="s">
        <v>2861</v>
      </c>
    </row>
    <row r="1124" spans="1:16">
      <c r="A1124" s="264">
        <v>1123</v>
      </c>
      <c r="B1124" s="257">
        <v>45869</v>
      </c>
      <c r="C1124" s="283" t="s">
        <v>1670</v>
      </c>
      <c r="F1124" s="283" t="s">
        <v>2564</v>
      </c>
      <c r="G1124" s="262" t="s">
        <v>2563</v>
      </c>
      <c r="H1124" s="258">
        <v>1000000</v>
      </c>
      <c r="I1124" s="262">
        <v>1</v>
      </c>
      <c r="K1124" s="259">
        <v>100000</v>
      </c>
      <c r="L1124" s="258">
        <v>1100000</v>
      </c>
      <c r="O1124" s="262"/>
      <c r="P1124" s="262" t="s">
        <v>2861</v>
      </c>
    </row>
    <row r="1125" spans="1:16">
      <c r="A1125" s="264">
        <v>1124</v>
      </c>
      <c r="B1125" s="257">
        <v>45869</v>
      </c>
      <c r="C1125" s="283" t="s">
        <v>1579</v>
      </c>
      <c r="F1125" s="283" t="s">
        <v>1265</v>
      </c>
      <c r="G1125" s="262" t="s">
        <v>1264</v>
      </c>
      <c r="H1125" s="258">
        <v>50000</v>
      </c>
      <c r="I1125" s="262">
        <v>1</v>
      </c>
      <c r="K1125" s="259">
        <v>5000</v>
      </c>
      <c r="L1125" s="258">
        <v>55000</v>
      </c>
      <c r="O1125" s="262"/>
      <c r="P1125" s="262" t="s">
        <v>2861</v>
      </c>
    </row>
    <row r="1126" spans="1:16">
      <c r="A1126" s="264">
        <v>1125</v>
      </c>
      <c r="B1126" s="257">
        <v>45869</v>
      </c>
      <c r="C1126" s="283" t="s">
        <v>1398</v>
      </c>
      <c r="F1126" s="283" t="s">
        <v>1124</v>
      </c>
      <c r="M1126" s="258">
        <v>-9010000</v>
      </c>
      <c r="O1126" s="262"/>
    </row>
    <row r="1127" spans="1:16">
      <c r="A1127" s="264">
        <v>1126</v>
      </c>
      <c r="B1127" s="257">
        <v>45869</v>
      </c>
      <c r="C1127" s="283" t="s">
        <v>1860</v>
      </c>
      <c r="F1127" s="283" t="s">
        <v>1124</v>
      </c>
      <c r="M1127" s="258">
        <v>-1550000</v>
      </c>
      <c r="O1127" s="262"/>
    </row>
    <row r="1128" spans="1:16">
      <c r="A1128" s="264">
        <v>1127</v>
      </c>
      <c r="B1128" s="257">
        <v>45869</v>
      </c>
      <c r="C1128" s="283" t="s">
        <v>1553</v>
      </c>
      <c r="F1128" s="283" t="s">
        <v>1124</v>
      </c>
      <c r="M1128" s="258">
        <v>-275000</v>
      </c>
      <c r="O1128" s="262"/>
    </row>
    <row r="1129" spans="1:16">
      <c r="A1129" s="264">
        <v>1128</v>
      </c>
      <c r="B1129" s="257">
        <v>45869</v>
      </c>
      <c r="C1129" s="283" t="s">
        <v>1497</v>
      </c>
      <c r="F1129" s="283" t="s">
        <v>1124</v>
      </c>
      <c r="M1129" s="258">
        <v>-1220000</v>
      </c>
      <c r="O1129" s="262"/>
    </row>
    <row r="1130" spans="1:16">
      <c r="A1130" s="264">
        <v>1129</v>
      </c>
      <c r="B1130" s="257">
        <v>45870</v>
      </c>
      <c r="C1130" s="283" t="s">
        <v>1576</v>
      </c>
      <c r="F1130" s="283" t="s">
        <v>1124</v>
      </c>
      <c r="M1130" s="258">
        <v>-2835000</v>
      </c>
      <c r="O1130" s="262"/>
    </row>
    <row r="1131" spans="1:16">
      <c r="A1131" s="264">
        <v>1130</v>
      </c>
      <c r="B1131" s="257">
        <v>45870</v>
      </c>
      <c r="C1131" s="283" t="s">
        <v>1146</v>
      </c>
      <c r="F1131" s="283" t="s">
        <v>1124</v>
      </c>
      <c r="M1131" s="258">
        <v>-4750000</v>
      </c>
      <c r="O1131" s="262"/>
    </row>
    <row r="1132" spans="1:16">
      <c r="A1132" s="264">
        <v>1131</v>
      </c>
      <c r="B1132" s="257">
        <v>45870</v>
      </c>
      <c r="C1132" s="283" t="s">
        <v>1472</v>
      </c>
      <c r="F1132" s="283" t="s">
        <v>2186</v>
      </c>
      <c r="G1132" s="262" t="s">
        <v>1206</v>
      </c>
      <c r="H1132" s="258">
        <v>500000</v>
      </c>
      <c r="I1132" s="262">
        <v>1</v>
      </c>
      <c r="L1132" s="258">
        <v>500000</v>
      </c>
      <c r="O1132" s="262"/>
    </row>
    <row r="1133" spans="1:16">
      <c r="A1133" s="264">
        <v>1132</v>
      </c>
      <c r="B1133" s="257">
        <v>45870</v>
      </c>
      <c r="C1133" s="283" t="s">
        <v>3092</v>
      </c>
      <c r="F1133" s="283" t="s">
        <v>1204</v>
      </c>
      <c r="G1133" s="262" t="s">
        <v>1203</v>
      </c>
      <c r="H1133" s="258">
        <v>1250000</v>
      </c>
      <c r="I1133" s="262">
        <v>1</v>
      </c>
      <c r="K1133" s="259">
        <v>125000</v>
      </c>
      <c r="L1133" s="258">
        <v>1375000</v>
      </c>
      <c r="O1133" s="262"/>
    </row>
    <row r="1134" spans="1:16">
      <c r="A1134" s="264">
        <v>1133</v>
      </c>
      <c r="B1134" s="257">
        <v>45870</v>
      </c>
      <c r="C1134" s="283" t="s">
        <v>1941</v>
      </c>
      <c r="F1134" s="283" t="s">
        <v>2179</v>
      </c>
      <c r="G1134" s="262" t="s">
        <v>1200</v>
      </c>
      <c r="H1134" s="258">
        <v>1600000</v>
      </c>
      <c r="I1134" s="262">
        <v>1</v>
      </c>
      <c r="L1134" s="258">
        <v>1600000</v>
      </c>
      <c r="O1134" s="262"/>
    </row>
    <row r="1135" spans="1:16">
      <c r="A1135" s="264">
        <v>1134</v>
      </c>
      <c r="B1135" s="257">
        <v>45870</v>
      </c>
      <c r="C1135" s="283" t="s">
        <v>1941</v>
      </c>
      <c r="F1135" s="283" t="s">
        <v>2180</v>
      </c>
      <c r="G1135" s="262" t="s">
        <v>1802</v>
      </c>
      <c r="H1135" s="258">
        <v>50000</v>
      </c>
      <c r="I1135" s="262">
        <v>1</v>
      </c>
      <c r="L1135" s="258">
        <v>50000</v>
      </c>
      <c r="O1135" s="262"/>
    </row>
    <row r="1136" spans="1:16">
      <c r="A1136" s="264">
        <v>1135</v>
      </c>
      <c r="B1136" s="257">
        <v>45870</v>
      </c>
      <c r="C1136" s="283" t="s">
        <v>1398</v>
      </c>
      <c r="F1136" s="283" t="s">
        <v>2179</v>
      </c>
      <c r="G1136" s="262" t="s">
        <v>1200</v>
      </c>
      <c r="H1136" s="258">
        <v>1500000</v>
      </c>
      <c r="I1136" s="262">
        <v>1</v>
      </c>
      <c r="L1136" s="258">
        <v>1500000</v>
      </c>
      <c r="O1136" s="262"/>
    </row>
    <row r="1137" spans="1:15">
      <c r="A1137" s="264">
        <v>1136</v>
      </c>
      <c r="B1137" s="257">
        <v>45870</v>
      </c>
      <c r="C1137" s="283" t="s">
        <v>1398</v>
      </c>
      <c r="F1137" s="283" t="s">
        <v>2180</v>
      </c>
      <c r="G1137" s="262" t="s">
        <v>1802</v>
      </c>
      <c r="H1137" s="258">
        <v>50000</v>
      </c>
      <c r="I1137" s="262">
        <v>1</v>
      </c>
      <c r="L1137" s="258">
        <v>50000</v>
      </c>
      <c r="O1137" s="262"/>
    </row>
    <row r="1138" spans="1:15">
      <c r="A1138" s="264">
        <v>1137</v>
      </c>
      <c r="B1138" s="257">
        <v>45870</v>
      </c>
      <c r="C1138" s="283" t="s">
        <v>1540</v>
      </c>
      <c r="F1138" s="283" t="s">
        <v>1124</v>
      </c>
      <c r="M1138" s="258">
        <v>-3785000</v>
      </c>
      <c r="O1138" s="262"/>
    </row>
    <row r="1139" spans="1:15">
      <c r="A1139" s="264">
        <v>1138</v>
      </c>
      <c r="B1139" s="257">
        <v>45870</v>
      </c>
      <c r="C1139" s="283" t="s">
        <v>1941</v>
      </c>
      <c r="F1139" s="283" t="s">
        <v>1124</v>
      </c>
      <c r="M1139" s="258">
        <v>-1650000</v>
      </c>
      <c r="O1139" s="262"/>
    </row>
    <row r="1140" spans="1:15">
      <c r="A1140" s="264">
        <v>1139</v>
      </c>
      <c r="B1140" s="257">
        <v>45870</v>
      </c>
      <c r="C1140" s="283" t="s">
        <v>1472</v>
      </c>
      <c r="F1140" s="283" t="s">
        <v>1124</v>
      </c>
      <c r="M1140" s="258">
        <v>-2000000</v>
      </c>
      <c r="O1140" s="262"/>
    </row>
    <row r="1141" spans="1:15">
      <c r="A1141" s="264">
        <v>1140</v>
      </c>
      <c r="B1141" s="257">
        <v>45870</v>
      </c>
      <c r="C1141" s="283" t="s">
        <v>3092</v>
      </c>
      <c r="F1141" s="283" t="s">
        <v>1124</v>
      </c>
      <c r="M1141" s="258">
        <v>-1375000</v>
      </c>
      <c r="O1141" s="262"/>
    </row>
    <row r="1142" spans="1:15">
      <c r="A1142" s="264">
        <v>1141</v>
      </c>
      <c r="B1142" s="257">
        <v>45868</v>
      </c>
      <c r="C1142" s="283" t="s">
        <v>1721</v>
      </c>
      <c r="F1142" s="283" t="s">
        <v>1715</v>
      </c>
      <c r="G1142" s="262" t="s">
        <v>1714</v>
      </c>
      <c r="H1142" s="258">
        <v>15000</v>
      </c>
      <c r="I1142" s="262">
        <v>3</v>
      </c>
      <c r="L1142" s="258">
        <v>45000</v>
      </c>
      <c r="O1142" s="262"/>
    </row>
    <row r="1143" spans="1:15">
      <c r="A1143" s="264">
        <v>1142</v>
      </c>
      <c r="B1143" s="257">
        <v>45871</v>
      </c>
      <c r="C1143" s="283" t="s">
        <v>1329</v>
      </c>
      <c r="F1143" s="283" t="s">
        <v>3109</v>
      </c>
      <c r="M1143" s="258">
        <v>-1300000</v>
      </c>
      <c r="O1143" s="262"/>
    </row>
    <row r="1144" spans="1:15">
      <c r="A1144" s="264">
        <v>1143</v>
      </c>
      <c r="B1144" s="257">
        <v>45873</v>
      </c>
      <c r="C1144" s="283" t="s">
        <v>1472</v>
      </c>
      <c r="F1144" s="283" t="s">
        <v>1124</v>
      </c>
      <c r="M1144" s="258">
        <v>-500000</v>
      </c>
      <c r="O1144" s="262"/>
    </row>
    <row r="1145" spans="1:15">
      <c r="A1145" s="264">
        <v>1144</v>
      </c>
      <c r="B1145" s="257">
        <v>45873</v>
      </c>
      <c r="C1145" s="283" t="s">
        <v>1808</v>
      </c>
      <c r="F1145" s="283" t="s">
        <v>1124</v>
      </c>
      <c r="M1145" s="258">
        <v>-1550000</v>
      </c>
      <c r="O1145" s="262"/>
    </row>
    <row r="1146" spans="1:15">
      <c r="A1146" s="264">
        <v>1145</v>
      </c>
      <c r="B1146" s="257">
        <v>45873</v>
      </c>
      <c r="C1146" s="283" t="s">
        <v>1804</v>
      </c>
      <c r="F1146" s="283" t="s">
        <v>1124</v>
      </c>
      <c r="M1146" s="258">
        <v>-1980000</v>
      </c>
      <c r="O1146" s="262"/>
    </row>
    <row r="1147" spans="1:15">
      <c r="A1147" s="264">
        <v>1146</v>
      </c>
      <c r="B1147" s="257">
        <v>45873</v>
      </c>
      <c r="C1147" s="283" t="s">
        <v>1472</v>
      </c>
      <c r="F1147" s="283" t="s">
        <v>2179</v>
      </c>
      <c r="G1147" s="262" t="s">
        <v>1200</v>
      </c>
      <c r="H1147" s="258">
        <v>1500000</v>
      </c>
      <c r="I1147" s="262">
        <v>1</v>
      </c>
      <c r="L1147" s="258">
        <v>1500000</v>
      </c>
      <c r="O1147" s="262"/>
    </row>
    <row r="1148" spans="1:15">
      <c r="A1148" s="264">
        <v>1147</v>
      </c>
      <c r="B1148" s="257">
        <v>45873</v>
      </c>
      <c r="C1148" s="283" t="s">
        <v>1472</v>
      </c>
      <c r="F1148" s="283" t="s">
        <v>2179</v>
      </c>
      <c r="G1148" s="262" t="s">
        <v>1200</v>
      </c>
      <c r="H1148" s="258">
        <v>1500000</v>
      </c>
      <c r="I1148" s="262">
        <v>1</v>
      </c>
      <c r="L1148" s="258">
        <v>1500000</v>
      </c>
      <c r="O1148" s="262"/>
    </row>
    <row r="1149" spans="1:15">
      <c r="A1149" s="264">
        <v>1148</v>
      </c>
      <c r="B1149" s="257">
        <v>45873</v>
      </c>
      <c r="C1149" s="283" t="s">
        <v>2147</v>
      </c>
      <c r="F1149" s="283" t="s">
        <v>1716</v>
      </c>
      <c r="G1149" s="262">
        <v>2800802</v>
      </c>
      <c r="H1149" s="258">
        <v>150000</v>
      </c>
      <c r="I1149" s="262">
        <v>1</v>
      </c>
      <c r="L1149" s="258">
        <v>150000</v>
      </c>
      <c r="O1149" s="262"/>
    </row>
    <row r="1150" spans="1:15">
      <c r="A1150" s="264">
        <v>1149</v>
      </c>
      <c r="B1150" s="257">
        <v>45873</v>
      </c>
      <c r="C1150" s="283" t="s">
        <v>1015</v>
      </c>
      <c r="F1150" s="283" t="s">
        <v>1858</v>
      </c>
      <c r="G1150" s="262" t="s">
        <v>3672</v>
      </c>
      <c r="H1150" s="258">
        <v>1100000</v>
      </c>
      <c r="I1150" s="262">
        <v>1</v>
      </c>
      <c r="K1150" s="259">
        <v>110000</v>
      </c>
      <c r="L1150" s="258">
        <v>1210000</v>
      </c>
      <c r="O1150" s="262"/>
    </row>
    <row r="1151" spans="1:15">
      <c r="A1151" s="264">
        <v>1150</v>
      </c>
      <c r="B1151" s="257">
        <v>45874</v>
      </c>
      <c r="C1151" s="283" t="s">
        <v>1746</v>
      </c>
      <c r="F1151" s="283" t="s">
        <v>1745</v>
      </c>
      <c r="M1151" s="258">
        <v>-3212000</v>
      </c>
      <c r="O1151" s="262"/>
    </row>
    <row r="1152" spans="1:15">
      <c r="A1152" s="264">
        <v>1151</v>
      </c>
      <c r="B1152" s="257">
        <v>45874</v>
      </c>
      <c r="C1152" s="283" t="s">
        <v>1746</v>
      </c>
      <c r="F1152" s="283" t="s">
        <v>2189</v>
      </c>
      <c r="G1152" s="262">
        <v>50229</v>
      </c>
      <c r="H1152" s="258">
        <v>75000</v>
      </c>
      <c r="I1152" s="262">
        <v>2</v>
      </c>
      <c r="K1152" s="259">
        <v>15000</v>
      </c>
      <c r="L1152" s="258">
        <v>165000</v>
      </c>
      <c r="O1152" s="262"/>
    </row>
    <row r="1153" spans="1:15">
      <c r="A1153" s="264">
        <v>1152</v>
      </c>
      <c r="B1153" s="257">
        <v>45874</v>
      </c>
      <c r="C1153" s="283" t="s">
        <v>1746</v>
      </c>
      <c r="F1153" s="283" t="s">
        <v>2190</v>
      </c>
      <c r="G1153" s="262" t="s">
        <v>1794</v>
      </c>
      <c r="H1153" s="258">
        <v>35000</v>
      </c>
      <c r="I1153" s="262">
        <v>1</v>
      </c>
      <c r="K1153" s="259">
        <v>3500</v>
      </c>
      <c r="L1153" s="258">
        <v>38500</v>
      </c>
      <c r="O1153" s="262"/>
    </row>
    <row r="1154" spans="1:15">
      <c r="A1154" s="264">
        <v>1153</v>
      </c>
      <c r="B1154" s="257">
        <v>45874</v>
      </c>
      <c r="C1154" s="283" t="s">
        <v>2144</v>
      </c>
      <c r="F1154" s="283" t="s">
        <v>2838</v>
      </c>
      <c r="G1154" s="262" t="s">
        <v>2748</v>
      </c>
      <c r="H1154" s="258">
        <v>129000</v>
      </c>
      <c r="I1154" s="262">
        <v>1</v>
      </c>
      <c r="L1154" s="258">
        <v>129000</v>
      </c>
      <c r="O1154" s="262"/>
    </row>
    <row r="1155" spans="1:15">
      <c r="A1155" s="264">
        <v>1154</v>
      </c>
      <c r="B1155" s="257">
        <v>45874</v>
      </c>
      <c r="C1155" s="283" t="s">
        <v>1466</v>
      </c>
      <c r="F1155" s="283" t="s">
        <v>2193</v>
      </c>
      <c r="H1155" s="258">
        <v>600000</v>
      </c>
      <c r="I1155" s="262">
        <v>1</v>
      </c>
      <c r="K1155" s="259">
        <v>60000</v>
      </c>
      <c r="L1155" s="258">
        <v>660000</v>
      </c>
      <c r="O1155" s="262"/>
    </row>
    <row r="1156" spans="1:15">
      <c r="A1156" s="264">
        <v>1155</v>
      </c>
      <c r="B1156" s="257">
        <v>45874</v>
      </c>
      <c r="C1156" s="283" t="s">
        <v>1595</v>
      </c>
      <c r="F1156" s="283" t="s">
        <v>1204</v>
      </c>
      <c r="G1156" s="262" t="s">
        <v>1205</v>
      </c>
      <c r="H1156" s="258">
        <v>1200000</v>
      </c>
      <c r="I1156" s="262">
        <v>1</v>
      </c>
      <c r="K1156" s="259">
        <v>120000</v>
      </c>
      <c r="L1156" s="258">
        <v>1320000</v>
      </c>
      <c r="O1156" s="262"/>
    </row>
    <row r="1157" spans="1:15">
      <c r="A1157" s="264">
        <v>1156</v>
      </c>
      <c r="B1157" s="257">
        <v>45874</v>
      </c>
      <c r="C1157" s="283" t="s">
        <v>2408</v>
      </c>
      <c r="F1157" s="283" t="s">
        <v>2416</v>
      </c>
      <c r="G1157" s="262" t="s">
        <v>2746</v>
      </c>
      <c r="H1157" s="258">
        <v>1100000</v>
      </c>
      <c r="I1157" s="262">
        <v>1</v>
      </c>
      <c r="K1157" s="259">
        <v>110000</v>
      </c>
      <c r="L1157" s="258">
        <v>1210000</v>
      </c>
      <c r="O1157" s="262"/>
    </row>
    <row r="1158" spans="1:15">
      <c r="A1158" s="264">
        <v>1157</v>
      </c>
      <c r="B1158" s="257">
        <v>45874</v>
      </c>
      <c r="C1158" s="283" t="s">
        <v>3114</v>
      </c>
      <c r="F1158" s="283" t="s">
        <v>2195</v>
      </c>
      <c r="G1158" s="262">
        <v>2820403</v>
      </c>
      <c r="H1158" s="258">
        <v>1500000</v>
      </c>
      <c r="I1158" s="262">
        <v>1</v>
      </c>
      <c r="L1158" s="258">
        <v>1500000</v>
      </c>
      <c r="O1158" s="262"/>
    </row>
    <row r="1159" spans="1:15">
      <c r="A1159" s="264">
        <v>1158</v>
      </c>
      <c r="B1159" s="257">
        <v>45874</v>
      </c>
      <c r="C1159" s="283" t="s">
        <v>1398</v>
      </c>
      <c r="F1159" s="283" t="s">
        <v>1202</v>
      </c>
      <c r="G1159" s="262" t="s">
        <v>1751</v>
      </c>
      <c r="H1159" s="258">
        <v>1200000</v>
      </c>
      <c r="I1159" s="262">
        <v>1</v>
      </c>
      <c r="L1159" s="258">
        <v>1200000</v>
      </c>
      <c r="O1159" s="262"/>
    </row>
    <row r="1160" spans="1:15">
      <c r="A1160" s="264">
        <v>1159</v>
      </c>
      <c r="B1160" s="257">
        <v>45874</v>
      </c>
      <c r="C1160" s="283" t="s">
        <v>1398</v>
      </c>
      <c r="F1160" s="283" t="s">
        <v>2186</v>
      </c>
      <c r="G1160" s="262" t="s">
        <v>1206</v>
      </c>
      <c r="H1160" s="258">
        <v>510000</v>
      </c>
      <c r="I1160" s="262">
        <v>1</v>
      </c>
      <c r="L1160" s="258">
        <v>510000</v>
      </c>
      <c r="O1160" s="262"/>
    </row>
    <row r="1161" spans="1:15">
      <c r="A1161" s="264">
        <v>1160</v>
      </c>
      <c r="B1161" s="257">
        <v>45874</v>
      </c>
      <c r="C1161" s="283" t="s">
        <v>1398</v>
      </c>
      <c r="F1161" s="283" t="s">
        <v>2190</v>
      </c>
      <c r="G1161" s="262" t="s">
        <v>1794</v>
      </c>
      <c r="H1161" s="258">
        <v>30000</v>
      </c>
      <c r="I1161" s="262">
        <v>1</v>
      </c>
      <c r="L1161" s="258">
        <v>30000</v>
      </c>
      <c r="O1161" s="262"/>
    </row>
    <row r="1162" spans="1:15">
      <c r="A1162" s="264">
        <v>1161</v>
      </c>
      <c r="B1162" s="257">
        <v>45874</v>
      </c>
      <c r="C1162" s="283" t="s">
        <v>1976</v>
      </c>
      <c r="F1162" s="283" t="s">
        <v>1202</v>
      </c>
      <c r="G1162" s="262" t="s">
        <v>1751</v>
      </c>
      <c r="H1162" s="258">
        <v>1200000</v>
      </c>
      <c r="I1162" s="262">
        <v>1</v>
      </c>
      <c r="K1162" s="259">
        <v>120000</v>
      </c>
      <c r="L1162" s="258">
        <v>1320000</v>
      </c>
      <c r="O1162" s="262"/>
    </row>
    <row r="1163" spans="1:15">
      <c r="A1163" s="264">
        <v>1162</v>
      </c>
      <c r="B1163" s="257">
        <v>45874</v>
      </c>
      <c r="C1163" s="283" t="s">
        <v>1976</v>
      </c>
      <c r="F1163" s="283" t="s">
        <v>3115</v>
      </c>
      <c r="G1163" s="262" t="s">
        <v>1751</v>
      </c>
      <c r="H1163" s="258">
        <v>25000</v>
      </c>
      <c r="I1163" s="262">
        <v>1</v>
      </c>
      <c r="L1163" s="258">
        <v>25000</v>
      </c>
      <c r="O1163" s="262"/>
    </row>
    <row r="1164" spans="1:15">
      <c r="A1164" s="264">
        <v>1163</v>
      </c>
      <c r="B1164" s="257">
        <v>45874</v>
      </c>
      <c r="C1164" s="283" t="s">
        <v>1553</v>
      </c>
      <c r="F1164" s="283" t="s">
        <v>3116</v>
      </c>
      <c r="H1164" s="258">
        <v>1200000</v>
      </c>
      <c r="I1164" s="262">
        <v>1</v>
      </c>
      <c r="K1164" s="259">
        <v>120000</v>
      </c>
      <c r="L1164" s="258">
        <v>1320000</v>
      </c>
      <c r="O1164" s="262"/>
    </row>
    <row r="1165" spans="1:15">
      <c r="A1165" s="264">
        <v>1164</v>
      </c>
      <c r="B1165" s="257">
        <v>45874</v>
      </c>
      <c r="C1165" s="283" t="s">
        <v>1553</v>
      </c>
      <c r="F1165" s="283" t="s">
        <v>3117</v>
      </c>
      <c r="H1165" s="258">
        <v>50000</v>
      </c>
      <c r="I1165" s="262">
        <v>1</v>
      </c>
      <c r="K1165" s="259">
        <v>5000</v>
      </c>
      <c r="L1165" s="258">
        <v>55000</v>
      </c>
      <c r="O1165" s="262"/>
    </row>
    <row r="1166" spans="1:15">
      <c r="A1166" s="264">
        <v>1165</v>
      </c>
      <c r="B1166" s="257">
        <v>45874</v>
      </c>
      <c r="C1166" s="283" t="s">
        <v>1553</v>
      </c>
      <c r="F1166" s="283" t="s">
        <v>3118</v>
      </c>
      <c r="H1166" s="258">
        <v>20000</v>
      </c>
      <c r="I1166" s="262">
        <v>1</v>
      </c>
      <c r="K1166" s="259">
        <v>2000</v>
      </c>
      <c r="L1166" s="258">
        <v>22000</v>
      </c>
      <c r="O1166" s="262"/>
    </row>
    <row r="1167" spans="1:15">
      <c r="A1167" s="264">
        <v>1166</v>
      </c>
      <c r="B1167" s="257">
        <v>45874</v>
      </c>
      <c r="C1167" s="283" t="s">
        <v>1443</v>
      </c>
      <c r="F1167" s="283" t="s">
        <v>2179</v>
      </c>
      <c r="G1167" s="262" t="s">
        <v>1200</v>
      </c>
      <c r="H1167" s="258">
        <v>1500000</v>
      </c>
      <c r="I1167" s="262">
        <v>1</v>
      </c>
      <c r="L1167" s="258">
        <v>1500000</v>
      </c>
      <c r="O1167" s="262"/>
    </row>
    <row r="1168" spans="1:15">
      <c r="A1168" s="264">
        <v>1167</v>
      </c>
      <c r="B1168" s="257">
        <v>45874</v>
      </c>
      <c r="C1168" s="283" t="s">
        <v>1443</v>
      </c>
      <c r="F1168" s="283" t="s">
        <v>2180</v>
      </c>
      <c r="G1168" s="262" t="s">
        <v>1802</v>
      </c>
      <c r="H1168" s="258">
        <v>50000</v>
      </c>
      <c r="I1168" s="262">
        <v>1</v>
      </c>
      <c r="L1168" s="258">
        <v>50000</v>
      </c>
      <c r="O1168" s="262"/>
    </row>
    <row r="1169" spans="1:15">
      <c r="A1169" s="264">
        <v>1168</v>
      </c>
      <c r="B1169" s="257">
        <v>45874</v>
      </c>
      <c r="C1169" s="283" t="s">
        <v>1976</v>
      </c>
      <c r="F1169" s="283" t="s">
        <v>1124</v>
      </c>
      <c r="M1169" s="258">
        <v>-1345000</v>
      </c>
      <c r="O1169" s="262"/>
    </row>
    <row r="1170" spans="1:15">
      <c r="A1170" s="264">
        <v>1169</v>
      </c>
      <c r="B1170" s="257">
        <v>45874</v>
      </c>
      <c r="C1170" s="283" t="s">
        <v>3114</v>
      </c>
      <c r="F1170" s="283" t="s">
        <v>1124</v>
      </c>
      <c r="M1170" s="258">
        <v>-1500000</v>
      </c>
      <c r="O1170" s="262"/>
    </row>
    <row r="1171" spans="1:15">
      <c r="A1171" s="264">
        <v>1170</v>
      </c>
      <c r="B1171" s="257">
        <v>45874</v>
      </c>
      <c r="C1171" s="283" t="s">
        <v>2147</v>
      </c>
      <c r="F1171" s="283" t="s">
        <v>1124</v>
      </c>
      <c r="M1171" s="258">
        <v>-150000</v>
      </c>
      <c r="O1171" s="262"/>
    </row>
    <row r="1172" spans="1:15">
      <c r="A1172" s="264">
        <v>1171</v>
      </c>
      <c r="B1172" s="257">
        <v>45874</v>
      </c>
      <c r="C1172" s="283" t="s">
        <v>1472</v>
      </c>
      <c r="F1172" s="283" t="s">
        <v>1124</v>
      </c>
      <c r="M1172" s="258">
        <v>-3000000</v>
      </c>
      <c r="O1172" s="262"/>
    </row>
    <row r="1173" spans="1:15">
      <c r="A1173" s="264">
        <v>1172</v>
      </c>
      <c r="B1173" s="257">
        <v>45875</v>
      </c>
      <c r="C1173" s="283" t="s">
        <v>2408</v>
      </c>
      <c r="F1173" s="283" t="s">
        <v>1124</v>
      </c>
      <c r="M1173" s="258">
        <v>-1210000</v>
      </c>
      <c r="O1173" s="262"/>
    </row>
    <row r="1174" spans="1:15">
      <c r="A1174" s="264">
        <v>1173</v>
      </c>
      <c r="B1174" s="257">
        <v>45875</v>
      </c>
      <c r="C1174" s="283" t="s">
        <v>1493</v>
      </c>
      <c r="F1174" s="283" t="s">
        <v>1202</v>
      </c>
      <c r="G1174" s="262" t="s">
        <v>1751</v>
      </c>
      <c r="H1174" s="258">
        <v>1200000</v>
      </c>
      <c r="I1174" s="262">
        <v>1</v>
      </c>
      <c r="L1174" s="258">
        <v>1200000</v>
      </c>
      <c r="O1174" s="262"/>
    </row>
    <row r="1175" spans="1:15">
      <c r="A1175" s="264">
        <v>1174</v>
      </c>
      <c r="B1175" s="257">
        <v>45875</v>
      </c>
      <c r="C1175" s="283" t="s">
        <v>1026</v>
      </c>
      <c r="F1175" s="283" t="s">
        <v>2111</v>
      </c>
      <c r="G1175" s="262" t="s">
        <v>2580</v>
      </c>
      <c r="H1175" s="258">
        <v>70000</v>
      </c>
      <c r="I1175" s="262">
        <v>1</v>
      </c>
      <c r="L1175" s="258">
        <v>70000</v>
      </c>
      <c r="O1175" s="262"/>
    </row>
    <row r="1176" spans="1:15">
      <c r="A1176" s="264">
        <v>1175</v>
      </c>
      <c r="B1176" s="257">
        <v>45875</v>
      </c>
      <c r="C1176" s="283" t="s">
        <v>3119</v>
      </c>
      <c r="F1176" s="283" t="s">
        <v>2179</v>
      </c>
      <c r="G1176" s="262" t="s">
        <v>1200</v>
      </c>
      <c r="H1176" s="258">
        <v>1500000</v>
      </c>
      <c r="I1176" s="262">
        <v>1</v>
      </c>
      <c r="K1176" s="259">
        <v>150000</v>
      </c>
      <c r="L1176" s="258">
        <v>1650000</v>
      </c>
      <c r="O1176" s="262"/>
    </row>
    <row r="1177" spans="1:15">
      <c r="A1177" s="264">
        <v>1176</v>
      </c>
      <c r="B1177" s="257">
        <v>45875</v>
      </c>
      <c r="C1177" s="283" t="s">
        <v>3119</v>
      </c>
      <c r="F1177" s="283" t="s">
        <v>2180</v>
      </c>
      <c r="G1177" s="262" t="s">
        <v>1802</v>
      </c>
      <c r="H1177" s="258">
        <v>50000</v>
      </c>
      <c r="I1177" s="262">
        <v>1</v>
      </c>
      <c r="K1177" s="259">
        <v>5000</v>
      </c>
      <c r="L1177" s="258">
        <v>55000</v>
      </c>
      <c r="O1177" s="262"/>
    </row>
    <row r="1178" spans="1:15">
      <c r="A1178" s="264">
        <v>1177</v>
      </c>
      <c r="B1178" s="257">
        <v>45875</v>
      </c>
      <c r="C1178" s="283" t="s">
        <v>1146</v>
      </c>
      <c r="F1178" s="283" t="s">
        <v>3132</v>
      </c>
      <c r="H1178" s="258">
        <v>1100000</v>
      </c>
      <c r="I1178" s="262">
        <v>1</v>
      </c>
      <c r="L1178" s="258">
        <v>1100000</v>
      </c>
      <c r="O1178" s="262"/>
    </row>
    <row r="1179" spans="1:15">
      <c r="A1179" s="264">
        <v>1178</v>
      </c>
      <c r="B1179" s="257">
        <v>45875</v>
      </c>
      <c r="C1179" s="283" t="s">
        <v>1808</v>
      </c>
      <c r="F1179" s="283" t="s">
        <v>1495</v>
      </c>
      <c r="G1179" s="262" t="s">
        <v>2677</v>
      </c>
      <c r="H1179" s="258">
        <v>350000</v>
      </c>
      <c r="I1179" s="262">
        <v>1</v>
      </c>
      <c r="L1179" s="258">
        <v>350000</v>
      </c>
      <c r="O1179" s="262"/>
    </row>
    <row r="1180" spans="1:15">
      <c r="A1180" s="264">
        <v>1179</v>
      </c>
      <c r="B1180" s="257">
        <v>45875</v>
      </c>
      <c r="C1180" s="283" t="s">
        <v>1315</v>
      </c>
      <c r="F1180" s="283" t="s">
        <v>1425</v>
      </c>
      <c r="G1180" s="262" t="s">
        <v>3141</v>
      </c>
      <c r="H1180" s="258">
        <v>1300000</v>
      </c>
      <c r="I1180" s="262">
        <v>1</v>
      </c>
      <c r="K1180" s="259" t="s">
        <v>3142</v>
      </c>
      <c r="L1180" s="258">
        <v>1430000</v>
      </c>
      <c r="O1180" s="262"/>
    </row>
    <row r="1181" spans="1:15">
      <c r="A1181" s="264">
        <v>1180</v>
      </c>
      <c r="B1181" s="257">
        <v>45875</v>
      </c>
      <c r="C1181" s="283" t="s">
        <v>2144</v>
      </c>
      <c r="F1181" s="283" t="s">
        <v>2195</v>
      </c>
      <c r="G1181" s="262">
        <v>2820403</v>
      </c>
      <c r="H1181" s="258">
        <v>1600000</v>
      </c>
      <c r="I1181" s="262">
        <v>1</v>
      </c>
      <c r="L1181" s="258">
        <v>1600000</v>
      </c>
      <c r="O1181" s="262"/>
    </row>
    <row r="1182" spans="1:15">
      <c r="A1182" s="264">
        <v>1181</v>
      </c>
      <c r="B1182" s="257">
        <v>45875</v>
      </c>
      <c r="C1182" s="283" t="s">
        <v>2144</v>
      </c>
      <c r="F1182" s="283" t="s">
        <v>2902</v>
      </c>
      <c r="H1182" s="258">
        <v>30000</v>
      </c>
      <c r="I1182" s="262">
        <v>1</v>
      </c>
      <c r="L1182" s="258">
        <v>30000</v>
      </c>
      <c r="O1182" s="262"/>
    </row>
    <row r="1183" spans="1:15">
      <c r="A1183" s="264">
        <v>1182</v>
      </c>
      <c r="B1183" s="257">
        <v>45875</v>
      </c>
      <c r="C1183" s="283" t="s">
        <v>1576</v>
      </c>
      <c r="F1183" s="283" t="s">
        <v>3138</v>
      </c>
      <c r="H1183" s="258">
        <v>250000</v>
      </c>
      <c r="I1183" s="262">
        <v>1</v>
      </c>
      <c r="K1183" s="259">
        <v>25000</v>
      </c>
      <c r="L1183" s="258">
        <v>275000</v>
      </c>
      <c r="O1183" s="262"/>
    </row>
    <row r="1184" spans="1:15">
      <c r="A1184" s="264">
        <v>1183</v>
      </c>
      <c r="B1184" s="257">
        <v>45875</v>
      </c>
      <c r="C1184" s="283" t="s">
        <v>1746</v>
      </c>
      <c r="F1184" s="283" t="s">
        <v>2195</v>
      </c>
      <c r="G1184" s="262">
        <v>2820403</v>
      </c>
      <c r="H1184" s="258">
        <v>1500000</v>
      </c>
      <c r="I1184" s="262">
        <v>1</v>
      </c>
      <c r="K1184" s="259">
        <v>150000</v>
      </c>
      <c r="L1184" s="258">
        <v>1650000</v>
      </c>
      <c r="O1184" s="262"/>
    </row>
    <row r="1185" spans="1:15">
      <c r="A1185" s="264">
        <v>1184</v>
      </c>
      <c r="B1185" s="257">
        <v>45875</v>
      </c>
      <c r="C1185" s="283" t="s">
        <v>1746</v>
      </c>
      <c r="F1185" s="283" t="s">
        <v>1518</v>
      </c>
      <c r="H1185" s="258">
        <v>20000</v>
      </c>
      <c r="I1185" s="262">
        <v>1</v>
      </c>
      <c r="K1185" s="259">
        <v>2000</v>
      </c>
      <c r="L1185" s="258">
        <v>22000</v>
      </c>
      <c r="O1185" s="262"/>
    </row>
    <row r="1186" spans="1:15">
      <c r="A1186" s="264">
        <v>1185</v>
      </c>
      <c r="B1186" s="257">
        <v>45875</v>
      </c>
      <c r="C1186" s="283" t="s">
        <v>3119</v>
      </c>
      <c r="F1186" s="283" t="s">
        <v>1124</v>
      </c>
      <c r="M1186" s="258">
        <v>-1705000</v>
      </c>
      <c r="O1186" s="262"/>
    </row>
    <row r="1187" spans="1:15">
      <c r="A1187" s="264">
        <v>1186</v>
      </c>
      <c r="B1187" s="257">
        <v>45876</v>
      </c>
      <c r="C1187" s="283" t="s">
        <v>2144</v>
      </c>
      <c r="F1187" s="283" t="s">
        <v>1124</v>
      </c>
      <c r="M1187" s="258">
        <v>-1759000</v>
      </c>
      <c r="O1187" s="262"/>
    </row>
    <row r="1188" spans="1:15">
      <c r="A1188" s="264">
        <v>1187</v>
      </c>
      <c r="B1188" s="257">
        <v>45876</v>
      </c>
      <c r="C1188" s="283" t="s">
        <v>3135</v>
      </c>
      <c r="F1188" s="283" t="s">
        <v>1124</v>
      </c>
      <c r="M1188" s="258">
        <v>-1430000</v>
      </c>
      <c r="O1188" s="262"/>
    </row>
    <row r="1189" spans="1:15">
      <c r="A1189" s="264">
        <v>1188</v>
      </c>
      <c r="B1189" s="257">
        <v>45876</v>
      </c>
      <c r="C1189" s="283" t="s">
        <v>1443</v>
      </c>
      <c r="F1189" s="283" t="s">
        <v>2803</v>
      </c>
      <c r="G1189" s="262" t="s">
        <v>2802</v>
      </c>
      <c r="H1189" s="258">
        <v>250000</v>
      </c>
      <c r="I1189" s="262">
        <v>1</v>
      </c>
      <c r="L1189" s="258">
        <v>250000</v>
      </c>
      <c r="O1189" s="262" t="s">
        <v>3143</v>
      </c>
    </row>
    <row r="1190" spans="1:15">
      <c r="A1190" s="264">
        <v>1189</v>
      </c>
      <c r="B1190" s="257">
        <v>45876</v>
      </c>
      <c r="C1190" s="283" t="s">
        <v>1443</v>
      </c>
      <c r="F1190" s="283" t="s">
        <v>2182</v>
      </c>
      <c r="G1190" s="262" t="s">
        <v>1719</v>
      </c>
      <c r="H1190" s="258">
        <v>50000</v>
      </c>
      <c r="I1190" s="262">
        <v>1</v>
      </c>
      <c r="L1190" s="258">
        <v>50000</v>
      </c>
      <c r="O1190" s="262"/>
    </row>
    <row r="1191" spans="1:15">
      <c r="A1191" s="264">
        <v>1190</v>
      </c>
      <c r="B1191" s="257">
        <v>45876</v>
      </c>
      <c r="C1191" s="283" t="s">
        <v>2781</v>
      </c>
      <c r="F1191" s="283" t="s">
        <v>2179</v>
      </c>
      <c r="G1191" s="262" t="s">
        <v>1200</v>
      </c>
      <c r="H1191" s="258">
        <v>1500000</v>
      </c>
      <c r="I1191" s="262">
        <v>1</v>
      </c>
      <c r="L1191" s="258">
        <v>1500000</v>
      </c>
      <c r="O1191" s="262"/>
    </row>
    <row r="1192" spans="1:15">
      <c r="A1192" s="264">
        <v>1191</v>
      </c>
      <c r="B1192" s="257">
        <v>45876</v>
      </c>
      <c r="C1192" s="283" t="s">
        <v>2781</v>
      </c>
      <c r="F1192" s="283" t="s">
        <v>2180</v>
      </c>
      <c r="G1192" s="262" t="s">
        <v>1802</v>
      </c>
      <c r="H1192" s="258">
        <v>50000</v>
      </c>
      <c r="I1192" s="262">
        <v>1</v>
      </c>
      <c r="L1192" s="258">
        <v>50000</v>
      </c>
      <c r="O1192" s="262"/>
    </row>
    <row r="1193" spans="1:15">
      <c r="A1193" s="264">
        <v>1192</v>
      </c>
      <c r="B1193" s="257">
        <v>45876</v>
      </c>
      <c r="C1193" s="283" t="s">
        <v>2408</v>
      </c>
      <c r="F1193" s="283" t="s">
        <v>2416</v>
      </c>
      <c r="G1193" s="262" t="s">
        <v>2746</v>
      </c>
      <c r="H1193" s="258">
        <v>1100000</v>
      </c>
      <c r="I1193" s="262">
        <v>1</v>
      </c>
      <c r="K1193" s="259">
        <v>110000</v>
      </c>
      <c r="L1193" s="258">
        <v>1210000</v>
      </c>
      <c r="O1193" s="262"/>
    </row>
    <row r="1194" spans="1:15">
      <c r="A1194" s="264">
        <v>1193</v>
      </c>
      <c r="B1194" s="257">
        <v>45876</v>
      </c>
      <c r="C1194" s="283" t="s">
        <v>2408</v>
      </c>
      <c r="F1194" s="283" t="s">
        <v>3147</v>
      </c>
      <c r="G1194" s="262" t="s">
        <v>2746</v>
      </c>
      <c r="H1194" s="258">
        <v>200000</v>
      </c>
      <c r="I1194" s="262">
        <v>1</v>
      </c>
      <c r="K1194" s="259">
        <v>20000</v>
      </c>
      <c r="L1194" s="258">
        <v>220000</v>
      </c>
      <c r="O1194" s="262"/>
    </row>
    <row r="1195" spans="1:15">
      <c r="A1195" s="264">
        <v>1194</v>
      </c>
      <c r="B1195" s="257">
        <v>45876</v>
      </c>
      <c r="C1195" s="283" t="s">
        <v>1493</v>
      </c>
      <c r="F1195" s="283" t="s">
        <v>1124</v>
      </c>
      <c r="M1195" s="258">
        <v>-1200000</v>
      </c>
      <c r="O1195" s="262"/>
    </row>
    <row r="1196" spans="1:15">
      <c r="A1196" s="264">
        <v>1195</v>
      </c>
      <c r="B1196" s="257">
        <v>45877</v>
      </c>
      <c r="C1196" s="283" t="s">
        <v>1478</v>
      </c>
      <c r="F1196" s="283" t="s">
        <v>1124</v>
      </c>
      <c r="M1196" s="258">
        <v>-4338000</v>
      </c>
      <c r="O1196" s="262"/>
    </row>
    <row r="1197" spans="1:15">
      <c r="A1197" s="264">
        <v>1196</v>
      </c>
      <c r="B1197" s="257">
        <v>45877</v>
      </c>
      <c r="C1197" s="283" t="s">
        <v>1721</v>
      </c>
      <c r="F1197" s="283" t="s">
        <v>1124</v>
      </c>
      <c r="M1197" s="258">
        <v>-4045000</v>
      </c>
      <c r="O1197" s="262"/>
    </row>
    <row r="1198" spans="1:15">
      <c r="A1198" s="264">
        <v>1197</v>
      </c>
      <c r="B1198" s="257">
        <v>45877</v>
      </c>
      <c r="C1198" s="283" t="s">
        <v>2781</v>
      </c>
      <c r="F1198" s="283" t="s">
        <v>1124</v>
      </c>
      <c r="M1198" s="258">
        <v>-1550000</v>
      </c>
      <c r="O1198" s="262"/>
    </row>
    <row r="1199" spans="1:15">
      <c r="A1199" s="264">
        <v>1198</v>
      </c>
      <c r="B1199" s="257">
        <v>45877</v>
      </c>
      <c r="C1199" s="283" t="s">
        <v>2408</v>
      </c>
      <c r="F1199" s="283" t="s">
        <v>1124</v>
      </c>
      <c r="M1199" s="258">
        <v>-1430000</v>
      </c>
      <c r="O1199" s="262"/>
    </row>
    <row r="1200" spans="1:15">
      <c r="A1200" s="264">
        <v>1199</v>
      </c>
      <c r="B1200" s="257">
        <v>45877</v>
      </c>
      <c r="C1200" s="283" t="s">
        <v>3148</v>
      </c>
      <c r="F1200" s="283" t="s">
        <v>1495</v>
      </c>
      <c r="G1200" s="262" t="s">
        <v>2677</v>
      </c>
      <c r="H1200" s="258">
        <v>350000</v>
      </c>
      <c r="I1200" s="262">
        <v>1</v>
      </c>
      <c r="L1200" s="258">
        <v>350000</v>
      </c>
      <c r="O1200" s="262"/>
    </row>
    <row r="1201" spans="1:15">
      <c r="A1201" s="264">
        <v>1200</v>
      </c>
      <c r="B1201" s="257">
        <v>45877</v>
      </c>
      <c r="C1201" s="283" t="s">
        <v>3148</v>
      </c>
      <c r="F1201" s="283" t="s">
        <v>1518</v>
      </c>
      <c r="H1201" s="258">
        <v>20000</v>
      </c>
      <c r="I1201" s="262">
        <v>1</v>
      </c>
      <c r="L1201" s="258">
        <v>20000</v>
      </c>
      <c r="O1201" s="262"/>
    </row>
    <row r="1202" spans="1:15">
      <c r="A1202" s="264">
        <v>1201</v>
      </c>
      <c r="B1202" s="257">
        <v>45877</v>
      </c>
      <c r="C1202" s="283" t="s">
        <v>3148</v>
      </c>
      <c r="F1202" s="283" t="s">
        <v>1124</v>
      </c>
      <c r="M1202" s="258">
        <v>-370000</v>
      </c>
      <c r="O1202" s="262"/>
    </row>
    <row r="1203" spans="1:15">
      <c r="A1203" s="264">
        <v>1202</v>
      </c>
      <c r="B1203" s="257">
        <v>45877</v>
      </c>
      <c r="C1203" s="283" t="s">
        <v>3150</v>
      </c>
      <c r="F1203" s="283" t="s">
        <v>2298</v>
      </c>
      <c r="H1203" s="258">
        <v>650000</v>
      </c>
      <c r="I1203" s="262">
        <v>1</v>
      </c>
      <c r="L1203" s="258">
        <v>650000</v>
      </c>
      <c r="O1203" s="262"/>
    </row>
    <row r="1204" spans="1:15">
      <c r="A1204" s="264">
        <v>1203</v>
      </c>
      <c r="B1204" s="257">
        <v>45877</v>
      </c>
      <c r="C1204" s="283" t="s">
        <v>3150</v>
      </c>
      <c r="F1204" s="283" t="s">
        <v>1124</v>
      </c>
      <c r="M1204" s="258">
        <v>-650000</v>
      </c>
      <c r="O1204" s="262"/>
    </row>
    <row r="1205" spans="1:15">
      <c r="A1205" s="264">
        <v>1204</v>
      </c>
      <c r="B1205" s="257">
        <v>45878</v>
      </c>
      <c r="C1205" s="283" t="s">
        <v>1018</v>
      </c>
      <c r="F1205" s="283" t="s">
        <v>2831</v>
      </c>
      <c r="G1205" s="262">
        <v>1087298388</v>
      </c>
      <c r="H1205" s="258">
        <v>550000</v>
      </c>
      <c r="I1205" s="262">
        <v>1</v>
      </c>
      <c r="L1205" s="258">
        <v>550000</v>
      </c>
      <c r="O1205" s="262"/>
    </row>
    <row r="1206" spans="1:15">
      <c r="A1206" s="264">
        <v>1205</v>
      </c>
      <c r="B1206" s="257">
        <v>45878</v>
      </c>
      <c r="C1206" s="283" t="s">
        <v>1018</v>
      </c>
      <c r="F1206" s="283" t="s">
        <v>3158</v>
      </c>
      <c r="G1206" s="262">
        <v>1087327175</v>
      </c>
      <c r="H1206" s="258">
        <v>70000</v>
      </c>
      <c r="I1206" s="262">
        <v>1</v>
      </c>
      <c r="L1206" s="258">
        <v>70000</v>
      </c>
      <c r="O1206" s="262"/>
    </row>
    <row r="1207" spans="1:15">
      <c r="A1207" s="264">
        <v>1206</v>
      </c>
      <c r="B1207" s="257">
        <v>45878</v>
      </c>
      <c r="C1207" s="283" t="s">
        <v>1018</v>
      </c>
      <c r="F1207" s="283" t="s">
        <v>1265</v>
      </c>
      <c r="G1207" s="262" t="s">
        <v>1264</v>
      </c>
      <c r="H1207" s="258">
        <v>50000</v>
      </c>
      <c r="I1207" s="262">
        <v>1</v>
      </c>
      <c r="L1207" s="258">
        <v>50000</v>
      </c>
      <c r="O1207" s="262"/>
    </row>
    <row r="1208" spans="1:15">
      <c r="A1208" s="264">
        <v>1207</v>
      </c>
      <c r="B1208" s="257">
        <v>45878</v>
      </c>
      <c r="C1208" s="283" t="s">
        <v>3160</v>
      </c>
      <c r="F1208" s="283" t="s">
        <v>2179</v>
      </c>
      <c r="G1208" s="262" t="s">
        <v>1200</v>
      </c>
      <c r="H1208" s="258">
        <v>1500000</v>
      </c>
      <c r="I1208" s="262">
        <v>1</v>
      </c>
      <c r="L1208" s="258">
        <v>1500000</v>
      </c>
      <c r="O1208" s="262"/>
    </row>
    <row r="1209" spans="1:15">
      <c r="A1209" s="264">
        <v>1208</v>
      </c>
      <c r="B1209" s="257">
        <v>45878</v>
      </c>
      <c r="C1209" s="283" t="s">
        <v>3160</v>
      </c>
      <c r="F1209" s="283" t="s">
        <v>2180</v>
      </c>
      <c r="G1209" s="262" t="s">
        <v>1802</v>
      </c>
      <c r="H1209" s="258">
        <v>50000</v>
      </c>
      <c r="I1209" s="262">
        <v>1</v>
      </c>
      <c r="L1209" s="258">
        <v>50000</v>
      </c>
      <c r="O1209" s="262"/>
    </row>
    <row r="1210" spans="1:15">
      <c r="A1210" s="264">
        <v>1209</v>
      </c>
      <c r="B1210" s="257">
        <v>45880</v>
      </c>
      <c r="C1210" s="283" t="s">
        <v>1466</v>
      </c>
      <c r="F1210" s="283" t="s">
        <v>1124</v>
      </c>
      <c r="M1210" s="258">
        <v>-4345000</v>
      </c>
      <c r="O1210" s="262"/>
    </row>
    <row r="1211" spans="1:15">
      <c r="A1211" s="264">
        <v>1210</v>
      </c>
      <c r="B1211" s="257">
        <v>45880</v>
      </c>
      <c r="C1211" s="283" t="s">
        <v>2318</v>
      </c>
      <c r="F1211" s="283" t="s">
        <v>1204</v>
      </c>
      <c r="G1211" s="262" t="s">
        <v>1205</v>
      </c>
      <c r="H1211" s="258">
        <v>1200000</v>
      </c>
      <c r="I1211" s="262">
        <v>1</v>
      </c>
      <c r="K1211" s="259">
        <v>120000</v>
      </c>
      <c r="L1211" s="258">
        <v>1320000</v>
      </c>
      <c r="O1211" s="262"/>
    </row>
    <row r="1212" spans="1:15">
      <c r="A1212" s="264">
        <v>1211</v>
      </c>
      <c r="B1212" s="257">
        <v>45880</v>
      </c>
      <c r="C1212" s="283" t="s">
        <v>1746</v>
      </c>
      <c r="F1212" s="283" t="s">
        <v>2187</v>
      </c>
      <c r="G1212" s="262" t="s">
        <v>1258</v>
      </c>
      <c r="H1212" s="258">
        <v>130000</v>
      </c>
      <c r="I1212" s="262">
        <v>1</v>
      </c>
      <c r="K1212" s="259">
        <v>13000</v>
      </c>
      <c r="L1212" s="258">
        <v>143000</v>
      </c>
      <c r="O1212" s="262"/>
    </row>
    <row r="1213" spans="1:15">
      <c r="A1213" s="264">
        <v>1212</v>
      </c>
      <c r="B1213" s="257">
        <v>45880</v>
      </c>
      <c r="C1213" s="283" t="s">
        <v>1746</v>
      </c>
      <c r="F1213" s="283" t="s">
        <v>2191</v>
      </c>
      <c r="G1213" s="262" t="s">
        <v>1821</v>
      </c>
      <c r="H1213" s="258">
        <v>10000</v>
      </c>
      <c r="I1213" s="262">
        <v>1</v>
      </c>
      <c r="K1213" s="259">
        <v>1000</v>
      </c>
      <c r="L1213" s="258">
        <v>11000</v>
      </c>
      <c r="O1213" s="262"/>
    </row>
    <row r="1214" spans="1:15">
      <c r="A1214" s="264">
        <v>1213</v>
      </c>
      <c r="B1214" s="257">
        <v>45880</v>
      </c>
      <c r="C1214" s="283" t="s">
        <v>1579</v>
      </c>
      <c r="F1214" s="283" t="s">
        <v>1204</v>
      </c>
      <c r="G1214" s="262" t="s">
        <v>1562</v>
      </c>
      <c r="H1214" s="258">
        <v>1200000</v>
      </c>
      <c r="I1214" s="262">
        <v>1</v>
      </c>
      <c r="K1214" s="259">
        <v>120000</v>
      </c>
      <c r="L1214" s="258">
        <v>1320000</v>
      </c>
      <c r="O1214" s="262"/>
    </row>
    <row r="1215" spans="1:15">
      <c r="A1215" s="264">
        <v>1214</v>
      </c>
      <c r="B1215" s="257">
        <v>45880</v>
      </c>
      <c r="C1215" s="283" t="s">
        <v>1493</v>
      </c>
      <c r="F1215" s="283" t="s">
        <v>2382</v>
      </c>
      <c r="G1215" s="262" t="s">
        <v>3165</v>
      </c>
      <c r="H1215" s="258">
        <v>1550000</v>
      </c>
      <c r="I1215" s="262">
        <v>1</v>
      </c>
      <c r="L1215" s="258">
        <v>1550000</v>
      </c>
      <c r="O1215" s="262"/>
    </row>
    <row r="1216" spans="1:15">
      <c r="A1216" s="264">
        <v>1215</v>
      </c>
      <c r="B1216" s="257">
        <v>45880</v>
      </c>
      <c r="C1216" s="283" t="s">
        <v>1398</v>
      </c>
      <c r="F1216" s="283" t="s">
        <v>1202</v>
      </c>
      <c r="G1216" s="262" t="s">
        <v>1751</v>
      </c>
      <c r="H1216" s="258">
        <v>1200000</v>
      </c>
      <c r="I1216" s="262">
        <v>1</v>
      </c>
      <c r="L1216" s="258">
        <v>1200000</v>
      </c>
      <c r="O1216" s="262"/>
    </row>
    <row r="1217" spans="1:15">
      <c r="A1217" s="264">
        <v>1216</v>
      </c>
      <c r="B1217" s="257">
        <v>45880</v>
      </c>
      <c r="C1217" s="283" t="s">
        <v>1398</v>
      </c>
      <c r="F1217" s="283" t="s">
        <v>1495</v>
      </c>
      <c r="G1217" s="262" t="s">
        <v>2677</v>
      </c>
      <c r="H1217" s="258">
        <v>350000</v>
      </c>
      <c r="I1217" s="262">
        <v>1</v>
      </c>
      <c r="L1217" s="258">
        <v>350000</v>
      </c>
      <c r="O1217" s="262"/>
    </row>
    <row r="1218" spans="1:15">
      <c r="A1218" s="264">
        <v>1217</v>
      </c>
      <c r="B1218" s="257">
        <v>45880</v>
      </c>
      <c r="C1218" s="283" t="s">
        <v>1398</v>
      </c>
      <c r="F1218" s="283" t="s">
        <v>2838</v>
      </c>
      <c r="G1218" s="262" t="s">
        <v>2748</v>
      </c>
      <c r="H1218" s="258">
        <v>129000</v>
      </c>
      <c r="I1218" s="262">
        <v>1</v>
      </c>
      <c r="L1218" s="258">
        <v>129000</v>
      </c>
      <c r="O1218" s="262"/>
    </row>
    <row r="1219" spans="1:15">
      <c r="A1219" s="264">
        <v>1218</v>
      </c>
      <c r="B1219" s="257">
        <v>45880</v>
      </c>
      <c r="C1219" s="283" t="s">
        <v>1893</v>
      </c>
      <c r="F1219" s="283" t="s">
        <v>1202</v>
      </c>
      <c r="G1219" s="262" t="s">
        <v>1751</v>
      </c>
      <c r="H1219" s="258">
        <v>1300000</v>
      </c>
      <c r="I1219" s="262">
        <v>1</v>
      </c>
      <c r="L1219" s="258">
        <v>1300000</v>
      </c>
      <c r="O1219" s="262"/>
    </row>
    <row r="1220" spans="1:15">
      <c r="A1220" s="264">
        <v>1219</v>
      </c>
      <c r="B1220" s="257">
        <v>45880</v>
      </c>
      <c r="C1220" s="283" t="s">
        <v>2914</v>
      </c>
      <c r="F1220" s="283" t="s">
        <v>2179</v>
      </c>
      <c r="G1220" s="262" t="s">
        <v>1200</v>
      </c>
      <c r="H1220" s="258">
        <v>1500000</v>
      </c>
      <c r="I1220" s="262">
        <v>1</v>
      </c>
      <c r="L1220" s="258">
        <v>1500000</v>
      </c>
      <c r="O1220" s="262"/>
    </row>
    <row r="1221" spans="1:15">
      <c r="A1221" s="264">
        <v>1220</v>
      </c>
      <c r="B1221" s="257">
        <v>45880</v>
      </c>
      <c r="C1221" s="283" t="s">
        <v>2914</v>
      </c>
      <c r="F1221" s="283" t="s">
        <v>1124</v>
      </c>
      <c r="M1221" s="258">
        <v>-1500000</v>
      </c>
      <c r="O1221" s="262"/>
    </row>
    <row r="1222" spans="1:15">
      <c r="A1222" s="264">
        <v>1221</v>
      </c>
      <c r="B1222" s="257">
        <v>45881</v>
      </c>
      <c r="C1222" s="283" t="s">
        <v>1466</v>
      </c>
      <c r="F1222" s="283" t="s">
        <v>2026</v>
      </c>
      <c r="G1222" s="262" t="s">
        <v>1215</v>
      </c>
      <c r="H1222" s="258">
        <v>1500000</v>
      </c>
      <c r="I1222" s="262">
        <v>1</v>
      </c>
      <c r="K1222" s="259">
        <v>150000</v>
      </c>
      <c r="L1222" s="258">
        <v>1650000</v>
      </c>
      <c r="O1222" s="262"/>
    </row>
    <row r="1223" spans="1:15">
      <c r="A1223" s="264">
        <v>1222</v>
      </c>
      <c r="B1223" s="257">
        <v>45881</v>
      </c>
      <c r="C1223" s="283" t="s">
        <v>1472</v>
      </c>
      <c r="F1223" s="283" t="s">
        <v>2186</v>
      </c>
      <c r="G1223" s="262" t="s">
        <v>1206</v>
      </c>
      <c r="H1223" s="258">
        <v>500000</v>
      </c>
      <c r="I1223" s="262">
        <v>2</v>
      </c>
      <c r="L1223" s="258">
        <v>1000000</v>
      </c>
      <c r="O1223" s="262"/>
    </row>
    <row r="1224" spans="1:15">
      <c r="A1224" s="264">
        <v>1223</v>
      </c>
      <c r="B1224" s="257">
        <v>45881</v>
      </c>
      <c r="C1224" s="283" t="s">
        <v>2318</v>
      </c>
      <c r="F1224" s="283" t="s">
        <v>2773</v>
      </c>
      <c r="G1224" s="262" t="s">
        <v>1212</v>
      </c>
      <c r="H1224" s="258">
        <v>1500000</v>
      </c>
      <c r="I1224" s="262">
        <v>1</v>
      </c>
      <c r="L1224" s="258">
        <v>1500000</v>
      </c>
      <c r="O1224" s="262" t="s">
        <v>3174</v>
      </c>
    </row>
    <row r="1225" spans="1:15">
      <c r="A1225" s="264">
        <v>1224</v>
      </c>
      <c r="B1225" s="257">
        <v>45881</v>
      </c>
      <c r="C1225" s="283" t="s">
        <v>1023</v>
      </c>
      <c r="F1225" s="283" t="s">
        <v>2464</v>
      </c>
      <c r="G1225" s="262" t="s">
        <v>1211</v>
      </c>
      <c r="H1225" s="258">
        <v>1500000</v>
      </c>
      <c r="I1225" s="262">
        <v>1</v>
      </c>
      <c r="L1225" s="258">
        <v>1500000</v>
      </c>
      <c r="O1225" s="277" t="s">
        <v>3176</v>
      </c>
    </row>
    <row r="1226" spans="1:15">
      <c r="A1226" s="264">
        <v>1225</v>
      </c>
      <c r="B1226" s="257">
        <v>45881</v>
      </c>
      <c r="C1226" s="283" t="s">
        <v>1670</v>
      </c>
      <c r="F1226" s="283" t="s">
        <v>1124</v>
      </c>
      <c r="M1226" s="258">
        <v>-1100000</v>
      </c>
      <c r="O1226" s="262"/>
    </row>
    <row r="1227" spans="1:15">
      <c r="A1227" s="264">
        <v>1226</v>
      </c>
      <c r="B1227" s="257">
        <v>45881</v>
      </c>
      <c r="C1227" s="283" t="s">
        <v>2318</v>
      </c>
      <c r="F1227" s="283" t="s">
        <v>1124</v>
      </c>
      <c r="M1227" s="258">
        <v>-2820000</v>
      </c>
      <c r="O1227" s="262"/>
    </row>
    <row r="1228" spans="1:15">
      <c r="A1228" s="264">
        <v>1227</v>
      </c>
      <c r="B1228" s="257">
        <v>45881</v>
      </c>
      <c r="C1228" s="283" t="s">
        <v>1808</v>
      </c>
      <c r="F1228" s="283" t="s">
        <v>1124</v>
      </c>
      <c r="M1228" s="258">
        <v>-350000</v>
      </c>
      <c r="O1228" s="262"/>
    </row>
    <row r="1229" spans="1:15">
      <c r="A1229" s="264">
        <v>1228</v>
      </c>
      <c r="B1229" s="257">
        <v>45881</v>
      </c>
      <c r="C1229" s="283" t="s">
        <v>3160</v>
      </c>
      <c r="F1229" s="283" t="s">
        <v>1124</v>
      </c>
      <c r="M1229" s="258">
        <v>-1550000</v>
      </c>
      <c r="O1229" s="262"/>
    </row>
    <row r="1230" spans="1:15">
      <c r="A1230" s="264">
        <v>1229</v>
      </c>
      <c r="B1230" s="257">
        <v>45882</v>
      </c>
      <c r="C1230" s="283" t="s">
        <v>1804</v>
      </c>
      <c r="F1230" s="283" t="s">
        <v>2186</v>
      </c>
      <c r="G1230" s="262" t="s">
        <v>1206</v>
      </c>
      <c r="H1230" s="258">
        <v>526364</v>
      </c>
      <c r="I1230" s="262">
        <v>1</v>
      </c>
      <c r="K1230" s="259">
        <v>52636</v>
      </c>
      <c r="L1230" s="258">
        <v>579000</v>
      </c>
      <c r="O1230" s="262"/>
    </row>
    <row r="1231" spans="1:15">
      <c r="A1231" s="264">
        <v>1230</v>
      </c>
      <c r="B1231" s="257">
        <v>45882</v>
      </c>
      <c r="C1231" s="283" t="s">
        <v>1804</v>
      </c>
      <c r="F1231" s="283" t="s">
        <v>2187</v>
      </c>
      <c r="G1231" s="262" t="s">
        <v>1258</v>
      </c>
      <c r="H1231" s="258">
        <v>130000</v>
      </c>
      <c r="I1231" s="262">
        <v>1</v>
      </c>
      <c r="K1231" s="259">
        <v>13000</v>
      </c>
      <c r="L1231" s="258">
        <v>143000</v>
      </c>
      <c r="O1231" s="262"/>
    </row>
    <row r="1232" spans="1:15">
      <c r="A1232" s="264">
        <v>1231</v>
      </c>
      <c r="B1232" s="257">
        <v>45882</v>
      </c>
      <c r="C1232" s="283" t="s">
        <v>1579</v>
      </c>
      <c r="F1232" s="283" t="s">
        <v>2186</v>
      </c>
      <c r="G1232" s="262" t="s">
        <v>1206</v>
      </c>
      <c r="H1232" s="258">
        <v>526364</v>
      </c>
      <c r="I1232" s="262">
        <v>1</v>
      </c>
      <c r="K1232" s="259">
        <v>52636</v>
      </c>
      <c r="L1232" s="258">
        <v>579000</v>
      </c>
      <c r="O1232" s="262"/>
    </row>
    <row r="1233" spans="1:15">
      <c r="A1233" s="264">
        <v>1232</v>
      </c>
      <c r="B1233" s="257">
        <v>45882</v>
      </c>
      <c r="C1233" s="283" t="s">
        <v>1398</v>
      </c>
      <c r="F1233" s="283" t="s">
        <v>2416</v>
      </c>
      <c r="G1233" s="262" t="s">
        <v>2746</v>
      </c>
      <c r="H1233" s="258">
        <v>1100000</v>
      </c>
      <c r="I1233" s="262">
        <v>1</v>
      </c>
      <c r="L1233" s="258">
        <v>1100000</v>
      </c>
      <c r="O1233" s="262"/>
    </row>
    <row r="1234" spans="1:15">
      <c r="A1234" s="264">
        <v>1233</v>
      </c>
      <c r="B1234" s="257">
        <v>45882</v>
      </c>
      <c r="C1234" s="283" t="s">
        <v>1398</v>
      </c>
      <c r="F1234" s="283" t="s">
        <v>2186</v>
      </c>
      <c r="G1234" s="262" t="s">
        <v>1206</v>
      </c>
      <c r="H1234" s="258">
        <v>510000</v>
      </c>
      <c r="I1234" s="262">
        <v>1</v>
      </c>
      <c r="L1234" s="258">
        <v>510000</v>
      </c>
      <c r="O1234" s="262"/>
    </row>
    <row r="1235" spans="1:15">
      <c r="A1235" s="264">
        <v>1234</v>
      </c>
      <c r="B1235" s="257">
        <v>45882</v>
      </c>
      <c r="C1235" s="283" t="s">
        <v>1398</v>
      </c>
      <c r="F1235" s="283" t="s">
        <v>2191</v>
      </c>
      <c r="G1235" s="262" t="s">
        <v>1821</v>
      </c>
      <c r="H1235" s="258">
        <v>10000</v>
      </c>
      <c r="I1235" s="262">
        <v>1</v>
      </c>
      <c r="L1235" s="258">
        <v>10000</v>
      </c>
      <c r="O1235" s="262"/>
    </row>
    <row r="1236" spans="1:15">
      <c r="A1236" s="264">
        <v>1235</v>
      </c>
      <c r="B1236" s="257">
        <v>45882</v>
      </c>
      <c r="C1236" s="283" t="s">
        <v>1398</v>
      </c>
      <c r="F1236" s="283" t="s">
        <v>2190</v>
      </c>
      <c r="G1236" s="262" t="s">
        <v>1794</v>
      </c>
      <c r="H1236" s="258">
        <v>30000</v>
      </c>
      <c r="I1236" s="262">
        <v>1</v>
      </c>
      <c r="L1236" s="258">
        <v>30000</v>
      </c>
      <c r="O1236" s="262"/>
    </row>
    <row r="1237" spans="1:15">
      <c r="A1237" s="264">
        <v>1236</v>
      </c>
      <c r="B1237" s="257">
        <v>45882</v>
      </c>
      <c r="C1237" s="283" t="s">
        <v>1576</v>
      </c>
      <c r="F1237" s="283" t="s">
        <v>2186</v>
      </c>
      <c r="G1237" s="262" t="s">
        <v>1206</v>
      </c>
      <c r="H1237" s="258">
        <v>526364</v>
      </c>
      <c r="I1237" s="262">
        <v>1</v>
      </c>
      <c r="K1237" s="259">
        <v>52636</v>
      </c>
      <c r="L1237" s="258">
        <v>579000</v>
      </c>
      <c r="O1237" s="262"/>
    </row>
    <row r="1238" spans="1:15">
      <c r="A1238" s="264">
        <v>1237</v>
      </c>
      <c r="B1238" s="257">
        <v>45882</v>
      </c>
      <c r="C1238" s="283" t="s">
        <v>1576</v>
      </c>
      <c r="F1238" s="283" t="s">
        <v>2189</v>
      </c>
      <c r="G1238" s="262">
        <v>50229</v>
      </c>
      <c r="H1238" s="258">
        <v>72727</v>
      </c>
      <c r="I1238" s="262">
        <v>1</v>
      </c>
      <c r="K1238" s="259">
        <v>7273</v>
      </c>
      <c r="L1238" s="258">
        <v>80000</v>
      </c>
      <c r="O1238" s="262"/>
    </row>
    <row r="1239" spans="1:15">
      <c r="A1239" s="264">
        <v>1238</v>
      </c>
      <c r="B1239" s="257">
        <v>45882</v>
      </c>
      <c r="C1239" s="283" t="s">
        <v>1576</v>
      </c>
      <c r="F1239" s="283" t="s">
        <v>2190</v>
      </c>
      <c r="G1239" s="262" t="s">
        <v>1794</v>
      </c>
      <c r="H1239" s="258">
        <v>32000</v>
      </c>
      <c r="I1239" s="262">
        <v>1</v>
      </c>
      <c r="K1239" s="259">
        <v>3200</v>
      </c>
      <c r="L1239" s="258">
        <v>35200</v>
      </c>
      <c r="O1239" s="262"/>
    </row>
    <row r="1240" spans="1:15">
      <c r="A1240" s="264">
        <v>1239</v>
      </c>
      <c r="B1240" s="257">
        <v>45882</v>
      </c>
      <c r="C1240" s="283" t="s">
        <v>1576</v>
      </c>
      <c r="F1240" s="283" t="s">
        <v>2191</v>
      </c>
      <c r="G1240" s="262" t="s">
        <v>1821</v>
      </c>
      <c r="H1240" s="258">
        <v>10000</v>
      </c>
      <c r="I1240" s="262">
        <v>1</v>
      </c>
      <c r="K1240" s="259">
        <v>1000</v>
      </c>
      <c r="L1240" s="258">
        <v>11000</v>
      </c>
      <c r="O1240" s="262"/>
    </row>
    <row r="1241" spans="1:15">
      <c r="A1241" s="264">
        <v>1240</v>
      </c>
      <c r="B1241" s="257">
        <v>45882</v>
      </c>
      <c r="C1241" s="283" t="s">
        <v>1576</v>
      </c>
      <c r="F1241" s="283" t="s">
        <v>2193</v>
      </c>
      <c r="H1241" s="258">
        <v>600000</v>
      </c>
      <c r="I1241" s="262">
        <v>1</v>
      </c>
      <c r="K1241" s="259">
        <v>60000</v>
      </c>
      <c r="L1241" s="258">
        <v>660000</v>
      </c>
      <c r="O1241" s="262"/>
    </row>
    <row r="1242" spans="1:15">
      <c r="A1242" s="264">
        <v>1241</v>
      </c>
      <c r="B1242" s="257">
        <v>45882</v>
      </c>
      <c r="C1242" s="283" t="s">
        <v>1018</v>
      </c>
      <c r="F1242" s="283" t="s">
        <v>2187</v>
      </c>
      <c r="G1242" s="262" t="s">
        <v>1258</v>
      </c>
      <c r="H1242" s="258">
        <v>130000</v>
      </c>
      <c r="I1242" s="262">
        <v>1</v>
      </c>
      <c r="L1242" s="258">
        <v>130000</v>
      </c>
      <c r="O1242" s="262"/>
    </row>
    <row r="1243" spans="1:15">
      <c r="A1243" s="264">
        <v>1242</v>
      </c>
      <c r="B1243" s="257">
        <v>45882</v>
      </c>
      <c r="C1243" s="283" t="s">
        <v>1018</v>
      </c>
      <c r="F1243" s="283" t="s">
        <v>2189</v>
      </c>
      <c r="G1243" s="262">
        <v>50229</v>
      </c>
      <c r="H1243" s="258">
        <v>80000</v>
      </c>
      <c r="I1243" s="262">
        <v>1</v>
      </c>
      <c r="L1243" s="258">
        <v>80000</v>
      </c>
      <c r="O1243" s="262"/>
    </row>
    <row r="1244" spans="1:15">
      <c r="A1244" s="264">
        <v>1243</v>
      </c>
      <c r="B1244" s="257">
        <v>45882</v>
      </c>
      <c r="C1244" s="283" t="s">
        <v>1018</v>
      </c>
      <c r="F1244" s="283" t="s">
        <v>2191</v>
      </c>
      <c r="G1244" s="262" t="s">
        <v>1821</v>
      </c>
      <c r="H1244" s="258">
        <v>10000</v>
      </c>
      <c r="I1244" s="262">
        <v>1</v>
      </c>
      <c r="L1244" s="258">
        <v>10000</v>
      </c>
      <c r="O1244" s="262"/>
    </row>
    <row r="1245" spans="1:15">
      <c r="A1245" s="264">
        <v>1244</v>
      </c>
      <c r="B1245" s="257">
        <v>45882</v>
      </c>
      <c r="C1245" s="283" t="s">
        <v>1018</v>
      </c>
      <c r="F1245" s="283" t="s">
        <v>2190</v>
      </c>
      <c r="G1245" s="262" t="s">
        <v>1794</v>
      </c>
      <c r="H1245" s="258">
        <v>35000</v>
      </c>
      <c r="I1245" s="262">
        <v>1</v>
      </c>
      <c r="L1245" s="258">
        <v>35000</v>
      </c>
      <c r="O1245" s="262"/>
    </row>
    <row r="1246" spans="1:15">
      <c r="A1246" s="264">
        <v>1245</v>
      </c>
      <c r="B1246" s="257">
        <v>45882</v>
      </c>
      <c r="C1246" s="283" t="s">
        <v>3185</v>
      </c>
      <c r="F1246" s="283" t="s">
        <v>1202</v>
      </c>
      <c r="G1246" s="262" t="s">
        <v>1751</v>
      </c>
      <c r="H1246" s="258">
        <v>1200000</v>
      </c>
      <c r="I1246" s="262">
        <v>1</v>
      </c>
      <c r="L1246" s="258">
        <v>1200000</v>
      </c>
      <c r="O1246" s="262"/>
    </row>
    <row r="1247" spans="1:15">
      <c r="A1247" s="264">
        <v>1246</v>
      </c>
      <c r="B1247" s="257">
        <v>45882</v>
      </c>
      <c r="C1247" s="283" t="s">
        <v>3185</v>
      </c>
      <c r="F1247" s="283" t="s">
        <v>1495</v>
      </c>
      <c r="G1247" s="262" t="s">
        <v>2677</v>
      </c>
      <c r="H1247" s="258">
        <v>350000</v>
      </c>
      <c r="I1247" s="262">
        <v>1</v>
      </c>
      <c r="L1247" s="258">
        <v>350000</v>
      </c>
      <c r="O1247" s="262"/>
    </row>
    <row r="1248" spans="1:15">
      <c r="A1248" s="264">
        <v>1247</v>
      </c>
      <c r="B1248" s="257">
        <v>45882</v>
      </c>
      <c r="C1248" s="283" t="s">
        <v>3182</v>
      </c>
      <c r="F1248" s="283" t="s">
        <v>3190</v>
      </c>
      <c r="H1248" s="258">
        <v>100000</v>
      </c>
      <c r="I1248" s="262">
        <v>1</v>
      </c>
      <c r="L1248" s="258">
        <v>100000</v>
      </c>
      <c r="O1248" s="262"/>
    </row>
    <row r="1249" spans="1:15">
      <c r="A1249" s="264">
        <v>1248</v>
      </c>
      <c r="B1249" s="257">
        <v>45882</v>
      </c>
      <c r="C1249" s="283" t="s">
        <v>3185</v>
      </c>
      <c r="F1249" s="283" t="s">
        <v>1124</v>
      </c>
      <c r="M1249" s="258">
        <v>-1550000</v>
      </c>
      <c r="O1249" s="262"/>
    </row>
    <row r="1250" spans="1:15">
      <c r="A1250" s="264">
        <v>1249</v>
      </c>
      <c r="B1250" s="257">
        <v>45882</v>
      </c>
      <c r="C1250" s="283" t="s">
        <v>3182</v>
      </c>
      <c r="F1250" s="283" t="s">
        <v>1124</v>
      </c>
      <c r="M1250" s="258">
        <v>-100000</v>
      </c>
      <c r="O1250" s="262"/>
    </row>
    <row r="1251" spans="1:15">
      <c r="A1251" s="264">
        <v>1250</v>
      </c>
      <c r="B1251" s="257">
        <v>45881</v>
      </c>
      <c r="C1251" s="283" t="s">
        <v>1289</v>
      </c>
      <c r="F1251" s="283" t="s">
        <v>1645</v>
      </c>
      <c r="G1251" s="262" t="s">
        <v>2346</v>
      </c>
      <c r="H1251" s="258">
        <v>1500000</v>
      </c>
      <c r="I1251" s="262">
        <v>-1</v>
      </c>
      <c r="K1251" s="258">
        <v>-150000</v>
      </c>
      <c r="L1251" s="258">
        <v>-1650000</v>
      </c>
      <c r="O1251" s="262" t="s">
        <v>3206</v>
      </c>
    </row>
    <row r="1252" spans="1:15">
      <c r="A1252" s="264">
        <v>1251</v>
      </c>
      <c r="B1252" s="257">
        <v>45883</v>
      </c>
      <c r="C1252" s="283" t="s">
        <v>1493</v>
      </c>
      <c r="F1252" s="283" t="s">
        <v>1124</v>
      </c>
      <c r="M1252" s="258">
        <v>-1550000</v>
      </c>
      <c r="O1252" s="262"/>
    </row>
    <row r="1253" spans="1:15">
      <c r="A1253" s="264">
        <v>1252</v>
      </c>
      <c r="B1253" s="257">
        <v>45883</v>
      </c>
      <c r="C1253" s="283" t="s">
        <v>1478</v>
      </c>
      <c r="F1253" s="283" t="s">
        <v>2186</v>
      </c>
      <c r="G1253" s="262" t="s">
        <v>1206</v>
      </c>
      <c r="H1253" s="258">
        <v>550000</v>
      </c>
      <c r="I1253" s="262">
        <v>1</v>
      </c>
      <c r="L1253" s="258">
        <v>550000</v>
      </c>
      <c r="O1253" s="262"/>
    </row>
    <row r="1254" spans="1:15">
      <c r="A1254" s="264">
        <v>1253</v>
      </c>
      <c r="B1254" s="257">
        <v>45883</v>
      </c>
      <c r="C1254" s="283" t="s">
        <v>1478</v>
      </c>
      <c r="F1254" s="283" t="s">
        <v>2187</v>
      </c>
      <c r="G1254" s="262" t="s">
        <v>1258</v>
      </c>
      <c r="H1254" s="258">
        <v>130000</v>
      </c>
      <c r="I1254" s="262">
        <v>1</v>
      </c>
      <c r="L1254" s="258">
        <v>130000</v>
      </c>
      <c r="O1254" s="262"/>
    </row>
    <row r="1255" spans="1:15">
      <c r="A1255" s="264">
        <v>1254</v>
      </c>
      <c r="B1255" s="257">
        <v>45883</v>
      </c>
      <c r="C1255" s="283" t="s">
        <v>1478</v>
      </c>
      <c r="F1255" s="283" t="s">
        <v>2191</v>
      </c>
      <c r="G1255" s="262" t="s">
        <v>1821</v>
      </c>
      <c r="H1255" s="258">
        <v>10000</v>
      </c>
      <c r="I1255" s="262">
        <v>1</v>
      </c>
      <c r="L1255" s="258">
        <v>10000</v>
      </c>
      <c r="O1255" s="262"/>
    </row>
    <row r="1256" spans="1:15">
      <c r="A1256" s="264">
        <v>1255</v>
      </c>
      <c r="B1256" s="257">
        <v>45883</v>
      </c>
      <c r="C1256" s="283" t="s">
        <v>1579</v>
      </c>
      <c r="F1256" s="283" t="s">
        <v>3195</v>
      </c>
      <c r="M1256" s="258">
        <v>-2000000</v>
      </c>
      <c r="O1256" s="262"/>
    </row>
    <row r="1257" spans="1:15">
      <c r="A1257" s="264">
        <v>1256</v>
      </c>
      <c r="B1257" s="257">
        <v>45883</v>
      </c>
      <c r="C1257" s="283" t="s">
        <v>987</v>
      </c>
      <c r="F1257" s="283" t="s">
        <v>2179</v>
      </c>
      <c r="G1257" s="262" t="s">
        <v>1200</v>
      </c>
      <c r="H1257" s="258">
        <v>1500000</v>
      </c>
      <c r="I1257" s="262">
        <v>1</v>
      </c>
      <c r="K1257" s="259">
        <v>150000</v>
      </c>
      <c r="L1257" s="258">
        <v>1650000</v>
      </c>
      <c r="O1257" s="262"/>
    </row>
    <row r="1258" spans="1:15">
      <c r="A1258" s="264">
        <v>1257</v>
      </c>
      <c r="B1258" s="257">
        <v>45883</v>
      </c>
      <c r="C1258" s="283" t="s">
        <v>1026</v>
      </c>
      <c r="F1258" s="283" t="s">
        <v>2186</v>
      </c>
      <c r="G1258" s="262" t="s">
        <v>1206</v>
      </c>
      <c r="H1258" s="258">
        <v>600000</v>
      </c>
      <c r="I1258" s="262">
        <v>1</v>
      </c>
      <c r="L1258" s="258">
        <v>600000</v>
      </c>
      <c r="O1258" s="262"/>
    </row>
    <row r="1259" spans="1:15">
      <c r="A1259" s="264">
        <v>1258</v>
      </c>
      <c r="B1259" s="257">
        <v>45883</v>
      </c>
      <c r="C1259" s="283" t="s">
        <v>1227</v>
      </c>
      <c r="F1259" s="283" t="s">
        <v>2185</v>
      </c>
      <c r="G1259" s="262" t="s">
        <v>1199</v>
      </c>
      <c r="H1259" s="258">
        <v>1000000</v>
      </c>
      <c r="I1259" s="262">
        <v>1</v>
      </c>
      <c r="K1259" s="259">
        <v>100000</v>
      </c>
      <c r="L1259" s="258">
        <v>1100000</v>
      </c>
      <c r="O1259" s="262" t="s">
        <v>3198</v>
      </c>
    </row>
    <row r="1260" spans="1:15">
      <c r="A1260" s="264">
        <v>1259</v>
      </c>
      <c r="B1260" s="257">
        <v>45883</v>
      </c>
      <c r="C1260" s="283" t="s">
        <v>3200</v>
      </c>
      <c r="F1260" s="283" t="s">
        <v>1742</v>
      </c>
      <c r="H1260" s="258">
        <v>600000</v>
      </c>
      <c r="I1260" s="262">
        <v>1</v>
      </c>
      <c r="L1260" s="258">
        <v>600000</v>
      </c>
      <c r="O1260" s="262" t="s">
        <v>3201</v>
      </c>
    </row>
    <row r="1261" spans="1:15">
      <c r="A1261" s="264">
        <v>1260</v>
      </c>
      <c r="B1261" s="257">
        <v>45883</v>
      </c>
      <c r="C1261" s="283" t="s">
        <v>1320</v>
      </c>
      <c r="F1261" s="283" t="s">
        <v>3330</v>
      </c>
      <c r="G1261" s="262" t="s">
        <v>3331</v>
      </c>
      <c r="H1261" s="258">
        <v>1000000</v>
      </c>
      <c r="I1261" s="262">
        <v>1</v>
      </c>
      <c r="K1261" s="259">
        <v>100000</v>
      </c>
      <c r="L1261" s="258">
        <v>1100000</v>
      </c>
      <c r="O1261" s="262"/>
    </row>
    <row r="1262" spans="1:15">
      <c r="A1262" s="264">
        <v>1261</v>
      </c>
      <c r="B1262" s="257">
        <v>45883</v>
      </c>
      <c r="C1262" s="283" t="s">
        <v>1018</v>
      </c>
      <c r="F1262" s="283" t="s">
        <v>1124</v>
      </c>
      <c r="M1262" s="258">
        <v>-1181000</v>
      </c>
      <c r="O1262" s="262"/>
    </row>
    <row r="1263" spans="1:15">
      <c r="A1263" s="264">
        <v>1262</v>
      </c>
      <c r="B1263" s="257">
        <v>45883</v>
      </c>
      <c r="C1263" s="283" t="s">
        <v>1227</v>
      </c>
      <c r="F1263" s="283" t="s">
        <v>1124</v>
      </c>
      <c r="M1263" s="258">
        <v>-1100000</v>
      </c>
      <c r="O1263" s="262"/>
    </row>
    <row r="1264" spans="1:15">
      <c r="A1264" s="264">
        <v>1263</v>
      </c>
      <c r="B1264" s="257">
        <v>45883</v>
      </c>
      <c r="C1264" s="283" t="s">
        <v>987</v>
      </c>
      <c r="F1264" s="283" t="s">
        <v>1124</v>
      </c>
      <c r="M1264" s="258">
        <v>-1650000</v>
      </c>
      <c r="O1264" s="262"/>
    </row>
    <row r="1265" spans="1:15">
      <c r="A1265" s="264">
        <v>1264</v>
      </c>
      <c r="B1265" s="257">
        <v>45883</v>
      </c>
      <c r="C1265" s="283" t="s">
        <v>2408</v>
      </c>
      <c r="F1265" s="283" t="s">
        <v>2678</v>
      </c>
      <c r="H1265" s="258">
        <v>200000</v>
      </c>
      <c r="I1265" s="262">
        <v>1</v>
      </c>
      <c r="L1265" s="258">
        <v>200000</v>
      </c>
      <c r="O1265" s="262"/>
    </row>
    <row r="1266" spans="1:15">
      <c r="A1266" s="264">
        <v>1265</v>
      </c>
      <c r="B1266" s="257">
        <v>45883</v>
      </c>
      <c r="C1266" s="283" t="s">
        <v>1893</v>
      </c>
      <c r="F1266" s="283" t="s">
        <v>1124</v>
      </c>
      <c r="M1266" s="258">
        <v>-1300000</v>
      </c>
      <c r="O1266" s="262"/>
    </row>
    <row r="1267" spans="1:15">
      <c r="A1267" s="264">
        <v>1266</v>
      </c>
      <c r="B1267" s="257">
        <v>45884</v>
      </c>
      <c r="C1267" s="283" t="s">
        <v>1333</v>
      </c>
      <c r="F1267" s="283" t="s">
        <v>3217</v>
      </c>
      <c r="H1267" s="258">
        <v>1000000</v>
      </c>
      <c r="I1267" s="262">
        <v>1</v>
      </c>
      <c r="K1267" s="259">
        <v>100000</v>
      </c>
      <c r="L1267" s="258">
        <v>1100000</v>
      </c>
      <c r="O1267" s="263">
        <v>6058008163</v>
      </c>
    </row>
    <row r="1268" spans="1:15">
      <c r="A1268" s="264">
        <v>1267</v>
      </c>
      <c r="B1268" s="257">
        <v>45884</v>
      </c>
      <c r="C1268" s="283" t="s">
        <v>1398</v>
      </c>
      <c r="F1268" s="283" t="s">
        <v>2649</v>
      </c>
      <c r="H1268" s="258">
        <v>1750000</v>
      </c>
      <c r="I1268" s="262">
        <v>1</v>
      </c>
      <c r="L1268" s="258">
        <v>1750000</v>
      </c>
      <c r="O1268" s="262"/>
    </row>
    <row r="1269" spans="1:15">
      <c r="A1269" s="264">
        <v>1268</v>
      </c>
      <c r="B1269" s="257">
        <v>45884</v>
      </c>
      <c r="C1269" s="283" t="s">
        <v>3209</v>
      </c>
      <c r="F1269" s="283" t="s">
        <v>2298</v>
      </c>
      <c r="H1269" s="258">
        <v>650000</v>
      </c>
      <c r="I1269" s="262">
        <v>1</v>
      </c>
      <c r="K1269" s="259">
        <v>65000</v>
      </c>
      <c r="L1269" s="258">
        <v>715000</v>
      </c>
      <c r="O1269" s="262"/>
    </row>
    <row r="1270" spans="1:15">
      <c r="A1270" s="264">
        <v>1269</v>
      </c>
      <c r="B1270" s="257">
        <v>45884</v>
      </c>
      <c r="C1270" s="283" t="s">
        <v>3209</v>
      </c>
      <c r="F1270" s="283" t="s">
        <v>2838</v>
      </c>
      <c r="G1270" s="262" t="s">
        <v>2748</v>
      </c>
      <c r="H1270" s="258">
        <v>129000</v>
      </c>
      <c r="I1270" s="262">
        <v>1</v>
      </c>
      <c r="K1270" s="259">
        <v>12900</v>
      </c>
      <c r="L1270" s="258">
        <v>141900</v>
      </c>
      <c r="O1270" s="262"/>
    </row>
    <row r="1271" spans="1:15">
      <c r="A1271" s="264">
        <v>1270</v>
      </c>
      <c r="B1271" s="257">
        <v>45885</v>
      </c>
      <c r="C1271" s="283" t="s">
        <v>1721</v>
      </c>
      <c r="F1271" s="283" t="s">
        <v>2186</v>
      </c>
      <c r="G1271" s="262" t="s">
        <v>1206</v>
      </c>
      <c r="H1271" s="258">
        <v>510000</v>
      </c>
      <c r="I1271" s="262">
        <v>5</v>
      </c>
      <c r="L1271" s="258">
        <v>2550000</v>
      </c>
      <c r="O1271" s="262"/>
    </row>
    <row r="1272" spans="1:15">
      <c r="A1272" s="264">
        <v>1271</v>
      </c>
      <c r="B1272" s="257">
        <v>45885</v>
      </c>
      <c r="C1272" s="283" t="s">
        <v>1721</v>
      </c>
      <c r="F1272" s="283" t="s">
        <v>2187</v>
      </c>
      <c r="G1272" s="262" t="s">
        <v>1258</v>
      </c>
      <c r="H1272" s="258">
        <v>130000</v>
      </c>
      <c r="I1272" s="262">
        <v>2</v>
      </c>
      <c r="L1272" s="258">
        <v>260000</v>
      </c>
      <c r="O1272" s="262"/>
    </row>
    <row r="1273" spans="1:15">
      <c r="A1273" s="264">
        <v>1272</v>
      </c>
      <c r="B1273" s="257">
        <v>45885</v>
      </c>
      <c r="C1273" s="283" t="s">
        <v>3200</v>
      </c>
      <c r="F1273" s="283" t="s">
        <v>1124</v>
      </c>
      <c r="M1273" s="258">
        <v>-600000</v>
      </c>
      <c r="O1273" s="262"/>
    </row>
    <row r="1274" spans="1:15">
      <c r="A1274" s="264">
        <v>1273</v>
      </c>
      <c r="B1274" s="257">
        <v>45885</v>
      </c>
      <c r="C1274" s="283" t="s">
        <v>2408</v>
      </c>
      <c r="F1274" s="283" t="s">
        <v>1124</v>
      </c>
      <c r="M1274" s="258">
        <v>-200000</v>
      </c>
      <c r="O1274" s="262"/>
    </row>
    <row r="1275" spans="1:15">
      <c r="A1275" s="264">
        <v>1274</v>
      </c>
      <c r="B1275" s="257">
        <v>45887</v>
      </c>
      <c r="C1275" s="283" t="s">
        <v>1448</v>
      </c>
      <c r="F1275" s="283" t="s">
        <v>1124</v>
      </c>
      <c r="M1275" s="258">
        <v>-1100000</v>
      </c>
      <c r="O1275" s="262"/>
    </row>
    <row r="1276" spans="1:15">
      <c r="A1276" s="264">
        <v>1275</v>
      </c>
      <c r="B1276" s="257">
        <v>45887</v>
      </c>
      <c r="C1276" s="283" t="s">
        <v>1398</v>
      </c>
      <c r="F1276" s="283" t="s">
        <v>1742</v>
      </c>
      <c r="H1276" s="258">
        <v>650000</v>
      </c>
      <c r="I1276" s="262">
        <v>1</v>
      </c>
      <c r="L1276" s="258">
        <v>650000</v>
      </c>
      <c r="O1276" s="262"/>
    </row>
    <row r="1277" spans="1:15">
      <c r="A1277" s="264">
        <v>1276</v>
      </c>
      <c r="B1277" s="257">
        <v>45887</v>
      </c>
      <c r="C1277" s="283" t="s">
        <v>1478</v>
      </c>
      <c r="F1277" s="283" t="s">
        <v>2186</v>
      </c>
      <c r="G1277" s="262" t="s">
        <v>1206</v>
      </c>
      <c r="H1277" s="258">
        <v>550000</v>
      </c>
      <c r="I1277" s="262">
        <v>1</v>
      </c>
      <c r="L1277" s="258">
        <v>550000</v>
      </c>
      <c r="O1277" s="262"/>
    </row>
    <row r="1278" spans="1:15">
      <c r="A1278" s="264">
        <v>1277</v>
      </c>
      <c r="B1278" s="257">
        <v>45887</v>
      </c>
      <c r="C1278" s="283" t="s">
        <v>1478</v>
      </c>
      <c r="F1278" s="283" t="s">
        <v>2187</v>
      </c>
      <c r="G1278" s="262" t="s">
        <v>1258</v>
      </c>
      <c r="H1278" s="258">
        <v>130000</v>
      </c>
      <c r="I1278" s="262">
        <v>1</v>
      </c>
      <c r="L1278" s="258">
        <v>130000</v>
      </c>
      <c r="O1278" s="262"/>
    </row>
    <row r="1279" spans="1:15">
      <c r="A1279" s="264">
        <v>1278</v>
      </c>
      <c r="B1279" s="257">
        <v>45887</v>
      </c>
      <c r="C1279" s="283" t="s">
        <v>1478</v>
      </c>
      <c r="F1279" s="283" t="s">
        <v>2191</v>
      </c>
      <c r="G1279" s="262" t="s">
        <v>1821</v>
      </c>
      <c r="H1279" s="258">
        <v>10000</v>
      </c>
      <c r="I1279" s="262">
        <v>1</v>
      </c>
      <c r="L1279" s="258">
        <v>10000</v>
      </c>
      <c r="O1279" s="262"/>
    </row>
    <row r="1280" spans="1:15">
      <c r="A1280" s="264">
        <v>1279</v>
      </c>
      <c r="B1280" s="257">
        <v>45887</v>
      </c>
      <c r="C1280" s="283" t="s">
        <v>1478</v>
      </c>
      <c r="F1280" s="283" t="s">
        <v>2190</v>
      </c>
      <c r="G1280" s="262" t="s">
        <v>1794</v>
      </c>
      <c r="H1280" s="258">
        <v>15000</v>
      </c>
      <c r="I1280" s="262">
        <v>2</v>
      </c>
      <c r="L1280" s="258">
        <v>30000</v>
      </c>
      <c r="O1280" s="262"/>
    </row>
    <row r="1281" spans="1:15">
      <c r="A1281" s="264">
        <v>1280</v>
      </c>
      <c r="B1281" s="257">
        <v>45887</v>
      </c>
      <c r="C1281" s="283" t="s">
        <v>1478</v>
      </c>
      <c r="F1281" s="283" t="s">
        <v>1202</v>
      </c>
      <c r="G1281" s="262" t="s">
        <v>1751</v>
      </c>
      <c r="H1281" s="258">
        <v>1200000</v>
      </c>
      <c r="I1281" s="262">
        <v>1</v>
      </c>
      <c r="L1281" s="258">
        <v>1200000</v>
      </c>
      <c r="O1281" s="262"/>
    </row>
    <row r="1282" spans="1:15">
      <c r="A1282" s="264">
        <v>1281</v>
      </c>
      <c r="B1282" s="257">
        <v>45887</v>
      </c>
      <c r="C1282" s="283" t="s">
        <v>1478</v>
      </c>
      <c r="F1282" s="283" t="s">
        <v>1495</v>
      </c>
      <c r="G1282" s="262" t="s">
        <v>2677</v>
      </c>
      <c r="H1282" s="258">
        <v>350000</v>
      </c>
      <c r="I1282" s="262">
        <v>1</v>
      </c>
      <c r="L1282" s="258">
        <v>350000</v>
      </c>
      <c r="O1282" s="262"/>
    </row>
    <row r="1283" spans="1:15">
      <c r="A1283" s="264">
        <v>1282</v>
      </c>
      <c r="B1283" s="257">
        <v>45887</v>
      </c>
      <c r="C1283" s="283" t="s">
        <v>1443</v>
      </c>
      <c r="F1283" s="283" t="s">
        <v>2195</v>
      </c>
      <c r="G1283" s="262">
        <v>2820403</v>
      </c>
      <c r="H1283" s="258">
        <v>1500000</v>
      </c>
      <c r="I1283" s="262">
        <v>1</v>
      </c>
      <c r="L1283" s="258">
        <v>1500000</v>
      </c>
      <c r="O1283" s="262"/>
    </row>
    <row r="1284" spans="1:15">
      <c r="A1284" s="264">
        <v>1283</v>
      </c>
      <c r="B1284" s="257">
        <v>45887</v>
      </c>
      <c r="C1284" s="283" t="s">
        <v>1443</v>
      </c>
      <c r="F1284" s="283" t="s">
        <v>2055</v>
      </c>
      <c r="M1284" s="258">
        <v>-11507000</v>
      </c>
      <c r="O1284" s="262"/>
    </row>
    <row r="1285" spans="1:15">
      <c r="A1285" s="264">
        <v>1284</v>
      </c>
      <c r="B1285" s="257">
        <v>45887</v>
      </c>
      <c r="C1285" s="283" t="s">
        <v>1466</v>
      </c>
      <c r="F1285" s="283" t="s">
        <v>3221</v>
      </c>
      <c r="H1285" s="258">
        <v>1100000</v>
      </c>
      <c r="I1285" s="262">
        <v>1</v>
      </c>
      <c r="K1285" s="259">
        <v>110000</v>
      </c>
      <c r="L1285" s="258">
        <v>1210000</v>
      </c>
      <c r="O1285" s="262"/>
    </row>
    <row r="1286" spans="1:15">
      <c r="A1286" s="264">
        <v>1285</v>
      </c>
      <c r="B1286" s="257">
        <v>45887</v>
      </c>
      <c r="C1286" s="283" t="s">
        <v>1466</v>
      </c>
      <c r="F1286" s="283" t="s">
        <v>3221</v>
      </c>
      <c r="H1286" s="258">
        <v>1100000</v>
      </c>
      <c r="I1286" s="262">
        <v>1</v>
      </c>
      <c r="K1286" s="259">
        <v>110000</v>
      </c>
      <c r="L1286" s="258">
        <v>1210000</v>
      </c>
      <c r="O1286" s="262" t="s">
        <v>3222</v>
      </c>
    </row>
    <row r="1287" spans="1:15">
      <c r="A1287" s="264">
        <v>1286</v>
      </c>
      <c r="B1287" s="257">
        <v>45887</v>
      </c>
      <c r="C1287" s="283" t="s">
        <v>1333</v>
      </c>
      <c r="F1287" s="283" t="s">
        <v>1218</v>
      </c>
      <c r="G1287" s="262" t="s">
        <v>2161</v>
      </c>
      <c r="H1287" s="258">
        <v>1200000</v>
      </c>
      <c r="I1287" s="262">
        <v>1</v>
      </c>
      <c r="K1287" s="259">
        <v>120000</v>
      </c>
      <c r="L1287" s="258">
        <v>1320000</v>
      </c>
      <c r="O1287" s="262"/>
    </row>
    <row r="1288" spans="1:15">
      <c r="A1288" s="264">
        <v>1287</v>
      </c>
      <c r="B1288" s="257">
        <v>45887</v>
      </c>
      <c r="C1288" s="283" t="s">
        <v>1976</v>
      </c>
      <c r="F1288" s="283" t="s">
        <v>2179</v>
      </c>
      <c r="G1288" s="262" t="s">
        <v>1200</v>
      </c>
      <c r="H1288" s="258">
        <v>1500000</v>
      </c>
      <c r="I1288" s="262">
        <v>1</v>
      </c>
      <c r="K1288" s="259">
        <v>150000</v>
      </c>
      <c r="L1288" s="258">
        <v>1650000</v>
      </c>
      <c r="O1288" s="262" t="s">
        <v>3226</v>
      </c>
    </row>
    <row r="1289" spans="1:15">
      <c r="A1289" s="264">
        <v>1288</v>
      </c>
      <c r="B1289" s="257">
        <v>45887</v>
      </c>
      <c r="C1289" s="283" t="s">
        <v>1318</v>
      </c>
      <c r="F1289" s="283" t="s">
        <v>1722</v>
      </c>
      <c r="G1289" s="263">
        <v>2800802</v>
      </c>
      <c r="H1289" s="258">
        <v>200000</v>
      </c>
      <c r="I1289" s="262">
        <v>1</v>
      </c>
      <c r="K1289" s="259">
        <v>20000</v>
      </c>
      <c r="L1289" s="258">
        <v>220000</v>
      </c>
      <c r="O1289" s="262"/>
    </row>
    <row r="1290" spans="1:15">
      <c r="A1290" s="264">
        <v>1289</v>
      </c>
      <c r="B1290" s="257">
        <v>45887</v>
      </c>
      <c r="C1290" s="283" t="s">
        <v>1597</v>
      </c>
      <c r="F1290" s="283" t="s">
        <v>2179</v>
      </c>
      <c r="G1290" s="262" t="s">
        <v>1200</v>
      </c>
      <c r="H1290" s="258">
        <v>1500000</v>
      </c>
      <c r="I1290" s="262">
        <v>1</v>
      </c>
      <c r="L1290" s="258">
        <v>1500000</v>
      </c>
      <c r="O1290" s="262" t="s">
        <v>3228</v>
      </c>
    </row>
    <row r="1291" spans="1:15">
      <c r="A1291" s="264">
        <v>1290</v>
      </c>
      <c r="B1291" s="257">
        <v>45887</v>
      </c>
      <c r="C1291" s="283" t="s">
        <v>1976</v>
      </c>
      <c r="F1291" s="283" t="s">
        <v>1124</v>
      </c>
      <c r="M1291" s="258">
        <v>-1650000</v>
      </c>
      <c r="O1291" s="262"/>
    </row>
    <row r="1292" spans="1:15">
      <c r="A1292" s="264">
        <v>1291</v>
      </c>
      <c r="B1292" s="257">
        <v>45887</v>
      </c>
      <c r="C1292" s="283" t="s">
        <v>1453</v>
      </c>
      <c r="F1292" s="283" t="s">
        <v>2179</v>
      </c>
      <c r="G1292" s="262" t="s">
        <v>1200</v>
      </c>
      <c r="H1292" s="258">
        <v>1550000</v>
      </c>
      <c r="I1292" s="262">
        <v>1</v>
      </c>
      <c r="L1292" s="258">
        <v>1550000</v>
      </c>
      <c r="O1292" s="262" t="s">
        <v>3230</v>
      </c>
    </row>
    <row r="1293" spans="1:15">
      <c r="A1293" s="264">
        <v>1292</v>
      </c>
      <c r="B1293" s="257">
        <v>45887</v>
      </c>
      <c r="C1293" s="283" t="s">
        <v>3209</v>
      </c>
      <c r="F1293" s="283" t="s">
        <v>1124</v>
      </c>
      <c r="M1293" s="258">
        <v>-856900</v>
      </c>
      <c r="O1293" s="262"/>
    </row>
    <row r="1294" spans="1:15">
      <c r="A1294" s="264">
        <v>1293</v>
      </c>
      <c r="B1294" s="257">
        <v>45888</v>
      </c>
      <c r="C1294" s="283" t="s">
        <v>1448</v>
      </c>
      <c r="F1294" s="283" t="s">
        <v>1124</v>
      </c>
      <c r="M1294" s="258">
        <v>-1320000</v>
      </c>
      <c r="O1294" s="262"/>
    </row>
    <row r="1295" spans="1:15">
      <c r="A1295" s="264">
        <v>1294</v>
      </c>
      <c r="B1295" s="257">
        <v>45888</v>
      </c>
      <c r="C1295" s="283" t="s">
        <v>1576</v>
      </c>
      <c r="F1295" s="283" t="s">
        <v>2844</v>
      </c>
      <c r="H1295" s="258">
        <v>13000</v>
      </c>
      <c r="I1295" s="262">
        <v>1</v>
      </c>
      <c r="K1295" s="259">
        <v>1300</v>
      </c>
      <c r="L1295" s="258">
        <v>14300</v>
      </c>
      <c r="O1295" s="262"/>
    </row>
    <row r="1296" spans="1:15">
      <c r="A1296" s="264">
        <v>1295</v>
      </c>
      <c r="B1296" s="257">
        <v>45888</v>
      </c>
      <c r="C1296" s="283" t="s">
        <v>1576</v>
      </c>
      <c r="F1296" s="283" t="s">
        <v>2773</v>
      </c>
      <c r="G1296" s="262" t="s">
        <v>1212</v>
      </c>
      <c r="H1296" s="258">
        <v>1600000</v>
      </c>
      <c r="I1296" s="262">
        <v>1</v>
      </c>
      <c r="K1296" s="259">
        <v>160000</v>
      </c>
      <c r="L1296" s="258">
        <v>1760000</v>
      </c>
      <c r="O1296" s="262" t="s">
        <v>3232</v>
      </c>
    </row>
    <row r="1297" spans="1:16">
      <c r="A1297" s="264">
        <v>1296</v>
      </c>
      <c r="B1297" s="257">
        <v>45888</v>
      </c>
      <c r="C1297" s="283" t="s">
        <v>1576</v>
      </c>
      <c r="F1297" s="283" t="s">
        <v>1518</v>
      </c>
      <c r="H1297" s="258">
        <v>20000</v>
      </c>
      <c r="I1297" s="262">
        <v>1</v>
      </c>
      <c r="K1297" s="259">
        <v>2000</v>
      </c>
      <c r="L1297" s="258">
        <v>22000</v>
      </c>
      <c r="O1297" s="262"/>
    </row>
    <row r="1298" spans="1:16">
      <c r="A1298" s="264">
        <v>1297</v>
      </c>
      <c r="B1298" s="257">
        <v>45888</v>
      </c>
      <c r="C1298" s="283" t="s">
        <v>1398</v>
      </c>
      <c r="F1298" s="283" t="s">
        <v>2026</v>
      </c>
      <c r="G1298" s="262" t="s">
        <v>1215</v>
      </c>
      <c r="H1298" s="258">
        <v>700000</v>
      </c>
      <c r="I1298" s="262">
        <v>1</v>
      </c>
      <c r="L1298" s="258">
        <v>700000</v>
      </c>
      <c r="O1298" s="262"/>
    </row>
    <row r="1299" spans="1:16">
      <c r="A1299" s="264">
        <v>1298</v>
      </c>
      <c r="B1299" s="257">
        <v>45888</v>
      </c>
      <c r="C1299" s="283" t="s">
        <v>1472</v>
      </c>
      <c r="F1299" s="283" t="s">
        <v>2289</v>
      </c>
      <c r="H1299" s="258">
        <v>1500000</v>
      </c>
      <c r="I1299" s="262">
        <v>1</v>
      </c>
      <c r="L1299" s="258">
        <v>1500000</v>
      </c>
      <c r="O1299" s="262"/>
    </row>
    <row r="1300" spans="1:16">
      <c r="A1300" s="264">
        <v>1299</v>
      </c>
      <c r="B1300" s="257">
        <v>45888</v>
      </c>
      <c r="C1300" s="283" t="s">
        <v>1597</v>
      </c>
      <c r="F1300" s="283" t="s">
        <v>1202</v>
      </c>
      <c r="G1300" s="262" t="s">
        <v>1751</v>
      </c>
      <c r="H1300" s="258">
        <v>1000000</v>
      </c>
      <c r="I1300" s="262">
        <v>1</v>
      </c>
      <c r="L1300" s="258">
        <v>1000000</v>
      </c>
      <c r="O1300" s="262">
        <v>7252709011</v>
      </c>
    </row>
    <row r="1301" spans="1:16">
      <c r="A1301" s="264">
        <v>1300</v>
      </c>
      <c r="B1301" s="257">
        <v>45888</v>
      </c>
      <c r="C1301" s="283" t="s">
        <v>1398</v>
      </c>
      <c r="F1301" s="283" t="s">
        <v>1742</v>
      </c>
      <c r="H1301" s="258">
        <v>650000</v>
      </c>
      <c r="I1301" s="262">
        <v>1</v>
      </c>
      <c r="L1301" s="258">
        <v>650000</v>
      </c>
      <c r="O1301" s="262" t="s">
        <v>3237</v>
      </c>
    </row>
    <row r="1302" spans="1:16">
      <c r="A1302" s="264">
        <v>1301</v>
      </c>
      <c r="B1302" s="257">
        <v>45888</v>
      </c>
      <c r="C1302" s="283" t="s">
        <v>1597</v>
      </c>
      <c r="F1302" s="283" t="s">
        <v>1124</v>
      </c>
      <c r="M1302" s="258">
        <v>-2500000</v>
      </c>
      <c r="O1302" s="262"/>
    </row>
    <row r="1303" spans="1:16">
      <c r="A1303" s="264">
        <v>1302</v>
      </c>
      <c r="B1303" s="257">
        <v>45889</v>
      </c>
      <c r="C1303" s="283" t="s">
        <v>2608</v>
      </c>
      <c r="F1303" s="283" t="s">
        <v>1124</v>
      </c>
      <c r="M1303" s="258">
        <v>-220000</v>
      </c>
      <c r="O1303" s="262"/>
    </row>
    <row r="1304" spans="1:16">
      <c r="A1304" s="264">
        <v>1303</v>
      </c>
      <c r="B1304" s="257">
        <v>45889</v>
      </c>
      <c r="C1304" s="283" t="s">
        <v>1026</v>
      </c>
      <c r="F1304" s="283" t="s">
        <v>2185</v>
      </c>
      <c r="G1304" s="262" t="s">
        <v>1199</v>
      </c>
      <c r="H1304" s="258">
        <v>1400000</v>
      </c>
      <c r="I1304" s="262">
        <v>1</v>
      </c>
      <c r="L1304" s="258">
        <v>1400000</v>
      </c>
      <c r="O1304" s="262" t="s">
        <v>3239</v>
      </c>
    </row>
    <row r="1305" spans="1:16">
      <c r="A1305" s="264">
        <v>1304</v>
      </c>
      <c r="B1305" s="257">
        <v>45889</v>
      </c>
      <c r="C1305" s="283" t="s">
        <v>1540</v>
      </c>
      <c r="F1305" s="283" t="s">
        <v>1742</v>
      </c>
      <c r="H1305" s="258">
        <v>650000</v>
      </c>
      <c r="I1305" s="262">
        <v>1</v>
      </c>
      <c r="L1305" s="258">
        <v>650000</v>
      </c>
      <c r="O1305" s="262"/>
    </row>
    <row r="1306" spans="1:16">
      <c r="A1306" s="264">
        <v>1305</v>
      </c>
      <c r="B1306" s="257">
        <v>45889</v>
      </c>
      <c r="C1306" s="283" t="s">
        <v>1046</v>
      </c>
      <c r="F1306" s="283" t="s">
        <v>2179</v>
      </c>
      <c r="G1306" s="262" t="s">
        <v>1200</v>
      </c>
      <c r="H1306" s="258">
        <v>1500000</v>
      </c>
      <c r="I1306" s="262">
        <v>1</v>
      </c>
      <c r="L1306" s="258">
        <v>1500000</v>
      </c>
      <c r="O1306" s="262"/>
    </row>
    <row r="1307" spans="1:16">
      <c r="A1307" s="264">
        <v>1306</v>
      </c>
      <c r="B1307" s="257">
        <v>45889</v>
      </c>
      <c r="C1307" s="283" t="s">
        <v>1046</v>
      </c>
      <c r="F1307" s="283" t="s">
        <v>2180</v>
      </c>
      <c r="G1307" s="262" t="s">
        <v>1802</v>
      </c>
      <c r="H1307" s="258">
        <v>50000</v>
      </c>
      <c r="I1307" s="262">
        <v>1</v>
      </c>
      <c r="L1307" s="258">
        <v>50000</v>
      </c>
      <c r="O1307" s="262" t="s">
        <v>3243</v>
      </c>
    </row>
    <row r="1308" spans="1:16">
      <c r="A1308" s="264">
        <v>1307</v>
      </c>
      <c r="B1308" s="257">
        <v>45889</v>
      </c>
      <c r="C1308" s="283" t="s">
        <v>2556</v>
      </c>
      <c r="F1308" s="283" t="s">
        <v>1742</v>
      </c>
      <c r="H1308" s="258">
        <v>1100000</v>
      </c>
      <c r="I1308" s="262">
        <v>1</v>
      </c>
      <c r="L1308" s="258">
        <v>1100000</v>
      </c>
      <c r="O1308" s="262"/>
    </row>
    <row r="1309" spans="1:16">
      <c r="A1309" s="264">
        <v>1308</v>
      </c>
      <c r="B1309" s="257">
        <v>45889</v>
      </c>
      <c r="C1309" s="283" t="s">
        <v>2260</v>
      </c>
      <c r="F1309" s="283" t="s">
        <v>1202</v>
      </c>
      <c r="G1309" s="262" t="s">
        <v>1751</v>
      </c>
      <c r="H1309" s="258">
        <v>1200000</v>
      </c>
      <c r="I1309" s="262">
        <v>1</v>
      </c>
      <c r="L1309" s="258">
        <v>1200000</v>
      </c>
      <c r="O1309" s="262"/>
    </row>
    <row r="1310" spans="1:16">
      <c r="A1310" s="264">
        <v>1309</v>
      </c>
      <c r="B1310" s="257">
        <v>45889</v>
      </c>
      <c r="C1310" s="283" t="s">
        <v>2365</v>
      </c>
      <c r="F1310" s="283" t="s">
        <v>3246</v>
      </c>
      <c r="H1310" s="258">
        <v>3600000</v>
      </c>
      <c r="I1310" s="262">
        <v>1</v>
      </c>
      <c r="K1310" s="259">
        <v>360000</v>
      </c>
      <c r="L1310" s="258">
        <v>3960000</v>
      </c>
      <c r="O1310" s="262"/>
    </row>
    <row r="1311" spans="1:16">
      <c r="A1311" s="264">
        <v>1310</v>
      </c>
      <c r="B1311" s="257">
        <v>45890</v>
      </c>
      <c r="C1311" s="283" t="s">
        <v>1377</v>
      </c>
      <c r="F1311" s="283" t="s">
        <v>1716</v>
      </c>
      <c r="G1311" s="262">
        <v>2800802</v>
      </c>
      <c r="H1311" s="258">
        <v>150000</v>
      </c>
      <c r="I1311" s="262">
        <v>2</v>
      </c>
      <c r="L1311" s="258">
        <v>300000</v>
      </c>
      <c r="O1311" s="262"/>
      <c r="P1311" s="262" t="s">
        <v>3486</v>
      </c>
    </row>
    <row r="1312" spans="1:16">
      <c r="A1312" s="264">
        <v>1311</v>
      </c>
      <c r="B1312" s="257">
        <v>45890</v>
      </c>
      <c r="C1312" s="283" t="s">
        <v>2914</v>
      </c>
      <c r="F1312" s="283" t="s">
        <v>2289</v>
      </c>
      <c r="H1312" s="258">
        <v>1500000</v>
      </c>
      <c r="I1312" s="262">
        <v>1</v>
      </c>
      <c r="L1312" s="258">
        <v>1500000</v>
      </c>
      <c r="O1312" s="262"/>
      <c r="P1312" s="262" t="s">
        <v>3486</v>
      </c>
    </row>
    <row r="1313" spans="1:16">
      <c r="A1313" s="264">
        <v>1312</v>
      </c>
      <c r="B1313" s="257">
        <v>45890</v>
      </c>
      <c r="C1313" s="283" t="s">
        <v>1579</v>
      </c>
      <c r="F1313" s="283" t="s">
        <v>1743</v>
      </c>
      <c r="G1313" s="262">
        <v>2830501</v>
      </c>
      <c r="H1313" s="258">
        <v>1550000</v>
      </c>
      <c r="I1313" s="262">
        <v>1</v>
      </c>
      <c r="K1313" s="259">
        <v>155000</v>
      </c>
      <c r="L1313" s="258">
        <v>1705000</v>
      </c>
      <c r="O1313" s="262"/>
    </row>
    <row r="1314" spans="1:16">
      <c r="A1314" s="264">
        <v>1313</v>
      </c>
      <c r="B1314" s="257">
        <v>45890</v>
      </c>
      <c r="C1314" s="283" t="s">
        <v>1579</v>
      </c>
      <c r="F1314" s="283" t="s">
        <v>1265</v>
      </c>
      <c r="G1314" s="262" t="s">
        <v>1264</v>
      </c>
      <c r="H1314" s="258">
        <v>50000</v>
      </c>
      <c r="I1314" s="262">
        <v>3</v>
      </c>
      <c r="K1314" s="259">
        <v>15000</v>
      </c>
      <c r="L1314" s="258">
        <v>165000</v>
      </c>
      <c r="O1314" s="262"/>
    </row>
    <row r="1315" spans="1:16">
      <c r="A1315" s="264">
        <v>1314</v>
      </c>
      <c r="B1315" s="257">
        <v>45890</v>
      </c>
      <c r="C1315" s="283" t="s">
        <v>2556</v>
      </c>
      <c r="F1315" s="283" t="s">
        <v>2177</v>
      </c>
      <c r="G1315" s="262" t="s">
        <v>1463</v>
      </c>
      <c r="H1315" s="258">
        <v>1500000</v>
      </c>
      <c r="I1315" s="262">
        <v>1</v>
      </c>
      <c r="L1315" s="258">
        <v>1500000</v>
      </c>
      <c r="O1315" s="262"/>
      <c r="P1315" s="262" t="s">
        <v>3486</v>
      </c>
    </row>
    <row r="1316" spans="1:16">
      <c r="A1316" s="264">
        <v>1315</v>
      </c>
      <c r="B1316" s="257">
        <v>45890</v>
      </c>
      <c r="C1316" s="283" t="s">
        <v>1721</v>
      </c>
      <c r="F1316" s="283" t="s">
        <v>1204</v>
      </c>
      <c r="G1316" s="262" t="s">
        <v>1205</v>
      </c>
      <c r="H1316" s="258">
        <v>1200000</v>
      </c>
      <c r="I1316" s="262">
        <v>1</v>
      </c>
      <c r="L1316" s="258">
        <v>1200000</v>
      </c>
      <c r="O1316" s="262" t="s">
        <v>3252</v>
      </c>
    </row>
    <row r="1317" spans="1:16">
      <c r="A1317" s="264">
        <v>1316</v>
      </c>
      <c r="B1317" s="257">
        <v>45890</v>
      </c>
      <c r="C1317" s="283" t="s">
        <v>1398</v>
      </c>
      <c r="F1317" s="283" t="s">
        <v>2179</v>
      </c>
      <c r="G1317" s="262" t="s">
        <v>1200</v>
      </c>
      <c r="H1317" s="258">
        <v>1500000</v>
      </c>
      <c r="I1317" s="262">
        <v>1</v>
      </c>
      <c r="L1317" s="258">
        <v>1500000</v>
      </c>
      <c r="O1317" s="262"/>
    </row>
    <row r="1318" spans="1:16">
      <c r="A1318" s="264">
        <v>1317</v>
      </c>
      <c r="B1318" s="257">
        <v>45890</v>
      </c>
      <c r="C1318" s="283" t="s">
        <v>1398</v>
      </c>
      <c r="F1318" s="283" t="s">
        <v>3254</v>
      </c>
      <c r="I1318" s="262">
        <v>1</v>
      </c>
      <c r="M1318" s="258">
        <v>-600000</v>
      </c>
      <c r="O1318" s="262" t="s">
        <v>3255</v>
      </c>
    </row>
    <row r="1319" spans="1:16">
      <c r="A1319" s="264">
        <v>1318</v>
      </c>
      <c r="B1319" s="257">
        <v>45890</v>
      </c>
      <c r="C1319" s="283" t="s">
        <v>1398</v>
      </c>
      <c r="F1319" s="283" t="s">
        <v>2180</v>
      </c>
      <c r="G1319" s="262" t="s">
        <v>1802</v>
      </c>
      <c r="H1319" s="258">
        <v>50000</v>
      </c>
      <c r="I1319" s="262">
        <v>1</v>
      </c>
      <c r="L1319" s="258">
        <v>50000</v>
      </c>
      <c r="O1319" s="262"/>
    </row>
    <row r="1320" spans="1:16">
      <c r="A1320" s="264">
        <v>1319</v>
      </c>
      <c r="B1320" s="257">
        <v>45890</v>
      </c>
      <c r="C1320" s="283" t="s">
        <v>3119</v>
      </c>
      <c r="F1320" s="283" t="s">
        <v>2416</v>
      </c>
      <c r="G1320" s="262" t="s">
        <v>2746</v>
      </c>
      <c r="H1320" s="258">
        <v>1100000</v>
      </c>
      <c r="I1320" s="262">
        <v>1</v>
      </c>
      <c r="K1320" s="259">
        <v>110000</v>
      </c>
      <c r="L1320" s="258">
        <v>1210000</v>
      </c>
      <c r="O1320" s="262"/>
      <c r="P1320" s="262" t="s">
        <v>3486</v>
      </c>
    </row>
    <row r="1321" spans="1:16">
      <c r="A1321" s="264">
        <v>1320</v>
      </c>
      <c r="B1321" s="257">
        <v>45890</v>
      </c>
      <c r="C1321" s="283" t="s">
        <v>2914</v>
      </c>
      <c r="F1321" s="283" t="s">
        <v>1124</v>
      </c>
      <c r="M1321" s="258">
        <v>-1500000</v>
      </c>
      <c r="O1321" s="262"/>
    </row>
    <row r="1322" spans="1:16">
      <c r="A1322" s="264">
        <v>1321</v>
      </c>
      <c r="B1322" s="257">
        <v>45890</v>
      </c>
      <c r="C1322" s="283" t="s">
        <v>3119</v>
      </c>
      <c r="F1322" s="283" t="s">
        <v>1124</v>
      </c>
      <c r="M1322" s="258">
        <v>-1210000</v>
      </c>
      <c r="O1322" s="262"/>
    </row>
    <row r="1323" spans="1:16">
      <c r="A1323" s="264">
        <v>1322</v>
      </c>
      <c r="B1323" s="257">
        <v>45889</v>
      </c>
      <c r="C1323" s="283" t="s">
        <v>2260</v>
      </c>
      <c r="F1323" s="283" t="s">
        <v>1124</v>
      </c>
      <c r="M1323" s="258">
        <v>-1200000</v>
      </c>
      <c r="O1323" s="262"/>
    </row>
    <row r="1324" spans="1:16">
      <c r="A1324" s="264">
        <v>1323</v>
      </c>
      <c r="B1324" s="257">
        <v>45889</v>
      </c>
      <c r="C1324" s="283" t="s">
        <v>2556</v>
      </c>
      <c r="F1324" s="283" t="s">
        <v>1124</v>
      </c>
      <c r="M1324" s="258">
        <v>-1100000</v>
      </c>
      <c r="O1324" s="262"/>
    </row>
    <row r="1325" spans="1:16">
      <c r="A1325" s="264">
        <v>1324</v>
      </c>
      <c r="B1325" s="257">
        <v>45891</v>
      </c>
      <c r="C1325" s="283" t="s">
        <v>1453</v>
      </c>
      <c r="F1325" s="283" t="s">
        <v>1124</v>
      </c>
      <c r="M1325" s="258">
        <v>-1550000</v>
      </c>
      <c r="O1325" s="262"/>
    </row>
    <row r="1326" spans="1:16">
      <c r="A1326" s="264">
        <v>1325</v>
      </c>
      <c r="B1326" s="257">
        <v>45891</v>
      </c>
      <c r="C1326" s="283" t="s">
        <v>2856</v>
      </c>
      <c r="F1326" s="283" t="s">
        <v>2812</v>
      </c>
      <c r="G1326" s="262">
        <v>28120504</v>
      </c>
      <c r="H1326" s="258">
        <v>1000000</v>
      </c>
      <c r="I1326" s="262">
        <v>1</v>
      </c>
      <c r="K1326" s="259">
        <v>100000</v>
      </c>
      <c r="L1326" s="258">
        <v>1100000</v>
      </c>
      <c r="O1326" s="262"/>
      <c r="P1326" s="262" t="s">
        <v>3486</v>
      </c>
    </row>
    <row r="1327" spans="1:16">
      <c r="A1327" s="264">
        <v>1326</v>
      </c>
      <c r="B1327" s="257">
        <v>45891</v>
      </c>
      <c r="C1327" s="283" t="s">
        <v>1811</v>
      </c>
      <c r="F1327" s="283">
        <v>-1</v>
      </c>
      <c r="H1327" s="258">
        <v>-1</v>
      </c>
      <c r="I1327" s="262">
        <v>1</v>
      </c>
      <c r="L1327" s="258">
        <v>-1</v>
      </c>
      <c r="O1327" s="262"/>
      <c r="P1327" s="262" t="s">
        <v>3486</v>
      </c>
    </row>
    <row r="1328" spans="1:16">
      <c r="A1328" s="264">
        <v>1327</v>
      </c>
      <c r="B1328" s="257">
        <v>45891</v>
      </c>
      <c r="C1328" s="283" t="s">
        <v>1811</v>
      </c>
      <c r="F1328" s="283" t="s">
        <v>2186</v>
      </c>
      <c r="G1328" s="262" t="s">
        <v>1206</v>
      </c>
      <c r="H1328" s="258">
        <v>545455</v>
      </c>
      <c r="I1328" s="262">
        <v>1</v>
      </c>
      <c r="K1328" s="259">
        <v>54546</v>
      </c>
      <c r="L1328" s="258">
        <v>600001</v>
      </c>
      <c r="O1328" s="262" t="s">
        <v>3260</v>
      </c>
      <c r="P1328" s="262" t="s">
        <v>3486</v>
      </c>
    </row>
    <row r="1329" spans="1:16">
      <c r="A1329" s="264">
        <v>1328</v>
      </c>
      <c r="B1329" s="257">
        <v>45891</v>
      </c>
      <c r="C1329" s="283" t="s">
        <v>3262</v>
      </c>
      <c r="F1329" s="283" t="s">
        <v>3265</v>
      </c>
      <c r="H1329" s="258">
        <v>200000</v>
      </c>
      <c r="I1329" s="262">
        <v>1</v>
      </c>
      <c r="L1329" s="258">
        <v>200000</v>
      </c>
      <c r="O1329" s="262"/>
      <c r="P1329" s="262" t="s">
        <v>3486</v>
      </c>
    </row>
    <row r="1330" spans="1:16">
      <c r="A1330" s="264">
        <v>1329</v>
      </c>
      <c r="B1330" s="257">
        <v>45891</v>
      </c>
      <c r="C1330" s="283" t="s">
        <v>1318</v>
      </c>
      <c r="F1330" s="283" t="s">
        <v>1722</v>
      </c>
      <c r="G1330" s="263">
        <v>2800802</v>
      </c>
      <c r="H1330" s="258">
        <v>200000</v>
      </c>
      <c r="I1330" s="262">
        <v>1</v>
      </c>
      <c r="K1330" s="259">
        <v>20000</v>
      </c>
      <c r="L1330" s="258">
        <v>220000</v>
      </c>
      <c r="O1330" s="262"/>
      <c r="P1330" s="262" t="s">
        <v>3486</v>
      </c>
    </row>
    <row r="1331" spans="1:16">
      <c r="A1331" s="264">
        <v>1330</v>
      </c>
      <c r="B1331" s="257">
        <v>45891</v>
      </c>
      <c r="C1331" s="283" t="s">
        <v>3268</v>
      </c>
      <c r="F1331" s="283" t="s">
        <v>3269</v>
      </c>
      <c r="G1331" s="262">
        <v>2830502</v>
      </c>
      <c r="H1331" s="258">
        <v>1750000</v>
      </c>
      <c r="I1331" s="262">
        <v>1</v>
      </c>
      <c r="L1331" s="258">
        <v>1750000</v>
      </c>
      <c r="O1331" s="262" t="s">
        <v>3270</v>
      </c>
      <c r="P1331" s="262" t="s">
        <v>3486</v>
      </c>
    </row>
    <row r="1332" spans="1:16">
      <c r="A1332" s="264">
        <v>1331</v>
      </c>
      <c r="B1332" s="257">
        <v>45891</v>
      </c>
      <c r="C1332" s="283" t="s">
        <v>3262</v>
      </c>
      <c r="F1332" s="283" t="s">
        <v>1124</v>
      </c>
      <c r="M1332" s="258">
        <v>-200000</v>
      </c>
      <c r="O1332" s="262"/>
    </row>
    <row r="1333" spans="1:16">
      <c r="A1333" s="264">
        <v>1332</v>
      </c>
      <c r="B1333" s="257">
        <v>45891</v>
      </c>
      <c r="C1333" s="283" t="s">
        <v>3268</v>
      </c>
      <c r="F1333" s="283" t="s">
        <v>1124</v>
      </c>
      <c r="M1333" s="258">
        <v>-1750000</v>
      </c>
      <c r="O1333" s="262"/>
    </row>
    <row r="1334" spans="1:16">
      <c r="A1334" s="264">
        <v>1333</v>
      </c>
      <c r="B1334" s="257">
        <v>45891</v>
      </c>
      <c r="C1334" s="283" t="s">
        <v>2856</v>
      </c>
      <c r="F1334" s="283" t="s">
        <v>1124</v>
      </c>
      <c r="M1334" s="258">
        <v>-1100000</v>
      </c>
      <c r="O1334" s="262"/>
    </row>
    <row r="1335" spans="1:16">
      <c r="A1335" s="264">
        <v>1334</v>
      </c>
      <c r="B1335" s="257">
        <v>45891</v>
      </c>
      <c r="C1335" s="283" t="s">
        <v>2556</v>
      </c>
      <c r="F1335" s="283" t="s">
        <v>1124</v>
      </c>
      <c r="M1335" s="258">
        <v>-1500000</v>
      </c>
      <c r="O1335" s="262"/>
    </row>
    <row r="1336" spans="1:16">
      <c r="A1336" s="264">
        <v>1335</v>
      </c>
      <c r="B1336" s="257">
        <v>45892</v>
      </c>
      <c r="C1336" s="283" t="s">
        <v>1007</v>
      </c>
      <c r="F1336" s="283" t="s">
        <v>1716</v>
      </c>
      <c r="G1336" s="262">
        <v>2800802</v>
      </c>
      <c r="H1336" s="258">
        <v>150000</v>
      </c>
      <c r="I1336" s="262">
        <v>1</v>
      </c>
      <c r="L1336" s="258">
        <v>150000</v>
      </c>
      <c r="O1336" s="262"/>
      <c r="P1336" s="262" t="s">
        <v>3486</v>
      </c>
    </row>
    <row r="1337" spans="1:16">
      <c r="A1337" s="264">
        <v>1336</v>
      </c>
      <c r="B1337" s="257">
        <v>45892</v>
      </c>
      <c r="C1337" s="283" t="s">
        <v>2608</v>
      </c>
      <c r="F1337" s="283" t="s">
        <v>1745</v>
      </c>
      <c r="M1337" s="258">
        <v>-220000</v>
      </c>
      <c r="O1337" s="262"/>
    </row>
    <row r="1338" spans="1:16">
      <c r="A1338" s="264">
        <v>1337</v>
      </c>
      <c r="B1338" s="257">
        <v>45892</v>
      </c>
      <c r="C1338" s="283" t="s">
        <v>1377</v>
      </c>
      <c r="F1338" s="283" t="s">
        <v>1745</v>
      </c>
      <c r="M1338" s="258">
        <v>-300000</v>
      </c>
      <c r="O1338" s="262"/>
    </row>
    <row r="1339" spans="1:16">
      <c r="A1339" s="264">
        <v>1338</v>
      </c>
      <c r="B1339" s="257">
        <v>45891</v>
      </c>
      <c r="C1339" s="283" t="s">
        <v>1026</v>
      </c>
      <c r="F1339" s="283" t="s">
        <v>1124</v>
      </c>
      <c r="M1339" s="258">
        <v>-2070000</v>
      </c>
      <c r="O1339" s="262"/>
    </row>
    <row r="1340" spans="1:16">
      <c r="A1340" s="264">
        <v>1339</v>
      </c>
      <c r="B1340" s="257">
        <v>45894</v>
      </c>
      <c r="C1340" s="283" t="s">
        <v>1007</v>
      </c>
      <c r="F1340" s="283" t="s">
        <v>1124</v>
      </c>
      <c r="M1340" s="258">
        <v>-150000</v>
      </c>
      <c r="O1340" s="262"/>
    </row>
    <row r="1341" spans="1:16">
      <c r="A1341" s="264">
        <v>1340</v>
      </c>
      <c r="B1341" s="257">
        <v>45894</v>
      </c>
      <c r="C1341" s="283" t="s">
        <v>1398</v>
      </c>
      <c r="F1341" s="283" t="s">
        <v>1743</v>
      </c>
      <c r="G1341" s="262">
        <v>2830501</v>
      </c>
      <c r="H1341" s="258">
        <v>1550000</v>
      </c>
      <c r="I1341" s="262">
        <v>1</v>
      </c>
      <c r="L1341" s="258">
        <v>1550000</v>
      </c>
      <c r="O1341" s="262"/>
      <c r="P1341" s="262" t="s">
        <v>3486</v>
      </c>
    </row>
    <row r="1342" spans="1:16">
      <c r="A1342" s="264">
        <v>1341</v>
      </c>
      <c r="B1342" s="257">
        <v>45894</v>
      </c>
      <c r="C1342" s="283" t="s">
        <v>1398</v>
      </c>
      <c r="F1342" s="283" t="s">
        <v>1202</v>
      </c>
      <c r="G1342" s="262" t="s">
        <v>1751</v>
      </c>
      <c r="H1342" s="258">
        <v>1200000</v>
      </c>
      <c r="I1342" s="262">
        <v>1</v>
      </c>
      <c r="L1342" s="258">
        <v>1200000</v>
      </c>
      <c r="O1342" s="262"/>
      <c r="P1342" s="262" t="s">
        <v>3486</v>
      </c>
    </row>
    <row r="1343" spans="1:16">
      <c r="A1343" s="264">
        <v>1342</v>
      </c>
      <c r="B1343" s="257">
        <v>45894</v>
      </c>
      <c r="C1343" s="283" t="s">
        <v>1398</v>
      </c>
      <c r="F1343" s="283" t="s">
        <v>2838</v>
      </c>
      <c r="G1343" s="262" t="s">
        <v>2748</v>
      </c>
      <c r="H1343" s="258">
        <v>129000</v>
      </c>
      <c r="I1343" s="262">
        <v>1</v>
      </c>
      <c r="L1343" s="258">
        <v>129000</v>
      </c>
      <c r="O1343" s="262"/>
    </row>
    <row r="1344" spans="1:16">
      <c r="A1344" s="264">
        <v>1343</v>
      </c>
      <c r="B1344" s="257">
        <v>45894</v>
      </c>
      <c r="C1344" s="283" t="s">
        <v>1398</v>
      </c>
      <c r="F1344" s="283" t="s">
        <v>2186</v>
      </c>
      <c r="G1344" s="262" t="s">
        <v>1206</v>
      </c>
      <c r="H1344" s="258">
        <v>510000</v>
      </c>
      <c r="I1344" s="262">
        <v>1</v>
      </c>
      <c r="L1344" s="258">
        <v>510000</v>
      </c>
      <c r="O1344" s="262"/>
      <c r="P1344" s="262" t="s">
        <v>3486</v>
      </c>
    </row>
    <row r="1345" spans="1:16">
      <c r="A1345" s="264">
        <v>1344</v>
      </c>
      <c r="B1345" s="257">
        <v>45894</v>
      </c>
      <c r="C1345" s="283" t="s">
        <v>1398</v>
      </c>
      <c r="F1345" s="283" t="s">
        <v>2187</v>
      </c>
      <c r="G1345" s="262" t="s">
        <v>1258</v>
      </c>
      <c r="H1345" s="258">
        <v>130000</v>
      </c>
      <c r="I1345" s="262">
        <v>1</v>
      </c>
      <c r="L1345" s="258">
        <v>130000</v>
      </c>
      <c r="O1345" s="262"/>
      <c r="P1345" s="262" t="s">
        <v>3486</v>
      </c>
    </row>
    <row r="1346" spans="1:16">
      <c r="A1346" s="264">
        <v>1345</v>
      </c>
      <c r="B1346" s="257">
        <v>45894</v>
      </c>
      <c r="C1346" s="283" t="s">
        <v>1398</v>
      </c>
      <c r="F1346" s="283" t="s">
        <v>2190</v>
      </c>
      <c r="G1346" s="262" t="s">
        <v>1794</v>
      </c>
      <c r="H1346" s="258">
        <v>30000</v>
      </c>
      <c r="I1346" s="262">
        <v>1</v>
      </c>
      <c r="L1346" s="258">
        <v>30000</v>
      </c>
      <c r="O1346" s="262"/>
      <c r="P1346" s="262" t="s">
        <v>3486</v>
      </c>
    </row>
    <row r="1347" spans="1:16">
      <c r="A1347" s="264">
        <v>1346</v>
      </c>
      <c r="B1347" s="257">
        <v>45894</v>
      </c>
      <c r="C1347" s="283" t="s">
        <v>1398</v>
      </c>
      <c r="F1347" s="283" t="s">
        <v>2191</v>
      </c>
      <c r="G1347" s="262" t="s">
        <v>1821</v>
      </c>
      <c r="H1347" s="258">
        <v>10000</v>
      </c>
      <c r="I1347" s="262">
        <v>1</v>
      </c>
      <c r="L1347" s="258">
        <v>10000</v>
      </c>
      <c r="O1347" s="262"/>
      <c r="P1347" s="262" t="s">
        <v>3486</v>
      </c>
    </row>
    <row r="1348" spans="1:16">
      <c r="A1348" s="264">
        <v>1347</v>
      </c>
      <c r="B1348" s="257">
        <v>45894</v>
      </c>
      <c r="C1348" s="283" t="s">
        <v>1804</v>
      </c>
      <c r="F1348" s="283" t="s">
        <v>2186</v>
      </c>
      <c r="G1348" s="262" t="s">
        <v>1206</v>
      </c>
      <c r="H1348" s="258">
        <v>526364</v>
      </c>
      <c r="I1348" s="262">
        <v>1</v>
      </c>
      <c r="K1348" s="259">
        <v>52636</v>
      </c>
      <c r="L1348" s="258">
        <v>579000</v>
      </c>
      <c r="O1348" s="262"/>
    </row>
    <row r="1349" spans="1:16">
      <c r="A1349" s="264">
        <v>1348</v>
      </c>
      <c r="B1349" s="257">
        <v>45894</v>
      </c>
      <c r="C1349" s="283" t="s">
        <v>1804</v>
      </c>
      <c r="F1349" s="283" t="s">
        <v>2187</v>
      </c>
      <c r="G1349" s="262" t="s">
        <v>1258</v>
      </c>
      <c r="H1349" s="258">
        <v>130000</v>
      </c>
      <c r="I1349" s="262">
        <v>1</v>
      </c>
      <c r="K1349" s="259">
        <v>13000</v>
      </c>
      <c r="L1349" s="258">
        <v>143000</v>
      </c>
      <c r="O1349" s="262"/>
    </row>
    <row r="1350" spans="1:16">
      <c r="A1350" s="264">
        <v>1349</v>
      </c>
      <c r="B1350" s="257">
        <v>45894</v>
      </c>
      <c r="C1350" s="283" t="s">
        <v>1804</v>
      </c>
      <c r="F1350" s="283" t="s">
        <v>2190</v>
      </c>
      <c r="G1350" s="262" t="s">
        <v>1794</v>
      </c>
      <c r="H1350" s="258">
        <v>32000</v>
      </c>
      <c r="I1350" s="262">
        <v>2</v>
      </c>
      <c r="K1350" s="259">
        <v>6400</v>
      </c>
      <c r="L1350" s="258">
        <v>70400</v>
      </c>
      <c r="O1350" s="262"/>
    </row>
    <row r="1351" spans="1:16">
      <c r="A1351" s="264">
        <v>1350</v>
      </c>
      <c r="B1351" s="257">
        <v>45894</v>
      </c>
      <c r="C1351" s="283" t="s">
        <v>1804</v>
      </c>
      <c r="F1351" s="283" t="s">
        <v>2191</v>
      </c>
      <c r="G1351" s="262" t="s">
        <v>1821</v>
      </c>
      <c r="H1351" s="258">
        <v>10000</v>
      </c>
      <c r="I1351" s="262">
        <v>1</v>
      </c>
      <c r="K1351" s="259">
        <v>1000</v>
      </c>
      <c r="L1351" s="258">
        <v>11000</v>
      </c>
      <c r="O1351" s="262"/>
    </row>
    <row r="1352" spans="1:16">
      <c r="A1352" s="264">
        <v>1351</v>
      </c>
      <c r="B1352" s="257">
        <v>45894</v>
      </c>
      <c r="C1352" s="283" t="s">
        <v>3119</v>
      </c>
      <c r="F1352" s="283" t="s">
        <v>3282</v>
      </c>
      <c r="G1352" s="262" t="s">
        <v>3283</v>
      </c>
      <c r="H1352" s="258">
        <v>300000</v>
      </c>
      <c r="I1352" s="262">
        <v>1</v>
      </c>
      <c r="K1352" s="259">
        <v>30000</v>
      </c>
      <c r="L1352" s="258">
        <v>330000</v>
      </c>
      <c r="O1352" s="262"/>
      <c r="P1352" s="262" t="s">
        <v>3486</v>
      </c>
    </row>
    <row r="1353" spans="1:16">
      <c r="A1353" s="264">
        <v>1352</v>
      </c>
      <c r="B1353" s="257">
        <v>45894</v>
      </c>
      <c r="C1353" s="283" t="s">
        <v>2914</v>
      </c>
      <c r="F1353" s="283" t="s">
        <v>2136</v>
      </c>
      <c r="G1353" s="262">
        <v>2830502</v>
      </c>
      <c r="H1353" s="258">
        <v>1650000</v>
      </c>
      <c r="I1353" s="262">
        <v>1</v>
      </c>
      <c r="L1353" s="258">
        <v>1650000</v>
      </c>
      <c r="O1353" s="262"/>
      <c r="P1353" s="262" t="s">
        <v>3486</v>
      </c>
    </row>
    <row r="1354" spans="1:16">
      <c r="A1354" s="264">
        <v>1353</v>
      </c>
      <c r="B1354" s="257">
        <v>45894</v>
      </c>
      <c r="C1354" s="283" t="s">
        <v>1576</v>
      </c>
      <c r="F1354" s="283" t="s">
        <v>2917</v>
      </c>
      <c r="G1354" s="262">
        <v>4150862090</v>
      </c>
      <c r="H1354" s="258">
        <v>450000</v>
      </c>
      <c r="I1354" s="262">
        <v>1</v>
      </c>
      <c r="K1354" s="259">
        <v>45000</v>
      </c>
      <c r="L1354" s="258">
        <v>495000</v>
      </c>
      <c r="O1354" s="262"/>
      <c r="P1354" s="262" t="s">
        <v>3486</v>
      </c>
    </row>
    <row r="1355" spans="1:16">
      <c r="A1355" s="264">
        <v>1354</v>
      </c>
      <c r="B1355" s="257">
        <v>45894</v>
      </c>
      <c r="C1355" s="283" t="s">
        <v>2291</v>
      </c>
      <c r="F1355" s="283" t="s">
        <v>3069</v>
      </c>
      <c r="G1355" s="262" t="s">
        <v>2326</v>
      </c>
      <c r="H1355" s="258">
        <v>900000</v>
      </c>
      <c r="I1355" s="262">
        <v>1</v>
      </c>
      <c r="K1355" s="259">
        <v>90000</v>
      </c>
      <c r="L1355" s="258">
        <v>990000</v>
      </c>
      <c r="O1355" s="262"/>
      <c r="P1355" s="262" t="s">
        <v>3486</v>
      </c>
    </row>
    <row r="1356" spans="1:16">
      <c r="A1356" s="264">
        <v>1355</v>
      </c>
      <c r="B1356" s="257">
        <v>45894</v>
      </c>
      <c r="C1356" s="283" t="s">
        <v>2556</v>
      </c>
      <c r="F1356" s="283" t="s">
        <v>2026</v>
      </c>
      <c r="G1356" s="262" t="s">
        <v>1215</v>
      </c>
      <c r="H1356" s="258">
        <v>1500000</v>
      </c>
      <c r="I1356" s="262">
        <v>1</v>
      </c>
      <c r="L1356" s="258">
        <v>1500000</v>
      </c>
      <c r="O1356" s="262"/>
      <c r="P1356" s="262" t="s">
        <v>3486</v>
      </c>
    </row>
    <row r="1357" spans="1:16">
      <c r="A1357" s="264">
        <v>1356</v>
      </c>
      <c r="B1357" s="257">
        <v>45894</v>
      </c>
      <c r="C1357" s="283" t="s">
        <v>2556</v>
      </c>
      <c r="F1357" s="283" t="s">
        <v>1739</v>
      </c>
      <c r="G1357" s="262">
        <v>2801701</v>
      </c>
      <c r="H1357" s="258">
        <v>25000</v>
      </c>
      <c r="I1357" s="262">
        <v>2</v>
      </c>
      <c r="L1357" s="258">
        <v>50000</v>
      </c>
      <c r="O1357" s="262"/>
      <c r="P1357" s="262" t="s">
        <v>3486</v>
      </c>
    </row>
    <row r="1358" spans="1:16">
      <c r="A1358" s="264">
        <v>1357</v>
      </c>
      <c r="B1358" s="257">
        <v>45894</v>
      </c>
      <c r="C1358" s="283" t="s">
        <v>3290</v>
      </c>
      <c r="F1358" s="283" t="s">
        <v>2179</v>
      </c>
      <c r="G1358" s="262" t="s">
        <v>1200</v>
      </c>
      <c r="H1358" s="258">
        <v>1500000</v>
      </c>
      <c r="I1358" s="262">
        <v>1</v>
      </c>
      <c r="L1358" s="258">
        <v>1500000</v>
      </c>
      <c r="O1358" s="262"/>
      <c r="P1358" s="262" t="s">
        <v>3486</v>
      </c>
    </row>
    <row r="1359" spans="1:16">
      <c r="A1359" s="264">
        <v>1358</v>
      </c>
      <c r="B1359" s="257">
        <v>45894</v>
      </c>
      <c r="C1359" s="283" t="s">
        <v>3290</v>
      </c>
      <c r="F1359" s="283" t="s">
        <v>2179</v>
      </c>
      <c r="G1359" s="262" t="s">
        <v>1200</v>
      </c>
      <c r="H1359" s="258">
        <v>1500000</v>
      </c>
      <c r="I1359" s="262">
        <v>1</v>
      </c>
      <c r="L1359" s="258">
        <v>1500000</v>
      </c>
      <c r="O1359" s="262"/>
      <c r="P1359" s="262" t="s">
        <v>3486</v>
      </c>
    </row>
    <row r="1360" spans="1:16">
      <c r="A1360" s="264">
        <v>1359</v>
      </c>
      <c r="B1360" s="257">
        <v>45894</v>
      </c>
      <c r="C1360" s="283" t="s">
        <v>987</v>
      </c>
      <c r="F1360" s="283" t="s">
        <v>1742</v>
      </c>
      <c r="H1360" s="258">
        <v>650000</v>
      </c>
      <c r="I1360" s="262">
        <v>1</v>
      </c>
      <c r="K1360" s="259">
        <v>65000</v>
      </c>
      <c r="L1360" s="258">
        <v>715000</v>
      </c>
      <c r="O1360" s="262"/>
      <c r="P1360" s="262" t="s">
        <v>3486</v>
      </c>
    </row>
    <row r="1361" spans="1:16">
      <c r="A1361" s="264">
        <v>1360</v>
      </c>
      <c r="B1361" s="257">
        <v>45894</v>
      </c>
      <c r="C1361" s="283" t="s">
        <v>2408</v>
      </c>
      <c r="F1361" s="283" t="s">
        <v>3297</v>
      </c>
      <c r="H1361" s="258">
        <v>300000</v>
      </c>
      <c r="I1361" s="262">
        <v>1</v>
      </c>
      <c r="L1361" s="258">
        <v>300000</v>
      </c>
      <c r="O1361" s="262"/>
      <c r="P1361" s="262" t="s">
        <v>3486</v>
      </c>
    </row>
    <row r="1362" spans="1:16">
      <c r="A1362" s="264">
        <v>1361</v>
      </c>
      <c r="B1362" s="257">
        <v>45894</v>
      </c>
      <c r="C1362" s="283" t="s">
        <v>2305</v>
      </c>
      <c r="F1362" s="283" t="s">
        <v>2298</v>
      </c>
      <c r="H1362" s="258">
        <v>650000</v>
      </c>
      <c r="I1362" s="262">
        <v>1</v>
      </c>
      <c r="K1362" s="259">
        <v>65000</v>
      </c>
      <c r="L1362" s="258">
        <v>715000</v>
      </c>
      <c r="O1362" s="262"/>
      <c r="P1362" s="262" t="s">
        <v>3486</v>
      </c>
    </row>
    <row r="1363" spans="1:16">
      <c r="A1363" s="264">
        <v>1362</v>
      </c>
      <c r="B1363" s="257">
        <v>45894</v>
      </c>
      <c r="C1363" s="283" t="s">
        <v>1576</v>
      </c>
      <c r="F1363" s="283" t="s">
        <v>2186</v>
      </c>
      <c r="G1363" s="262" t="s">
        <v>1206</v>
      </c>
      <c r="H1363" s="258">
        <v>526364</v>
      </c>
      <c r="I1363" s="262">
        <v>1</v>
      </c>
      <c r="K1363" s="259">
        <v>52636</v>
      </c>
      <c r="L1363" s="258">
        <v>579000</v>
      </c>
      <c r="O1363" s="262"/>
      <c r="P1363" s="262" t="s">
        <v>3486</v>
      </c>
    </row>
    <row r="1364" spans="1:16">
      <c r="A1364" s="264">
        <v>1363</v>
      </c>
      <c r="B1364" s="257">
        <v>45894</v>
      </c>
      <c r="C1364" s="283" t="s">
        <v>1273</v>
      </c>
      <c r="F1364" s="283" t="s">
        <v>2984</v>
      </c>
      <c r="G1364" s="263">
        <v>50229</v>
      </c>
      <c r="H1364" s="258">
        <v>72728</v>
      </c>
      <c r="I1364" s="262">
        <v>1</v>
      </c>
      <c r="K1364" s="259">
        <v>7273</v>
      </c>
      <c r="L1364" s="258">
        <v>80000</v>
      </c>
      <c r="O1364" s="262"/>
      <c r="P1364" s="262" t="s">
        <v>3486</v>
      </c>
    </row>
    <row r="1365" spans="1:16">
      <c r="A1365" s="264">
        <v>1364</v>
      </c>
      <c r="B1365" s="257">
        <v>45894</v>
      </c>
      <c r="C1365" s="283" t="s">
        <v>1576</v>
      </c>
      <c r="F1365" s="283" t="s">
        <v>2190</v>
      </c>
      <c r="G1365" s="262" t="s">
        <v>1794</v>
      </c>
      <c r="H1365" s="258">
        <v>32000</v>
      </c>
      <c r="I1365" s="262">
        <v>1</v>
      </c>
      <c r="K1365" s="259">
        <v>3200</v>
      </c>
      <c r="L1365" s="258">
        <v>35200</v>
      </c>
      <c r="O1365" s="262"/>
      <c r="P1365" s="262" t="s">
        <v>3486</v>
      </c>
    </row>
    <row r="1366" spans="1:16">
      <c r="A1366" s="264">
        <v>1365</v>
      </c>
      <c r="B1366" s="257">
        <v>45894</v>
      </c>
      <c r="C1366" s="283" t="s">
        <v>1576</v>
      </c>
      <c r="F1366" s="283" t="s">
        <v>2191</v>
      </c>
      <c r="G1366" s="262" t="s">
        <v>1821</v>
      </c>
      <c r="H1366" s="258">
        <v>10000</v>
      </c>
      <c r="I1366" s="262">
        <v>1</v>
      </c>
      <c r="K1366" s="259">
        <v>1000</v>
      </c>
      <c r="L1366" s="258">
        <v>11000</v>
      </c>
      <c r="O1366" s="262"/>
      <c r="P1366" s="262" t="s">
        <v>3486</v>
      </c>
    </row>
    <row r="1367" spans="1:16">
      <c r="A1367" s="264">
        <v>1366</v>
      </c>
      <c r="B1367" s="257">
        <v>45894</v>
      </c>
      <c r="C1367" s="283" t="s">
        <v>1576</v>
      </c>
      <c r="F1367" s="283" t="s">
        <v>2193</v>
      </c>
      <c r="H1367" s="258">
        <v>600000</v>
      </c>
      <c r="I1367" s="262">
        <v>1</v>
      </c>
      <c r="K1367" s="259">
        <v>60000</v>
      </c>
      <c r="L1367" s="258">
        <v>660000</v>
      </c>
      <c r="O1367" s="262"/>
      <c r="P1367" s="262" t="s">
        <v>3486</v>
      </c>
    </row>
    <row r="1368" spans="1:16">
      <c r="A1368" s="264">
        <v>1367</v>
      </c>
      <c r="B1368" s="257">
        <v>45894</v>
      </c>
      <c r="C1368" s="283" t="s">
        <v>1576</v>
      </c>
      <c r="F1368" s="283" t="s">
        <v>2186</v>
      </c>
      <c r="G1368" s="262" t="s">
        <v>1206</v>
      </c>
      <c r="H1368" s="258">
        <v>526364</v>
      </c>
      <c r="I1368" s="262">
        <v>1</v>
      </c>
      <c r="K1368" s="259">
        <v>52636</v>
      </c>
      <c r="L1368" s="258">
        <v>579000</v>
      </c>
      <c r="O1368" s="262"/>
      <c r="P1368" s="262" t="s">
        <v>3486</v>
      </c>
    </row>
    <row r="1369" spans="1:16">
      <c r="A1369" s="264">
        <v>1368</v>
      </c>
      <c r="B1369" s="257">
        <v>45894</v>
      </c>
      <c r="C1369" s="283" t="s">
        <v>1576</v>
      </c>
      <c r="F1369" s="283" t="s">
        <v>2189</v>
      </c>
      <c r="G1369" s="262">
        <v>50229</v>
      </c>
      <c r="H1369" s="258">
        <v>72728</v>
      </c>
      <c r="I1369" s="262">
        <v>1</v>
      </c>
      <c r="K1369" s="259">
        <v>7273</v>
      </c>
      <c r="L1369" s="258">
        <v>80001</v>
      </c>
      <c r="O1369" s="262"/>
      <c r="P1369" s="262" t="s">
        <v>3486</v>
      </c>
    </row>
    <row r="1370" spans="1:16">
      <c r="A1370" s="264">
        <v>1369</v>
      </c>
      <c r="B1370" s="257">
        <v>45894</v>
      </c>
      <c r="C1370" s="283" t="s">
        <v>1576</v>
      </c>
      <c r="F1370" s="283" t="s">
        <v>2190</v>
      </c>
      <c r="G1370" s="262" t="s">
        <v>1794</v>
      </c>
      <c r="H1370" s="258">
        <v>32000</v>
      </c>
      <c r="I1370" s="262">
        <v>1</v>
      </c>
      <c r="K1370" s="259">
        <v>3200</v>
      </c>
      <c r="L1370" s="258">
        <v>35200</v>
      </c>
      <c r="O1370" s="262"/>
      <c r="P1370" s="262" t="s">
        <v>3486</v>
      </c>
    </row>
    <row r="1371" spans="1:16">
      <c r="A1371" s="264">
        <v>1370</v>
      </c>
      <c r="B1371" s="257">
        <v>45894</v>
      </c>
      <c r="C1371" s="283" t="s">
        <v>1576</v>
      </c>
      <c r="F1371" s="283" t="s">
        <v>2191</v>
      </c>
      <c r="G1371" s="262" t="s">
        <v>1821</v>
      </c>
      <c r="H1371" s="258">
        <v>10000</v>
      </c>
      <c r="I1371" s="262">
        <v>1</v>
      </c>
      <c r="K1371" s="259">
        <v>1000</v>
      </c>
      <c r="L1371" s="258">
        <v>11000</v>
      </c>
      <c r="O1371" s="262"/>
      <c r="P1371" s="262" t="s">
        <v>3486</v>
      </c>
    </row>
    <row r="1372" spans="1:16">
      <c r="A1372" s="264">
        <v>1371</v>
      </c>
      <c r="B1372" s="257">
        <v>45894</v>
      </c>
      <c r="C1372" s="283" t="s">
        <v>1576</v>
      </c>
      <c r="F1372" s="283" t="s">
        <v>2193</v>
      </c>
      <c r="H1372" s="258">
        <v>600000</v>
      </c>
      <c r="I1372" s="262">
        <v>1</v>
      </c>
      <c r="K1372" s="259">
        <v>60000</v>
      </c>
      <c r="L1372" s="258">
        <v>660000</v>
      </c>
      <c r="O1372" s="262"/>
      <c r="P1372" s="262" t="s">
        <v>3486</v>
      </c>
    </row>
    <row r="1373" spans="1:16">
      <c r="A1373" s="264">
        <v>1372</v>
      </c>
      <c r="B1373" s="257">
        <v>45894</v>
      </c>
      <c r="C1373" s="283" t="s">
        <v>1015</v>
      </c>
      <c r="F1373" s="283" t="s">
        <v>2186</v>
      </c>
      <c r="G1373" s="262" t="s">
        <v>1206</v>
      </c>
      <c r="H1373" s="258">
        <v>526364</v>
      </c>
      <c r="I1373" s="262">
        <v>1</v>
      </c>
      <c r="K1373" s="259">
        <v>52636</v>
      </c>
      <c r="L1373" s="258">
        <v>579000</v>
      </c>
      <c r="O1373" s="262"/>
    </row>
    <row r="1374" spans="1:16">
      <c r="A1374" s="264">
        <v>1373</v>
      </c>
      <c r="B1374" s="257">
        <v>45894</v>
      </c>
      <c r="C1374" s="283" t="s">
        <v>2214</v>
      </c>
      <c r="F1374" s="283" t="s">
        <v>2984</v>
      </c>
      <c r="G1374" s="263">
        <v>50229</v>
      </c>
      <c r="H1374" s="258">
        <v>70000</v>
      </c>
      <c r="I1374" s="262">
        <v>1</v>
      </c>
      <c r="K1374" s="259">
        <v>7000</v>
      </c>
      <c r="L1374" s="258">
        <v>77000</v>
      </c>
      <c r="O1374" s="262"/>
    </row>
    <row r="1375" spans="1:16">
      <c r="A1375" s="264">
        <v>1374</v>
      </c>
      <c r="B1375" s="257">
        <v>45894</v>
      </c>
      <c r="C1375" s="283" t="s">
        <v>1443</v>
      </c>
      <c r="F1375" s="283" t="s">
        <v>3303</v>
      </c>
      <c r="M1375" s="258">
        <v>-600000</v>
      </c>
      <c r="O1375" s="262"/>
    </row>
    <row r="1376" spans="1:16">
      <c r="A1376" s="264">
        <v>1375</v>
      </c>
      <c r="B1376" s="257">
        <v>45894</v>
      </c>
      <c r="C1376" s="283" t="s">
        <v>1443</v>
      </c>
      <c r="F1376" s="283" t="s">
        <v>3304</v>
      </c>
      <c r="M1376" s="258">
        <v>-1000000</v>
      </c>
      <c r="O1376" s="262"/>
    </row>
    <row r="1377" spans="1:16">
      <c r="A1377" s="264">
        <v>1376</v>
      </c>
      <c r="B1377" s="257">
        <v>45893</v>
      </c>
      <c r="C1377" s="283" t="s">
        <v>1579</v>
      </c>
      <c r="F1377" s="283" t="s">
        <v>1124</v>
      </c>
      <c r="M1377" s="258">
        <v>-1000000</v>
      </c>
      <c r="O1377" s="262"/>
    </row>
    <row r="1378" spans="1:16">
      <c r="A1378" s="264">
        <v>1377</v>
      </c>
      <c r="B1378" s="257">
        <v>45894</v>
      </c>
      <c r="C1378" s="283" t="s">
        <v>2408</v>
      </c>
      <c r="F1378" s="283" t="s">
        <v>1124</v>
      </c>
      <c r="M1378" s="258">
        <v>-300000</v>
      </c>
      <c r="O1378" s="262"/>
    </row>
    <row r="1379" spans="1:16">
      <c r="A1379" s="264">
        <v>1378</v>
      </c>
      <c r="B1379" s="257">
        <v>45894</v>
      </c>
      <c r="C1379" s="283" t="s">
        <v>987</v>
      </c>
      <c r="F1379" s="283" t="s">
        <v>1124</v>
      </c>
      <c r="M1379" s="258">
        <v>-715000</v>
      </c>
      <c r="O1379" s="262"/>
    </row>
    <row r="1380" spans="1:16">
      <c r="A1380" s="264">
        <v>1379</v>
      </c>
      <c r="B1380" s="257">
        <v>45894</v>
      </c>
      <c r="C1380" s="283" t="s">
        <v>2291</v>
      </c>
      <c r="F1380" s="283" t="s">
        <v>1124</v>
      </c>
      <c r="M1380" s="258">
        <v>-990000</v>
      </c>
      <c r="O1380" s="262"/>
    </row>
    <row r="1381" spans="1:16">
      <c r="A1381" s="264">
        <v>1380</v>
      </c>
      <c r="B1381" s="257">
        <v>45894</v>
      </c>
      <c r="C1381" s="283" t="s">
        <v>2914</v>
      </c>
      <c r="F1381" s="283" t="s">
        <v>1124</v>
      </c>
      <c r="M1381" s="258">
        <v>-1650000</v>
      </c>
      <c r="O1381" s="262"/>
    </row>
    <row r="1382" spans="1:16">
      <c r="A1382" s="264">
        <v>1381</v>
      </c>
      <c r="B1382" s="257">
        <v>45894</v>
      </c>
      <c r="C1382" s="283" t="s">
        <v>3290</v>
      </c>
      <c r="F1382" s="283" t="s">
        <v>1124</v>
      </c>
      <c r="M1382" s="258">
        <v>-3000000</v>
      </c>
      <c r="O1382" s="262"/>
    </row>
    <row r="1383" spans="1:16">
      <c r="A1383" s="264">
        <v>1382</v>
      </c>
      <c r="B1383" s="257">
        <v>45895</v>
      </c>
      <c r="C1383" s="283" t="s">
        <v>1540</v>
      </c>
      <c r="F1383" s="283" t="s">
        <v>1918</v>
      </c>
      <c r="H1383" s="258">
        <v>2500000</v>
      </c>
      <c r="I1383" s="262">
        <v>1</v>
      </c>
      <c r="L1383" s="258">
        <v>2500000</v>
      </c>
      <c r="O1383" s="262"/>
      <c r="P1383" s="262" t="s">
        <v>3486</v>
      </c>
    </row>
    <row r="1384" spans="1:16">
      <c r="A1384" s="264">
        <v>1383</v>
      </c>
      <c r="B1384" s="257">
        <v>45895</v>
      </c>
      <c r="C1384" s="283" t="s">
        <v>1468</v>
      </c>
      <c r="F1384" s="283" t="s">
        <v>1915</v>
      </c>
      <c r="G1384" s="262" t="s">
        <v>2053</v>
      </c>
      <c r="H1384" s="258">
        <v>1500000</v>
      </c>
      <c r="I1384" s="262">
        <v>1</v>
      </c>
      <c r="L1384" s="258">
        <v>1500000</v>
      </c>
      <c r="O1384" s="262"/>
      <c r="P1384" s="262" t="s">
        <v>3486</v>
      </c>
    </row>
    <row r="1385" spans="1:16">
      <c r="A1385" s="264">
        <v>1384</v>
      </c>
      <c r="B1385" s="257">
        <v>45895</v>
      </c>
      <c r="C1385" s="283" t="s">
        <v>1015</v>
      </c>
      <c r="F1385" s="283" t="s">
        <v>2185</v>
      </c>
      <c r="G1385" s="262" t="s">
        <v>1199</v>
      </c>
      <c r="H1385" s="258">
        <v>1400000</v>
      </c>
      <c r="I1385" s="262">
        <v>1</v>
      </c>
      <c r="K1385" s="259">
        <v>140000</v>
      </c>
      <c r="L1385" s="258">
        <v>1540000</v>
      </c>
      <c r="O1385" s="262"/>
    </row>
    <row r="1386" spans="1:16">
      <c r="A1386" s="264">
        <v>1385</v>
      </c>
      <c r="B1386" s="257">
        <v>45895</v>
      </c>
      <c r="C1386" s="283" t="s">
        <v>1579</v>
      </c>
      <c r="F1386" s="283" t="s">
        <v>3309</v>
      </c>
      <c r="H1386" s="258">
        <v>700000</v>
      </c>
      <c r="I1386" s="262">
        <v>1</v>
      </c>
      <c r="L1386" s="258">
        <v>700000</v>
      </c>
      <c r="O1386" s="262"/>
    </row>
    <row r="1387" spans="1:16">
      <c r="A1387" s="264">
        <v>1386</v>
      </c>
      <c r="B1387" s="257">
        <v>45895</v>
      </c>
      <c r="C1387" s="283" t="s">
        <v>1443</v>
      </c>
      <c r="F1387" s="283" t="s">
        <v>2186</v>
      </c>
      <c r="G1387" s="262" t="s">
        <v>1206</v>
      </c>
      <c r="H1387" s="258">
        <v>510000</v>
      </c>
      <c r="I1387" s="262">
        <v>1</v>
      </c>
      <c r="L1387" s="258">
        <v>510000</v>
      </c>
      <c r="O1387" s="262"/>
      <c r="P1387" s="262" t="s">
        <v>3486</v>
      </c>
    </row>
    <row r="1388" spans="1:16">
      <c r="A1388" s="264">
        <v>1387</v>
      </c>
      <c r="B1388" s="257">
        <v>45895</v>
      </c>
      <c r="C1388" s="283" t="s">
        <v>1443</v>
      </c>
      <c r="F1388" s="283" t="s">
        <v>2189</v>
      </c>
      <c r="G1388" s="262">
        <v>50229</v>
      </c>
      <c r="H1388" s="258">
        <v>70000</v>
      </c>
      <c r="I1388" s="262">
        <v>1</v>
      </c>
      <c r="L1388" s="258">
        <v>70000</v>
      </c>
      <c r="O1388" s="262"/>
      <c r="P1388" s="262" t="s">
        <v>3486</v>
      </c>
    </row>
    <row r="1389" spans="1:16">
      <c r="A1389" s="264">
        <v>1388</v>
      </c>
      <c r="B1389" s="257">
        <v>45895</v>
      </c>
      <c r="C1389" s="283" t="s">
        <v>1443</v>
      </c>
      <c r="F1389" s="283" t="s">
        <v>2190</v>
      </c>
      <c r="G1389" s="262" t="s">
        <v>1794</v>
      </c>
      <c r="H1389" s="258">
        <v>35000</v>
      </c>
      <c r="I1389" s="262">
        <v>1</v>
      </c>
      <c r="L1389" s="258">
        <v>35000</v>
      </c>
      <c r="O1389" s="262"/>
      <c r="P1389" s="262" t="s">
        <v>3486</v>
      </c>
    </row>
    <row r="1390" spans="1:16">
      <c r="A1390" s="264">
        <v>1389</v>
      </c>
      <c r="B1390" s="257">
        <v>45895</v>
      </c>
      <c r="C1390" s="283" t="s">
        <v>1443</v>
      </c>
      <c r="F1390" s="283" t="s">
        <v>1716</v>
      </c>
      <c r="G1390" s="262">
        <v>2800802</v>
      </c>
      <c r="H1390" s="258">
        <v>150000</v>
      </c>
      <c r="I1390" s="262">
        <v>2</v>
      </c>
      <c r="L1390" s="258">
        <v>300000</v>
      </c>
      <c r="O1390" s="262"/>
      <c r="P1390" s="262" t="s">
        <v>3486</v>
      </c>
    </row>
    <row r="1391" spans="1:16">
      <c r="A1391" s="264">
        <v>1390</v>
      </c>
      <c r="B1391" s="257">
        <v>45895</v>
      </c>
      <c r="C1391" s="283" t="s">
        <v>2856</v>
      </c>
      <c r="F1391" s="283" t="s">
        <v>3313</v>
      </c>
      <c r="G1391" s="262">
        <v>6058008114</v>
      </c>
      <c r="H1391" s="258">
        <v>650000</v>
      </c>
      <c r="I1391" s="262">
        <v>1</v>
      </c>
      <c r="K1391" s="259">
        <v>65000</v>
      </c>
      <c r="L1391" s="258">
        <v>715000</v>
      </c>
      <c r="O1391" s="262"/>
      <c r="P1391" s="262" t="s">
        <v>3486</v>
      </c>
    </row>
    <row r="1392" spans="1:16">
      <c r="A1392" s="264">
        <v>1391</v>
      </c>
      <c r="B1392" s="257">
        <v>45895</v>
      </c>
      <c r="C1392" s="283" t="s">
        <v>2856</v>
      </c>
      <c r="F1392" s="283" t="s">
        <v>1518</v>
      </c>
      <c r="H1392" s="258">
        <v>25000</v>
      </c>
      <c r="I1392" s="262">
        <v>1</v>
      </c>
      <c r="L1392" s="258">
        <v>25000</v>
      </c>
      <c r="O1392" s="262"/>
      <c r="P1392" s="262" t="s">
        <v>3486</v>
      </c>
    </row>
    <row r="1393" spans="1:16">
      <c r="A1393" s="264">
        <v>1392</v>
      </c>
      <c r="B1393" s="257">
        <v>45895</v>
      </c>
      <c r="C1393" s="283" t="s">
        <v>2856</v>
      </c>
      <c r="F1393" s="283" t="s">
        <v>1124</v>
      </c>
      <c r="M1393" s="258">
        <v>-740000</v>
      </c>
      <c r="O1393" s="262"/>
    </row>
    <row r="1394" spans="1:16">
      <c r="A1394" s="264">
        <v>1393</v>
      </c>
      <c r="B1394" s="257">
        <v>45895</v>
      </c>
      <c r="C1394" s="283" t="s">
        <v>1789</v>
      </c>
      <c r="F1394" s="283" t="s">
        <v>1124</v>
      </c>
      <c r="M1394" s="258">
        <v>-3100000</v>
      </c>
      <c r="O1394" s="262"/>
    </row>
    <row r="1395" spans="1:16">
      <c r="A1395" s="264">
        <v>1394</v>
      </c>
      <c r="B1395" s="257">
        <v>45895</v>
      </c>
      <c r="C1395" s="283" t="s">
        <v>2305</v>
      </c>
      <c r="F1395" s="283" t="s">
        <v>1124</v>
      </c>
      <c r="M1395" s="258">
        <v>-715000</v>
      </c>
      <c r="O1395" s="262"/>
    </row>
    <row r="1396" spans="1:16">
      <c r="A1396" s="264">
        <v>1395</v>
      </c>
      <c r="B1396" s="257">
        <v>45896</v>
      </c>
      <c r="C1396" s="283" t="s">
        <v>1340</v>
      </c>
      <c r="F1396" s="283" t="s">
        <v>1218</v>
      </c>
      <c r="G1396" s="262" t="s">
        <v>2161</v>
      </c>
      <c r="H1396" s="258">
        <v>1100000</v>
      </c>
      <c r="I1396" s="262">
        <v>1</v>
      </c>
      <c r="L1396" s="258">
        <v>1100000</v>
      </c>
      <c r="O1396" s="262"/>
      <c r="P1396" s="262" t="s">
        <v>3486</v>
      </c>
    </row>
    <row r="1397" spans="1:16">
      <c r="A1397" s="264">
        <v>1396</v>
      </c>
      <c r="B1397" s="257">
        <v>45896</v>
      </c>
      <c r="C1397" s="283" t="s">
        <v>1472</v>
      </c>
      <c r="F1397" s="283" t="s">
        <v>3317</v>
      </c>
      <c r="G1397" s="262" t="s">
        <v>3318</v>
      </c>
      <c r="O1397" s="262"/>
      <c r="P1397" s="262" t="s">
        <v>3486</v>
      </c>
    </row>
    <row r="1398" spans="1:16">
      <c r="A1398" s="264">
        <v>1397</v>
      </c>
      <c r="B1398" s="257">
        <v>45896</v>
      </c>
      <c r="C1398" s="283" t="s">
        <v>3114</v>
      </c>
      <c r="F1398" s="283" t="s">
        <v>2177</v>
      </c>
      <c r="G1398" s="262" t="s">
        <v>1463</v>
      </c>
      <c r="H1398" s="258">
        <v>2500000</v>
      </c>
      <c r="I1398" s="262">
        <v>1</v>
      </c>
      <c r="L1398" s="258">
        <v>2500000</v>
      </c>
      <c r="O1398" s="262" t="s">
        <v>3320</v>
      </c>
      <c r="P1398" s="262" t="s">
        <v>3486</v>
      </c>
    </row>
    <row r="1399" spans="1:16">
      <c r="A1399" s="264">
        <v>1398</v>
      </c>
      <c r="B1399" s="257">
        <v>45896</v>
      </c>
      <c r="C1399" s="283" t="s">
        <v>1746</v>
      </c>
      <c r="F1399" s="283" t="s">
        <v>2195</v>
      </c>
      <c r="G1399" s="262">
        <v>2820403</v>
      </c>
      <c r="H1399" s="258">
        <v>1500000</v>
      </c>
      <c r="I1399" s="262">
        <v>1</v>
      </c>
      <c r="K1399" s="259">
        <v>150000</v>
      </c>
      <c r="L1399" s="258">
        <v>1650000</v>
      </c>
      <c r="O1399" s="262"/>
    </row>
    <row r="1400" spans="1:16">
      <c r="A1400" s="264">
        <v>1399</v>
      </c>
      <c r="B1400" s="257">
        <v>45896</v>
      </c>
      <c r="C1400" s="283" t="s">
        <v>1082</v>
      </c>
      <c r="F1400" s="283" t="s">
        <v>2416</v>
      </c>
      <c r="G1400" s="262" t="s">
        <v>2746</v>
      </c>
      <c r="H1400" s="258">
        <v>1100000</v>
      </c>
      <c r="I1400" s="262">
        <v>1</v>
      </c>
      <c r="L1400" s="258">
        <v>1100000</v>
      </c>
      <c r="O1400" s="262"/>
      <c r="P1400" s="262" t="s">
        <v>3486</v>
      </c>
    </row>
    <row r="1401" spans="1:16">
      <c r="A1401" s="264">
        <v>1400</v>
      </c>
      <c r="B1401" s="257">
        <v>45896</v>
      </c>
      <c r="C1401" s="283" t="s">
        <v>2466</v>
      </c>
      <c r="F1401" s="283" t="s">
        <v>1722</v>
      </c>
      <c r="G1401" s="263">
        <v>2800802</v>
      </c>
      <c r="H1401" s="258">
        <v>200000</v>
      </c>
      <c r="I1401" s="262">
        <v>1</v>
      </c>
      <c r="K1401" s="259">
        <v>20000</v>
      </c>
      <c r="L1401" s="258">
        <v>220000</v>
      </c>
      <c r="O1401" s="262"/>
      <c r="P1401" s="262" t="s">
        <v>3486</v>
      </c>
    </row>
    <row r="1402" spans="1:16">
      <c r="A1402" s="264">
        <v>1401</v>
      </c>
      <c r="B1402" s="257">
        <v>45896</v>
      </c>
      <c r="C1402" s="283" t="s">
        <v>2556</v>
      </c>
      <c r="F1402" s="283" t="s">
        <v>3325</v>
      </c>
      <c r="M1402" s="258">
        <v>-1550000</v>
      </c>
      <c r="O1402" s="262"/>
    </row>
    <row r="1403" spans="1:16">
      <c r="A1403" s="264">
        <v>1402</v>
      </c>
      <c r="B1403" s="257">
        <v>45896</v>
      </c>
      <c r="C1403" s="283" t="s">
        <v>3114</v>
      </c>
      <c r="F1403" s="283" t="s">
        <v>1124</v>
      </c>
      <c r="M1403" s="258">
        <v>-2500000</v>
      </c>
      <c r="O1403" s="262"/>
    </row>
    <row r="1404" spans="1:16">
      <c r="A1404" s="264">
        <v>1403</v>
      </c>
      <c r="B1404" s="257">
        <v>45896</v>
      </c>
      <c r="C1404" s="283" t="s">
        <v>1340</v>
      </c>
      <c r="F1404" s="283" t="s">
        <v>1669</v>
      </c>
      <c r="M1404" s="258">
        <v>-2500000</v>
      </c>
      <c r="O1404" s="262"/>
    </row>
    <row r="1405" spans="1:16">
      <c r="A1405" s="264">
        <v>1404</v>
      </c>
      <c r="B1405" s="257">
        <v>45896</v>
      </c>
      <c r="C1405" s="283" t="s">
        <v>2465</v>
      </c>
      <c r="F1405" s="283" t="s">
        <v>1124</v>
      </c>
      <c r="M1405" s="258">
        <v>-220000</v>
      </c>
      <c r="O1405" s="262"/>
    </row>
    <row r="1406" spans="1:16">
      <c r="A1406" s="264">
        <v>1405</v>
      </c>
      <c r="B1406" s="257">
        <v>45897</v>
      </c>
      <c r="C1406" s="283" t="s">
        <v>3119</v>
      </c>
      <c r="F1406" s="283" t="s">
        <v>1124</v>
      </c>
      <c r="M1406" s="258">
        <v>-330000</v>
      </c>
      <c r="O1406" s="262"/>
    </row>
    <row r="1407" spans="1:16">
      <c r="A1407" s="264">
        <v>1406</v>
      </c>
      <c r="B1407" s="257">
        <v>45897</v>
      </c>
      <c r="C1407" s="283" t="s">
        <v>2595</v>
      </c>
      <c r="F1407" s="283" t="s">
        <v>1124</v>
      </c>
      <c r="M1407" s="258">
        <v>-1100000</v>
      </c>
      <c r="O1407" s="262"/>
    </row>
    <row r="1408" spans="1:16">
      <c r="A1408" s="264">
        <v>1407</v>
      </c>
      <c r="B1408" s="257">
        <v>45897</v>
      </c>
      <c r="C1408" s="283" t="s">
        <v>1286</v>
      </c>
      <c r="F1408" s="283" t="s">
        <v>3339</v>
      </c>
      <c r="H1408" s="258">
        <v>2500000</v>
      </c>
      <c r="I1408" s="262">
        <v>1</v>
      </c>
      <c r="K1408" s="259" t="s">
        <v>3340</v>
      </c>
      <c r="L1408" s="258">
        <v>2750000</v>
      </c>
      <c r="O1408" s="262"/>
    </row>
    <row r="1409" spans="1:16">
      <c r="A1409" s="264">
        <v>1408</v>
      </c>
      <c r="B1409" s="257">
        <v>45897</v>
      </c>
      <c r="C1409" s="283" t="s">
        <v>1789</v>
      </c>
      <c r="F1409" s="283" t="s">
        <v>1742</v>
      </c>
      <c r="H1409" s="258">
        <v>650000</v>
      </c>
      <c r="I1409" s="262">
        <v>1</v>
      </c>
      <c r="L1409" s="258">
        <v>650000</v>
      </c>
      <c r="O1409" s="262"/>
      <c r="P1409" s="262" t="s">
        <v>3486</v>
      </c>
    </row>
    <row r="1410" spans="1:16">
      <c r="A1410" s="264">
        <v>1409</v>
      </c>
      <c r="B1410" s="257">
        <v>45897</v>
      </c>
      <c r="C1410" s="283" t="s">
        <v>1146</v>
      </c>
      <c r="F1410" s="283" t="s">
        <v>2411</v>
      </c>
      <c r="G1410" s="262">
        <v>1087298441</v>
      </c>
      <c r="H1410" s="258">
        <v>50000</v>
      </c>
      <c r="I1410" s="262">
        <v>1</v>
      </c>
      <c r="L1410" s="258">
        <v>50000</v>
      </c>
      <c r="O1410" s="262"/>
      <c r="P1410" s="262" t="s">
        <v>3486</v>
      </c>
    </row>
    <row r="1411" spans="1:16">
      <c r="A1411" s="264">
        <v>1410</v>
      </c>
      <c r="B1411" s="257">
        <v>45897</v>
      </c>
      <c r="C1411" s="283" t="s">
        <v>1046</v>
      </c>
      <c r="F1411" s="283" t="s">
        <v>2196</v>
      </c>
      <c r="G1411" s="262" t="s">
        <v>1197</v>
      </c>
      <c r="H1411" s="258">
        <v>1100000</v>
      </c>
      <c r="I1411" s="262">
        <v>1</v>
      </c>
      <c r="L1411" s="258">
        <v>1100000</v>
      </c>
      <c r="O1411" s="262"/>
      <c r="P1411" s="262" t="s">
        <v>3486</v>
      </c>
    </row>
    <row r="1412" spans="1:16">
      <c r="A1412" s="264">
        <v>1411</v>
      </c>
      <c r="B1412" s="257">
        <v>45897</v>
      </c>
      <c r="C1412" s="283" t="s">
        <v>1172</v>
      </c>
      <c r="F1412" s="283" t="s">
        <v>1560</v>
      </c>
      <c r="G1412" s="262" t="s">
        <v>1767</v>
      </c>
      <c r="H1412" s="258">
        <v>1300000</v>
      </c>
      <c r="I1412" s="262">
        <v>1</v>
      </c>
      <c r="L1412" s="258">
        <v>1300000</v>
      </c>
      <c r="O1412" s="262"/>
      <c r="P1412" s="262" t="s">
        <v>3486</v>
      </c>
    </row>
    <row r="1413" spans="1:16">
      <c r="A1413" s="264">
        <v>1412</v>
      </c>
      <c r="B1413" s="257">
        <v>45897</v>
      </c>
      <c r="C1413" s="283" t="s">
        <v>1172</v>
      </c>
      <c r="F1413" s="283" t="s">
        <v>1518</v>
      </c>
      <c r="H1413" s="258">
        <v>20000</v>
      </c>
      <c r="I1413" s="262">
        <v>1</v>
      </c>
      <c r="L1413" s="258">
        <v>20000</v>
      </c>
      <c r="O1413" s="262"/>
      <c r="P1413" s="262" t="s">
        <v>3486</v>
      </c>
    </row>
    <row r="1414" spans="1:16">
      <c r="A1414" s="264">
        <v>1413</v>
      </c>
      <c r="B1414" s="257">
        <v>45897</v>
      </c>
      <c r="C1414" s="283" t="s">
        <v>1576</v>
      </c>
      <c r="F1414" s="283" t="s">
        <v>2917</v>
      </c>
      <c r="G1414" s="262">
        <v>4150862090</v>
      </c>
      <c r="H1414" s="258">
        <v>450000</v>
      </c>
      <c r="I1414" s="262">
        <v>1</v>
      </c>
      <c r="K1414" s="259">
        <v>45000</v>
      </c>
      <c r="L1414" s="258">
        <v>495000</v>
      </c>
      <c r="O1414" s="262"/>
      <c r="P1414" s="262" t="s">
        <v>3486</v>
      </c>
    </row>
    <row r="1415" spans="1:16">
      <c r="A1415" s="264">
        <v>1414</v>
      </c>
      <c r="B1415" s="257">
        <v>45897</v>
      </c>
      <c r="C1415" s="283" t="s">
        <v>1721</v>
      </c>
      <c r="F1415" s="283" t="s">
        <v>2179</v>
      </c>
      <c r="G1415" s="262" t="s">
        <v>1200</v>
      </c>
      <c r="H1415" s="258">
        <v>1500000</v>
      </c>
      <c r="I1415" s="262">
        <v>1</v>
      </c>
      <c r="L1415" s="258">
        <v>1500000</v>
      </c>
      <c r="O1415" s="262"/>
      <c r="P1415" s="262" t="s">
        <v>3486</v>
      </c>
    </row>
    <row r="1416" spans="1:16">
      <c r="A1416" s="264">
        <v>1415</v>
      </c>
      <c r="B1416" s="257">
        <v>45897</v>
      </c>
      <c r="C1416" s="283" t="s">
        <v>1721</v>
      </c>
      <c r="F1416" s="283" t="s">
        <v>2180</v>
      </c>
      <c r="G1416" s="262" t="s">
        <v>1802</v>
      </c>
      <c r="H1416" s="258">
        <v>50000</v>
      </c>
      <c r="I1416" s="262">
        <v>1</v>
      </c>
      <c r="L1416" s="258">
        <v>50000</v>
      </c>
      <c r="O1416" s="262"/>
      <c r="P1416" s="262" t="s">
        <v>3486</v>
      </c>
    </row>
    <row r="1417" spans="1:16">
      <c r="A1417" s="264">
        <v>1416</v>
      </c>
      <c r="B1417" s="257">
        <v>45897</v>
      </c>
      <c r="C1417" s="283" t="s">
        <v>1472</v>
      </c>
      <c r="F1417" s="283" t="s">
        <v>1124</v>
      </c>
      <c r="M1417" s="258">
        <v>-1100000</v>
      </c>
      <c r="O1417" s="262"/>
    </row>
    <row r="1418" spans="1:16">
      <c r="A1418" s="264">
        <v>1417</v>
      </c>
      <c r="B1418" s="257">
        <v>45898</v>
      </c>
      <c r="C1418" s="283" t="s">
        <v>1540</v>
      </c>
      <c r="F1418" s="283" t="s">
        <v>1124</v>
      </c>
      <c r="M1418" s="258">
        <v>-3150000</v>
      </c>
      <c r="O1418" s="262"/>
    </row>
    <row r="1419" spans="1:16">
      <c r="A1419" s="264">
        <v>1418</v>
      </c>
      <c r="B1419" s="257">
        <v>45859</v>
      </c>
      <c r="C1419" s="283" t="s">
        <v>1468</v>
      </c>
      <c r="F1419" s="283" t="s">
        <v>2402</v>
      </c>
      <c r="H1419" s="258">
        <v>150000</v>
      </c>
      <c r="I1419" s="262">
        <v>1</v>
      </c>
      <c r="L1419" s="258">
        <v>-150000</v>
      </c>
      <c r="O1419" s="262"/>
    </row>
    <row r="1420" spans="1:16">
      <c r="A1420" s="264">
        <v>1419</v>
      </c>
      <c r="B1420" s="257">
        <v>45898</v>
      </c>
      <c r="C1420" s="283" t="s">
        <v>1468</v>
      </c>
      <c r="F1420" s="283" t="s">
        <v>1124</v>
      </c>
      <c r="M1420" s="258">
        <v>-1500000</v>
      </c>
      <c r="O1420" s="262"/>
    </row>
    <row r="1421" spans="1:16">
      <c r="A1421" s="264">
        <v>1420</v>
      </c>
      <c r="B1421" s="257">
        <v>45898</v>
      </c>
      <c r="C1421" s="283" t="s">
        <v>1146</v>
      </c>
      <c r="F1421" s="283" t="s">
        <v>1124</v>
      </c>
      <c r="M1421" s="258">
        <v>-1150000</v>
      </c>
      <c r="O1421" s="262"/>
    </row>
    <row r="1422" spans="1:16">
      <c r="A1422" s="264">
        <v>1421</v>
      </c>
      <c r="B1422" s="257">
        <v>45898</v>
      </c>
      <c r="C1422" s="283" t="s">
        <v>1478</v>
      </c>
      <c r="F1422" s="283" t="s">
        <v>1124</v>
      </c>
      <c r="M1422" s="258">
        <v>-2960000</v>
      </c>
      <c r="O1422" s="262"/>
    </row>
    <row r="1423" spans="1:16">
      <c r="A1423" s="264">
        <v>1422</v>
      </c>
      <c r="B1423" s="257">
        <v>45898</v>
      </c>
      <c r="C1423" s="283" t="s">
        <v>1811</v>
      </c>
      <c r="F1423" s="283" t="s">
        <v>1124</v>
      </c>
      <c r="M1423" s="258">
        <v>-600000</v>
      </c>
      <c r="O1423" s="262"/>
    </row>
    <row r="1424" spans="1:16">
      <c r="A1424" s="264">
        <v>1423</v>
      </c>
      <c r="B1424" s="257">
        <v>45898</v>
      </c>
      <c r="C1424" s="283" t="s">
        <v>1023</v>
      </c>
      <c r="F1424" s="283" t="s">
        <v>2215</v>
      </c>
      <c r="G1424" s="262" t="s">
        <v>1759</v>
      </c>
      <c r="H1424" s="258">
        <v>546000</v>
      </c>
      <c r="I1424" s="262">
        <v>1</v>
      </c>
      <c r="L1424" s="258">
        <v>546000</v>
      </c>
      <c r="O1424" s="262"/>
      <c r="P1424" s="262" t="s">
        <v>3486</v>
      </c>
    </row>
    <row r="1425" spans="1:16">
      <c r="A1425" s="264">
        <v>1424</v>
      </c>
      <c r="B1425" s="257">
        <v>45898</v>
      </c>
      <c r="C1425" s="283" t="s">
        <v>2996</v>
      </c>
      <c r="F1425" s="283" t="s">
        <v>3342</v>
      </c>
      <c r="H1425" s="258">
        <v>-1</v>
      </c>
      <c r="I1425" s="262">
        <v>1</v>
      </c>
      <c r="L1425" s="258">
        <v>-1</v>
      </c>
      <c r="O1425" s="262"/>
    </row>
    <row r="1426" spans="1:16">
      <c r="A1426" s="264">
        <v>1425</v>
      </c>
      <c r="B1426" s="257">
        <v>45898</v>
      </c>
      <c r="C1426" s="283" t="s">
        <v>1023</v>
      </c>
      <c r="F1426" s="283" t="s">
        <v>2984</v>
      </c>
      <c r="G1426" s="263">
        <v>50229</v>
      </c>
      <c r="H1426" s="258">
        <v>70000</v>
      </c>
      <c r="I1426" s="262">
        <v>1</v>
      </c>
      <c r="L1426" s="258">
        <v>70000</v>
      </c>
      <c r="O1426" s="262"/>
      <c r="P1426" s="262" t="s">
        <v>3486</v>
      </c>
    </row>
    <row r="1427" spans="1:16">
      <c r="A1427" s="264">
        <v>1426</v>
      </c>
      <c r="B1427" s="257">
        <v>45898</v>
      </c>
      <c r="C1427" s="283" t="s">
        <v>1023</v>
      </c>
      <c r="F1427" s="283" t="s">
        <v>3364</v>
      </c>
      <c r="G1427" s="262" t="s">
        <v>1731</v>
      </c>
      <c r="H1427" s="258">
        <v>35000</v>
      </c>
      <c r="I1427" s="262">
        <v>1</v>
      </c>
      <c r="L1427" s="258">
        <v>35000</v>
      </c>
      <c r="O1427" s="262"/>
      <c r="P1427" s="262" t="s">
        <v>3486</v>
      </c>
    </row>
    <row r="1428" spans="1:16">
      <c r="A1428" s="264">
        <v>1427</v>
      </c>
      <c r="B1428" s="257">
        <v>45898</v>
      </c>
      <c r="C1428" s="283" t="s">
        <v>1023</v>
      </c>
      <c r="F1428" s="283" t="s">
        <v>2661</v>
      </c>
      <c r="G1428" s="262" t="s">
        <v>1732</v>
      </c>
      <c r="H1428" s="258">
        <v>10000</v>
      </c>
      <c r="I1428" s="262">
        <v>2</v>
      </c>
      <c r="L1428" s="258">
        <v>20000</v>
      </c>
      <c r="O1428" s="262"/>
      <c r="P1428" s="262" t="s">
        <v>3486</v>
      </c>
    </row>
    <row r="1429" spans="1:16">
      <c r="A1429" s="264">
        <v>1428</v>
      </c>
      <c r="B1429" s="257">
        <v>45898</v>
      </c>
      <c r="C1429" s="283" t="s">
        <v>1023</v>
      </c>
      <c r="F1429" s="283" t="s">
        <v>2433</v>
      </c>
      <c r="H1429" s="258">
        <v>600000</v>
      </c>
      <c r="I1429" s="262">
        <v>1</v>
      </c>
      <c r="L1429" s="258">
        <v>600000</v>
      </c>
      <c r="O1429" s="262"/>
      <c r="P1429" s="262" t="s">
        <v>3486</v>
      </c>
    </row>
    <row r="1430" spans="1:16">
      <c r="A1430" s="264">
        <v>1429</v>
      </c>
      <c r="B1430" s="257">
        <v>45898</v>
      </c>
      <c r="C1430" s="283" t="s">
        <v>3487</v>
      </c>
      <c r="F1430" s="283" t="s">
        <v>3488</v>
      </c>
      <c r="H1430" s="258">
        <v>2100000</v>
      </c>
      <c r="I1430" s="262">
        <v>1</v>
      </c>
      <c r="L1430" s="258">
        <v>2100000</v>
      </c>
      <c r="O1430" s="262"/>
    </row>
    <row r="1431" spans="1:16">
      <c r="A1431" s="264">
        <v>1430</v>
      </c>
      <c r="B1431" s="257">
        <v>45898</v>
      </c>
      <c r="C1431" s="283" t="s">
        <v>3487</v>
      </c>
      <c r="F1431" s="283" t="s">
        <v>3489</v>
      </c>
      <c r="G1431" s="263">
        <v>50229</v>
      </c>
      <c r="H1431" s="258">
        <v>80000</v>
      </c>
      <c r="I1431" s="262">
        <v>1</v>
      </c>
      <c r="L1431" s="258">
        <v>80000</v>
      </c>
      <c r="O1431" s="262"/>
    </row>
    <row r="1432" spans="1:16">
      <c r="A1432" s="264">
        <v>1431</v>
      </c>
      <c r="B1432" s="257">
        <v>45898</v>
      </c>
      <c r="C1432" s="283" t="s">
        <v>3487</v>
      </c>
      <c r="F1432" s="283" t="s">
        <v>3490</v>
      </c>
      <c r="G1432" s="262" t="s">
        <v>3491</v>
      </c>
      <c r="H1432" s="258">
        <v>30000</v>
      </c>
      <c r="I1432" s="262">
        <v>1</v>
      </c>
      <c r="L1432" s="258">
        <v>30000</v>
      </c>
      <c r="O1432" s="262"/>
    </row>
    <row r="1433" spans="1:16">
      <c r="A1433" s="264">
        <v>1432</v>
      </c>
      <c r="B1433" s="257">
        <v>45898</v>
      </c>
      <c r="C1433" s="283" t="s">
        <v>3487</v>
      </c>
      <c r="F1433" s="283" t="s">
        <v>3492</v>
      </c>
      <c r="H1433" s="258">
        <v>30000</v>
      </c>
      <c r="I1433" s="262">
        <v>1</v>
      </c>
      <c r="L1433" s="258">
        <v>30000</v>
      </c>
      <c r="O1433" s="262"/>
    </row>
    <row r="1434" spans="1:16">
      <c r="A1434" s="264">
        <v>1433</v>
      </c>
      <c r="B1434" s="257">
        <v>45898</v>
      </c>
      <c r="C1434" s="283" t="s">
        <v>3487</v>
      </c>
      <c r="F1434" s="283" t="s">
        <v>3493</v>
      </c>
      <c r="G1434" s="263">
        <v>2801702</v>
      </c>
      <c r="H1434" s="258">
        <v>10000</v>
      </c>
      <c r="I1434" s="262">
        <v>4</v>
      </c>
      <c r="L1434" s="258">
        <v>40000</v>
      </c>
      <c r="O1434" s="262"/>
    </row>
    <row r="1435" spans="1:16">
      <c r="A1435" s="264">
        <v>1434</v>
      </c>
      <c r="B1435" s="257">
        <v>45898</v>
      </c>
      <c r="C1435" s="283" t="s">
        <v>1721</v>
      </c>
      <c r="F1435" s="283" t="s">
        <v>2177</v>
      </c>
      <c r="G1435" s="262" t="s">
        <v>1463</v>
      </c>
      <c r="H1435" s="258">
        <v>1500000</v>
      </c>
      <c r="I1435" s="262">
        <v>1</v>
      </c>
      <c r="L1435" s="258">
        <v>1500000</v>
      </c>
      <c r="O1435" s="262"/>
      <c r="P1435" s="262" t="s">
        <v>3486</v>
      </c>
    </row>
    <row r="1436" spans="1:16">
      <c r="A1436" s="264">
        <v>1435</v>
      </c>
      <c r="B1436" s="257">
        <v>45898</v>
      </c>
      <c r="C1436" s="283" t="s">
        <v>3200</v>
      </c>
      <c r="F1436" s="283" t="s">
        <v>1742</v>
      </c>
      <c r="H1436" s="258">
        <v>1100000</v>
      </c>
      <c r="I1436" s="262">
        <v>1</v>
      </c>
      <c r="L1436" s="258">
        <v>1100000</v>
      </c>
      <c r="O1436" s="262"/>
      <c r="P1436" s="262" t="s">
        <v>3486</v>
      </c>
    </row>
    <row r="1437" spans="1:16">
      <c r="A1437" s="264">
        <v>1436</v>
      </c>
      <c r="B1437" s="257">
        <v>45898</v>
      </c>
      <c r="C1437" s="283" t="s">
        <v>3200</v>
      </c>
      <c r="F1437" s="283" t="s">
        <v>1124</v>
      </c>
      <c r="M1437" s="258">
        <v>-1100000</v>
      </c>
      <c r="O1437" s="262"/>
    </row>
    <row r="1438" spans="1:16">
      <c r="A1438" s="264">
        <v>1437</v>
      </c>
      <c r="B1438" s="257">
        <v>45899</v>
      </c>
      <c r="C1438" s="283" t="s">
        <v>2906</v>
      </c>
      <c r="F1438" s="283" t="s">
        <v>2655</v>
      </c>
      <c r="H1438" s="258">
        <v>1100000</v>
      </c>
      <c r="I1438" s="262">
        <v>1</v>
      </c>
      <c r="K1438" s="259">
        <v>110000</v>
      </c>
      <c r="L1438" s="258">
        <v>1210000</v>
      </c>
      <c r="O1438" s="262" t="s">
        <v>3365</v>
      </c>
      <c r="P1438" s="262" t="s">
        <v>3486</v>
      </c>
    </row>
    <row r="1439" spans="1:16">
      <c r="A1439" s="264">
        <v>1438</v>
      </c>
      <c r="B1439" s="257">
        <v>45899</v>
      </c>
      <c r="C1439" s="283" t="s">
        <v>1746</v>
      </c>
      <c r="F1439" s="283" t="s">
        <v>2298</v>
      </c>
      <c r="H1439" s="258">
        <v>650000</v>
      </c>
      <c r="I1439" s="262">
        <v>1</v>
      </c>
      <c r="K1439" s="259">
        <v>65000</v>
      </c>
      <c r="L1439" s="258">
        <v>715000</v>
      </c>
      <c r="O1439" s="262"/>
      <c r="P1439" s="262" t="s">
        <v>3486</v>
      </c>
    </row>
    <row r="1440" spans="1:16">
      <c r="A1440" s="264">
        <v>1439</v>
      </c>
      <c r="B1440" s="257">
        <v>45899</v>
      </c>
      <c r="C1440" s="283" t="s">
        <v>1553</v>
      </c>
      <c r="F1440" s="283" t="s">
        <v>1124</v>
      </c>
      <c r="M1440" s="258">
        <v>-1397000</v>
      </c>
      <c r="O1440" s="262"/>
    </row>
    <row r="1441" spans="1:15">
      <c r="A1441" s="264">
        <v>1440</v>
      </c>
      <c r="B1441" s="257">
        <v>45899</v>
      </c>
      <c r="C1441" s="283" t="s">
        <v>1576</v>
      </c>
      <c r="F1441" s="283" t="s">
        <v>1745</v>
      </c>
      <c r="M1441" s="258">
        <v>-7156901</v>
      </c>
      <c r="O1441" s="262"/>
    </row>
    <row r="1442" spans="1:15">
      <c r="A1442" s="264">
        <v>1441</v>
      </c>
      <c r="B1442" s="257">
        <v>45899</v>
      </c>
      <c r="C1442" s="283" t="s">
        <v>1172</v>
      </c>
      <c r="F1442" s="283" t="s">
        <v>1745</v>
      </c>
      <c r="M1442" s="258">
        <v>-1320000</v>
      </c>
      <c r="O1442" s="262"/>
    </row>
    <row r="1443" spans="1:15">
      <c r="A1443" s="264">
        <v>1442</v>
      </c>
      <c r="B1443" s="257">
        <v>45901</v>
      </c>
      <c r="C1443" s="283" t="s">
        <v>1398</v>
      </c>
      <c r="F1443" s="283" t="s">
        <v>1124</v>
      </c>
      <c r="M1443" s="258">
        <v>-14878000</v>
      </c>
      <c r="O1443" s="262"/>
    </row>
    <row r="1444" spans="1:15">
      <c r="A1444" s="264">
        <v>1443</v>
      </c>
      <c r="B1444" s="257">
        <v>45901</v>
      </c>
      <c r="C1444" s="283" t="s">
        <v>1082</v>
      </c>
      <c r="F1444" s="283" t="s">
        <v>1124</v>
      </c>
      <c r="M1444" s="258">
        <v>-1100000</v>
      </c>
      <c r="O1444" s="262"/>
    </row>
    <row r="1445" spans="1:15">
      <c r="A1445" s="264">
        <v>1444</v>
      </c>
      <c r="B1445" s="257">
        <v>45901</v>
      </c>
      <c r="C1445" s="283" t="s">
        <v>1721</v>
      </c>
      <c r="F1445" s="283" t="s">
        <v>1124</v>
      </c>
      <c r="M1445" s="258">
        <v>-7060000</v>
      </c>
      <c r="O1445" s="262"/>
    </row>
    <row r="1446" spans="1:15">
      <c r="A1446" s="264">
        <v>1445</v>
      </c>
      <c r="B1446" s="257">
        <v>45901</v>
      </c>
      <c r="C1446" s="283" t="s">
        <v>1804</v>
      </c>
      <c r="F1446" s="283" t="s">
        <v>1124</v>
      </c>
      <c r="M1446" s="258">
        <v>-1525400</v>
      </c>
      <c r="O1446" s="262"/>
    </row>
    <row r="1447" spans="1:15">
      <c r="A1447" s="264">
        <v>1446</v>
      </c>
      <c r="B1447" s="257">
        <v>45901</v>
      </c>
      <c r="C1447" s="283" t="s">
        <v>1398</v>
      </c>
      <c r="F1447" s="283" t="s">
        <v>1202</v>
      </c>
      <c r="G1447" s="262" t="s">
        <v>1751</v>
      </c>
      <c r="H1447" s="258">
        <v>1200000</v>
      </c>
      <c r="I1447" s="262">
        <v>1</v>
      </c>
      <c r="L1447" s="258">
        <v>1200000</v>
      </c>
      <c r="O1447" s="262"/>
    </row>
    <row r="1448" spans="1:15">
      <c r="A1448" s="264">
        <v>1447</v>
      </c>
      <c r="B1448" s="257">
        <v>45901</v>
      </c>
      <c r="C1448" s="283" t="s">
        <v>1398</v>
      </c>
      <c r="F1448" s="283" t="s">
        <v>1495</v>
      </c>
      <c r="G1448" s="262" t="s">
        <v>2677</v>
      </c>
      <c r="H1448" s="258">
        <v>350000</v>
      </c>
      <c r="I1448" s="262">
        <v>1</v>
      </c>
      <c r="L1448" s="258">
        <v>350000</v>
      </c>
      <c r="O1448" s="262"/>
    </row>
    <row r="1449" spans="1:15">
      <c r="A1449" s="264">
        <v>1448</v>
      </c>
      <c r="B1449" s="257">
        <v>45901</v>
      </c>
      <c r="C1449" s="283" t="s">
        <v>1398</v>
      </c>
      <c r="F1449" s="283" t="s">
        <v>2838</v>
      </c>
      <c r="G1449" s="262" t="s">
        <v>2748</v>
      </c>
      <c r="H1449" s="258">
        <v>129000</v>
      </c>
      <c r="I1449" s="262">
        <v>1</v>
      </c>
      <c r="L1449" s="258">
        <v>129000</v>
      </c>
      <c r="O1449" s="262"/>
    </row>
    <row r="1450" spans="1:15">
      <c r="A1450" s="264">
        <v>1449</v>
      </c>
      <c r="B1450" s="257">
        <v>45901</v>
      </c>
      <c r="C1450" s="283" t="s">
        <v>1398</v>
      </c>
      <c r="F1450" s="283" t="s">
        <v>2298</v>
      </c>
      <c r="H1450" s="258">
        <v>650000</v>
      </c>
      <c r="I1450" s="262">
        <v>1</v>
      </c>
      <c r="L1450" s="258">
        <v>650000</v>
      </c>
      <c r="O1450" s="262"/>
    </row>
    <row r="1451" spans="1:15">
      <c r="A1451" s="264">
        <v>1450</v>
      </c>
      <c r="B1451" s="257">
        <v>45901</v>
      </c>
      <c r="C1451" s="283" t="s">
        <v>1398</v>
      </c>
      <c r="F1451" s="283" t="s">
        <v>1265</v>
      </c>
      <c r="G1451" s="262" t="s">
        <v>1264</v>
      </c>
      <c r="H1451" s="258">
        <v>50000</v>
      </c>
      <c r="I1451" s="262">
        <v>1</v>
      </c>
      <c r="L1451" s="258">
        <v>50000</v>
      </c>
      <c r="O1451" s="262"/>
    </row>
    <row r="1452" spans="1:15">
      <c r="A1452" s="264">
        <v>1451</v>
      </c>
      <c r="B1452" s="257">
        <v>45901</v>
      </c>
      <c r="C1452" s="283" t="s">
        <v>1398</v>
      </c>
      <c r="F1452" s="283" t="s">
        <v>1704</v>
      </c>
      <c r="G1452" s="262" t="s">
        <v>1703</v>
      </c>
      <c r="H1452" s="258">
        <v>50000</v>
      </c>
      <c r="I1452" s="262">
        <v>1</v>
      </c>
      <c r="L1452" s="258">
        <v>50000</v>
      </c>
      <c r="O1452" s="262"/>
    </row>
    <row r="1453" spans="1:15">
      <c r="A1453" s="264">
        <v>1452</v>
      </c>
      <c r="B1453" s="257">
        <v>45901</v>
      </c>
      <c r="C1453" s="283" t="s">
        <v>3487</v>
      </c>
      <c r="F1453" s="283" t="s">
        <v>3494</v>
      </c>
      <c r="G1453" s="262" t="s">
        <v>3495</v>
      </c>
      <c r="H1453" s="258">
        <v>800000</v>
      </c>
      <c r="I1453" s="262">
        <v>1</v>
      </c>
      <c r="L1453" s="258">
        <v>800000</v>
      </c>
      <c r="O1453" s="262" t="s">
        <v>3496</v>
      </c>
    </row>
    <row r="1454" spans="1:15">
      <c r="A1454" s="264">
        <v>1453</v>
      </c>
      <c r="B1454" s="257">
        <v>45901</v>
      </c>
      <c r="C1454" s="283" t="s">
        <v>1472</v>
      </c>
      <c r="F1454" s="283" t="s">
        <v>2179</v>
      </c>
      <c r="G1454" s="262" t="s">
        <v>1200</v>
      </c>
      <c r="H1454" s="258">
        <v>1500000</v>
      </c>
      <c r="I1454" s="262">
        <v>1</v>
      </c>
      <c r="L1454" s="258">
        <v>1500000</v>
      </c>
      <c r="O1454" s="262"/>
    </row>
    <row r="1455" spans="1:15">
      <c r="A1455" s="264">
        <v>1454</v>
      </c>
      <c r="B1455" s="257">
        <v>45901</v>
      </c>
      <c r="C1455" s="283" t="s">
        <v>1811</v>
      </c>
      <c r="F1455" s="283" t="s">
        <v>1204</v>
      </c>
      <c r="G1455" s="262" t="s">
        <v>1562</v>
      </c>
      <c r="H1455" s="258">
        <v>1090910</v>
      </c>
      <c r="I1455" s="262">
        <v>1</v>
      </c>
      <c r="K1455" s="259">
        <v>109091</v>
      </c>
      <c r="L1455" s="258">
        <v>1200001</v>
      </c>
      <c r="O1455" s="262"/>
    </row>
    <row r="1456" spans="1:15">
      <c r="A1456" s="264">
        <v>1455</v>
      </c>
      <c r="B1456" s="257">
        <v>45901</v>
      </c>
      <c r="C1456" s="283" t="s">
        <v>1811</v>
      </c>
      <c r="F1456" s="283">
        <v>-1</v>
      </c>
      <c r="H1456" s="258">
        <v>-1</v>
      </c>
      <c r="I1456" s="262">
        <v>1</v>
      </c>
      <c r="L1456" s="258">
        <v>-1</v>
      </c>
      <c r="O1456" s="262"/>
    </row>
    <row r="1457" spans="1:15">
      <c r="A1457" s="264">
        <v>1456</v>
      </c>
      <c r="B1457" s="257">
        <v>45901</v>
      </c>
      <c r="C1457" s="283" t="s">
        <v>1443</v>
      </c>
      <c r="F1457" s="283" t="s">
        <v>2195</v>
      </c>
      <c r="G1457" s="262">
        <v>2820403</v>
      </c>
      <c r="H1457" s="258">
        <v>1500000</v>
      </c>
      <c r="I1457" s="262">
        <v>1</v>
      </c>
      <c r="L1457" s="258">
        <v>1500000</v>
      </c>
      <c r="O1457" s="262"/>
    </row>
    <row r="1458" spans="1:15">
      <c r="A1458" s="264">
        <v>1457</v>
      </c>
      <c r="B1458" s="257">
        <v>45901</v>
      </c>
      <c r="C1458" s="283" t="s">
        <v>2760</v>
      </c>
      <c r="F1458" s="283" t="s">
        <v>2803</v>
      </c>
      <c r="G1458" s="262" t="s">
        <v>2802</v>
      </c>
      <c r="H1458" s="258">
        <v>350000</v>
      </c>
      <c r="I1458" s="262">
        <v>1</v>
      </c>
      <c r="K1458" s="259">
        <v>35000</v>
      </c>
      <c r="L1458" s="258">
        <v>385000</v>
      </c>
      <c r="O1458" s="262"/>
    </row>
    <row r="1459" spans="1:15">
      <c r="A1459" s="264">
        <v>1458</v>
      </c>
      <c r="B1459" s="257">
        <v>45901</v>
      </c>
      <c r="C1459" s="283" t="s">
        <v>2760</v>
      </c>
      <c r="F1459" s="283" t="s">
        <v>2182</v>
      </c>
      <c r="G1459" s="262" t="s">
        <v>1719</v>
      </c>
      <c r="H1459" s="258">
        <v>70000</v>
      </c>
      <c r="I1459" s="262">
        <v>1</v>
      </c>
      <c r="K1459" s="259">
        <v>7000</v>
      </c>
      <c r="L1459" s="258">
        <v>77000</v>
      </c>
      <c r="O1459" s="262"/>
    </row>
    <row r="1460" spans="1:15">
      <c r="A1460" s="264">
        <v>1459</v>
      </c>
      <c r="B1460" s="257">
        <v>45901</v>
      </c>
      <c r="C1460" s="283" t="s">
        <v>3349</v>
      </c>
      <c r="F1460" s="283" t="s">
        <v>3059</v>
      </c>
      <c r="G1460" s="262" t="s">
        <v>3058</v>
      </c>
      <c r="H1460" s="258">
        <v>250000</v>
      </c>
      <c r="I1460" s="262">
        <v>1</v>
      </c>
      <c r="L1460" s="258">
        <v>250000</v>
      </c>
      <c r="O1460" s="262"/>
    </row>
    <row r="1461" spans="1:15">
      <c r="A1461" s="264">
        <v>1460</v>
      </c>
      <c r="B1461" s="257">
        <v>45901</v>
      </c>
      <c r="C1461" s="283" t="s">
        <v>1443</v>
      </c>
      <c r="F1461" s="283" t="s">
        <v>2179</v>
      </c>
      <c r="G1461" s="262" t="s">
        <v>1200</v>
      </c>
      <c r="H1461" s="258">
        <v>1500000</v>
      </c>
      <c r="I1461" s="262">
        <v>1</v>
      </c>
      <c r="L1461" s="258">
        <v>1500000</v>
      </c>
      <c r="O1461" s="262"/>
    </row>
    <row r="1462" spans="1:15">
      <c r="A1462" s="264">
        <v>1461</v>
      </c>
      <c r="B1462" s="257">
        <v>45901</v>
      </c>
      <c r="C1462" s="283" t="s">
        <v>2996</v>
      </c>
      <c r="F1462" s="283" t="s">
        <v>1124</v>
      </c>
      <c r="M1462" s="258">
        <v>-2770999</v>
      </c>
      <c r="O1462" s="262"/>
    </row>
    <row r="1463" spans="1:15">
      <c r="A1463" s="264">
        <v>1462</v>
      </c>
      <c r="B1463" s="257">
        <v>45901</v>
      </c>
      <c r="C1463" s="283" t="s">
        <v>2760</v>
      </c>
      <c r="F1463" s="283" t="s">
        <v>1124</v>
      </c>
      <c r="M1463" s="258">
        <v>-462000</v>
      </c>
      <c r="O1463" s="262"/>
    </row>
    <row r="1464" spans="1:15">
      <c r="A1464" s="264">
        <v>1463</v>
      </c>
      <c r="B1464" s="257">
        <v>45901</v>
      </c>
      <c r="C1464" s="283" t="s">
        <v>3349</v>
      </c>
      <c r="F1464" s="283" t="s">
        <v>1124</v>
      </c>
      <c r="M1464" s="258">
        <v>-250000</v>
      </c>
      <c r="O1464" s="262"/>
    </row>
    <row r="1465" spans="1:15">
      <c r="A1465" s="264">
        <v>1464</v>
      </c>
      <c r="B1465" s="257">
        <v>45901</v>
      </c>
      <c r="C1465" s="283" t="s">
        <v>2867</v>
      </c>
      <c r="F1465" s="283" t="s">
        <v>1124</v>
      </c>
      <c r="M1465" s="258">
        <v>-1210000</v>
      </c>
      <c r="O1465" s="262"/>
    </row>
    <row r="1466" spans="1:15">
      <c r="A1466" s="264">
        <v>1465</v>
      </c>
      <c r="B1466" s="257">
        <v>45902</v>
      </c>
      <c r="C1466" s="283" t="s">
        <v>1046</v>
      </c>
      <c r="F1466" s="283" t="s">
        <v>1124</v>
      </c>
      <c r="M1466" s="258">
        <v>-2650000</v>
      </c>
      <c r="O1466" s="262"/>
    </row>
    <row r="1467" spans="1:15">
      <c r="A1467" s="264">
        <v>1466</v>
      </c>
      <c r="B1467" s="257">
        <v>45902</v>
      </c>
      <c r="C1467" s="283" t="s">
        <v>1172</v>
      </c>
      <c r="F1467" s="283" t="s">
        <v>2298</v>
      </c>
      <c r="H1467" s="258">
        <v>650000</v>
      </c>
      <c r="I1467" s="262">
        <v>1</v>
      </c>
      <c r="L1467" s="258">
        <v>650000</v>
      </c>
      <c r="O1467" s="262"/>
    </row>
    <row r="1468" spans="1:15">
      <c r="A1468" s="264">
        <v>1467</v>
      </c>
      <c r="B1468" s="257">
        <v>45902</v>
      </c>
      <c r="C1468" s="283" t="s">
        <v>1976</v>
      </c>
      <c r="F1468" s="283" t="s">
        <v>2195</v>
      </c>
      <c r="G1468" s="262">
        <v>2820403</v>
      </c>
      <c r="H1468" s="258">
        <v>1600000</v>
      </c>
      <c r="I1468" s="262">
        <v>2</v>
      </c>
      <c r="K1468" s="259">
        <v>320000</v>
      </c>
      <c r="L1468" s="258">
        <v>3520000</v>
      </c>
      <c r="O1468" s="262"/>
    </row>
    <row r="1469" spans="1:15">
      <c r="A1469" s="264">
        <v>1468</v>
      </c>
      <c r="B1469" s="257">
        <v>45902</v>
      </c>
      <c r="C1469" s="283" t="s">
        <v>2996</v>
      </c>
      <c r="F1469" s="283" t="s">
        <v>2179</v>
      </c>
      <c r="G1469" s="262" t="s">
        <v>1200</v>
      </c>
      <c r="H1469" s="258">
        <v>1500000</v>
      </c>
      <c r="I1469" s="262">
        <v>1</v>
      </c>
      <c r="L1469" s="258">
        <v>1500000</v>
      </c>
      <c r="O1469" s="262"/>
    </row>
    <row r="1470" spans="1:15">
      <c r="A1470" s="264">
        <v>1469</v>
      </c>
      <c r="B1470" s="257">
        <v>45902</v>
      </c>
      <c r="C1470" s="283" t="s">
        <v>2996</v>
      </c>
      <c r="F1470" s="283" t="s">
        <v>2180</v>
      </c>
      <c r="G1470" s="262" t="s">
        <v>1802</v>
      </c>
      <c r="H1470" s="258">
        <v>50000</v>
      </c>
      <c r="I1470" s="262">
        <v>1</v>
      </c>
      <c r="L1470" s="258">
        <v>50000</v>
      </c>
      <c r="O1470" s="262"/>
    </row>
    <row r="1471" spans="1:15">
      <c r="A1471" s="264">
        <v>1470</v>
      </c>
      <c r="B1471" s="257">
        <v>45902</v>
      </c>
      <c r="C1471" s="283" t="s">
        <v>1146</v>
      </c>
      <c r="F1471" s="283" t="s">
        <v>2191</v>
      </c>
      <c r="G1471" s="262" t="s">
        <v>1821</v>
      </c>
      <c r="H1471" s="258">
        <v>10000</v>
      </c>
      <c r="I1471" s="262">
        <v>2</v>
      </c>
      <c r="L1471" s="258">
        <v>20000</v>
      </c>
      <c r="O1471" s="262"/>
    </row>
    <row r="1472" spans="1:15">
      <c r="A1472" s="264">
        <v>1471</v>
      </c>
      <c r="B1472" s="257">
        <v>45902</v>
      </c>
      <c r="C1472" s="283" t="s">
        <v>1576</v>
      </c>
      <c r="F1472" s="283" t="s">
        <v>1742</v>
      </c>
      <c r="H1472" s="258">
        <v>650000</v>
      </c>
      <c r="I1472" s="262">
        <v>1</v>
      </c>
      <c r="K1472" s="259">
        <v>65000</v>
      </c>
      <c r="L1472" s="258">
        <v>715000</v>
      </c>
      <c r="O1472" s="262"/>
    </row>
    <row r="1473" spans="1:15">
      <c r="A1473" s="264">
        <v>1472</v>
      </c>
      <c r="B1473" s="257">
        <v>45902</v>
      </c>
      <c r="C1473" s="283" t="s">
        <v>1493</v>
      </c>
      <c r="F1473" s="283" t="s">
        <v>3372</v>
      </c>
      <c r="G1473" s="262" t="s">
        <v>1205</v>
      </c>
      <c r="H1473" s="258">
        <v>100000</v>
      </c>
      <c r="I1473" s="262">
        <v>1</v>
      </c>
      <c r="L1473" s="258">
        <v>100000</v>
      </c>
      <c r="O1473" s="262"/>
    </row>
    <row r="1474" spans="1:15">
      <c r="A1474" s="264">
        <v>1473</v>
      </c>
      <c r="B1474" s="257">
        <v>45902</v>
      </c>
      <c r="C1474" s="283" t="s">
        <v>1007</v>
      </c>
      <c r="F1474" s="283" t="s">
        <v>1716</v>
      </c>
      <c r="G1474" s="262">
        <v>2800802</v>
      </c>
      <c r="H1474" s="258">
        <v>150000</v>
      </c>
      <c r="I1474" s="262">
        <v>1</v>
      </c>
      <c r="L1474" s="258">
        <v>150000</v>
      </c>
      <c r="O1474" s="262"/>
    </row>
    <row r="1475" spans="1:15">
      <c r="A1475" s="264">
        <v>1474</v>
      </c>
      <c r="B1475" s="257">
        <v>45902</v>
      </c>
      <c r="C1475" s="283" t="s">
        <v>1976</v>
      </c>
      <c r="F1475" s="283" t="s">
        <v>1124</v>
      </c>
      <c r="M1475" s="258">
        <v>-3520000</v>
      </c>
      <c r="O1475" s="262"/>
    </row>
    <row r="1476" spans="1:15">
      <c r="A1476" s="264">
        <v>1475</v>
      </c>
      <c r="B1476" s="257">
        <v>45902</v>
      </c>
      <c r="C1476" s="283" t="s">
        <v>1811</v>
      </c>
      <c r="F1476" s="283" t="s">
        <v>1124</v>
      </c>
      <c r="M1476" s="258">
        <v>-1200000</v>
      </c>
      <c r="O1476" s="262"/>
    </row>
    <row r="1477" spans="1:15">
      <c r="A1477" s="264">
        <v>1476</v>
      </c>
      <c r="B1477" s="257">
        <v>45903</v>
      </c>
      <c r="C1477" s="283" t="s">
        <v>1018</v>
      </c>
      <c r="F1477" s="283" t="s">
        <v>1745</v>
      </c>
      <c r="M1477" s="258">
        <v>-925000</v>
      </c>
      <c r="O1477" s="262"/>
    </row>
    <row r="1478" spans="1:15">
      <c r="A1478" s="264">
        <v>1477</v>
      </c>
      <c r="B1478" s="257">
        <v>45903</v>
      </c>
      <c r="C1478" s="283" t="s">
        <v>1789</v>
      </c>
      <c r="F1478" s="283" t="s">
        <v>2179</v>
      </c>
      <c r="G1478" s="262" t="s">
        <v>1200</v>
      </c>
      <c r="H1478" s="258">
        <v>1500000</v>
      </c>
      <c r="I1478" s="262">
        <v>1</v>
      </c>
      <c r="L1478" s="258">
        <v>1500000</v>
      </c>
      <c r="O1478" s="262"/>
    </row>
    <row r="1479" spans="1:15">
      <c r="A1479" s="264">
        <v>1478</v>
      </c>
      <c r="B1479" s="257">
        <v>45903</v>
      </c>
      <c r="C1479" s="283" t="s">
        <v>1789</v>
      </c>
      <c r="F1479" s="283" t="s">
        <v>2180</v>
      </c>
      <c r="G1479" s="262" t="s">
        <v>1802</v>
      </c>
      <c r="H1479" s="258">
        <v>50000</v>
      </c>
      <c r="I1479" s="262">
        <v>1</v>
      </c>
      <c r="L1479" s="258">
        <v>50000</v>
      </c>
      <c r="O1479" s="262"/>
    </row>
    <row r="1480" spans="1:15">
      <c r="A1480" s="264">
        <v>1479</v>
      </c>
      <c r="B1480" s="257">
        <v>45903</v>
      </c>
      <c r="C1480" s="283" t="s">
        <v>1466</v>
      </c>
      <c r="F1480" s="283" t="s">
        <v>1495</v>
      </c>
      <c r="G1480" s="262" t="s">
        <v>2677</v>
      </c>
      <c r="H1480" s="258">
        <v>350000</v>
      </c>
      <c r="I1480" s="262">
        <v>1</v>
      </c>
      <c r="K1480" s="259">
        <v>35000</v>
      </c>
      <c r="L1480" s="258">
        <v>385000</v>
      </c>
      <c r="O1480" s="262"/>
    </row>
    <row r="1481" spans="1:15">
      <c r="A1481" s="264">
        <v>1480</v>
      </c>
      <c r="B1481" s="257">
        <v>45903</v>
      </c>
      <c r="C1481" s="283" t="s">
        <v>1443</v>
      </c>
      <c r="F1481" s="283" t="s">
        <v>2186</v>
      </c>
      <c r="G1481" s="262" t="s">
        <v>1206</v>
      </c>
      <c r="H1481" s="258">
        <v>510000</v>
      </c>
      <c r="I1481" s="262">
        <v>1</v>
      </c>
      <c r="L1481" s="258">
        <v>510000</v>
      </c>
      <c r="O1481" s="262"/>
    </row>
    <row r="1482" spans="1:15">
      <c r="A1482" s="264">
        <v>1481</v>
      </c>
      <c r="B1482" s="257">
        <v>45903</v>
      </c>
      <c r="C1482" s="283" t="s">
        <v>1443</v>
      </c>
      <c r="F1482" s="283" t="s">
        <v>2189</v>
      </c>
      <c r="G1482" s="262">
        <v>50229</v>
      </c>
      <c r="H1482" s="258">
        <v>70000</v>
      </c>
      <c r="I1482" s="262">
        <v>1</v>
      </c>
      <c r="L1482" s="258">
        <v>70000</v>
      </c>
      <c r="O1482" s="262"/>
    </row>
    <row r="1483" spans="1:15">
      <c r="A1483" s="264">
        <v>1482</v>
      </c>
      <c r="B1483" s="257">
        <v>45903</v>
      </c>
      <c r="C1483" s="283" t="s">
        <v>1172</v>
      </c>
      <c r="F1483" s="283" t="s">
        <v>1560</v>
      </c>
      <c r="G1483" s="262" t="s">
        <v>1767</v>
      </c>
      <c r="H1483" s="258">
        <v>1300000</v>
      </c>
      <c r="I1483" s="262">
        <v>1</v>
      </c>
      <c r="L1483" s="258">
        <v>1300000</v>
      </c>
      <c r="O1483" s="262"/>
    </row>
    <row r="1484" spans="1:15">
      <c r="A1484" s="264">
        <v>1483</v>
      </c>
      <c r="B1484" s="257">
        <v>45903</v>
      </c>
      <c r="C1484" s="283" t="s">
        <v>1172</v>
      </c>
      <c r="F1484" s="283" t="s">
        <v>3378</v>
      </c>
      <c r="H1484" s="258">
        <v>150000</v>
      </c>
      <c r="I1484" s="262">
        <v>1</v>
      </c>
      <c r="L1484" s="258">
        <v>150000</v>
      </c>
      <c r="O1484" s="262"/>
    </row>
    <row r="1485" spans="1:15">
      <c r="A1485" s="264">
        <v>1484</v>
      </c>
      <c r="B1485" s="257">
        <v>45903</v>
      </c>
      <c r="C1485" s="283" t="s">
        <v>1497</v>
      </c>
      <c r="F1485" s="283" t="s">
        <v>3380</v>
      </c>
      <c r="H1485" s="258">
        <v>450000</v>
      </c>
      <c r="I1485" s="262">
        <v>1</v>
      </c>
      <c r="L1485" s="258">
        <v>450000</v>
      </c>
      <c r="O1485" s="262"/>
    </row>
    <row r="1486" spans="1:15">
      <c r="A1486" s="264">
        <v>1485</v>
      </c>
      <c r="B1486" s="257">
        <v>45903</v>
      </c>
      <c r="C1486" s="283" t="s">
        <v>1579</v>
      </c>
      <c r="F1486" s="283" t="s">
        <v>2186</v>
      </c>
      <c r="G1486" s="262" t="s">
        <v>1206</v>
      </c>
      <c r="H1486" s="258">
        <v>526364</v>
      </c>
      <c r="I1486" s="262">
        <v>1</v>
      </c>
      <c r="K1486" s="259">
        <v>52636</v>
      </c>
      <c r="L1486" s="258">
        <v>579000</v>
      </c>
      <c r="O1486" s="262"/>
    </row>
    <row r="1487" spans="1:15">
      <c r="A1487" s="264">
        <v>1486</v>
      </c>
      <c r="B1487" s="257">
        <v>45903</v>
      </c>
      <c r="C1487" s="283" t="s">
        <v>1579</v>
      </c>
      <c r="F1487" s="283" t="s">
        <v>2189</v>
      </c>
      <c r="G1487" s="262">
        <v>50229</v>
      </c>
      <c r="H1487" s="258">
        <v>70000</v>
      </c>
      <c r="I1487" s="262">
        <v>1</v>
      </c>
      <c r="K1487" s="259">
        <v>7000</v>
      </c>
      <c r="L1487" s="258">
        <v>77000</v>
      </c>
      <c r="O1487" s="262"/>
    </row>
    <row r="1488" spans="1:15">
      <c r="A1488" s="264">
        <v>1487</v>
      </c>
      <c r="B1488" s="257">
        <v>45903</v>
      </c>
      <c r="C1488" s="283" t="s">
        <v>3290</v>
      </c>
      <c r="F1488" s="283" t="s">
        <v>2179</v>
      </c>
      <c r="G1488" s="262" t="s">
        <v>1200</v>
      </c>
      <c r="H1488" s="258">
        <v>1500000</v>
      </c>
      <c r="I1488" s="262">
        <v>1</v>
      </c>
      <c r="K1488" s="259">
        <v>150000</v>
      </c>
      <c r="L1488" s="258">
        <v>1650000</v>
      </c>
      <c r="O1488" s="262"/>
    </row>
    <row r="1489" spans="1:16">
      <c r="A1489" s="264">
        <v>1488</v>
      </c>
      <c r="B1489" s="257">
        <v>45903</v>
      </c>
      <c r="C1489" s="283" t="s">
        <v>3448</v>
      </c>
      <c r="F1489" s="283" t="s">
        <v>3449</v>
      </c>
      <c r="G1489" s="262" t="s">
        <v>3450</v>
      </c>
      <c r="H1489" s="258">
        <v>1850000</v>
      </c>
      <c r="I1489" s="262">
        <v>1</v>
      </c>
      <c r="K1489" s="259" t="s">
        <v>3451</v>
      </c>
      <c r="L1489" s="258">
        <v>2035000</v>
      </c>
      <c r="O1489" s="262"/>
    </row>
    <row r="1490" spans="1:16">
      <c r="A1490" s="264">
        <v>1489</v>
      </c>
      <c r="B1490" s="257">
        <v>45903</v>
      </c>
      <c r="C1490" s="283" t="s">
        <v>3619</v>
      </c>
      <c r="F1490" s="283" t="s">
        <v>3620</v>
      </c>
      <c r="G1490" s="262" t="s">
        <v>3621</v>
      </c>
      <c r="H1490" s="258">
        <v>1850000</v>
      </c>
      <c r="I1490" s="262">
        <v>1</v>
      </c>
      <c r="K1490" s="259">
        <v>185000</v>
      </c>
      <c r="L1490" s="258">
        <v>2035000</v>
      </c>
      <c r="O1490" s="262"/>
    </row>
    <row r="1491" spans="1:16">
      <c r="A1491" s="264">
        <v>1490</v>
      </c>
      <c r="B1491" s="257">
        <v>45903</v>
      </c>
      <c r="C1491" s="283" t="s">
        <v>3391</v>
      </c>
      <c r="F1491" s="283">
        <v>7252830701</v>
      </c>
      <c r="H1491" s="258">
        <v>500000</v>
      </c>
      <c r="I1491" s="262">
        <v>1</v>
      </c>
      <c r="K1491" s="259">
        <v>50000</v>
      </c>
      <c r="L1491" s="258">
        <v>550000</v>
      </c>
      <c r="O1491" s="262"/>
    </row>
    <row r="1492" spans="1:16">
      <c r="A1492" s="264">
        <v>1491</v>
      </c>
      <c r="B1492" s="257">
        <v>45903</v>
      </c>
      <c r="C1492" s="283" t="s">
        <v>1746</v>
      </c>
      <c r="F1492" s="283" t="s">
        <v>1861</v>
      </c>
      <c r="G1492" s="262">
        <v>501218962</v>
      </c>
      <c r="H1492" s="258">
        <v>1600000</v>
      </c>
      <c r="I1492" s="262">
        <v>1</v>
      </c>
      <c r="K1492" s="259">
        <v>160000</v>
      </c>
      <c r="L1492" s="258">
        <v>1760000</v>
      </c>
      <c r="O1492" s="262"/>
    </row>
    <row r="1493" spans="1:16">
      <c r="A1493" s="264">
        <v>1492</v>
      </c>
      <c r="B1493" s="257">
        <v>45903</v>
      </c>
      <c r="C1493" s="283" t="s">
        <v>3619</v>
      </c>
      <c r="F1493" s="283" t="s">
        <v>3622</v>
      </c>
      <c r="H1493" s="258">
        <v>150000</v>
      </c>
      <c r="I1493" s="262">
        <v>1</v>
      </c>
      <c r="K1493" s="259" t="s">
        <v>3623</v>
      </c>
      <c r="L1493" s="258">
        <v>165000</v>
      </c>
      <c r="O1493" s="262"/>
    </row>
    <row r="1494" spans="1:16">
      <c r="A1494" s="264">
        <v>1493</v>
      </c>
      <c r="B1494" s="257">
        <v>45903</v>
      </c>
      <c r="C1494" s="283" t="s">
        <v>1846</v>
      </c>
      <c r="F1494" s="283" t="s">
        <v>2812</v>
      </c>
      <c r="G1494" s="262">
        <v>28120504</v>
      </c>
      <c r="H1494" s="258">
        <v>1150000</v>
      </c>
      <c r="I1494" s="262">
        <v>1</v>
      </c>
      <c r="L1494" s="258">
        <v>1150000</v>
      </c>
      <c r="O1494" s="262" t="s">
        <v>3398</v>
      </c>
    </row>
    <row r="1495" spans="1:16">
      <c r="A1495" s="264">
        <v>1494</v>
      </c>
      <c r="B1495" s="257">
        <v>45903</v>
      </c>
      <c r="C1495" s="283" t="s">
        <v>1746</v>
      </c>
      <c r="F1495" s="283" t="s">
        <v>1518</v>
      </c>
      <c r="H1495" s="258">
        <v>20000</v>
      </c>
      <c r="I1495" s="262">
        <v>1</v>
      </c>
      <c r="K1495" s="259">
        <v>2000</v>
      </c>
      <c r="L1495" s="258">
        <v>22000</v>
      </c>
      <c r="O1495" s="262"/>
    </row>
    <row r="1496" spans="1:16">
      <c r="A1496" s="264">
        <v>1495</v>
      </c>
      <c r="B1496" s="257">
        <v>45899</v>
      </c>
      <c r="C1496" s="283" t="s">
        <v>1746</v>
      </c>
      <c r="F1496" s="283" t="s">
        <v>1518</v>
      </c>
      <c r="H1496" s="258">
        <v>20000</v>
      </c>
      <c r="I1496" s="262">
        <v>1</v>
      </c>
      <c r="K1496" s="259">
        <v>2000</v>
      </c>
      <c r="L1496" s="258">
        <v>22000</v>
      </c>
      <c r="P1496" s="262" t="s">
        <v>3486</v>
      </c>
    </row>
    <row r="1497" spans="1:16">
      <c r="A1497" s="264">
        <v>1496</v>
      </c>
      <c r="B1497" s="257">
        <v>45904</v>
      </c>
      <c r="C1497" s="283" t="s">
        <v>3431</v>
      </c>
      <c r="F1497" s="283" t="s">
        <v>3432</v>
      </c>
      <c r="M1497" s="258">
        <v>-550000</v>
      </c>
      <c r="O1497" s="262"/>
    </row>
    <row r="1498" spans="1:16">
      <c r="A1498" s="264">
        <v>1497</v>
      </c>
      <c r="B1498" s="257">
        <v>45904</v>
      </c>
      <c r="C1498" s="283" t="s">
        <v>1497</v>
      </c>
      <c r="F1498" s="283" t="s">
        <v>1799</v>
      </c>
      <c r="M1498" s="258">
        <v>-450000</v>
      </c>
      <c r="O1498" s="262"/>
    </row>
    <row r="1499" spans="1:16">
      <c r="A1499" s="264">
        <v>1498</v>
      </c>
      <c r="B1499" s="257">
        <v>45904</v>
      </c>
      <c r="C1499" s="283" t="s">
        <v>3290</v>
      </c>
      <c r="F1499" s="283" t="s">
        <v>1799</v>
      </c>
      <c r="M1499" s="258">
        <v>-1650000</v>
      </c>
      <c r="O1499" s="262"/>
    </row>
    <row r="1500" spans="1:16">
      <c r="A1500" s="264">
        <v>1499</v>
      </c>
      <c r="B1500" s="257">
        <v>45904</v>
      </c>
      <c r="C1500" s="283" t="s">
        <v>2318</v>
      </c>
      <c r="F1500" s="283" t="s">
        <v>1799</v>
      </c>
      <c r="M1500" s="258">
        <v>-2200000</v>
      </c>
      <c r="O1500" s="262"/>
    </row>
    <row r="1501" spans="1:16">
      <c r="A1501" s="264">
        <v>1500</v>
      </c>
      <c r="B1501" s="257">
        <v>45904</v>
      </c>
      <c r="C1501" s="283" t="s">
        <v>3400</v>
      </c>
      <c r="F1501" s="283" t="s">
        <v>1560</v>
      </c>
      <c r="G1501" s="262" t="s">
        <v>1767</v>
      </c>
      <c r="H1501" s="258">
        <v>1300000</v>
      </c>
      <c r="I1501" s="262">
        <v>1</v>
      </c>
      <c r="L1501" s="258">
        <v>1300000</v>
      </c>
    </row>
    <row r="1502" spans="1:16">
      <c r="A1502" s="264">
        <v>1501</v>
      </c>
      <c r="B1502" s="257">
        <v>45904</v>
      </c>
      <c r="C1502" s="283" t="s">
        <v>1472</v>
      </c>
      <c r="F1502" s="283" t="s">
        <v>1667</v>
      </c>
      <c r="H1502" s="258">
        <v>100000</v>
      </c>
      <c r="I1502" s="262">
        <v>1</v>
      </c>
      <c r="L1502" s="258">
        <v>100000</v>
      </c>
    </row>
    <row r="1503" spans="1:16">
      <c r="A1503" s="264">
        <v>1502</v>
      </c>
      <c r="B1503" s="257">
        <v>45904</v>
      </c>
      <c r="C1503" s="283" t="s">
        <v>1493</v>
      </c>
      <c r="F1503" s="283" t="s">
        <v>2298</v>
      </c>
      <c r="H1503" s="258">
        <v>650000</v>
      </c>
      <c r="I1503" s="262">
        <v>1</v>
      </c>
      <c r="L1503" s="258">
        <v>650000</v>
      </c>
    </row>
    <row r="1504" spans="1:16">
      <c r="A1504" s="264">
        <v>1503</v>
      </c>
      <c r="B1504" s="257">
        <v>45904</v>
      </c>
      <c r="C1504" s="283" t="s">
        <v>1493</v>
      </c>
      <c r="F1504" s="283" t="s">
        <v>1495</v>
      </c>
      <c r="G1504" s="262" t="s">
        <v>2677</v>
      </c>
      <c r="H1504" s="258">
        <v>350000</v>
      </c>
      <c r="I1504" s="262">
        <v>1</v>
      </c>
      <c r="L1504" s="258">
        <v>350000</v>
      </c>
    </row>
    <row r="1505" spans="1:16">
      <c r="A1505" s="264">
        <v>1504</v>
      </c>
      <c r="B1505" s="257">
        <v>45904</v>
      </c>
      <c r="C1505" s="283" t="s">
        <v>1493</v>
      </c>
      <c r="F1505" s="283" t="s">
        <v>3417</v>
      </c>
      <c r="G1505" s="262" t="s">
        <v>3416</v>
      </c>
      <c r="H1505" s="258">
        <v>1500000</v>
      </c>
      <c r="I1505" s="262">
        <v>1</v>
      </c>
      <c r="L1505" s="258">
        <v>1500000</v>
      </c>
    </row>
    <row r="1506" spans="1:16">
      <c r="A1506" s="264">
        <v>1505</v>
      </c>
      <c r="B1506" s="257">
        <v>45904</v>
      </c>
      <c r="C1506" s="283" t="s">
        <v>3407</v>
      </c>
      <c r="F1506" s="283" t="s">
        <v>2411</v>
      </c>
      <c r="G1506" s="262">
        <v>1087298441</v>
      </c>
      <c r="H1506" s="258">
        <v>35000</v>
      </c>
      <c r="I1506" s="262">
        <v>1</v>
      </c>
      <c r="L1506" s="258">
        <v>35000</v>
      </c>
    </row>
    <row r="1507" spans="1:16">
      <c r="A1507" s="264">
        <v>1506</v>
      </c>
      <c r="B1507" s="257">
        <v>45904</v>
      </c>
      <c r="C1507" s="283" t="s">
        <v>3407</v>
      </c>
      <c r="F1507" s="283" t="s">
        <v>1265</v>
      </c>
      <c r="G1507" s="262" t="s">
        <v>1264</v>
      </c>
      <c r="H1507" s="258">
        <v>50000</v>
      </c>
      <c r="I1507" s="262">
        <v>1</v>
      </c>
      <c r="L1507" s="258">
        <v>50000</v>
      </c>
    </row>
    <row r="1508" spans="1:16">
      <c r="A1508" s="264">
        <v>1507</v>
      </c>
      <c r="B1508" s="257">
        <v>45904</v>
      </c>
      <c r="C1508" s="283" t="s">
        <v>1478</v>
      </c>
      <c r="F1508" s="283" t="s">
        <v>1742</v>
      </c>
      <c r="H1508" s="258">
        <v>1100000</v>
      </c>
      <c r="I1508" s="262">
        <v>1</v>
      </c>
      <c r="L1508" s="258">
        <v>1100000</v>
      </c>
    </row>
    <row r="1509" spans="1:16">
      <c r="A1509" s="264">
        <v>1508</v>
      </c>
      <c r="B1509" s="257">
        <v>45904</v>
      </c>
      <c r="C1509" s="283" t="s">
        <v>2914</v>
      </c>
      <c r="F1509" s="283" t="s">
        <v>2136</v>
      </c>
      <c r="G1509" s="262">
        <v>2830502</v>
      </c>
      <c r="H1509" s="258">
        <v>1650000</v>
      </c>
      <c r="I1509" s="262">
        <v>1</v>
      </c>
      <c r="L1509" s="258">
        <v>1650000</v>
      </c>
    </row>
    <row r="1510" spans="1:16">
      <c r="A1510" s="264">
        <v>1509</v>
      </c>
      <c r="B1510" s="257">
        <v>45904</v>
      </c>
      <c r="C1510" s="283" t="s">
        <v>1472</v>
      </c>
      <c r="F1510" s="283" t="s">
        <v>2179</v>
      </c>
      <c r="G1510" s="262" t="s">
        <v>1200</v>
      </c>
      <c r="H1510" s="258">
        <v>1500000</v>
      </c>
      <c r="I1510" s="262">
        <v>1</v>
      </c>
      <c r="L1510" s="258">
        <v>1500000</v>
      </c>
    </row>
    <row r="1511" spans="1:16">
      <c r="A1511" s="264">
        <v>1510</v>
      </c>
      <c r="B1511" s="257">
        <v>45904</v>
      </c>
      <c r="C1511" s="283" t="s">
        <v>1721</v>
      </c>
      <c r="F1511" s="283" t="s">
        <v>2090</v>
      </c>
      <c r="G1511" s="262">
        <v>1068298044</v>
      </c>
      <c r="H1511" s="258">
        <v>400000</v>
      </c>
      <c r="I1511" s="262">
        <v>1</v>
      </c>
      <c r="L1511" s="258">
        <v>400000</v>
      </c>
    </row>
    <row r="1512" spans="1:16">
      <c r="A1512" s="264">
        <v>1511</v>
      </c>
      <c r="B1512" s="257">
        <v>45904</v>
      </c>
      <c r="C1512" s="283" t="s">
        <v>1478</v>
      </c>
      <c r="F1512" s="283" t="s">
        <v>1124</v>
      </c>
      <c r="M1512" s="258">
        <v>-1100000</v>
      </c>
    </row>
    <row r="1513" spans="1:16">
      <c r="A1513" s="264">
        <v>1512</v>
      </c>
      <c r="B1513" s="257">
        <v>45904</v>
      </c>
      <c r="C1513" s="283" t="s">
        <v>3400</v>
      </c>
      <c r="F1513" s="283" t="s">
        <v>1124</v>
      </c>
      <c r="M1513" s="258">
        <v>-1300000</v>
      </c>
    </row>
    <row r="1514" spans="1:16">
      <c r="A1514" s="264">
        <v>1513</v>
      </c>
      <c r="B1514" s="257">
        <v>45904</v>
      </c>
      <c r="C1514" s="283" t="s">
        <v>2914</v>
      </c>
      <c r="F1514" s="283" t="s">
        <v>1124</v>
      </c>
      <c r="M1514" s="258">
        <v>-1650000</v>
      </c>
    </row>
    <row r="1515" spans="1:16">
      <c r="A1515" s="264">
        <v>1514</v>
      </c>
      <c r="B1515" s="257">
        <v>45904</v>
      </c>
      <c r="C1515" s="283" t="s">
        <v>1493</v>
      </c>
      <c r="F1515" s="283" t="s">
        <v>3433</v>
      </c>
      <c r="M1515" s="258">
        <v>-2300000</v>
      </c>
    </row>
    <row r="1516" spans="1:16">
      <c r="A1516" s="264">
        <v>1515</v>
      </c>
      <c r="B1516" s="257">
        <v>45905</v>
      </c>
      <c r="C1516" s="283" t="s">
        <v>1846</v>
      </c>
      <c r="F1516" s="283" t="s">
        <v>1745</v>
      </c>
      <c r="M1516" s="258">
        <v>-1150000</v>
      </c>
    </row>
    <row r="1517" spans="1:16">
      <c r="A1517" s="264">
        <v>1516</v>
      </c>
      <c r="B1517" s="257">
        <v>45905</v>
      </c>
      <c r="C1517" s="283" t="s">
        <v>1746</v>
      </c>
      <c r="F1517" s="283" t="s">
        <v>3434</v>
      </c>
      <c r="M1517" s="258">
        <v>-3679500</v>
      </c>
    </row>
    <row r="1518" spans="1:16">
      <c r="A1518" s="264">
        <v>1517</v>
      </c>
      <c r="B1518" s="257">
        <v>45905</v>
      </c>
      <c r="C1518" s="283" t="s">
        <v>1015</v>
      </c>
      <c r="F1518" s="283" t="s">
        <v>3435</v>
      </c>
      <c r="M1518" s="258">
        <v>-1866000</v>
      </c>
    </row>
    <row r="1519" spans="1:16">
      <c r="A1519" s="264">
        <v>1518</v>
      </c>
      <c r="B1519" s="257">
        <v>45895</v>
      </c>
      <c r="C1519" s="283" t="s">
        <v>1015</v>
      </c>
      <c r="F1519" s="283" t="s">
        <v>2185</v>
      </c>
      <c r="G1519" s="262" t="s">
        <v>1199</v>
      </c>
      <c r="H1519" s="258">
        <v>1400000</v>
      </c>
      <c r="I1519" s="262">
        <v>1</v>
      </c>
      <c r="K1519" s="259">
        <v>140000</v>
      </c>
      <c r="L1519" s="258">
        <v>-1540000</v>
      </c>
      <c r="O1519" s="283" t="s">
        <v>3436</v>
      </c>
      <c r="P1519" s="262" t="s">
        <v>3486</v>
      </c>
    </row>
    <row r="1520" spans="1:16">
      <c r="A1520" s="264">
        <v>1519</v>
      </c>
      <c r="B1520" s="257">
        <v>45905</v>
      </c>
      <c r="C1520" s="283" t="s">
        <v>1466</v>
      </c>
      <c r="F1520" s="283" t="s">
        <v>2157</v>
      </c>
      <c r="H1520" s="258">
        <v>1000000</v>
      </c>
      <c r="I1520" s="262">
        <v>1</v>
      </c>
      <c r="K1520" s="259">
        <v>100000</v>
      </c>
      <c r="L1520" s="258">
        <v>1100000</v>
      </c>
    </row>
    <row r="1521" spans="1:13">
      <c r="A1521" s="264">
        <v>1520</v>
      </c>
      <c r="B1521" s="257">
        <v>45905</v>
      </c>
      <c r="C1521" s="283" t="s">
        <v>1018</v>
      </c>
      <c r="F1521" s="283" t="s">
        <v>1202</v>
      </c>
      <c r="G1521" s="262" t="s">
        <v>1751</v>
      </c>
      <c r="H1521" s="258">
        <v>1200000</v>
      </c>
      <c r="I1521" s="262">
        <v>1</v>
      </c>
      <c r="L1521" s="258">
        <v>1200000</v>
      </c>
    </row>
    <row r="1522" spans="1:13">
      <c r="A1522" s="264">
        <v>1521</v>
      </c>
      <c r="B1522" s="257">
        <v>45905</v>
      </c>
      <c r="C1522" s="283" t="s">
        <v>1443</v>
      </c>
      <c r="F1522" s="283" t="s">
        <v>2031</v>
      </c>
      <c r="H1522" s="258">
        <v>1000000</v>
      </c>
      <c r="I1522" s="262">
        <v>1</v>
      </c>
      <c r="L1522" s="258">
        <v>1000000</v>
      </c>
    </row>
    <row r="1523" spans="1:13">
      <c r="A1523" s="264">
        <v>1522</v>
      </c>
      <c r="B1523" s="257">
        <v>45905</v>
      </c>
      <c r="C1523" s="283" t="s">
        <v>1443</v>
      </c>
      <c r="F1523" s="283" t="s">
        <v>2831</v>
      </c>
      <c r="G1523" s="262">
        <v>1087298388</v>
      </c>
      <c r="H1523" s="258">
        <v>500000</v>
      </c>
      <c r="I1523" s="262">
        <v>1</v>
      </c>
      <c r="L1523" s="258">
        <v>500000</v>
      </c>
    </row>
    <row r="1524" spans="1:13">
      <c r="A1524" s="264">
        <v>1523</v>
      </c>
      <c r="B1524" s="257">
        <v>45905</v>
      </c>
      <c r="C1524" s="283" t="s">
        <v>1443</v>
      </c>
      <c r="F1524" s="283" t="s">
        <v>3439</v>
      </c>
      <c r="G1524" s="262">
        <v>1087298437</v>
      </c>
      <c r="H1524" s="258">
        <v>80000</v>
      </c>
      <c r="I1524" s="262">
        <v>1</v>
      </c>
      <c r="L1524" s="258">
        <v>80000</v>
      </c>
    </row>
    <row r="1525" spans="1:13">
      <c r="A1525" s="264">
        <v>1524</v>
      </c>
      <c r="B1525" s="257">
        <v>45905</v>
      </c>
      <c r="C1525" s="283" t="s">
        <v>1305</v>
      </c>
      <c r="F1525" s="283" t="s">
        <v>3050</v>
      </c>
      <c r="G1525" s="262" t="s">
        <v>1951</v>
      </c>
      <c r="H1525" s="258">
        <v>1000000</v>
      </c>
      <c r="I1525" s="262">
        <v>1</v>
      </c>
      <c r="L1525" s="258">
        <v>1000000</v>
      </c>
    </row>
    <row r="1526" spans="1:13">
      <c r="A1526" s="264">
        <v>1525</v>
      </c>
      <c r="B1526" s="257">
        <v>45905</v>
      </c>
      <c r="C1526" s="283" t="s">
        <v>1721</v>
      </c>
      <c r="F1526" s="283" t="s">
        <v>3442</v>
      </c>
      <c r="H1526" s="258">
        <v>750000</v>
      </c>
      <c r="I1526" s="262">
        <v>1</v>
      </c>
      <c r="L1526" s="258">
        <v>750000</v>
      </c>
    </row>
    <row r="1527" spans="1:13">
      <c r="A1527" s="264">
        <v>1526</v>
      </c>
      <c r="B1527" s="257">
        <v>45905</v>
      </c>
      <c r="C1527" s="283" t="s">
        <v>1721</v>
      </c>
      <c r="F1527" s="283" t="s">
        <v>1548</v>
      </c>
      <c r="G1527" s="262">
        <v>24152333903</v>
      </c>
      <c r="H1527" s="258">
        <v>50000</v>
      </c>
      <c r="I1527" s="262">
        <v>2</v>
      </c>
      <c r="L1527" s="258">
        <v>100000</v>
      </c>
    </row>
    <row r="1528" spans="1:13">
      <c r="A1528" s="264">
        <v>1527</v>
      </c>
      <c r="B1528" s="257">
        <v>45905</v>
      </c>
      <c r="C1528" s="283" t="s">
        <v>3148</v>
      </c>
      <c r="F1528" s="283" t="s">
        <v>1758</v>
      </c>
      <c r="G1528" s="262">
        <v>501220639</v>
      </c>
      <c r="H1528" s="258">
        <v>250000</v>
      </c>
      <c r="I1528" s="262">
        <v>1</v>
      </c>
      <c r="L1528" s="258">
        <v>250000</v>
      </c>
    </row>
    <row r="1529" spans="1:13">
      <c r="A1529" s="264">
        <v>1528</v>
      </c>
      <c r="B1529" s="257">
        <v>45905</v>
      </c>
      <c r="C1529" s="283" t="s">
        <v>3148</v>
      </c>
      <c r="F1529" s="283" t="s">
        <v>2111</v>
      </c>
      <c r="G1529" s="262" t="s">
        <v>2580</v>
      </c>
      <c r="H1529" s="258">
        <v>65000</v>
      </c>
      <c r="I1529" s="262">
        <v>1</v>
      </c>
      <c r="L1529" s="258">
        <v>65000</v>
      </c>
    </row>
    <row r="1530" spans="1:13">
      <c r="A1530" s="264">
        <v>1529</v>
      </c>
      <c r="B1530" s="257">
        <v>45905</v>
      </c>
      <c r="C1530" s="282" t="s">
        <v>3453</v>
      </c>
      <c r="D1530" s="282"/>
      <c r="F1530" s="283" t="s">
        <v>2181</v>
      </c>
      <c r="G1530" s="262" t="s">
        <v>2216</v>
      </c>
      <c r="H1530" s="258">
        <v>250000</v>
      </c>
      <c r="I1530" s="262">
        <v>1</v>
      </c>
      <c r="L1530" s="258">
        <v>250000</v>
      </c>
    </row>
    <row r="1531" spans="1:13">
      <c r="A1531" s="264">
        <v>1530</v>
      </c>
      <c r="B1531" s="257">
        <v>45905</v>
      </c>
      <c r="C1531" s="283" t="s">
        <v>1398</v>
      </c>
      <c r="F1531" s="283" t="s">
        <v>1202</v>
      </c>
      <c r="G1531" s="262" t="s">
        <v>1751</v>
      </c>
      <c r="H1531" s="258">
        <v>1200000</v>
      </c>
      <c r="I1531" s="262">
        <v>1</v>
      </c>
      <c r="L1531" s="258">
        <v>1200000</v>
      </c>
    </row>
    <row r="1532" spans="1:13">
      <c r="A1532" s="264">
        <v>1531</v>
      </c>
      <c r="B1532" s="257">
        <v>45905</v>
      </c>
      <c r="C1532" s="283" t="s">
        <v>1398</v>
      </c>
      <c r="F1532" s="283" t="s">
        <v>2838</v>
      </c>
      <c r="G1532" s="262" t="s">
        <v>2748</v>
      </c>
      <c r="H1532" s="258">
        <v>129000</v>
      </c>
      <c r="I1532" s="262">
        <v>1</v>
      </c>
      <c r="L1532" s="258">
        <v>129000</v>
      </c>
    </row>
    <row r="1533" spans="1:13">
      <c r="A1533" s="264">
        <v>1532</v>
      </c>
      <c r="B1533" s="257">
        <v>45905</v>
      </c>
      <c r="C1533" s="283" t="s">
        <v>1448</v>
      </c>
      <c r="F1533" s="283" t="s">
        <v>1124</v>
      </c>
      <c r="M1533" s="258">
        <v>-2035000</v>
      </c>
    </row>
    <row r="1534" spans="1:13">
      <c r="A1534" s="264">
        <v>1533</v>
      </c>
      <c r="B1534" s="257">
        <v>45905</v>
      </c>
      <c r="C1534" s="283" t="s">
        <v>1472</v>
      </c>
      <c r="F1534" s="283" t="s">
        <v>1745</v>
      </c>
      <c r="M1534" s="258">
        <v>-3100000</v>
      </c>
    </row>
    <row r="1535" spans="1:13">
      <c r="A1535" s="264">
        <v>1534</v>
      </c>
      <c r="B1535" s="257">
        <v>45905</v>
      </c>
      <c r="C1535" s="283" t="s">
        <v>3148</v>
      </c>
      <c r="F1535" s="283" t="s">
        <v>1745</v>
      </c>
      <c r="M1535" s="258">
        <v>-315000</v>
      </c>
    </row>
    <row r="1536" spans="1:13">
      <c r="A1536" s="264">
        <v>1535</v>
      </c>
      <c r="B1536" s="257">
        <v>45905</v>
      </c>
      <c r="C1536" s="282" t="s">
        <v>3453</v>
      </c>
      <c r="D1536" s="282"/>
      <c r="F1536" s="283" t="s">
        <v>1745</v>
      </c>
      <c r="M1536" s="258">
        <v>-250000</v>
      </c>
    </row>
    <row r="1537" spans="1:13">
      <c r="A1537" s="264">
        <v>1536</v>
      </c>
      <c r="B1537" s="257">
        <v>45905</v>
      </c>
      <c r="C1537" s="283" t="s">
        <v>1472</v>
      </c>
      <c r="F1537" s="283" t="s">
        <v>2186</v>
      </c>
      <c r="G1537" s="262" t="s">
        <v>1206</v>
      </c>
      <c r="H1537" s="258">
        <v>520000</v>
      </c>
      <c r="I1537" s="262">
        <v>2</v>
      </c>
      <c r="L1537" s="258">
        <v>1040000</v>
      </c>
    </row>
    <row r="1538" spans="1:13">
      <c r="A1538" s="264">
        <v>1537</v>
      </c>
      <c r="B1538" s="257">
        <v>45904</v>
      </c>
      <c r="C1538" s="283" t="s">
        <v>3407</v>
      </c>
      <c r="F1538" s="283" t="s">
        <v>1745</v>
      </c>
      <c r="M1538" s="258">
        <v>-85000</v>
      </c>
    </row>
    <row r="1539" spans="1:13">
      <c r="A1539" s="264">
        <v>1538</v>
      </c>
      <c r="B1539" s="257">
        <v>45906</v>
      </c>
      <c r="C1539" s="283" t="s">
        <v>3460</v>
      </c>
      <c r="F1539" s="283" t="s">
        <v>3467</v>
      </c>
      <c r="G1539" s="262" t="s">
        <v>1206</v>
      </c>
      <c r="H1539" s="258">
        <v>530000</v>
      </c>
      <c r="I1539" s="262">
        <v>1</v>
      </c>
      <c r="L1539" s="258">
        <v>530000</v>
      </c>
    </row>
    <row r="1540" spans="1:13">
      <c r="A1540" s="264">
        <v>1539</v>
      </c>
      <c r="B1540" s="257">
        <v>45906</v>
      </c>
      <c r="C1540" s="283" t="s">
        <v>3460</v>
      </c>
      <c r="F1540" s="283" t="s">
        <v>2189</v>
      </c>
      <c r="G1540" s="262">
        <v>50229</v>
      </c>
      <c r="H1540" s="258">
        <v>70000</v>
      </c>
      <c r="I1540" s="262">
        <v>1</v>
      </c>
      <c r="L1540" s="258">
        <v>70000</v>
      </c>
    </row>
    <row r="1541" spans="1:13">
      <c r="A1541" s="264">
        <v>1540</v>
      </c>
      <c r="B1541" s="257">
        <v>45906</v>
      </c>
      <c r="C1541" s="283" t="s">
        <v>3460</v>
      </c>
      <c r="F1541" s="283" t="s">
        <v>2190</v>
      </c>
      <c r="G1541" s="262" t="s">
        <v>1794</v>
      </c>
      <c r="H1541" s="258">
        <v>35000</v>
      </c>
      <c r="I1541" s="262">
        <v>1</v>
      </c>
      <c r="L1541" s="258">
        <v>35000</v>
      </c>
    </row>
    <row r="1542" spans="1:13">
      <c r="A1542" s="264">
        <v>1541</v>
      </c>
      <c r="B1542" s="257">
        <v>45906</v>
      </c>
      <c r="C1542" s="283" t="s">
        <v>3460</v>
      </c>
      <c r="F1542" s="283" t="s">
        <v>2191</v>
      </c>
      <c r="G1542" s="262" t="s">
        <v>1821</v>
      </c>
      <c r="H1542" s="258">
        <v>10000</v>
      </c>
      <c r="I1542" s="262">
        <v>1</v>
      </c>
      <c r="L1542" s="258">
        <v>10000</v>
      </c>
    </row>
    <row r="1543" spans="1:13">
      <c r="A1543" s="264">
        <v>1542</v>
      </c>
      <c r="B1543" s="257">
        <v>45906</v>
      </c>
      <c r="C1543" s="283" t="s">
        <v>2996</v>
      </c>
      <c r="F1543" s="283" t="s">
        <v>3470</v>
      </c>
      <c r="H1543" s="258">
        <v>100000</v>
      </c>
      <c r="I1543" s="262">
        <v>1</v>
      </c>
      <c r="L1543" s="258">
        <v>100000</v>
      </c>
    </row>
    <row r="1544" spans="1:13">
      <c r="A1544" s="264">
        <v>1543</v>
      </c>
      <c r="B1544" s="257">
        <v>45906</v>
      </c>
      <c r="C1544" s="283" t="s">
        <v>3463</v>
      </c>
      <c r="F1544" s="283" t="s">
        <v>3472</v>
      </c>
      <c r="G1544" s="262" t="s">
        <v>1562</v>
      </c>
      <c r="H1544" s="258">
        <v>600000</v>
      </c>
      <c r="I1544" s="262">
        <v>1</v>
      </c>
      <c r="L1544" s="258">
        <v>600000</v>
      </c>
    </row>
    <row r="1545" spans="1:13">
      <c r="A1545" s="264">
        <v>1544</v>
      </c>
      <c r="B1545" s="257">
        <v>45906</v>
      </c>
      <c r="C1545" s="283" t="s">
        <v>3460</v>
      </c>
      <c r="F1545" s="283" t="s">
        <v>1124</v>
      </c>
      <c r="M1545" s="258">
        <v>-645000</v>
      </c>
    </row>
    <row r="1546" spans="1:13">
      <c r="A1546" s="264">
        <v>1545</v>
      </c>
      <c r="B1546" s="257">
        <v>45906</v>
      </c>
      <c r="C1546" s="283" t="s">
        <v>3463</v>
      </c>
      <c r="F1546" s="283" t="s">
        <v>1799</v>
      </c>
      <c r="M1546" s="258">
        <v>-600000</v>
      </c>
    </row>
    <row r="1547" spans="1:13">
      <c r="A1547" s="264">
        <v>1546</v>
      </c>
      <c r="B1547" s="257">
        <v>45908</v>
      </c>
      <c r="C1547" s="283" t="s">
        <v>1305</v>
      </c>
      <c r="F1547" s="283" t="s">
        <v>1799</v>
      </c>
      <c r="M1547" s="258">
        <v>-1000000</v>
      </c>
    </row>
    <row r="1548" spans="1:13">
      <c r="A1548" s="264">
        <v>1547</v>
      </c>
      <c r="B1548" s="257">
        <v>45908</v>
      </c>
      <c r="C1548" s="283" t="s">
        <v>1595</v>
      </c>
      <c r="F1548" s="283" t="s">
        <v>1799</v>
      </c>
      <c r="M1548" s="258">
        <v>-1320000</v>
      </c>
    </row>
    <row r="1549" spans="1:13">
      <c r="A1549" s="264">
        <v>1548</v>
      </c>
      <c r="B1549" s="257">
        <v>45908</v>
      </c>
      <c r="C1549" s="283" t="s">
        <v>1493</v>
      </c>
      <c r="F1549" s="283" t="s">
        <v>3474</v>
      </c>
      <c r="G1549" s="262" t="s">
        <v>1205</v>
      </c>
      <c r="H1549" s="258">
        <v>100000</v>
      </c>
      <c r="I1549" s="262">
        <v>1</v>
      </c>
      <c r="L1549" s="258">
        <v>100000</v>
      </c>
    </row>
    <row r="1550" spans="1:13">
      <c r="A1550" s="264">
        <v>1549</v>
      </c>
      <c r="B1550" s="257">
        <v>45908</v>
      </c>
      <c r="C1550" s="283" t="s">
        <v>1585</v>
      </c>
      <c r="F1550" s="283" t="s">
        <v>2106</v>
      </c>
      <c r="G1550" s="262">
        <v>36050661</v>
      </c>
      <c r="H1550" s="258">
        <v>1200000</v>
      </c>
      <c r="I1550" s="262">
        <v>1</v>
      </c>
      <c r="K1550" s="259">
        <v>120000</v>
      </c>
      <c r="L1550" s="258">
        <v>1320000</v>
      </c>
    </row>
    <row r="1551" spans="1:13">
      <c r="A1551" s="264">
        <v>1550</v>
      </c>
      <c r="B1551" s="257">
        <v>45908</v>
      </c>
      <c r="C1551" s="283" t="s">
        <v>1305</v>
      </c>
      <c r="F1551" s="283" t="s">
        <v>3467</v>
      </c>
      <c r="G1551" s="262" t="s">
        <v>1206</v>
      </c>
      <c r="H1551" s="258">
        <v>530000</v>
      </c>
      <c r="I1551" s="262">
        <v>1</v>
      </c>
      <c r="L1551" s="258">
        <v>530000</v>
      </c>
    </row>
    <row r="1552" spans="1:13">
      <c r="A1552" s="264">
        <v>1551</v>
      </c>
      <c r="B1552" s="257">
        <v>45908</v>
      </c>
      <c r="C1552" s="283" t="s">
        <v>1305</v>
      </c>
      <c r="F1552" s="283" t="s">
        <v>2189</v>
      </c>
      <c r="G1552" s="262">
        <v>50229</v>
      </c>
      <c r="H1552" s="258">
        <v>70000</v>
      </c>
      <c r="I1552" s="262">
        <v>1</v>
      </c>
      <c r="L1552" s="258">
        <v>70000</v>
      </c>
    </row>
    <row r="1553" spans="1:13">
      <c r="A1553" s="264">
        <v>1552</v>
      </c>
      <c r="B1553" s="257">
        <v>45908</v>
      </c>
      <c r="C1553" s="283" t="s">
        <v>1305</v>
      </c>
      <c r="F1553" s="283" t="s">
        <v>2190</v>
      </c>
      <c r="G1553" s="262" t="s">
        <v>1794</v>
      </c>
      <c r="H1553" s="258">
        <v>35000</v>
      </c>
      <c r="I1553" s="262">
        <v>1</v>
      </c>
      <c r="L1553" s="258">
        <v>35000</v>
      </c>
    </row>
    <row r="1554" spans="1:13">
      <c r="A1554" s="264">
        <v>1553</v>
      </c>
      <c r="B1554" s="257">
        <v>45908</v>
      </c>
      <c r="C1554" s="283" t="s">
        <v>1305</v>
      </c>
      <c r="F1554" s="283" t="s">
        <v>2191</v>
      </c>
      <c r="G1554" s="262" t="s">
        <v>1821</v>
      </c>
      <c r="H1554" s="258">
        <v>10000</v>
      </c>
      <c r="I1554" s="262">
        <v>2</v>
      </c>
      <c r="L1554" s="258">
        <v>20000</v>
      </c>
    </row>
    <row r="1555" spans="1:13">
      <c r="A1555" s="264">
        <v>1554</v>
      </c>
      <c r="B1555" s="257">
        <v>45908</v>
      </c>
      <c r="C1555" s="283" t="s">
        <v>1579</v>
      </c>
      <c r="F1555" s="283" t="s">
        <v>3467</v>
      </c>
      <c r="G1555" s="262" t="s">
        <v>1206</v>
      </c>
      <c r="H1555" s="258">
        <v>526364</v>
      </c>
      <c r="I1555" s="262">
        <v>1</v>
      </c>
      <c r="K1555" s="259">
        <v>52636</v>
      </c>
      <c r="L1555" s="258">
        <v>579000</v>
      </c>
    </row>
    <row r="1556" spans="1:13">
      <c r="A1556" s="264">
        <v>1555</v>
      </c>
      <c r="B1556" s="257">
        <v>45908</v>
      </c>
      <c r="C1556" s="283" t="s">
        <v>1670</v>
      </c>
      <c r="F1556" s="283" t="s">
        <v>3480</v>
      </c>
      <c r="G1556" s="262">
        <v>2202701006</v>
      </c>
      <c r="H1556" s="258">
        <v>3500000</v>
      </c>
      <c r="I1556" s="262">
        <v>1</v>
      </c>
      <c r="K1556" s="259">
        <v>350000</v>
      </c>
      <c r="L1556" s="258">
        <v>3850000</v>
      </c>
    </row>
    <row r="1557" spans="1:13">
      <c r="A1557" s="264">
        <v>1556</v>
      </c>
      <c r="B1557" s="257">
        <v>45908</v>
      </c>
      <c r="C1557" s="283" t="s">
        <v>1053</v>
      </c>
      <c r="F1557" s="283" t="s">
        <v>2136</v>
      </c>
      <c r="G1557" s="262">
        <v>2830502</v>
      </c>
      <c r="H1557" s="258">
        <v>1650000</v>
      </c>
      <c r="I1557" s="262">
        <v>1</v>
      </c>
      <c r="L1557" s="258">
        <v>1650000</v>
      </c>
    </row>
    <row r="1558" spans="1:13">
      <c r="A1558" s="264">
        <v>1557</v>
      </c>
      <c r="B1558" s="257">
        <v>45908</v>
      </c>
      <c r="C1558" s="283" t="s">
        <v>1478</v>
      </c>
      <c r="F1558" s="283" t="s">
        <v>3467</v>
      </c>
      <c r="G1558" s="262" t="s">
        <v>1206</v>
      </c>
      <c r="H1558" s="258">
        <v>550000</v>
      </c>
      <c r="I1558" s="262">
        <v>2</v>
      </c>
      <c r="L1558" s="258">
        <v>1100000</v>
      </c>
    </row>
    <row r="1559" spans="1:13">
      <c r="A1559" s="264">
        <v>1558</v>
      </c>
      <c r="B1559" s="257">
        <v>45908</v>
      </c>
      <c r="C1559" s="283" t="s">
        <v>1478</v>
      </c>
      <c r="F1559" s="283" t="s">
        <v>2187</v>
      </c>
      <c r="G1559" s="262" t="s">
        <v>1258</v>
      </c>
      <c r="H1559" s="258">
        <v>130000</v>
      </c>
      <c r="I1559" s="262">
        <v>2</v>
      </c>
      <c r="L1559" s="258">
        <v>260000</v>
      </c>
    </row>
    <row r="1560" spans="1:13">
      <c r="A1560" s="264">
        <v>1559</v>
      </c>
      <c r="B1560" s="257">
        <v>45908</v>
      </c>
      <c r="C1560" s="283" t="s">
        <v>1478</v>
      </c>
      <c r="F1560" s="283" t="s">
        <v>2191</v>
      </c>
      <c r="G1560" s="262" t="s">
        <v>1821</v>
      </c>
      <c r="H1560" s="258">
        <v>10000</v>
      </c>
      <c r="I1560" s="262">
        <v>2</v>
      </c>
      <c r="L1560" s="258">
        <v>20000</v>
      </c>
    </row>
    <row r="1561" spans="1:13">
      <c r="A1561" s="264">
        <v>1560</v>
      </c>
      <c r="B1561" s="257">
        <v>45908</v>
      </c>
      <c r="C1561" s="283" t="s">
        <v>1478</v>
      </c>
      <c r="F1561" s="283" t="s">
        <v>2190</v>
      </c>
      <c r="G1561" s="262" t="s">
        <v>1794</v>
      </c>
      <c r="H1561" s="258">
        <v>35000</v>
      </c>
      <c r="I1561" s="262">
        <v>2</v>
      </c>
      <c r="L1561" s="258">
        <v>70000</v>
      </c>
    </row>
    <row r="1562" spans="1:13">
      <c r="A1562" s="264">
        <v>1561</v>
      </c>
      <c r="B1562" s="257">
        <v>45908</v>
      </c>
      <c r="C1562" s="283" t="s">
        <v>1398</v>
      </c>
      <c r="F1562" s="283" t="s">
        <v>1742</v>
      </c>
      <c r="H1562" s="258">
        <v>650000</v>
      </c>
      <c r="I1562" s="262">
        <v>1</v>
      </c>
      <c r="L1562" s="258">
        <v>650000</v>
      </c>
    </row>
    <row r="1563" spans="1:13">
      <c r="A1563" s="264">
        <v>1562</v>
      </c>
      <c r="B1563" s="257">
        <v>45908</v>
      </c>
      <c r="C1563" s="283" t="s">
        <v>1053</v>
      </c>
      <c r="F1563" s="283" t="s">
        <v>1799</v>
      </c>
      <c r="M1563" s="258">
        <v>-1650000</v>
      </c>
    </row>
    <row r="1564" spans="1:13">
      <c r="A1564" s="264">
        <v>1563</v>
      </c>
      <c r="B1564" s="257">
        <v>45909</v>
      </c>
      <c r="C1564" s="283" t="s">
        <v>1553</v>
      </c>
      <c r="F1564" s="283" t="s">
        <v>1124</v>
      </c>
      <c r="M1564" s="258">
        <v>-3080000</v>
      </c>
    </row>
    <row r="1565" spans="1:13">
      <c r="A1565" s="264">
        <v>1564</v>
      </c>
      <c r="B1565" s="257">
        <v>45909</v>
      </c>
      <c r="C1565" s="283" t="s">
        <v>1305</v>
      </c>
      <c r="F1565" s="283" t="s">
        <v>1124</v>
      </c>
      <c r="M1565" s="258">
        <v>-655000</v>
      </c>
    </row>
    <row r="1566" spans="1:13">
      <c r="A1566" s="264">
        <v>1565</v>
      </c>
      <c r="B1566" s="257">
        <v>45909</v>
      </c>
      <c r="C1566" s="283" t="s">
        <v>1172</v>
      </c>
      <c r="F1566" s="283" t="s">
        <v>1124</v>
      </c>
      <c r="M1566" s="258">
        <v>-2100000</v>
      </c>
    </row>
    <row r="1567" spans="1:13">
      <c r="A1567" s="264">
        <v>1566</v>
      </c>
      <c r="B1567" s="257">
        <v>45909</v>
      </c>
      <c r="C1567" s="283" t="s">
        <v>3523</v>
      </c>
      <c r="F1567" s="283" t="s">
        <v>3524</v>
      </c>
      <c r="H1567" s="258">
        <v>1100000</v>
      </c>
      <c r="I1567" s="262">
        <v>1</v>
      </c>
      <c r="K1567" s="259" t="s">
        <v>3525</v>
      </c>
      <c r="L1567" s="258">
        <v>1210000</v>
      </c>
    </row>
    <row r="1568" spans="1:13">
      <c r="A1568" s="264">
        <v>1567</v>
      </c>
      <c r="B1568" s="257">
        <v>45909</v>
      </c>
      <c r="C1568" s="283" t="s">
        <v>2408</v>
      </c>
      <c r="F1568" s="283" t="s">
        <v>2188</v>
      </c>
      <c r="H1568" s="258">
        <v>200000</v>
      </c>
      <c r="I1568" s="262">
        <v>1</v>
      </c>
      <c r="L1568" s="258">
        <v>200000</v>
      </c>
    </row>
    <row r="1569" spans="1:15">
      <c r="A1569" s="264">
        <v>1568</v>
      </c>
      <c r="B1569" s="257">
        <v>45909</v>
      </c>
      <c r="C1569" s="283" t="s">
        <v>987</v>
      </c>
      <c r="F1569" s="283" t="s">
        <v>2185</v>
      </c>
      <c r="G1569" s="262" t="s">
        <v>1199</v>
      </c>
      <c r="H1569" s="258">
        <v>900000</v>
      </c>
      <c r="I1569" s="262">
        <v>1</v>
      </c>
      <c r="K1569" s="259">
        <v>90000</v>
      </c>
      <c r="L1569" s="258">
        <v>990000</v>
      </c>
    </row>
    <row r="1570" spans="1:15">
      <c r="A1570" s="264">
        <v>1569</v>
      </c>
      <c r="B1570" s="257">
        <v>45909</v>
      </c>
      <c r="C1570" s="283" t="s">
        <v>2465</v>
      </c>
      <c r="F1570" s="283" t="s">
        <v>1716</v>
      </c>
      <c r="G1570" s="262">
        <v>2800802</v>
      </c>
      <c r="H1570" s="258">
        <v>200000</v>
      </c>
      <c r="I1570" s="262">
        <v>1</v>
      </c>
      <c r="K1570" s="259">
        <v>20000</v>
      </c>
      <c r="L1570" s="258">
        <v>220000</v>
      </c>
    </row>
    <row r="1571" spans="1:15">
      <c r="A1571" s="264">
        <v>1570</v>
      </c>
      <c r="B1571" s="257">
        <v>45909</v>
      </c>
      <c r="C1571" s="283" t="s">
        <v>1866</v>
      </c>
      <c r="F1571" s="283" t="s">
        <v>2196</v>
      </c>
      <c r="G1571" s="262" t="s">
        <v>1197</v>
      </c>
      <c r="H1571" s="258">
        <v>1100000</v>
      </c>
      <c r="I1571" s="262">
        <v>1</v>
      </c>
      <c r="L1571" s="258">
        <v>1100000</v>
      </c>
    </row>
    <row r="1572" spans="1:15">
      <c r="A1572" s="264">
        <v>1571</v>
      </c>
      <c r="B1572" s="257">
        <v>45909</v>
      </c>
      <c r="C1572" s="283" t="s">
        <v>1866</v>
      </c>
      <c r="F1572" s="283" t="s">
        <v>1124</v>
      </c>
      <c r="M1572" s="258">
        <v>-1100000</v>
      </c>
    </row>
    <row r="1573" spans="1:15">
      <c r="A1573" s="264">
        <v>1572</v>
      </c>
      <c r="B1573" s="257">
        <v>45909</v>
      </c>
      <c r="C1573" s="283" t="s">
        <v>2465</v>
      </c>
      <c r="F1573" s="283" t="s">
        <v>1124</v>
      </c>
      <c r="M1573" s="258">
        <v>-220000</v>
      </c>
    </row>
    <row r="1574" spans="1:15">
      <c r="A1574" s="264">
        <v>1573</v>
      </c>
      <c r="B1574" s="257">
        <v>45909</v>
      </c>
      <c r="C1574" s="283" t="s">
        <v>987</v>
      </c>
      <c r="F1574" s="283" t="s">
        <v>1124</v>
      </c>
      <c r="M1574" s="258">
        <v>-990000</v>
      </c>
    </row>
    <row r="1575" spans="1:15">
      <c r="A1575" s="264">
        <v>1574</v>
      </c>
      <c r="B1575" s="257">
        <v>45910</v>
      </c>
      <c r="C1575" s="283" t="s">
        <v>1448</v>
      </c>
      <c r="F1575" s="283" t="s">
        <v>3510</v>
      </c>
      <c r="G1575" s="262" t="s">
        <v>1206</v>
      </c>
      <c r="H1575" s="258">
        <v>526364</v>
      </c>
      <c r="I1575" s="262">
        <v>1</v>
      </c>
      <c r="K1575" s="259">
        <v>52636</v>
      </c>
      <c r="L1575" s="258">
        <v>579000</v>
      </c>
    </row>
    <row r="1576" spans="1:15">
      <c r="A1576" s="264">
        <v>1575</v>
      </c>
      <c r="B1576" s="257">
        <v>45910</v>
      </c>
      <c r="C1576" s="283" t="s">
        <v>1670</v>
      </c>
      <c r="F1576" s="283" t="s">
        <v>1202</v>
      </c>
      <c r="G1576" s="262" t="s">
        <v>1751</v>
      </c>
      <c r="H1576" s="258">
        <v>1200000</v>
      </c>
      <c r="I1576" s="262">
        <v>2</v>
      </c>
      <c r="K1576" s="259">
        <v>240000</v>
      </c>
      <c r="L1576" s="258">
        <v>2640000</v>
      </c>
    </row>
    <row r="1577" spans="1:15">
      <c r="A1577" s="264">
        <v>1576</v>
      </c>
      <c r="B1577" s="257">
        <v>45910</v>
      </c>
      <c r="C1577" s="283" t="s">
        <v>1670</v>
      </c>
      <c r="F1577" s="283" t="s">
        <v>1495</v>
      </c>
      <c r="G1577" s="262" t="s">
        <v>2677</v>
      </c>
      <c r="H1577" s="258">
        <v>350000</v>
      </c>
      <c r="I1577" s="262">
        <v>2</v>
      </c>
      <c r="K1577" s="259">
        <v>70000</v>
      </c>
      <c r="L1577" s="258">
        <v>770000</v>
      </c>
    </row>
    <row r="1578" spans="1:15">
      <c r="A1578" s="264">
        <v>1577</v>
      </c>
      <c r="B1578" s="257">
        <v>45910</v>
      </c>
      <c r="C1578" s="283" t="s">
        <v>3666</v>
      </c>
      <c r="F1578" s="283" t="s">
        <v>3668</v>
      </c>
      <c r="G1578" s="262" t="s">
        <v>3669</v>
      </c>
      <c r="H1578" s="258">
        <v>150000</v>
      </c>
      <c r="I1578" s="262">
        <v>1</v>
      </c>
      <c r="L1578" s="258">
        <v>150000</v>
      </c>
      <c r="O1578" s="283" t="s">
        <v>3670</v>
      </c>
    </row>
    <row r="1579" spans="1:15">
      <c r="A1579" s="264">
        <v>1578</v>
      </c>
      <c r="B1579" s="257">
        <v>45910</v>
      </c>
      <c r="C1579" s="283" t="s">
        <v>1540</v>
      </c>
      <c r="F1579" s="283" t="s">
        <v>1202</v>
      </c>
      <c r="G1579" s="262" t="s">
        <v>1751</v>
      </c>
      <c r="H1579" s="258">
        <v>1200000</v>
      </c>
      <c r="I1579" s="262">
        <v>1</v>
      </c>
      <c r="L1579" s="258">
        <v>1200000</v>
      </c>
    </row>
    <row r="1580" spans="1:15">
      <c r="A1580" s="264">
        <v>1579</v>
      </c>
      <c r="B1580" s="257">
        <v>45910</v>
      </c>
      <c r="C1580" s="283" t="s">
        <v>1540</v>
      </c>
      <c r="F1580" s="283" t="s">
        <v>3509</v>
      </c>
      <c r="G1580" s="262">
        <v>1087298437</v>
      </c>
      <c r="H1580" s="258">
        <v>80000</v>
      </c>
      <c r="I1580" s="262">
        <v>1</v>
      </c>
      <c r="L1580" s="258">
        <v>80000</v>
      </c>
    </row>
    <row r="1581" spans="1:15">
      <c r="A1581" s="264">
        <v>1580</v>
      </c>
      <c r="B1581" s="257">
        <v>45910</v>
      </c>
      <c r="C1581" s="283" t="s">
        <v>3506</v>
      </c>
      <c r="F1581" s="283" t="s">
        <v>3467</v>
      </c>
      <c r="G1581" s="262" t="s">
        <v>1206</v>
      </c>
      <c r="H1581" s="258">
        <v>540000</v>
      </c>
      <c r="I1581" s="262">
        <v>1</v>
      </c>
      <c r="L1581" s="258">
        <v>540000</v>
      </c>
    </row>
    <row r="1582" spans="1:15">
      <c r="A1582" s="264">
        <v>1581</v>
      </c>
      <c r="B1582" s="257">
        <v>45910</v>
      </c>
      <c r="C1582" s="283" t="s">
        <v>1443</v>
      </c>
      <c r="F1582" s="283" t="s">
        <v>3439</v>
      </c>
      <c r="G1582" s="262">
        <v>1087298437</v>
      </c>
      <c r="H1582" s="258">
        <v>80000</v>
      </c>
      <c r="I1582" s="262">
        <v>3</v>
      </c>
      <c r="L1582" s="258">
        <v>240000</v>
      </c>
    </row>
    <row r="1583" spans="1:15">
      <c r="A1583" s="264">
        <v>1582</v>
      </c>
      <c r="B1583" s="257">
        <v>45910</v>
      </c>
      <c r="C1583" s="283" t="s">
        <v>3391</v>
      </c>
      <c r="F1583" s="283" t="s">
        <v>2179</v>
      </c>
      <c r="G1583" s="262" t="s">
        <v>1200</v>
      </c>
      <c r="H1583" s="258">
        <v>1500000</v>
      </c>
      <c r="I1583" s="262">
        <v>1</v>
      </c>
      <c r="K1583" s="259">
        <v>150000</v>
      </c>
      <c r="L1583" s="258">
        <v>1650000</v>
      </c>
    </row>
    <row r="1584" spans="1:15">
      <c r="A1584" s="264">
        <v>1583</v>
      </c>
      <c r="B1584" s="257">
        <v>45910</v>
      </c>
      <c r="C1584" s="283" t="s">
        <v>3391</v>
      </c>
      <c r="F1584" s="283" t="s">
        <v>2180</v>
      </c>
      <c r="G1584" s="262" t="s">
        <v>1802</v>
      </c>
      <c r="H1584" s="258">
        <v>50000</v>
      </c>
      <c r="I1584" s="262">
        <v>1</v>
      </c>
      <c r="K1584" s="259">
        <v>5000</v>
      </c>
      <c r="L1584" s="258">
        <v>55000</v>
      </c>
    </row>
    <row r="1585" spans="1:13">
      <c r="A1585" s="264">
        <v>1584</v>
      </c>
      <c r="B1585" s="257">
        <v>45910</v>
      </c>
      <c r="C1585" s="283" t="s">
        <v>1443</v>
      </c>
      <c r="F1585" s="283" t="s">
        <v>3303</v>
      </c>
      <c r="H1585" s="258">
        <v>-300000</v>
      </c>
      <c r="I1585" s="262">
        <v>2</v>
      </c>
      <c r="M1585" s="258">
        <v>-600000</v>
      </c>
    </row>
    <row r="1586" spans="1:13">
      <c r="A1586" s="264">
        <v>1585</v>
      </c>
      <c r="B1586" s="257">
        <v>45910</v>
      </c>
      <c r="C1586" s="283" t="s">
        <v>1305</v>
      </c>
      <c r="F1586" s="283" t="s">
        <v>2193</v>
      </c>
      <c r="H1586" s="258">
        <v>600000</v>
      </c>
      <c r="I1586" s="262">
        <v>1</v>
      </c>
      <c r="L1586" s="258">
        <v>600000</v>
      </c>
    </row>
    <row r="1587" spans="1:13">
      <c r="A1587" s="264">
        <v>1586</v>
      </c>
      <c r="B1587" s="257">
        <v>45910</v>
      </c>
      <c r="C1587" s="283" t="s">
        <v>2781</v>
      </c>
      <c r="F1587" s="283" t="s">
        <v>2289</v>
      </c>
      <c r="H1587" s="258">
        <v>1600000</v>
      </c>
      <c r="I1587" s="262">
        <v>1</v>
      </c>
      <c r="K1587" s="259">
        <v>160000</v>
      </c>
      <c r="L1587" s="258">
        <v>1760000</v>
      </c>
    </row>
    <row r="1588" spans="1:13">
      <c r="A1588" s="264">
        <v>1587</v>
      </c>
      <c r="B1588" s="257">
        <v>45910</v>
      </c>
      <c r="C1588" s="283" t="s">
        <v>1789</v>
      </c>
      <c r="F1588" s="283" t="s">
        <v>2193</v>
      </c>
      <c r="H1588" s="258">
        <v>600000</v>
      </c>
      <c r="I1588" s="262">
        <v>1</v>
      </c>
      <c r="L1588" s="258">
        <v>600000</v>
      </c>
    </row>
    <row r="1589" spans="1:13">
      <c r="A1589" s="264">
        <v>1588</v>
      </c>
      <c r="B1589" s="257">
        <v>45910</v>
      </c>
      <c r="C1589" s="283" t="s">
        <v>1789</v>
      </c>
      <c r="F1589" s="283" t="s">
        <v>3467</v>
      </c>
      <c r="G1589" s="262" t="s">
        <v>1206</v>
      </c>
      <c r="H1589" s="258">
        <v>540000</v>
      </c>
      <c r="I1589" s="262">
        <v>1</v>
      </c>
      <c r="L1589" s="258">
        <v>540000</v>
      </c>
    </row>
    <row r="1590" spans="1:13">
      <c r="A1590" s="264">
        <v>1589</v>
      </c>
      <c r="B1590" s="257">
        <v>45910</v>
      </c>
      <c r="C1590" s="283" t="s">
        <v>1789</v>
      </c>
      <c r="F1590" s="283" t="s">
        <v>2191</v>
      </c>
      <c r="G1590" s="262" t="s">
        <v>1821</v>
      </c>
      <c r="H1590" s="258">
        <v>10000</v>
      </c>
      <c r="I1590" s="262">
        <v>1</v>
      </c>
      <c r="L1590" s="258">
        <v>10000</v>
      </c>
    </row>
    <row r="1591" spans="1:13">
      <c r="A1591" s="264">
        <v>1590</v>
      </c>
      <c r="B1591" s="257">
        <v>45910</v>
      </c>
      <c r="C1591" s="283" t="s">
        <v>1789</v>
      </c>
      <c r="F1591" s="283" t="s">
        <v>2190</v>
      </c>
      <c r="G1591" s="262" t="s">
        <v>1794</v>
      </c>
      <c r="H1591" s="258">
        <v>35000</v>
      </c>
      <c r="I1591" s="262">
        <v>1</v>
      </c>
      <c r="L1591" s="258">
        <v>35000</v>
      </c>
    </row>
    <row r="1592" spans="1:13">
      <c r="A1592" s="264">
        <v>1591</v>
      </c>
      <c r="B1592" s="257">
        <v>45910</v>
      </c>
      <c r="C1592" s="283" t="s">
        <v>1789</v>
      </c>
      <c r="F1592" s="283" t="s">
        <v>1518</v>
      </c>
      <c r="H1592" s="258">
        <v>20000</v>
      </c>
      <c r="I1592" s="262">
        <v>1</v>
      </c>
      <c r="L1592" s="258">
        <v>20000</v>
      </c>
    </row>
    <row r="1593" spans="1:13">
      <c r="A1593" s="264">
        <v>1592</v>
      </c>
      <c r="B1593" s="257">
        <v>45910</v>
      </c>
      <c r="C1593" s="283" t="s">
        <v>1466</v>
      </c>
      <c r="F1593" s="283" t="s">
        <v>1124</v>
      </c>
      <c r="M1593" s="258">
        <v>-3080000</v>
      </c>
    </row>
    <row r="1594" spans="1:13">
      <c r="A1594" s="264">
        <v>1593</v>
      </c>
      <c r="B1594" s="257">
        <v>45910</v>
      </c>
      <c r="C1594" s="283" t="s">
        <v>3391</v>
      </c>
      <c r="F1594" s="283" t="s">
        <v>1124</v>
      </c>
      <c r="M1594" s="258">
        <v>-1705000</v>
      </c>
    </row>
    <row r="1595" spans="1:13">
      <c r="A1595" s="264">
        <v>1594</v>
      </c>
      <c r="B1595" s="257">
        <v>45910</v>
      </c>
      <c r="C1595" s="283" t="s">
        <v>1305</v>
      </c>
      <c r="F1595" s="283" t="s">
        <v>1124</v>
      </c>
      <c r="M1595" s="258">
        <v>-600000</v>
      </c>
    </row>
    <row r="1596" spans="1:13">
      <c r="A1596" s="264">
        <v>1595</v>
      </c>
      <c r="B1596" s="257">
        <v>45910</v>
      </c>
      <c r="C1596" s="283" t="s">
        <v>1448</v>
      </c>
      <c r="F1596" s="283" t="s">
        <v>1124</v>
      </c>
      <c r="M1596" s="258">
        <v>-579000</v>
      </c>
    </row>
    <row r="1597" spans="1:13">
      <c r="A1597" s="264">
        <v>1596</v>
      </c>
      <c r="B1597" s="257">
        <v>45910</v>
      </c>
      <c r="C1597" s="283" t="s">
        <v>2408</v>
      </c>
      <c r="F1597" s="283" t="s">
        <v>1124</v>
      </c>
      <c r="M1597" s="258">
        <v>-200000</v>
      </c>
    </row>
    <row r="1598" spans="1:13">
      <c r="A1598" s="264">
        <v>1597</v>
      </c>
      <c r="B1598" s="257">
        <v>45910</v>
      </c>
      <c r="C1598" s="283" t="s">
        <v>1585</v>
      </c>
      <c r="F1598" s="283" t="s">
        <v>1124</v>
      </c>
      <c r="M1598" s="258">
        <v>-1320000</v>
      </c>
    </row>
    <row r="1599" spans="1:13">
      <c r="A1599" s="264">
        <v>1598</v>
      </c>
      <c r="B1599" s="257">
        <v>45910</v>
      </c>
      <c r="C1599" s="283" t="s">
        <v>2781</v>
      </c>
      <c r="F1599" s="283" t="s">
        <v>1124</v>
      </c>
      <c r="M1599" s="258">
        <v>-1760000</v>
      </c>
    </row>
    <row r="1600" spans="1:13">
      <c r="A1600" s="264">
        <v>1599</v>
      </c>
      <c r="B1600" s="257">
        <v>45910</v>
      </c>
      <c r="C1600" s="283" t="s">
        <v>3506</v>
      </c>
      <c r="F1600" s="283" t="s">
        <v>1124</v>
      </c>
      <c r="M1600" s="258">
        <v>-540000</v>
      </c>
    </row>
    <row r="1601" spans="1:13">
      <c r="A1601" s="264">
        <v>1600</v>
      </c>
      <c r="B1601" s="257">
        <v>45911</v>
      </c>
      <c r="C1601" s="283" t="s">
        <v>1466</v>
      </c>
      <c r="F1601" s="283" t="s">
        <v>3221</v>
      </c>
      <c r="G1601" s="262" t="s">
        <v>3527</v>
      </c>
      <c r="H1601" s="258">
        <v>1100000</v>
      </c>
      <c r="I1601" s="262">
        <v>1</v>
      </c>
      <c r="K1601" s="259">
        <v>110000</v>
      </c>
      <c r="L1601" s="258">
        <v>1210000</v>
      </c>
    </row>
    <row r="1602" spans="1:13">
      <c r="A1602" s="264">
        <v>1601</v>
      </c>
      <c r="B1602" s="257">
        <v>45911</v>
      </c>
      <c r="C1602" s="283" t="s">
        <v>1082</v>
      </c>
      <c r="F1602" s="283" t="s">
        <v>2179</v>
      </c>
      <c r="G1602" s="262" t="s">
        <v>1200</v>
      </c>
      <c r="H1602" s="258">
        <v>1500000</v>
      </c>
      <c r="I1602" s="262">
        <v>1</v>
      </c>
      <c r="L1602" s="258">
        <v>1500000</v>
      </c>
    </row>
    <row r="1603" spans="1:13">
      <c r="A1603" s="264">
        <v>1602</v>
      </c>
      <c r="B1603" s="257">
        <v>45911</v>
      </c>
      <c r="C1603" s="283" t="s">
        <v>1082</v>
      </c>
      <c r="F1603" s="283" t="s">
        <v>2180</v>
      </c>
      <c r="G1603" s="262" t="s">
        <v>1802</v>
      </c>
      <c r="H1603" s="258">
        <v>50000</v>
      </c>
      <c r="I1603" s="262">
        <v>1</v>
      </c>
      <c r="L1603" s="258">
        <v>50000</v>
      </c>
    </row>
    <row r="1604" spans="1:13">
      <c r="A1604" s="264">
        <v>1603</v>
      </c>
      <c r="B1604" s="257">
        <v>45911</v>
      </c>
      <c r="C1604" s="283" t="s">
        <v>1811</v>
      </c>
      <c r="F1604" s="283" t="s">
        <v>1204</v>
      </c>
      <c r="G1604" s="262" t="s">
        <v>1203</v>
      </c>
      <c r="H1604" s="258">
        <v>1100000</v>
      </c>
      <c r="I1604" s="262">
        <v>1</v>
      </c>
      <c r="K1604" s="259">
        <v>110000</v>
      </c>
      <c r="L1604" s="258">
        <v>1210000</v>
      </c>
    </row>
    <row r="1605" spans="1:13">
      <c r="A1605" s="264">
        <v>1604</v>
      </c>
      <c r="B1605" s="257">
        <v>45911</v>
      </c>
      <c r="C1605" s="283" t="s">
        <v>987</v>
      </c>
      <c r="F1605" s="283" t="s">
        <v>2394</v>
      </c>
      <c r="G1605" s="262" t="s">
        <v>2885</v>
      </c>
      <c r="H1605" s="258">
        <v>450000</v>
      </c>
      <c r="I1605" s="262">
        <v>1</v>
      </c>
      <c r="K1605" s="259">
        <v>45000</v>
      </c>
      <c r="L1605" s="258">
        <v>495000</v>
      </c>
    </row>
    <row r="1606" spans="1:13">
      <c r="A1606" s="264">
        <v>1605</v>
      </c>
      <c r="B1606" s="257">
        <v>45911</v>
      </c>
      <c r="C1606" s="283" t="s">
        <v>1448</v>
      </c>
      <c r="F1606" s="283" t="s">
        <v>3380</v>
      </c>
      <c r="H1606" s="258">
        <v>450000</v>
      </c>
      <c r="I1606" s="262">
        <v>1</v>
      </c>
      <c r="K1606" s="259">
        <v>45000</v>
      </c>
      <c r="L1606" s="258">
        <v>495000</v>
      </c>
    </row>
    <row r="1607" spans="1:13">
      <c r="A1607" s="264">
        <v>1606</v>
      </c>
      <c r="B1607" s="257">
        <v>45911</v>
      </c>
      <c r="C1607" s="283" t="s">
        <v>1448</v>
      </c>
      <c r="F1607" s="283" t="s">
        <v>1548</v>
      </c>
      <c r="G1607" s="262">
        <v>24152333903</v>
      </c>
      <c r="H1607" s="258">
        <v>50000</v>
      </c>
      <c r="I1607" s="262">
        <v>1</v>
      </c>
      <c r="K1607" s="259">
        <v>5000</v>
      </c>
      <c r="L1607" s="258">
        <v>55000</v>
      </c>
    </row>
    <row r="1608" spans="1:13">
      <c r="A1608" s="264">
        <v>1607</v>
      </c>
      <c r="B1608" s="257">
        <v>45911</v>
      </c>
      <c r="C1608" s="283" t="s">
        <v>1448</v>
      </c>
      <c r="F1608" s="283" t="s">
        <v>3534</v>
      </c>
      <c r="G1608" s="262" t="s">
        <v>3533</v>
      </c>
      <c r="H1608" s="258">
        <v>20000</v>
      </c>
      <c r="I1608" s="262">
        <v>1</v>
      </c>
      <c r="K1608" s="259">
        <v>2000</v>
      </c>
      <c r="L1608" s="258">
        <v>22000</v>
      </c>
    </row>
    <row r="1609" spans="1:13">
      <c r="A1609" s="264">
        <v>1608</v>
      </c>
      <c r="B1609" s="257">
        <v>45911</v>
      </c>
      <c r="C1609" s="283" t="s">
        <v>1398</v>
      </c>
      <c r="F1609" s="283" t="s">
        <v>2411</v>
      </c>
      <c r="G1609" s="262">
        <v>1087298441</v>
      </c>
      <c r="H1609" s="258">
        <v>35000</v>
      </c>
      <c r="I1609" s="262">
        <v>1</v>
      </c>
      <c r="L1609" s="258">
        <v>35000</v>
      </c>
    </row>
    <row r="1610" spans="1:13">
      <c r="A1610" s="264">
        <v>1609</v>
      </c>
      <c r="B1610" s="257">
        <v>45911</v>
      </c>
      <c r="C1610" s="283" t="s">
        <v>1789</v>
      </c>
      <c r="F1610" s="283" t="s">
        <v>3380</v>
      </c>
      <c r="H1610" s="258">
        <v>450000</v>
      </c>
      <c r="I1610" s="262">
        <v>1</v>
      </c>
      <c r="L1610" s="258">
        <v>450000</v>
      </c>
    </row>
    <row r="1611" spans="1:13">
      <c r="A1611" s="264">
        <v>1610</v>
      </c>
      <c r="B1611" s="257">
        <v>45911</v>
      </c>
      <c r="C1611" s="283" t="s">
        <v>1789</v>
      </c>
      <c r="F1611" s="283" t="s">
        <v>1518</v>
      </c>
      <c r="H1611" s="258">
        <v>20000</v>
      </c>
      <c r="I1611" s="262">
        <v>1</v>
      </c>
      <c r="L1611" s="258">
        <v>20000</v>
      </c>
    </row>
    <row r="1612" spans="1:13">
      <c r="A1612" s="264">
        <v>1611</v>
      </c>
      <c r="B1612" s="257">
        <v>45911</v>
      </c>
      <c r="C1612" s="283" t="s">
        <v>3114</v>
      </c>
      <c r="F1612" s="283" t="s">
        <v>1742</v>
      </c>
      <c r="H1612" s="258">
        <v>650000</v>
      </c>
      <c r="I1612" s="262">
        <v>1</v>
      </c>
      <c r="L1612" s="258">
        <v>650000</v>
      </c>
    </row>
    <row r="1613" spans="1:13">
      <c r="A1613" s="264">
        <v>1612</v>
      </c>
      <c r="B1613" s="257">
        <v>45911</v>
      </c>
      <c r="C1613" s="283" t="s">
        <v>1579</v>
      </c>
      <c r="F1613" s="283" t="s">
        <v>1124</v>
      </c>
      <c r="M1613" s="258">
        <v>-1650000</v>
      </c>
    </row>
    <row r="1614" spans="1:13">
      <c r="A1614" s="264">
        <v>1613</v>
      </c>
      <c r="B1614" s="257">
        <v>45911</v>
      </c>
      <c r="C1614" s="283" t="s">
        <v>987</v>
      </c>
      <c r="F1614" s="283" t="s">
        <v>1124</v>
      </c>
      <c r="M1614" s="258">
        <v>-495000</v>
      </c>
    </row>
    <row r="1615" spans="1:13">
      <c r="A1615" s="264">
        <v>1614</v>
      </c>
      <c r="B1615" s="257">
        <v>45911</v>
      </c>
      <c r="C1615" s="283" t="s">
        <v>3114</v>
      </c>
      <c r="F1615" s="283" t="s">
        <v>1124</v>
      </c>
      <c r="M1615" s="258">
        <v>-650000</v>
      </c>
    </row>
    <row r="1616" spans="1:13">
      <c r="A1616" s="264">
        <v>1615</v>
      </c>
      <c r="B1616" s="257">
        <v>45912</v>
      </c>
      <c r="C1616" s="283" t="s">
        <v>1472</v>
      </c>
      <c r="F1616" s="283" t="s">
        <v>2195</v>
      </c>
      <c r="G1616" s="262">
        <v>2820403</v>
      </c>
      <c r="H1616" s="258">
        <v>1500000</v>
      </c>
      <c r="I1616" s="262">
        <v>1</v>
      </c>
      <c r="L1616" s="258">
        <v>1500000</v>
      </c>
    </row>
    <row r="1617" spans="1:13">
      <c r="A1617" s="264">
        <v>1616</v>
      </c>
      <c r="B1617" s="257">
        <v>45912</v>
      </c>
      <c r="C1617" s="283" t="s">
        <v>1670</v>
      </c>
      <c r="F1617" s="283" t="s">
        <v>2416</v>
      </c>
      <c r="G1617" s="262" t="s">
        <v>2746</v>
      </c>
      <c r="H1617" s="258">
        <v>1100000</v>
      </c>
      <c r="I1617" s="262">
        <v>1</v>
      </c>
      <c r="K1617" s="259">
        <v>110000</v>
      </c>
      <c r="L1617" s="258">
        <v>1210000</v>
      </c>
    </row>
    <row r="1618" spans="1:13">
      <c r="A1618" s="264">
        <v>1617</v>
      </c>
      <c r="B1618" s="257">
        <v>45912</v>
      </c>
      <c r="C1618" s="283" t="s">
        <v>1721</v>
      </c>
      <c r="F1618" s="283" t="s">
        <v>1534</v>
      </c>
      <c r="H1618" s="258">
        <v>450000</v>
      </c>
      <c r="I1618" s="262">
        <v>1</v>
      </c>
      <c r="L1618" s="258">
        <v>450000</v>
      </c>
    </row>
    <row r="1619" spans="1:13">
      <c r="A1619" s="264">
        <v>1618</v>
      </c>
      <c r="B1619" s="257">
        <v>45912</v>
      </c>
      <c r="C1619" s="283" t="s">
        <v>2914</v>
      </c>
      <c r="F1619" s="283" t="s">
        <v>2938</v>
      </c>
      <c r="G1619" s="262" t="s">
        <v>3116</v>
      </c>
      <c r="H1619" s="258">
        <v>900000</v>
      </c>
      <c r="I1619" s="262">
        <v>1</v>
      </c>
      <c r="L1619" s="258">
        <v>900000</v>
      </c>
    </row>
    <row r="1620" spans="1:13">
      <c r="A1620" s="264">
        <v>1619</v>
      </c>
      <c r="B1620" s="257">
        <v>45912</v>
      </c>
      <c r="C1620" s="283" t="s">
        <v>1721</v>
      </c>
      <c r="F1620" s="283" t="s">
        <v>3545</v>
      </c>
      <c r="G1620" s="262" t="s">
        <v>2326</v>
      </c>
      <c r="H1620" s="258">
        <v>900000</v>
      </c>
      <c r="I1620" s="262">
        <v>1</v>
      </c>
      <c r="L1620" s="258">
        <v>900000</v>
      </c>
    </row>
    <row r="1621" spans="1:13">
      <c r="A1621" s="264">
        <v>1620</v>
      </c>
      <c r="B1621" s="257">
        <v>45912</v>
      </c>
      <c r="C1621" s="283" t="s">
        <v>1468</v>
      </c>
      <c r="F1621" s="283" t="s">
        <v>2188</v>
      </c>
      <c r="H1621" s="258">
        <v>300000</v>
      </c>
      <c r="I1621" s="262">
        <v>1</v>
      </c>
      <c r="L1621" s="258">
        <v>300000</v>
      </c>
    </row>
    <row r="1622" spans="1:13">
      <c r="A1622" s="264">
        <v>1621</v>
      </c>
      <c r="B1622" s="257">
        <v>45912</v>
      </c>
      <c r="C1622" s="283" t="s">
        <v>3548</v>
      </c>
      <c r="F1622" s="283" t="s">
        <v>3274</v>
      </c>
      <c r="G1622" s="262">
        <v>501327105</v>
      </c>
      <c r="H1622" s="258">
        <v>3500000</v>
      </c>
      <c r="I1622" s="262">
        <v>1</v>
      </c>
      <c r="K1622" s="259">
        <v>350000</v>
      </c>
      <c r="L1622" s="258">
        <v>3850000</v>
      </c>
    </row>
    <row r="1623" spans="1:13">
      <c r="A1623" s="264">
        <v>1622</v>
      </c>
      <c r="B1623" s="257">
        <v>45912</v>
      </c>
      <c r="C1623" s="283" t="s">
        <v>3550</v>
      </c>
      <c r="F1623" s="283" t="s">
        <v>3551</v>
      </c>
      <c r="M1623" s="258">
        <v>-1040000</v>
      </c>
    </row>
    <row r="1624" spans="1:13">
      <c r="A1624" s="264">
        <v>1623</v>
      </c>
      <c r="B1624" s="257">
        <v>45912</v>
      </c>
      <c r="C1624" s="283" t="s">
        <v>1448</v>
      </c>
      <c r="F1624" s="283" t="s">
        <v>1124</v>
      </c>
      <c r="M1624" s="258">
        <v>-572000</v>
      </c>
    </row>
    <row r="1625" spans="1:13">
      <c r="A1625" s="264">
        <v>1624</v>
      </c>
      <c r="B1625" s="257">
        <v>45912</v>
      </c>
      <c r="C1625" s="283" t="s">
        <v>3548</v>
      </c>
      <c r="F1625" s="283" t="s">
        <v>1124</v>
      </c>
      <c r="M1625" s="258">
        <v>-3850000</v>
      </c>
    </row>
    <row r="1626" spans="1:13">
      <c r="A1626" s="264">
        <v>1625</v>
      </c>
      <c r="B1626" s="257">
        <v>45913</v>
      </c>
      <c r="C1626" s="283" t="s">
        <v>1721</v>
      </c>
      <c r="F1626" s="283" t="s">
        <v>1743</v>
      </c>
      <c r="G1626" s="262">
        <v>2830501</v>
      </c>
      <c r="H1626" s="258">
        <v>1550000</v>
      </c>
      <c r="I1626" s="262">
        <v>1</v>
      </c>
      <c r="L1626" s="258">
        <v>1550000</v>
      </c>
    </row>
    <row r="1627" spans="1:13">
      <c r="A1627" s="264">
        <v>1626</v>
      </c>
      <c r="B1627" s="257">
        <v>45915</v>
      </c>
      <c r="C1627" s="283" t="s">
        <v>1448</v>
      </c>
      <c r="F1627" s="283" t="s">
        <v>1202</v>
      </c>
      <c r="G1627" s="262" t="s">
        <v>1751</v>
      </c>
      <c r="H1627" s="258">
        <v>1200000</v>
      </c>
      <c r="I1627" s="262">
        <v>1</v>
      </c>
      <c r="K1627" s="259">
        <v>120000</v>
      </c>
      <c r="L1627" s="258">
        <v>1320000</v>
      </c>
    </row>
    <row r="1628" spans="1:13">
      <c r="A1628" s="264">
        <v>1627</v>
      </c>
      <c r="B1628" s="257">
        <v>45915</v>
      </c>
      <c r="C1628" s="283" t="s">
        <v>1979</v>
      </c>
      <c r="F1628" s="283" t="s">
        <v>1204</v>
      </c>
      <c r="G1628" s="262" t="s">
        <v>1205</v>
      </c>
      <c r="H1628" s="258">
        <v>1200000</v>
      </c>
      <c r="I1628" s="262">
        <v>1</v>
      </c>
      <c r="L1628" s="258">
        <v>1200000</v>
      </c>
    </row>
    <row r="1629" spans="1:13">
      <c r="A1629" s="264">
        <v>1628</v>
      </c>
      <c r="B1629" s="257">
        <v>45915</v>
      </c>
      <c r="C1629" s="283" t="s">
        <v>1979</v>
      </c>
      <c r="F1629" s="283" t="s">
        <v>2911</v>
      </c>
      <c r="G1629" s="262">
        <v>24046895</v>
      </c>
      <c r="H1629" s="258">
        <v>130000</v>
      </c>
      <c r="I1629" s="262">
        <v>1</v>
      </c>
      <c r="L1629" s="258">
        <v>130000</v>
      </c>
    </row>
    <row r="1630" spans="1:13">
      <c r="A1630" s="264">
        <v>1629</v>
      </c>
      <c r="B1630" s="257">
        <v>45915</v>
      </c>
      <c r="C1630" s="283" t="s">
        <v>1053</v>
      </c>
      <c r="F1630" s="283" t="s">
        <v>2179</v>
      </c>
      <c r="G1630" s="262" t="s">
        <v>1200</v>
      </c>
      <c r="H1630" s="258">
        <v>1500000</v>
      </c>
      <c r="I1630" s="262">
        <v>1</v>
      </c>
      <c r="L1630" s="258">
        <v>1500000</v>
      </c>
    </row>
    <row r="1631" spans="1:13">
      <c r="A1631" s="264">
        <v>1630</v>
      </c>
      <c r="B1631" s="257">
        <v>45915</v>
      </c>
      <c r="C1631" s="283" t="s">
        <v>1053</v>
      </c>
      <c r="F1631" s="283" t="s">
        <v>2180</v>
      </c>
      <c r="G1631" s="262" t="s">
        <v>1802</v>
      </c>
      <c r="H1631" s="258">
        <v>50000</v>
      </c>
      <c r="I1631" s="262">
        <v>1</v>
      </c>
      <c r="L1631" s="258">
        <v>50000</v>
      </c>
    </row>
    <row r="1632" spans="1:13">
      <c r="A1632" s="264">
        <v>1631</v>
      </c>
      <c r="B1632" s="257">
        <v>45915</v>
      </c>
      <c r="C1632" s="283" t="s">
        <v>1860</v>
      </c>
      <c r="F1632" s="283" t="s">
        <v>3554</v>
      </c>
      <c r="G1632" s="262">
        <v>6058011023</v>
      </c>
      <c r="H1632" s="258">
        <v>1000000</v>
      </c>
      <c r="I1632" s="262">
        <v>1</v>
      </c>
      <c r="L1632" s="258">
        <v>1000000</v>
      </c>
    </row>
    <row r="1633" spans="1:15">
      <c r="A1633" s="264">
        <v>1632</v>
      </c>
      <c r="B1633" s="257">
        <v>45915</v>
      </c>
      <c r="C1633" s="283" t="s">
        <v>1398</v>
      </c>
      <c r="F1633" s="283" t="s">
        <v>1742</v>
      </c>
      <c r="H1633" s="258">
        <v>650000</v>
      </c>
      <c r="I1633" s="262">
        <v>1</v>
      </c>
      <c r="L1633" s="258">
        <v>650000</v>
      </c>
    </row>
    <row r="1634" spans="1:15">
      <c r="A1634" s="264">
        <v>1633</v>
      </c>
      <c r="B1634" s="257">
        <v>45915</v>
      </c>
      <c r="C1634" s="283" t="s">
        <v>1146</v>
      </c>
      <c r="F1634" s="283" t="s">
        <v>1716</v>
      </c>
      <c r="G1634" s="262">
        <v>2800802</v>
      </c>
      <c r="H1634" s="258">
        <v>150000</v>
      </c>
      <c r="I1634" s="262">
        <v>2</v>
      </c>
      <c r="L1634" s="258">
        <v>300000</v>
      </c>
    </row>
    <row r="1635" spans="1:15">
      <c r="A1635" s="264">
        <v>1634</v>
      </c>
      <c r="B1635" s="257">
        <v>45915</v>
      </c>
      <c r="C1635" s="283" t="s">
        <v>1443</v>
      </c>
      <c r="F1635" s="283" t="s">
        <v>2194</v>
      </c>
      <c r="H1635" s="258">
        <v>300000</v>
      </c>
      <c r="I1635" s="262">
        <v>3</v>
      </c>
      <c r="L1635" s="258">
        <v>900000</v>
      </c>
    </row>
    <row r="1636" spans="1:15">
      <c r="A1636" s="264">
        <v>1635</v>
      </c>
      <c r="B1636" s="257">
        <v>45915</v>
      </c>
      <c r="C1636" s="283" t="s">
        <v>1443</v>
      </c>
      <c r="F1636" s="283" t="s">
        <v>3563</v>
      </c>
      <c r="M1636" s="258">
        <v>-1000000</v>
      </c>
    </row>
    <row r="1637" spans="1:15">
      <c r="A1637" s="264">
        <v>1636</v>
      </c>
      <c r="B1637" s="257">
        <v>45915</v>
      </c>
      <c r="C1637" s="283" t="s">
        <v>1579</v>
      </c>
      <c r="F1637" s="283" t="s">
        <v>2055</v>
      </c>
      <c r="M1637" s="258">
        <v>-3300000</v>
      </c>
    </row>
    <row r="1638" spans="1:15">
      <c r="A1638" s="264">
        <v>1637</v>
      </c>
      <c r="B1638" s="257">
        <v>45915</v>
      </c>
      <c r="C1638" s="283" t="s">
        <v>1746</v>
      </c>
      <c r="F1638" s="283" t="s">
        <v>1124</v>
      </c>
      <c r="M1638" s="258">
        <v>-737000</v>
      </c>
    </row>
    <row r="1639" spans="1:15">
      <c r="A1639" s="264">
        <v>1638</v>
      </c>
      <c r="B1639" s="257">
        <v>45916</v>
      </c>
      <c r="C1639" s="283" t="s">
        <v>2621</v>
      </c>
      <c r="F1639" s="283" t="s">
        <v>1745</v>
      </c>
      <c r="M1639" s="258">
        <v>-1210000</v>
      </c>
    </row>
    <row r="1640" spans="1:15">
      <c r="A1640" s="264">
        <v>1639</v>
      </c>
      <c r="B1640" s="257">
        <v>45916</v>
      </c>
      <c r="C1640" s="283" t="s">
        <v>1979</v>
      </c>
      <c r="F1640" s="283" t="s">
        <v>1745</v>
      </c>
      <c r="M1640" s="258">
        <v>-1330000</v>
      </c>
    </row>
    <row r="1641" spans="1:15">
      <c r="A1641" s="264">
        <v>1640</v>
      </c>
      <c r="B1641" s="257">
        <v>45916</v>
      </c>
      <c r="C1641" s="283" t="s">
        <v>1670</v>
      </c>
      <c r="F1641" s="283" t="s">
        <v>1745</v>
      </c>
      <c r="M1641" s="258">
        <v>-8470000</v>
      </c>
    </row>
    <row r="1642" spans="1:15">
      <c r="A1642" s="264">
        <v>1641</v>
      </c>
      <c r="B1642" s="257">
        <v>45916</v>
      </c>
      <c r="C1642" s="283" t="s">
        <v>1579</v>
      </c>
      <c r="F1642" s="283" t="s">
        <v>3467</v>
      </c>
      <c r="G1642" s="262" t="s">
        <v>1206</v>
      </c>
      <c r="H1642" s="258">
        <v>526364</v>
      </c>
      <c r="I1642" s="262">
        <v>1</v>
      </c>
      <c r="K1642" s="259">
        <v>52636</v>
      </c>
      <c r="L1642" s="258">
        <v>579000</v>
      </c>
    </row>
    <row r="1643" spans="1:15">
      <c r="A1643" s="264">
        <v>1642</v>
      </c>
      <c r="B1643" s="257">
        <v>45916</v>
      </c>
      <c r="C1643" s="283" t="s">
        <v>2291</v>
      </c>
      <c r="F1643" s="283" t="s">
        <v>3467</v>
      </c>
      <c r="G1643" s="262" t="s">
        <v>1206</v>
      </c>
      <c r="H1643" s="258">
        <v>526364</v>
      </c>
      <c r="I1643" s="262">
        <v>1</v>
      </c>
      <c r="K1643" s="259">
        <v>52636</v>
      </c>
      <c r="L1643" s="258">
        <v>579000</v>
      </c>
    </row>
    <row r="1644" spans="1:15">
      <c r="A1644" s="264">
        <v>1643</v>
      </c>
      <c r="B1644" s="257">
        <v>45916</v>
      </c>
      <c r="C1644" s="283" t="s">
        <v>1979</v>
      </c>
      <c r="F1644" s="283" t="s">
        <v>1204</v>
      </c>
      <c r="G1644" s="262" t="s">
        <v>1205</v>
      </c>
      <c r="H1644" s="258">
        <v>1200000</v>
      </c>
      <c r="I1644" s="262">
        <v>1</v>
      </c>
      <c r="L1644" s="258">
        <v>1200000</v>
      </c>
      <c r="O1644" s="283" t="s">
        <v>3566</v>
      </c>
    </row>
    <row r="1645" spans="1:15">
      <c r="A1645" s="264">
        <v>1644</v>
      </c>
      <c r="B1645" s="257">
        <v>45916</v>
      </c>
      <c r="C1645" s="283" t="s">
        <v>1443</v>
      </c>
      <c r="F1645" s="283" t="s">
        <v>2195</v>
      </c>
      <c r="G1645" s="262">
        <v>2820403</v>
      </c>
      <c r="H1645" s="258">
        <v>1500000</v>
      </c>
      <c r="I1645" s="262">
        <v>1</v>
      </c>
      <c r="L1645" s="258">
        <v>1500000</v>
      </c>
    </row>
    <row r="1646" spans="1:15">
      <c r="A1646" s="264">
        <v>1645</v>
      </c>
      <c r="B1646" s="257">
        <v>45916</v>
      </c>
      <c r="C1646" s="283" t="s">
        <v>1453</v>
      </c>
      <c r="F1646" s="283" t="s">
        <v>2136</v>
      </c>
      <c r="G1646" s="262">
        <v>2830502</v>
      </c>
      <c r="H1646" s="258">
        <v>1750000</v>
      </c>
      <c r="I1646" s="262">
        <v>1</v>
      </c>
      <c r="L1646" s="258">
        <v>1750000</v>
      </c>
    </row>
    <row r="1647" spans="1:15">
      <c r="A1647" s="264">
        <v>1646</v>
      </c>
      <c r="B1647" s="257">
        <v>45916</v>
      </c>
      <c r="C1647" s="283" t="s">
        <v>1015</v>
      </c>
      <c r="F1647" s="283" t="s">
        <v>1204</v>
      </c>
      <c r="G1647" s="262" t="s">
        <v>1991</v>
      </c>
      <c r="H1647" s="258">
        <v>1900000</v>
      </c>
      <c r="I1647" s="262">
        <v>1</v>
      </c>
      <c r="K1647" s="259">
        <v>190000</v>
      </c>
      <c r="L1647" s="258">
        <v>2090000</v>
      </c>
    </row>
    <row r="1648" spans="1:15">
      <c r="A1648" s="264">
        <v>1647</v>
      </c>
      <c r="B1648" s="257">
        <v>45916</v>
      </c>
      <c r="C1648" s="283" t="s">
        <v>1721</v>
      </c>
      <c r="F1648" s="283" t="s">
        <v>1548</v>
      </c>
      <c r="G1648" s="262">
        <v>24152333903</v>
      </c>
      <c r="H1648" s="258">
        <v>50000</v>
      </c>
      <c r="I1648" s="262">
        <v>3</v>
      </c>
      <c r="L1648" s="258">
        <v>150000</v>
      </c>
    </row>
    <row r="1649" spans="1:13">
      <c r="A1649" s="264">
        <v>1648</v>
      </c>
      <c r="B1649" s="257">
        <v>45916</v>
      </c>
      <c r="C1649" s="283" t="s">
        <v>987</v>
      </c>
      <c r="F1649" s="283" t="s">
        <v>2193</v>
      </c>
      <c r="H1649" s="258">
        <v>600000</v>
      </c>
      <c r="I1649" s="262">
        <v>1</v>
      </c>
      <c r="K1649" s="259">
        <v>60000</v>
      </c>
      <c r="L1649" s="258">
        <v>660000</v>
      </c>
    </row>
    <row r="1650" spans="1:13">
      <c r="A1650" s="264">
        <v>1649</v>
      </c>
      <c r="B1650" s="257">
        <v>45916</v>
      </c>
      <c r="C1650" s="283" t="s">
        <v>1493</v>
      </c>
      <c r="F1650" s="283" t="s">
        <v>2298</v>
      </c>
      <c r="H1650" s="258">
        <v>650000</v>
      </c>
      <c r="I1650" s="262">
        <v>1</v>
      </c>
      <c r="L1650" s="258">
        <v>650000</v>
      </c>
    </row>
    <row r="1651" spans="1:13">
      <c r="A1651" s="264">
        <v>1650</v>
      </c>
      <c r="B1651" s="257">
        <v>45916</v>
      </c>
      <c r="C1651" s="283" t="s">
        <v>1448</v>
      </c>
      <c r="F1651" s="283" t="s">
        <v>1124</v>
      </c>
      <c r="M1651" s="258">
        <v>-1320000</v>
      </c>
    </row>
    <row r="1652" spans="1:13">
      <c r="A1652" s="264">
        <v>1651</v>
      </c>
      <c r="B1652" s="257">
        <v>45916</v>
      </c>
      <c r="C1652" s="283" t="s">
        <v>2291</v>
      </c>
      <c r="F1652" s="283" t="s">
        <v>1124</v>
      </c>
      <c r="M1652" s="258">
        <v>-579000</v>
      </c>
    </row>
    <row r="1653" spans="1:13">
      <c r="A1653" s="264">
        <v>1652</v>
      </c>
      <c r="B1653" s="257">
        <v>45916</v>
      </c>
      <c r="C1653" s="283" t="s">
        <v>1493</v>
      </c>
      <c r="F1653" s="283" t="s">
        <v>1745</v>
      </c>
      <c r="M1653" s="258">
        <v>-1050000</v>
      </c>
    </row>
    <row r="1654" spans="1:13">
      <c r="A1654" s="264">
        <v>1653</v>
      </c>
      <c r="B1654" s="257">
        <v>45916</v>
      </c>
      <c r="C1654" s="283" t="s">
        <v>987</v>
      </c>
      <c r="F1654" s="283" t="s">
        <v>1745</v>
      </c>
      <c r="M1654" s="258">
        <v>-660000</v>
      </c>
    </row>
    <row r="1655" spans="1:13">
      <c r="A1655" s="264">
        <v>1654</v>
      </c>
      <c r="B1655" s="257">
        <v>45917</v>
      </c>
      <c r="C1655" s="283" t="s">
        <v>1472</v>
      </c>
      <c r="F1655" s="283" t="s">
        <v>1124</v>
      </c>
      <c r="M1655" s="258">
        <v>-1500000</v>
      </c>
    </row>
    <row r="1656" spans="1:13">
      <c r="A1656" s="264">
        <v>1655</v>
      </c>
      <c r="B1656" s="257">
        <v>45917</v>
      </c>
      <c r="C1656" s="283" t="s">
        <v>1468</v>
      </c>
      <c r="F1656" s="283" t="s">
        <v>1745</v>
      </c>
      <c r="M1656" s="258">
        <v>-300000</v>
      </c>
    </row>
    <row r="1657" spans="1:13">
      <c r="A1657" s="264">
        <v>1656</v>
      </c>
      <c r="B1657" s="257">
        <v>45917</v>
      </c>
      <c r="C1657" s="283" t="s">
        <v>1811</v>
      </c>
      <c r="F1657" s="283" t="s">
        <v>1124</v>
      </c>
      <c r="M1657" s="258">
        <v>-1210000</v>
      </c>
    </row>
    <row r="1658" spans="1:13">
      <c r="A1658" s="264">
        <v>1657</v>
      </c>
      <c r="B1658" s="257">
        <v>45917</v>
      </c>
      <c r="C1658" s="283" t="s">
        <v>3579</v>
      </c>
      <c r="F1658" s="283" t="s">
        <v>3467</v>
      </c>
      <c r="G1658" s="262" t="s">
        <v>1206</v>
      </c>
      <c r="H1658" s="258">
        <v>530000</v>
      </c>
      <c r="I1658" s="262">
        <v>2</v>
      </c>
      <c r="L1658" s="258">
        <v>1060000</v>
      </c>
    </row>
    <row r="1659" spans="1:13">
      <c r="A1659" s="264">
        <v>1658</v>
      </c>
      <c r="B1659" s="257">
        <v>45917</v>
      </c>
      <c r="C1659" s="283" t="s">
        <v>1804</v>
      </c>
      <c r="F1659" s="283" t="s">
        <v>3467</v>
      </c>
      <c r="G1659" s="262" t="s">
        <v>1206</v>
      </c>
      <c r="H1659" s="258">
        <v>526364</v>
      </c>
      <c r="I1659" s="262">
        <v>1</v>
      </c>
      <c r="K1659" s="259">
        <v>52636</v>
      </c>
      <c r="L1659" s="258">
        <v>579000</v>
      </c>
    </row>
    <row r="1660" spans="1:13">
      <c r="A1660" s="264">
        <v>1659</v>
      </c>
      <c r="B1660" s="257">
        <v>45917</v>
      </c>
      <c r="C1660" s="283" t="s">
        <v>1804</v>
      </c>
      <c r="F1660" s="283" t="s">
        <v>2185</v>
      </c>
      <c r="G1660" s="262" t="s">
        <v>1199</v>
      </c>
      <c r="H1660" s="258">
        <v>1000000</v>
      </c>
      <c r="I1660" s="262">
        <v>1</v>
      </c>
      <c r="K1660" s="259">
        <v>100000</v>
      </c>
      <c r="L1660" s="258">
        <v>1100000</v>
      </c>
    </row>
    <row r="1661" spans="1:13">
      <c r="A1661" s="264">
        <v>1660</v>
      </c>
      <c r="B1661" s="257">
        <v>45917</v>
      </c>
      <c r="C1661" s="283" t="s">
        <v>1804</v>
      </c>
      <c r="F1661" s="283" t="s">
        <v>2187</v>
      </c>
      <c r="G1661" s="262" t="s">
        <v>1258</v>
      </c>
      <c r="H1661" s="258">
        <v>130000</v>
      </c>
      <c r="I1661" s="262">
        <v>1</v>
      </c>
      <c r="K1661" s="259">
        <v>13000</v>
      </c>
      <c r="L1661" s="258">
        <v>143000</v>
      </c>
    </row>
    <row r="1662" spans="1:13">
      <c r="A1662" s="264">
        <v>1661</v>
      </c>
      <c r="B1662" s="257">
        <v>45917</v>
      </c>
      <c r="C1662" s="283" t="s">
        <v>1804</v>
      </c>
      <c r="F1662" s="283" t="s">
        <v>2191</v>
      </c>
      <c r="G1662" s="262" t="s">
        <v>1821</v>
      </c>
      <c r="H1662" s="258">
        <v>10000</v>
      </c>
      <c r="I1662" s="262">
        <v>2</v>
      </c>
      <c r="K1662" s="259">
        <v>2000</v>
      </c>
      <c r="L1662" s="258">
        <v>22000</v>
      </c>
    </row>
    <row r="1663" spans="1:13">
      <c r="A1663" s="264">
        <v>1662</v>
      </c>
      <c r="B1663" s="257">
        <v>45917</v>
      </c>
      <c r="C1663" s="283" t="s">
        <v>1746</v>
      </c>
      <c r="F1663" s="283" t="s">
        <v>2298</v>
      </c>
      <c r="H1663" s="258">
        <v>650000</v>
      </c>
      <c r="I1663" s="262">
        <v>1</v>
      </c>
      <c r="K1663" s="259">
        <v>65000</v>
      </c>
      <c r="L1663" s="258">
        <v>715000</v>
      </c>
    </row>
    <row r="1664" spans="1:13">
      <c r="A1664" s="264">
        <v>1663</v>
      </c>
      <c r="B1664" s="257">
        <v>45917</v>
      </c>
      <c r="C1664" s="283" t="s">
        <v>1746</v>
      </c>
      <c r="F1664" s="283" t="s">
        <v>2189</v>
      </c>
      <c r="G1664" s="262">
        <v>50228</v>
      </c>
      <c r="H1664" s="258">
        <v>110000</v>
      </c>
      <c r="I1664" s="262">
        <v>2</v>
      </c>
      <c r="K1664" s="259">
        <v>22000</v>
      </c>
      <c r="L1664" s="258">
        <v>242000</v>
      </c>
    </row>
    <row r="1665" spans="1:13">
      <c r="A1665" s="264">
        <v>1664</v>
      </c>
      <c r="B1665" s="257">
        <v>45917</v>
      </c>
      <c r="C1665" s="283" t="s">
        <v>1746</v>
      </c>
      <c r="F1665" s="283" t="s">
        <v>2189</v>
      </c>
      <c r="G1665" s="262">
        <v>50229</v>
      </c>
      <c r="H1665" s="258">
        <v>75000</v>
      </c>
      <c r="I1665" s="262">
        <v>2</v>
      </c>
      <c r="K1665" s="259">
        <v>15000</v>
      </c>
      <c r="L1665" s="258">
        <v>165000</v>
      </c>
    </row>
    <row r="1666" spans="1:13">
      <c r="A1666" s="264">
        <v>1665</v>
      </c>
      <c r="B1666" s="257">
        <v>45917</v>
      </c>
      <c r="C1666" s="283" t="s">
        <v>1746</v>
      </c>
      <c r="F1666" s="283" t="s">
        <v>1518</v>
      </c>
      <c r="H1666" s="258">
        <v>20000</v>
      </c>
      <c r="I1666" s="262">
        <v>1</v>
      </c>
      <c r="K1666" s="259">
        <v>2000</v>
      </c>
      <c r="L1666" s="258">
        <v>22000</v>
      </c>
    </row>
    <row r="1667" spans="1:13">
      <c r="A1667" s="264">
        <v>1666</v>
      </c>
      <c r="B1667" s="257">
        <v>45917</v>
      </c>
      <c r="C1667" s="283" t="s">
        <v>1721</v>
      </c>
      <c r="F1667" s="283" t="s">
        <v>3589</v>
      </c>
      <c r="H1667" s="258">
        <v>2200000</v>
      </c>
      <c r="I1667" s="262">
        <v>1</v>
      </c>
      <c r="L1667" s="258">
        <v>2200000</v>
      </c>
    </row>
    <row r="1668" spans="1:13">
      <c r="A1668" s="264">
        <v>1667</v>
      </c>
      <c r="B1668" s="257">
        <v>45917</v>
      </c>
      <c r="C1668" s="283" t="s">
        <v>1721</v>
      </c>
      <c r="F1668" s="283" t="s">
        <v>1715</v>
      </c>
      <c r="G1668" s="262" t="s">
        <v>1714</v>
      </c>
      <c r="H1668" s="258">
        <v>15000</v>
      </c>
      <c r="I1668" s="262">
        <v>4</v>
      </c>
      <c r="L1668" s="258">
        <v>60000</v>
      </c>
    </row>
    <row r="1669" spans="1:13">
      <c r="A1669" s="264">
        <v>1668</v>
      </c>
      <c r="B1669" s="257">
        <v>45917</v>
      </c>
      <c r="C1669" s="283" t="s">
        <v>2144</v>
      </c>
      <c r="F1669" s="283" t="s">
        <v>3467</v>
      </c>
      <c r="G1669" s="262" t="s">
        <v>1206</v>
      </c>
      <c r="H1669" s="258">
        <v>540000</v>
      </c>
      <c r="I1669" s="262">
        <v>1</v>
      </c>
      <c r="L1669" s="258">
        <v>540000</v>
      </c>
    </row>
    <row r="1670" spans="1:13">
      <c r="A1670" s="264">
        <v>1669</v>
      </c>
      <c r="B1670" s="257">
        <v>45917</v>
      </c>
      <c r="C1670" s="283" t="s">
        <v>2144</v>
      </c>
      <c r="F1670" s="283" t="s">
        <v>2185</v>
      </c>
      <c r="G1670" s="262" t="s">
        <v>1199</v>
      </c>
      <c r="H1670" s="258">
        <v>1000000</v>
      </c>
      <c r="I1670" s="262">
        <v>1</v>
      </c>
      <c r="L1670" s="258">
        <v>1000000</v>
      </c>
    </row>
    <row r="1671" spans="1:13">
      <c r="A1671" s="264">
        <v>1670</v>
      </c>
      <c r="B1671" s="257">
        <v>45917</v>
      </c>
      <c r="C1671" s="283" t="s">
        <v>2144</v>
      </c>
      <c r="F1671" s="283" t="s">
        <v>2190</v>
      </c>
      <c r="G1671" s="262" t="s">
        <v>1794</v>
      </c>
      <c r="H1671" s="258">
        <v>35000</v>
      </c>
      <c r="I1671" s="262">
        <v>1</v>
      </c>
      <c r="L1671" s="258">
        <v>35000</v>
      </c>
    </row>
    <row r="1672" spans="1:13">
      <c r="A1672" s="264">
        <v>1671</v>
      </c>
      <c r="B1672" s="257">
        <v>45917</v>
      </c>
      <c r="C1672" s="283" t="s">
        <v>2147</v>
      </c>
      <c r="F1672" s="283" t="s">
        <v>1716</v>
      </c>
      <c r="G1672" s="262">
        <v>2800802</v>
      </c>
      <c r="H1672" s="258">
        <v>150000</v>
      </c>
      <c r="I1672" s="262">
        <v>3</v>
      </c>
      <c r="L1672" s="258">
        <v>450000</v>
      </c>
    </row>
    <row r="1673" spans="1:13">
      <c r="A1673" s="264">
        <v>1672</v>
      </c>
      <c r="B1673" s="257">
        <v>45917</v>
      </c>
      <c r="C1673" s="283" t="s">
        <v>1670</v>
      </c>
      <c r="F1673" s="283" t="s">
        <v>2289</v>
      </c>
      <c r="H1673" s="258">
        <v>1600000</v>
      </c>
      <c r="I1673" s="262">
        <v>1</v>
      </c>
      <c r="K1673" s="259">
        <v>160000</v>
      </c>
      <c r="L1673" s="258">
        <v>1760000</v>
      </c>
    </row>
    <row r="1674" spans="1:13">
      <c r="A1674" s="264">
        <v>1673</v>
      </c>
      <c r="B1674" s="257">
        <v>45918</v>
      </c>
      <c r="C1674" s="283" t="s">
        <v>1979</v>
      </c>
      <c r="F1674" s="283" t="s">
        <v>1124</v>
      </c>
      <c r="M1674" s="258">
        <v>-1200000</v>
      </c>
    </row>
    <row r="1675" spans="1:13">
      <c r="A1675" s="264">
        <v>1674</v>
      </c>
      <c r="B1675" s="257">
        <v>45918</v>
      </c>
      <c r="C1675" s="283" t="s">
        <v>1398</v>
      </c>
      <c r="F1675" s="283" t="s">
        <v>3589</v>
      </c>
      <c r="G1675" s="262" t="s">
        <v>3599</v>
      </c>
      <c r="H1675" s="258">
        <v>900000</v>
      </c>
      <c r="I1675" s="262">
        <v>1</v>
      </c>
      <c r="L1675" s="258">
        <v>900000</v>
      </c>
    </row>
    <row r="1676" spans="1:13">
      <c r="A1676" s="264">
        <v>1675</v>
      </c>
      <c r="B1676" s="257">
        <v>45918</v>
      </c>
      <c r="C1676" s="283" t="s">
        <v>1026</v>
      </c>
      <c r="F1676" s="283" t="s">
        <v>2803</v>
      </c>
      <c r="G1676" s="262" t="s">
        <v>2802</v>
      </c>
      <c r="H1676" s="258">
        <v>450000</v>
      </c>
      <c r="I1676" s="262">
        <v>1</v>
      </c>
      <c r="L1676" s="258">
        <v>450000</v>
      </c>
    </row>
    <row r="1677" spans="1:13">
      <c r="A1677" s="264">
        <v>1676</v>
      </c>
      <c r="B1677" s="257">
        <v>45918</v>
      </c>
      <c r="C1677" s="283" t="s">
        <v>1026</v>
      </c>
      <c r="F1677" s="283" t="s">
        <v>2182</v>
      </c>
      <c r="G1677" s="262" t="s">
        <v>1719</v>
      </c>
      <c r="H1677" s="258">
        <v>70000</v>
      </c>
      <c r="I1677" s="262">
        <v>1</v>
      </c>
      <c r="L1677" s="258">
        <v>70000</v>
      </c>
    </row>
    <row r="1678" spans="1:13">
      <c r="A1678" s="264">
        <v>1677</v>
      </c>
      <c r="B1678" s="257">
        <v>45918</v>
      </c>
      <c r="C1678" s="283" t="s">
        <v>1466</v>
      </c>
      <c r="F1678" s="283" t="s">
        <v>2678</v>
      </c>
      <c r="H1678" s="258">
        <v>200000</v>
      </c>
      <c r="I1678" s="262">
        <v>1</v>
      </c>
      <c r="K1678" s="259">
        <v>20000</v>
      </c>
      <c r="L1678" s="258">
        <v>220000</v>
      </c>
    </row>
    <row r="1679" spans="1:13">
      <c r="A1679" s="264">
        <v>1678</v>
      </c>
      <c r="B1679" s="257">
        <v>45918</v>
      </c>
      <c r="C1679" s="283" t="s">
        <v>1472</v>
      </c>
      <c r="F1679" s="283" t="s">
        <v>1202</v>
      </c>
      <c r="G1679" s="262" t="s">
        <v>1751</v>
      </c>
      <c r="H1679" s="258">
        <v>1100000</v>
      </c>
      <c r="I1679" s="262">
        <v>1</v>
      </c>
      <c r="L1679" s="258">
        <v>1100000</v>
      </c>
    </row>
    <row r="1680" spans="1:13">
      <c r="A1680" s="264">
        <v>1679</v>
      </c>
      <c r="B1680" s="257">
        <v>45918</v>
      </c>
      <c r="C1680" s="283" t="s">
        <v>3119</v>
      </c>
      <c r="F1680" s="283" t="s">
        <v>2042</v>
      </c>
      <c r="G1680" s="262" t="s">
        <v>3609</v>
      </c>
      <c r="H1680" s="258">
        <v>1000000</v>
      </c>
      <c r="I1680" s="262">
        <v>1</v>
      </c>
      <c r="K1680" s="259">
        <v>100000</v>
      </c>
      <c r="L1680" s="258">
        <v>1100000</v>
      </c>
    </row>
    <row r="1681" spans="1:13">
      <c r="A1681" s="264">
        <v>1680</v>
      </c>
      <c r="B1681" s="257">
        <v>45918</v>
      </c>
      <c r="C1681" s="283" t="s">
        <v>1930</v>
      </c>
      <c r="F1681" s="283" t="s">
        <v>3041</v>
      </c>
      <c r="G1681" s="262">
        <v>2820403</v>
      </c>
      <c r="H1681" s="258">
        <v>1000000</v>
      </c>
      <c r="I1681" s="262">
        <v>1</v>
      </c>
      <c r="L1681" s="258">
        <v>1000000</v>
      </c>
    </row>
    <row r="1682" spans="1:13">
      <c r="A1682" s="264">
        <v>1681</v>
      </c>
      <c r="B1682" s="257">
        <v>45918</v>
      </c>
      <c r="C1682" s="283" t="s">
        <v>1930</v>
      </c>
      <c r="F1682" s="283" t="s">
        <v>2902</v>
      </c>
      <c r="H1682" s="258">
        <v>50000</v>
      </c>
      <c r="I1682" s="262">
        <v>1</v>
      </c>
      <c r="L1682" s="258">
        <v>50000</v>
      </c>
    </row>
    <row r="1683" spans="1:13">
      <c r="A1683" s="264">
        <v>1682</v>
      </c>
      <c r="B1683" s="257">
        <v>45918</v>
      </c>
      <c r="C1683" s="283" t="s">
        <v>3452</v>
      </c>
      <c r="F1683" s="283" t="s">
        <v>3601</v>
      </c>
      <c r="G1683" s="262" t="s">
        <v>3600</v>
      </c>
      <c r="H1683" s="258">
        <v>300000</v>
      </c>
      <c r="I1683" s="262">
        <v>1</v>
      </c>
      <c r="L1683" s="258">
        <v>300000</v>
      </c>
    </row>
    <row r="1684" spans="1:13">
      <c r="A1684" s="264">
        <v>1683</v>
      </c>
      <c r="B1684" s="257">
        <v>45918</v>
      </c>
      <c r="C1684" s="283" t="s">
        <v>1443</v>
      </c>
      <c r="F1684" s="283" t="s">
        <v>2026</v>
      </c>
      <c r="G1684" s="262" t="s">
        <v>1215</v>
      </c>
      <c r="H1684" s="258">
        <v>1500000</v>
      </c>
      <c r="I1684" s="262">
        <v>1</v>
      </c>
      <c r="L1684" s="258">
        <v>1500000</v>
      </c>
    </row>
    <row r="1685" spans="1:13">
      <c r="A1685" s="264">
        <v>1684</v>
      </c>
      <c r="B1685" s="257">
        <v>45918</v>
      </c>
      <c r="C1685" s="283" t="s">
        <v>1443</v>
      </c>
      <c r="F1685" s="283" t="s">
        <v>3598</v>
      </c>
      <c r="G1685" s="262" t="s">
        <v>3597</v>
      </c>
      <c r="H1685" s="258">
        <v>130000</v>
      </c>
      <c r="I1685" s="262">
        <v>1</v>
      </c>
      <c r="L1685" s="258">
        <v>130000</v>
      </c>
    </row>
    <row r="1686" spans="1:13">
      <c r="A1686" s="264">
        <v>1685</v>
      </c>
      <c r="B1686" s="257">
        <v>45918</v>
      </c>
      <c r="C1686" s="283" t="s">
        <v>1443</v>
      </c>
      <c r="F1686" s="283" t="s">
        <v>3589</v>
      </c>
      <c r="G1686" s="262" t="s">
        <v>3599</v>
      </c>
      <c r="H1686" s="258">
        <v>2200000</v>
      </c>
      <c r="I1686" s="262">
        <v>1</v>
      </c>
      <c r="L1686" s="258">
        <v>2200000</v>
      </c>
    </row>
    <row r="1687" spans="1:13">
      <c r="A1687" s="264">
        <v>1686</v>
      </c>
      <c r="B1687" s="257">
        <v>45918</v>
      </c>
      <c r="C1687" s="283" t="s">
        <v>1746</v>
      </c>
      <c r="F1687" s="283" t="s">
        <v>3595</v>
      </c>
      <c r="G1687" s="262">
        <v>24055324</v>
      </c>
      <c r="H1687" s="258">
        <v>260000</v>
      </c>
      <c r="I1687" s="262">
        <v>1</v>
      </c>
      <c r="K1687" s="259">
        <v>26000</v>
      </c>
      <c r="L1687" s="258">
        <v>286000</v>
      </c>
    </row>
    <row r="1688" spans="1:13">
      <c r="A1688" s="264">
        <v>1687</v>
      </c>
      <c r="B1688" s="257">
        <v>45918</v>
      </c>
      <c r="C1688" s="283" t="s">
        <v>2807</v>
      </c>
      <c r="F1688" s="283" t="s">
        <v>1534</v>
      </c>
      <c r="H1688" s="258">
        <v>450000</v>
      </c>
      <c r="I1688" s="262">
        <v>1</v>
      </c>
      <c r="L1688" s="258">
        <v>450000</v>
      </c>
    </row>
    <row r="1689" spans="1:13">
      <c r="A1689" s="264">
        <v>1688</v>
      </c>
      <c r="B1689" s="257">
        <v>45918</v>
      </c>
      <c r="C1689" s="283" t="s">
        <v>3114</v>
      </c>
      <c r="F1689" s="283" t="s">
        <v>2195</v>
      </c>
      <c r="G1689" s="262">
        <v>2820403</v>
      </c>
      <c r="H1689" s="258">
        <v>1500000</v>
      </c>
      <c r="I1689" s="262">
        <v>1</v>
      </c>
      <c r="L1689" s="258">
        <v>1500000</v>
      </c>
    </row>
    <row r="1690" spans="1:13">
      <c r="A1690" s="264">
        <v>1689</v>
      </c>
      <c r="B1690" s="257">
        <v>45918</v>
      </c>
      <c r="C1690" s="283" t="s">
        <v>2702</v>
      </c>
      <c r="F1690" s="283" t="s">
        <v>1560</v>
      </c>
      <c r="G1690" s="262" t="s">
        <v>2695</v>
      </c>
      <c r="H1690" s="258">
        <v>1000000</v>
      </c>
      <c r="I1690" s="262">
        <v>1</v>
      </c>
      <c r="K1690" s="259">
        <v>100000</v>
      </c>
      <c r="L1690" s="258">
        <v>1100000</v>
      </c>
    </row>
    <row r="1691" spans="1:13">
      <c r="A1691" s="264">
        <v>1690</v>
      </c>
      <c r="B1691" s="257">
        <v>45918</v>
      </c>
      <c r="C1691" s="283" t="s">
        <v>2702</v>
      </c>
      <c r="F1691" s="283" t="s">
        <v>1736</v>
      </c>
      <c r="G1691" s="262" t="s">
        <v>2832</v>
      </c>
      <c r="H1691" s="258">
        <v>450000</v>
      </c>
      <c r="I1691" s="262">
        <v>1</v>
      </c>
      <c r="K1691" s="259">
        <v>45000</v>
      </c>
      <c r="L1691" s="258">
        <v>495000</v>
      </c>
    </row>
    <row r="1692" spans="1:13">
      <c r="A1692" s="264">
        <v>1691</v>
      </c>
      <c r="B1692" s="257">
        <v>45918</v>
      </c>
      <c r="C1692" s="283" t="s">
        <v>3631</v>
      </c>
      <c r="F1692" s="283" t="s">
        <v>3632</v>
      </c>
      <c r="G1692" s="262" t="s">
        <v>3633</v>
      </c>
      <c r="H1692" s="258">
        <v>350000</v>
      </c>
      <c r="I1692" s="262">
        <v>2</v>
      </c>
      <c r="K1692" s="259" t="s">
        <v>3634</v>
      </c>
      <c r="L1692" s="258">
        <v>770000</v>
      </c>
    </row>
    <row r="1693" spans="1:13">
      <c r="A1693" s="264">
        <v>1692</v>
      </c>
      <c r="B1693" s="257">
        <v>45918</v>
      </c>
      <c r="C1693" s="283" t="s">
        <v>3114</v>
      </c>
      <c r="F1693" s="283" t="s">
        <v>1124</v>
      </c>
      <c r="M1693" s="258">
        <v>-1500000</v>
      </c>
    </row>
    <row r="1694" spans="1:13">
      <c r="A1694" s="264">
        <v>1693</v>
      </c>
      <c r="B1694" s="257">
        <v>45918</v>
      </c>
      <c r="C1694" s="283" t="s">
        <v>1453</v>
      </c>
      <c r="F1694" s="283" t="s">
        <v>1124</v>
      </c>
      <c r="M1694" s="258">
        <v>-1750000</v>
      </c>
    </row>
    <row r="1695" spans="1:13">
      <c r="A1695" s="264">
        <v>1694</v>
      </c>
      <c r="B1695" s="257">
        <v>45918</v>
      </c>
      <c r="C1695" s="283" t="s">
        <v>2147</v>
      </c>
      <c r="F1695" s="283" t="s">
        <v>1124</v>
      </c>
      <c r="M1695" s="258">
        <v>-450000</v>
      </c>
    </row>
    <row r="1696" spans="1:13">
      <c r="A1696" s="264">
        <v>1695</v>
      </c>
      <c r="B1696" s="257">
        <v>45918</v>
      </c>
      <c r="C1696" s="283" t="s">
        <v>3452</v>
      </c>
      <c r="F1696" s="283" t="s">
        <v>1124</v>
      </c>
      <c r="M1696" s="258">
        <v>-300000</v>
      </c>
    </row>
    <row r="1697" spans="1:13">
      <c r="A1697" s="264">
        <v>1696</v>
      </c>
      <c r="B1697" s="257">
        <v>45918</v>
      </c>
      <c r="C1697" s="283" t="s">
        <v>3579</v>
      </c>
      <c r="F1697" s="283" t="s">
        <v>1124</v>
      </c>
      <c r="M1697" s="258">
        <v>-1060000</v>
      </c>
    </row>
    <row r="1698" spans="1:13">
      <c r="A1698" s="264">
        <v>1697</v>
      </c>
      <c r="B1698" s="257">
        <v>45919</v>
      </c>
      <c r="C1698" s="283" t="s">
        <v>1082</v>
      </c>
      <c r="F1698" s="283" t="s">
        <v>1124</v>
      </c>
      <c r="M1698" s="258">
        <v>-1550000</v>
      </c>
    </row>
    <row r="1699" spans="1:13">
      <c r="A1699" s="264">
        <v>1698</v>
      </c>
      <c r="B1699" s="257">
        <v>45919</v>
      </c>
      <c r="C1699" s="283" t="s">
        <v>1082</v>
      </c>
      <c r="F1699" s="283" t="s">
        <v>2182</v>
      </c>
      <c r="G1699" s="262" t="s">
        <v>1719</v>
      </c>
      <c r="H1699" s="258">
        <v>60000</v>
      </c>
      <c r="I1699" s="262">
        <v>1</v>
      </c>
      <c r="L1699" s="258">
        <v>60000</v>
      </c>
    </row>
    <row r="1700" spans="1:13">
      <c r="A1700" s="264">
        <v>1699</v>
      </c>
      <c r="B1700" s="257">
        <v>45919</v>
      </c>
      <c r="C1700" s="283" t="s">
        <v>1398</v>
      </c>
      <c r="F1700" s="283" t="s">
        <v>1742</v>
      </c>
      <c r="H1700" s="258">
        <v>450000</v>
      </c>
      <c r="I1700" s="262">
        <v>1</v>
      </c>
      <c r="L1700" s="258">
        <v>450000</v>
      </c>
    </row>
    <row r="1701" spans="1:13">
      <c r="A1701" s="264">
        <v>1700</v>
      </c>
      <c r="B1701" s="257">
        <v>45919</v>
      </c>
      <c r="C1701" s="283" t="s">
        <v>1018</v>
      </c>
      <c r="F1701" s="283" t="s">
        <v>3589</v>
      </c>
      <c r="G1701" s="262" t="s">
        <v>3599</v>
      </c>
      <c r="H1701" s="258">
        <v>2000000</v>
      </c>
      <c r="I1701" s="262">
        <v>1</v>
      </c>
      <c r="L1701" s="258">
        <v>2000000</v>
      </c>
    </row>
    <row r="1702" spans="1:13">
      <c r="A1702" s="264">
        <v>1701</v>
      </c>
      <c r="B1702" s="257">
        <v>45919</v>
      </c>
      <c r="C1702" s="283" t="s">
        <v>2740</v>
      </c>
      <c r="F1702" s="283" t="s">
        <v>3628</v>
      </c>
      <c r="H1702" s="258">
        <v>250000</v>
      </c>
      <c r="I1702" s="262">
        <v>1</v>
      </c>
      <c r="L1702" s="258">
        <v>250000</v>
      </c>
    </row>
    <row r="1703" spans="1:13">
      <c r="A1703" s="264">
        <v>1702</v>
      </c>
      <c r="B1703" s="257">
        <v>45919</v>
      </c>
      <c r="C1703" s="283" t="s">
        <v>1018</v>
      </c>
      <c r="F1703" s="283" t="s">
        <v>3630</v>
      </c>
      <c r="M1703" s="258">
        <v>-2000000</v>
      </c>
    </row>
    <row r="1704" spans="1:13">
      <c r="A1704" s="264">
        <v>1703</v>
      </c>
      <c r="B1704" s="257">
        <v>45919</v>
      </c>
      <c r="C1704" s="283" t="s">
        <v>2807</v>
      </c>
      <c r="F1704" s="283" t="s">
        <v>1124</v>
      </c>
      <c r="M1704" s="258">
        <v>-450000</v>
      </c>
    </row>
    <row r="1705" spans="1:13">
      <c r="A1705" s="264">
        <v>1704</v>
      </c>
      <c r="B1705" s="257">
        <v>45919</v>
      </c>
      <c r="C1705" s="283" t="s">
        <v>3119</v>
      </c>
      <c r="F1705" s="283" t="s">
        <v>1124</v>
      </c>
      <c r="M1705" s="258">
        <v>-1100000</v>
      </c>
    </row>
    <row r="1706" spans="1:13">
      <c r="A1706" s="264">
        <v>1705</v>
      </c>
      <c r="B1706" s="257">
        <v>45919</v>
      </c>
      <c r="C1706" s="283" t="s">
        <v>1053</v>
      </c>
      <c r="F1706" s="283" t="s">
        <v>1124</v>
      </c>
      <c r="M1706" s="258">
        <v>-1550000</v>
      </c>
    </row>
    <row r="1707" spans="1:13">
      <c r="A1707" s="264">
        <v>1706</v>
      </c>
      <c r="B1707" s="257">
        <v>45919</v>
      </c>
      <c r="C1707" s="283" t="s">
        <v>2702</v>
      </c>
      <c r="F1707" s="283" t="s">
        <v>1124</v>
      </c>
      <c r="M1707" s="258">
        <v>-1595000</v>
      </c>
    </row>
    <row r="1708" spans="1:13">
      <c r="A1708" s="264">
        <v>1707</v>
      </c>
      <c r="B1708" s="257">
        <v>45919</v>
      </c>
      <c r="C1708" s="283" t="s">
        <v>2318</v>
      </c>
      <c r="F1708" s="283" t="s">
        <v>1124</v>
      </c>
      <c r="M1708" s="258">
        <v>-770000</v>
      </c>
    </row>
    <row r="1709" spans="1:13">
      <c r="A1709" s="264">
        <v>1708</v>
      </c>
      <c r="B1709" s="257">
        <v>45920</v>
      </c>
      <c r="C1709" s="283" t="s">
        <v>2740</v>
      </c>
      <c r="F1709" s="283" t="s">
        <v>1124</v>
      </c>
      <c r="M1709" s="258">
        <v>-250000</v>
      </c>
    </row>
    <row r="1710" spans="1:13">
      <c r="A1710" s="264">
        <v>1709</v>
      </c>
      <c r="B1710" s="257">
        <v>45920</v>
      </c>
      <c r="C1710" s="283" t="s">
        <v>1930</v>
      </c>
      <c r="F1710" s="283" t="s">
        <v>1124</v>
      </c>
      <c r="M1710" s="258">
        <v>-1050000</v>
      </c>
    </row>
    <row r="1711" spans="1:13">
      <c r="A1711" s="264">
        <v>1710</v>
      </c>
      <c r="B1711" s="257">
        <v>45920</v>
      </c>
      <c r="C1711" s="283" t="s">
        <v>1789</v>
      </c>
      <c r="F1711" s="283" t="s">
        <v>1124</v>
      </c>
      <c r="M1711" s="258">
        <v>-3875000</v>
      </c>
    </row>
    <row r="1712" spans="1:13">
      <c r="A1712" s="264">
        <v>1711</v>
      </c>
      <c r="B1712" s="257">
        <v>45920</v>
      </c>
      <c r="C1712" s="283" t="s">
        <v>1808</v>
      </c>
      <c r="F1712" s="283" t="s">
        <v>1495</v>
      </c>
      <c r="G1712" s="262" t="s">
        <v>2677</v>
      </c>
      <c r="H1712" s="258">
        <v>350000</v>
      </c>
      <c r="I1712" s="262">
        <v>1</v>
      </c>
      <c r="L1712" s="258">
        <v>350000</v>
      </c>
    </row>
    <row r="1713" spans="1:13">
      <c r="A1713" s="264">
        <v>1712</v>
      </c>
      <c r="B1713" s="257">
        <v>45922</v>
      </c>
      <c r="C1713" s="283" t="s">
        <v>1670</v>
      </c>
      <c r="F1713" s="283" t="s">
        <v>1124</v>
      </c>
      <c r="M1713" s="258">
        <v>-1760000</v>
      </c>
    </row>
    <row r="1714" spans="1:13">
      <c r="A1714" s="264">
        <v>1713</v>
      </c>
      <c r="B1714" s="257">
        <v>45922</v>
      </c>
      <c r="C1714" s="283" t="s">
        <v>3718</v>
      </c>
      <c r="F1714" s="283" t="s">
        <v>3719</v>
      </c>
      <c r="G1714" s="262" t="s">
        <v>3720</v>
      </c>
      <c r="H1714" s="258">
        <v>1300000</v>
      </c>
      <c r="I1714" s="262">
        <v>1</v>
      </c>
      <c r="K1714" s="259" t="s">
        <v>3142</v>
      </c>
      <c r="L1714" s="258">
        <v>1430000</v>
      </c>
    </row>
    <row r="1715" spans="1:13">
      <c r="A1715" s="264">
        <v>1714</v>
      </c>
      <c r="B1715" s="257">
        <v>45922</v>
      </c>
      <c r="C1715" s="283" t="s">
        <v>1976</v>
      </c>
      <c r="F1715" s="283" t="s">
        <v>2179</v>
      </c>
      <c r="G1715" s="262" t="s">
        <v>1200</v>
      </c>
      <c r="H1715" s="258">
        <v>1500000</v>
      </c>
      <c r="I1715" s="262">
        <v>1</v>
      </c>
      <c r="K1715" s="259">
        <v>150000</v>
      </c>
      <c r="L1715" s="258">
        <v>1650000</v>
      </c>
    </row>
    <row r="1716" spans="1:13">
      <c r="A1716" s="264">
        <v>1715</v>
      </c>
      <c r="B1716" s="257">
        <v>45922</v>
      </c>
      <c r="C1716" s="283" t="s">
        <v>1976</v>
      </c>
      <c r="F1716" s="283" t="s">
        <v>2180</v>
      </c>
      <c r="G1716" s="262" t="s">
        <v>1802</v>
      </c>
      <c r="H1716" s="258">
        <v>0</v>
      </c>
      <c r="I1716" s="262">
        <v>1</v>
      </c>
      <c r="L1716" s="258">
        <v>0</v>
      </c>
    </row>
    <row r="1717" spans="1:13">
      <c r="A1717" s="264">
        <v>1716</v>
      </c>
      <c r="B1717" s="257">
        <v>45922</v>
      </c>
      <c r="C1717" s="283" t="s">
        <v>1579</v>
      </c>
      <c r="F1717" s="283" t="s">
        <v>2187</v>
      </c>
      <c r="G1717" s="262" t="s">
        <v>1258</v>
      </c>
      <c r="H1717" s="258">
        <v>130000</v>
      </c>
      <c r="I1717" s="262">
        <v>1</v>
      </c>
      <c r="K1717" s="259">
        <v>13000</v>
      </c>
      <c r="L1717" s="258">
        <v>143000</v>
      </c>
    </row>
    <row r="1718" spans="1:13">
      <c r="A1718" s="264">
        <v>1717</v>
      </c>
      <c r="B1718" s="257">
        <v>45922</v>
      </c>
      <c r="C1718" s="283" t="s">
        <v>1466</v>
      </c>
      <c r="F1718" s="283" t="s">
        <v>1861</v>
      </c>
      <c r="G1718" s="262">
        <v>501218962</v>
      </c>
      <c r="H1718" s="258">
        <v>3500000</v>
      </c>
      <c r="I1718" s="262">
        <v>1</v>
      </c>
      <c r="K1718" s="259">
        <v>350000</v>
      </c>
      <c r="L1718" s="258">
        <v>3850000</v>
      </c>
    </row>
    <row r="1719" spans="1:13">
      <c r="A1719" s="264">
        <v>1718</v>
      </c>
      <c r="B1719" s="257">
        <v>45922</v>
      </c>
      <c r="C1719" s="283" t="s">
        <v>1441</v>
      </c>
      <c r="F1719" s="283" t="s">
        <v>1495</v>
      </c>
      <c r="G1719" s="262" t="s">
        <v>2677</v>
      </c>
      <c r="H1719" s="258">
        <v>350000</v>
      </c>
      <c r="I1719" s="262">
        <v>1</v>
      </c>
      <c r="L1719" s="258">
        <v>350000</v>
      </c>
    </row>
    <row r="1720" spans="1:13">
      <c r="A1720" s="264">
        <v>1719</v>
      </c>
      <c r="B1720" s="257">
        <v>45922</v>
      </c>
      <c r="C1720" s="283" t="s">
        <v>2408</v>
      </c>
      <c r="F1720" s="283" t="s">
        <v>1204</v>
      </c>
      <c r="G1720" s="262" t="s">
        <v>1991</v>
      </c>
      <c r="H1720" s="258">
        <v>1900000</v>
      </c>
      <c r="I1720" s="262">
        <v>1</v>
      </c>
      <c r="K1720" s="259">
        <v>190000</v>
      </c>
      <c r="L1720" s="258">
        <v>2090000</v>
      </c>
    </row>
    <row r="1721" spans="1:13">
      <c r="A1721" s="264">
        <v>1720</v>
      </c>
      <c r="B1721" s="257">
        <v>45922</v>
      </c>
      <c r="C1721" s="283" t="s">
        <v>2408</v>
      </c>
      <c r="F1721" s="283" t="s">
        <v>2678</v>
      </c>
      <c r="H1721" s="258">
        <v>100000</v>
      </c>
      <c r="I1721" s="262">
        <v>1</v>
      </c>
      <c r="K1721" s="259">
        <v>10000</v>
      </c>
      <c r="L1721" s="258">
        <v>110000</v>
      </c>
    </row>
    <row r="1722" spans="1:13">
      <c r="A1722" s="264">
        <v>1721</v>
      </c>
      <c r="B1722" s="257">
        <v>45922</v>
      </c>
      <c r="C1722" s="283" t="s">
        <v>2408</v>
      </c>
      <c r="F1722" s="283" t="s">
        <v>1560</v>
      </c>
      <c r="G1722" s="262" t="s">
        <v>1222</v>
      </c>
      <c r="H1722" s="258">
        <v>1200000</v>
      </c>
      <c r="I1722" s="262">
        <v>1</v>
      </c>
      <c r="K1722" s="259">
        <v>120000</v>
      </c>
      <c r="L1722" s="258">
        <v>1320000</v>
      </c>
    </row>
    <row r="1723" spans="1:13">
      <c r="A1723" s="264">
        <v>1722</v>
      </c>
      <c r="B1723" s="257">
        <v>45922</v>
      </c>
      <c r="C1723" s="283" t="s">
        <v>1026</v>
      </c>
      <c r="F1723" s="283" t="s">
        <v>2179</v>
      </c>
      <c r="G1723" s="262" t="s">
        <v>1200</v>
      </c>
      <c r="H1723" s="258">
        <v>1500000</v>
      </c>
      <c r="I1723" s="262">
        <v>1</v>
      </c>
      <c r="L1723" s="258">
        <v>1500000</v>
      </c>
    </row>
    <row r="1724" spans="1:13">
      <c r="A1724" s="264">
        <v>1723</v>
      </c>
      <c r="B1724" s="257">
        <v>45922</v>
      </c>
      <c r="C1724" s="283" t="s">
        <v>1026</v>
      </c>
      <c r="F1724" s="283" t="s">
        <v>2180</v>
      </c>
      <c r="G1724" s="262" t="s">
        <v>1802</v>
      </c>
      <c r="H1724" s="258">
        <v>50000</v>
      </c>
      <c r="I1724" s="262">
        <v>1</v>
      </c>
      <c r="L1724" s="258">
        <v>50000</v>
      </c>
    </row>
    <row r="1725" spans="1:13">
      <c r="A1725" s="264">
        <v>1724</v>
      </c>
      <c r="B1725" s="257">
        <v>45922</v>
      </c>
      <c r="C1725" s="283" t="s">
        <v>1976</v>
      </c>
      <c r="F1725" s="283" t="s">
        <v>1745</v>
      </c>
      <c r="M1725" s="258">
        <v>-1650000</v>
      </c>
    </row>
    <row r="1726" spans="1:13">
      <c r="A1726" s="264">
        <v>1725</v>
      </c>
      <c r="B1726" s="257">
        <v>45922</v>
      </c>
      <c r="C1726" s="283" t="s">
        <v>1441</v>
      </c>
      <c r="F1726" s="283" t="s">
        <v>1745</v>
      </c>
      <c r="M1726" s="258">
        <v>-350000</v>
      </c>
    </row>
    <row r="1727" spans="1:13">
      <c r="A1727" s="264">
        <v>1726</v>
      </c>
      <c r="B1727" s="257">
        <v>45922</v>
      </c>
      <c r="C1727" s="283" t="s">
        <v>2996</v>
      </c>
      <c r="F1727" s="283" t="s">
        <v>1745</v>
      </c>
      <c r="M1727" s="258">
        <v>-1650000</v>
      </c>
    </row>
    <row r="1728" spans="1:13">
      <c r="A1728" s="264">
        <v>1727</v>
      </c>
      <c r="B1728" s="257">
        <v>45922</v>
      </c>
      <c r="C1728" s="283" t="s">
        <v>1082</v>
      </c>
      <c r="F1728" s="283" t="s">
        <v>1745</v>
      </c>
      <c r="M1728" s="258">
        <v>-60000</v>
      </c>
    </row>
    <row r="1729" spans="1:15">
      <c r="A1729" s="264">
        <v>1728</v>
      </c>
      <c r="B1729" s="257">
        <v>45923</v>
      </c>
      <c r="C1729" s="283" t="s">
        <v>2408</v>
      </c>
      <c r="F1729" s="283" t="s">
        <v>1124</v>
      </c>
      <c r="M1729" s="258">
        <v>-3520000</v>
      </c>
    </row>
    <row r="1730" spans="1:15">
      <c r="A1730" s="264">
        <v>1729</v>
      </c>
      <c r="B1730" s="257">
        <v>45923</v>
      </c>
      <c r="C1730" s="283" t="s">
        <v>1053</v>
      </c>
      <c r="F1730" s="283" t="s">
        <v>2201</v>
      </c>
      <c r="G1730" s="262" t="s">
        <v>1955</v>
      </c>
      <c r="H1730" s="258">
        <v>1800000</v>
      </c>
      <c r="I1730" s="262">
        <v>1</v>
      </c>
      <c r="L1730" s="258">
        <v>1800000</v>
      </c>
      <c r="O1730" s="283" t="s">
        <v>3654</v>
      </c>
    </row>
    <row r="1731" spans="1:15">
      <c r="A1731" s="264">
        <v>1730</v>
      </c>
      <c r="B1731" s="257">
        <v>45923</v>
      </c>
      <c r="C1731" s="283" t="s">
        <v>1053</v>
      </c>
      <c r="F1731" s="283" t="s">
        <v>2180</v>
      </c>
      <c r="G1731" s="262" t="s">
        <v>1802</v>
      </c>
      <c r="H1731" s="258">
        <v>50000</v>
      </c>
      <c r="I1731" s="262">
        <v>1</v>
      </c>
      <c r="L1731" s="258">
        <v>50000</v>
      </c>
    </row>
    <row r="1732" spans="1:15">
      <c r="A1732" s="264">
        <v>1731</v>
      </c>
      <c r="B1732" s="257">
        <v>45923</v>
      </c>
      <c r="C1732" s="283" t="s">
        <v>1018</v>
      </c>
      <c r="F1732" s="283" t="s">
        <v>3589</v>
      </c>
      <c r="G1732" s="262" t="s">
        <v>3599</v>
      </c>
      <c r="H1732" s="258">
        <v>2200000</v>
      </c>
      <c r="I1732" s="262">
        <v>1</v>
      </c>
      <c r="L1732" s="258">
        <v>2200000</v>
      </c>
    </row>
    <row r="1733" spans="1:15">
      <c r="A1733" s="264">
        <v>1732</v>
      </c>
      <c r="B1733" s="257">
        <v>45923</v>
      </c>
      <c r="C1733" s="283" t="s">
        <v>1007</v>
      </c>
      <c r="F1733" s="283" t="s">
        <v>1534</v>
      </c>
      <c r="H1733" s="258">
        <v>200000</v>
      </c>
      <c r="I1733" s="262">
        <v>1</v>
      </c>
      <c r="L1733" s="258">
        <v>200000</v>
      </c>
    </row>
    <row r="1734" spans="1:15">
      <c r="A1734" s="264">
        <v>1733</v>
      </c>
      <c r="B1734" s="257">
        <v>45923</v>
      </c>
      <c r="C1734" s="283" t="s">
        <v>1860</v>
      </c>
      <c r="F1734" s="283" t="s">
        <v>2195</v>
      </c>
      <c r="G1734" s="262">
        <v>2820403</v>
      </c>
      <c r="H1734" s="258">
        <v>1600000</v>
      </c>
      <c r="I1734" s="262">
        <v>1</v>
      </c>
      <c r="L1734" s="258">
        <v>1600000</v>
      </c>
    </row>
    <row r="1735" spans="1:15">
      <c r="A1735" s="264">
        <v>1734</v>
      </c>
      <c r="B1735" s="257">
        <v>45923</v>
      </c>
      <c r="C1735" s="283" t="s">
        <v>1451</v>
      </c>
      <c r="F1735" s="283" t="s">
        <v>2416</v>
      </c>
      <c r="G1735" s="262" t="s">
        <v>2746</v>
      </c>
      <c r="H1735" s="258">
        <v>1100000</v>
      </c>
      <c r="I1735" s="262">
        <v>1</v>
      </c>
      <c r="K1735" s="259">
        <v>110000</v>
      </c>
      <c r="L1735" s="258">
        <v>1210000</v>
      </c>
    </row>
    <row r="1736" spans="1:15">
      <c r="A1736" s="264">
        <v>1735</v>
      </c>
      <c r="B1736" s="257">
        <v>45923</v>
      </c>
      <c r="C1736" s="283" t="s">
        <v>1657</v>
      </c>
      <c r="F1736" s="283" t="s">
        <v>1204</v>
      </c>
      <c r="G1736" s="262" t="s">
        <v>1562</v>
      </c>
      <c r="H1736" s="258">
        <v>1200000</v>
      </c>
      <c r="I1736" s="262">
        <v>1</v>
      </c>
      <c r="L1736" s="258">
        <v>1200000</v>
      </c>
    </row>
    <row r="1737" spans="1:15">
      <c r="A1737" s="264">
        <v>1736</v>
      </c>
      <c r="B1737" s="257">
        <v>45923</v>
      </c>
      <c r="C1737" s="283" t="s">
        <v>1015</v>
      </c>
      <c r="F1737" s="283" t="s">
        <v>3467</v>
      </c>
      <c r="G1737" s="262" t="s">
        <v>1206</v>
      </c>
      <c r="H1737" s="258">
        <v>526364</v>
      </c>
      <c r="I1737" s="262">
        <v>1</v>
      </c>
      <c r="K1737" s="259">
        <v>52636</v>
      </c>
      <c r="L1737" s="258">
        <v>579000</v>
      </c>
    </row>
    <row r="1738" spans="1:15">
      <c r="A1738" s="264">
        <v>1737</v>
      </c>
      <c r="B1738" s="257">
        <v>45923</v>
      </c>
      <c r="C1738" s="283" t="s">
        <v>1015</v>
      </c>
      <c r="F1738" s="283" t="s">
        <v>2189</v>
      </c>
      <c r="G1738" s="262">
        <v>50229</v>
      </c>
      <c r="H1738" s="258">
        <v>70000</v>
      </c>
      <c r="I1738" s="262">
        <v>1</v>
      </c>
      <c r="K1738" s="259">
        <v>7000</v>
      </c>
      <c r="L1738" s="258">
        <v>77000</v>
      </c>
    </row>
    <row r="1739" spans="1:15">
      <c r="A1739" s="264">
        <v>1738</v>
      </c>
      <c r="B1739" s="257">
        <v>45923</v>
      </c>
      <c r="C1739" s="283" t="s">
        <v>1015</v>
      </c>
      <c r="F1739" s="283" t="s">
        <v>2187</v>
      </c>
      <c r="G1739" s="262" t="s">
        <v>1258</v>
      </c>
      <c r="H1739" s="258">
        <v>130000</v>
      </c>
      <c r="I1739" s="262">
        <v>1</v>
      </c>
      <c r="K1739" s="259">
        <v>13000</v>
      </c>
      <c r="L1739" s="258">
        <v>143000</v>
      </c>
    </row>
    <row r="1740" spans="1:15">
      <c r="A1740" s="264">
        <v>1739</v>
      </c>
      <c r="B1740" s="257">
        <v>45923</v>
      </c>
      <c r="C1740" s="283" t="s">
        <v>1015</v>
      </c>
      <c r="F1740" s="283" t="s">
        <v>2191</v>
      </c>
      <c r="G1740" s="262" t="s">
        <v>1821</v>
      </c>
      <c r="H1740" s="258">
        <v>10000</v>
      </c>
      <c r="I1740" s="262">
        <v>2</v>
      </c>
      <c r="K1740" s="259">
        <v>2000</v>
      </c>
      <c r="L1740" s="258">
        <v>22000</v>
      </c>
    </row>
    <row r="1741" spans="1:15">
      <c r="A1741" s="264">
        <v>1740</v>
      </c>
      <c r="B1741" s="257">
        <v>45923</v>
      </c>
      <c r="C1741" s="283" t="s">
        <v>1015</v>
      </c>
      <c r="F1741" s="283" t="s">
        <v>2190</v>
      </c>
      <c r="G1741" s="262" t="s">
        <v>1794</v>
      </c>
      <c r="H1741" s="258">
        <v>35000</v>
      </c>
      <c r="I1741" s="262">
        <v>1</v>
      </c>
      <c r="K1741" s="259">
        <v>3500</v>
      </c>
      <c r="L1741" s="258">
        <v>38500</v>
      </c>
    </row>
    <row r="1742" spans="1:15">
      <c r="A1742" s="264">
        <v>1741</v>
      </c>
      <c r="B1742" s="257">
        <v>45923</v>
      </c>
      <c r="C1742" s="283" t="s">
        <v>1053</v>
      </c>
      <c r="F1742" s="283" t="s">
        <v>3661</v>
      </c>
      <c r="H1742" s="258">
        <v>150000</v>
      </c>
      <c r="I1742" s="262">
        <v>1</v>
      </c>
      <c r="L1742" s="258">
        <v>150000</v>
      </c>
    </row>
    <row r="1743" spans="1:15">
      <c r="A1743" s="264">
        <v>1742</v>
      </c>
      <c r="B1743" s="257">
        <v>45923</v>
      </c>
      <c r="C1743" s="283" t="s">
        <v>1007</v>
      </c>
      <c r="F1743" s="283" t="s">
        <v>3663</v>
      </c>
      <c r="M1743" s="258">
        <v>-350000</v>
      </c>
    </row>
    <row r="1744" spans="1:15">
      <c r="A1744" s="264">
        <v>1743</v>
      </c>
      <c r="B1744" s="257">
        <v>45923</v>
      </c>
      <c r="C1744" s="283" t="s">
        <v>1657</v>
      </c>
      <c r="F1744" s="283" t="s">
        <v>1124</v>
      </c>
      <c r="M1744" s="258">
        <v>-1200000</v>
      </c>
    </row>
    <row r="1745" spans="1:13">
      <c r="A1745" s="264">
        <v>1744</v>
      </c>
      <c r="B1745" s="257">
        <v>45923</v>
      </c>
      <c r="C1745" s="283" t="s">
        <v>1540</v>
      </c>
      <c r="F1745" s="283" t="s">
        <v>1742</v>
      </c>
      <c r="H1745" s="258">
        <v>1100000</v>
      </c>
      <c r="I1745" s="262">
        <v>1</v>
      </c>
      <c r="L1745" s="258">
        <v>1100000</v>
      </c>
    </row>
    <row r="1746" spans="1:13">
      <c r="A1746" s="264">
        <v>1745</v>
      </c>
      <c r="B1746" s="257">
        <v>45924</v>
      </c>
      <c r="C1746" s="283" t="s">
        <v>3666</v>
      </c>
      <c r="F1746" s="283" t="s">
        <v>3667</v>
      </c>
      <c r="M1746" s="258">
        <v>-150000</v>
      </c>
    </row>
    <row r="1747" spans="1:13">
      <c r="A1747" s="264">
        <v>1746</v>
      </c>
      <c r="B1747" s="257">
        <v>45924</v>
      </c>
      <c r="C1747" s="283" t="s">
        <v>1082</v>
      </c>
      <c r="F1747" s="283" t="s">
        <v>3665</v>
      </c>
      <c r="G1747" s="262" t="s">
        <v>1200</v>
      </c>
      <c r="H1747" s="258">
        <v>1500000</v>
      </c>
      <c r="I1747" s="262">
        <v>1</v>
      </c>
      <c r="M1747" s="258">
        <v>-1500000</v>
      </c>
    </row>
    <row r="1748" spans="1:13">
      <c r="A1748" s="264">
        <v>1747</v>
      </c>
      <c r="B1748" s="257">
        <v>45924</v>
      </c>
      <c r="C1748" s="283" t="s">
        <v>1390</v>
      </c>
      <c r="F1748" s="283" t="s">
        <v>1858</v>
      </c>
      <c r="G1748" s="262" t="s">
        <v>3672</v>
      </c>
      <c r="H1748" s="258">
        <v>1100000</v>
      </c>
      <c r="I1748" s="262">
        <v>1</v>
      </c>
      <c r="L1748" s="258">
        <v>1100000</v>
      </c>
    </row>
    <row r="1749" spans="1:13">
      <c r="A1749" s="264">
        <v>1748</v>
      </c>
      <c r="B1749" s="257">
        <v>45924</v>
      </c>
      <c r="C1749" s="283" t="s">
        <v>987</v>
      </c>
      <c r="F1749" s="283" t="s">
        <v>3589</v>
      </c>
      <c r="G1749" s="262" t="s">
        <v>3599</v>
      </c>
      <c r="H1749" s="258">
        <v>2200000</v>
      </c>
      <c r="I1749" s="262">
        <v>1</v>
      </c>
      <c r="L1749" s="258">
        <v>2200000</v>
      </c>
    </row>
    <row r="1750" spans="1:13">
      <c r="A1750" s="264">
        <v>1749</v>
      </c>
      <c r="B1750" s="257">
        <v>45924</v>
      </c>
      <c r="C1750" s="283" t="s">
        <v>1398</v>
      </c>
      <c r="F1750" s="283" t="s">
        <v>2773</v>
      </c>
      <c r="G1750" s="262" t="s">
        <v>1212</v>
      </c>
      <c r="H1750" s="258">
        <v>1600000</v>
      </c>
      <c r="I1750" s="262">
        <v>1</v>
      </c>
      <c r="L1750" s="258">
        <v>1600000</v>
      </c>
    </row>
    <row r="1751" spans="1:13">
      <c r="A1751" s="264">
        <v>1750</v>
      </c>
      <c r="B1751" s="257">
        <v>45924</v>
      </c>
      <c r="C1751" s="283" t="s">
        <v>2740</v>
      </c>
      <c r="F1751" s="283" t="s">
        <v>1534</v>
      </c>
      <c r="H1751" s="258">
        <v>450000</v>
      </c>
      <c r="I1751" s="262">
        <v>1</v>
      </c>
      <c r="L1751" s="258">
        <v>450000</v>
      </c>
    </row>
    <row r="1752" spans="1:13">
      <c r="A1752" s="264">
        <v>1751</v>
      </c>
      <c r="B1752" s="257">
        <v>45924</v>
      </c>
      <c r="C1752" s="283" t="s">
        <v>1448</v>
      </c>
      <c r="F1752" s="283" t="s">
        <v>1742</v>
      </c>
      <c r="H1752" s="258">
        <v>650000</v>
      </c>
      <c r="I1752" s="262">
        <v>1</v>
      </c>
      <c r="K1752" s="258">
        <v>65000</v>
      </c>
      <c r="L1752" s="258">
        <v>715000</v>
      </c>
    </row>
    <row r="1753" spans="1:13">
      <c r="A1753" s="264">
        <v>1752</v>
      </c>
      <c r="B1753" s="257">
        <v>45924</v>
      </c>
      <c r="C1753" s="283" t="s">
        <v>987</v>
      </c>
      <c r="F1753" s="283" t="s">
        <v>1124</v>
      </c>
      <c r="M1753" s="258">
        <v>-2200000</v>
      </c>
    </row>
    <row r="1754" spans="1:13">
      <c r="A1754" s="264">
        <v>1753</v>
      </c>
      <c r="B1754" s="257">
        <v>45925</v>
      </c>
      <c r="C1754" s="283" t="s">
        <v>1860</v>
      </c>
      <c r="F1754" s="283" t="s">
        <v>1124</v>
      </c>
      <c r="M1754" s="258">
        <v>-2600000</v>
      </c>
    </row>
    <row r="1755" spans="1:13">
      <c r="A1755" s="264">
        <v>1754</v>
      </c>
      <c r="B1755" s="257">
        <v>45925</v>
      </c>
      <c r="C1755" s="283" t="s">
        <v>1448</v>
      </c>
      <c r="F1755" s="283" t="s">
        <v>1124</v>
      </c>
      <c r="M1755" s="258">
        <v>-715000</v>
      </c>
    </row>
    <row r="1756" spans="1:13">
      <c r="A1756" s="264">
        <v>1755</v>
      </c>
      <c r="B1756" s="257">
        <v>45925</v>
      </c>
      <c r="C1756" s="283" t="s">
        <v>1026</v>
      </c>
      <c r="F1756" s="283" t="s">
        <v>1124</v>
      </c>
      <c r="M1756" s="258">
        <v>-2070000</v>
      </c>
    </row>
    <row r="1757" spans="1:13">
      <c r="A1757" s="264">
        <v>1756</v>
      </c>
      <c r="B1757" s="257">
        <v>45925</v>
      </c>
      <c r="C1757" s="283" t="s">
        <v>1436</v>
      </c>
      <c r="F1757" s="283" t="s">
        <v>1124</v>
      </c>
      <c r="M1757" s="258">
        <v>-1430000</v>
      </c>
    </row>
    <row r="1758" spans="1:13">
      <c r="A1758" s="264">
        <v>1757</v>
      </c>
      <c r="B1758" s="257">
        <v>45926</v>
      </c>
      <c r="C1758" s="283" t="s">
        <v>1451</v>
      </c>
      <c r="F1758" s="283" t="s">
        <v>1124</v>
      </c>
      <c r="M1758" s="258">
        <v>-1210000</v>
      </c>
    </row>
    <row r="1759" spans="1:13">
      <c r="A1759" s="264">
        <v>1758</v>
      </c>
      <c r="B1759" s="257">
        <v>45926</v>
      </c>
      <c r="C1759" s="283" t="s">
        <v>1390</v>
      </c>
      <c r="F1759" s="283" t="s">
        <v>1124</v>
      </c>
      <c r="M1759" s="258">
        <v>-1100000</v>
      </c>
    </row>
    <row r="1760" spans="1:13">
      <c r="A1760" s="264">
        <v>1759</v>
      </c>
      <c r="B1760" s="257">
        <v>45926</v>
      </c>
      <c r="C1760" s="283" t="s">
        <v>2914</v>
      </c>
      <c r="F1760" s="283" t="s">
        <v>1124</v>
      </c>
      <c r="M1760" s="258">
        <v>-900000</v>
      </c>
    </row>
    <row r="1761" spans="1:15">
      <c r="A1761" s="264">
        <v>1760</v>
      </c>
      <c r="B1761" s="257">
        <v>45926</v>
      </c>
      <c r="C1761" s="283" t="s">
        <v>1804</v>
      </c>
      <c r="F1761" s="283" t="s">
        <v>2187</v>
      </c>
      <c r="G1761" s="262" t="s">
        <v>1258</v>
      </c>
      <c r="H1761" s="258">
        <v>130000</v>
      </c>
      <c r="I1761" s="262">
        <v>1</v>
      </c>
      <c r="K1761" s="259">
        <v>13000</v>
      </c>
      <c r="L1761" s="258">
        <v>143000</v>
      </c>
    </row>
    <row r="1762" spans="1:15">
      <c r="A1762" s="264">
        <v>1761</v>
      </c>
      <c r="B1762" s="257">
        <v>45926</v>
      </c>
      <c r="C1762" s="283" t="s">
        <v>1804</v>
      </c>
      <c r="F1762" s="283" t="s">
        <v>2191</v>
      </c>
      <c r="G1762" s="262" t="s">
        <v>1821</v>
      </c>
      <c r="H1762" s="258">
        <v>10000</v>
      </c>
      <c r="I1762" s="262">
        <v>2</v>
      </c>
      <c r="K1762" s="259">
        <v>2000</v>
      </c>
      <c r="L1762" s="258">
        <v>22000</v>
      </c>
    </row>
    <row r="1763" spans="1:15">
      <c r="A1763" s="264">
        <v>1762</v>
      </c>
      <c r="B1763" s="257">
        <v>45926</v>
      </c>
      <c r="C1763" s="283" t="s">
        <v>1804</v>
      </c>
      <c r="F1763" s="283" t="s">
        <v>2190</v>
      </c>
      <c r="G1763" s="262" t="s">
        <v>1794</v>
      </c>
      <c r="H1763" s="258">
        <v>55000</v>
      </c>
      <c r="I1763" s="262">
        <v>1</v>
      </c>
      <c r="K1763" s="259">
        <v>5500</v>
      </c>
      <c r="L1763" s="258">
        <v>60500</v>
      </c>
    </row>
    <row r="1764" spans="1:15">
      <c r="A1764" s="264">
        <v>1763</v>
      </c>
      <c r="B1764" s="257">
        <v>45926</v>
      </c>
      <c r="C1764" s="283" t="s">
        <v>1172</v>
      </c>
      <c r="F1764" s="283" t="s">
        <v>2036</v>
      </c>
      <c r="G1764" s="262">
        <v>2830406</v>
      </c>
      <c r="H1764" s="258">
        <v>1100000</v>
      </c>
      <c r="I1764" s="262">
        <v>1</v>
      </c>
      <c r="L1764" s="258">
        <v>1100000</v>
      </c>
    </row>
    <row r="1765" spans="1:15">
      <c r="A1765" s="264">
        <v>1764</v>
      </c>
      <c r="B1765" s="257">
        <v>45926</v>
      </c>
      <c r="C1765" s="283" t="s">
        <v>1398</v>
      </c>
      <c r="F1765" s="283" t="s">
        <v>2416</v>
      </c>
      <c r="G1765" s="262" t="s">
        <v>2746</v>
      </c>
      <c r="H1765" s="258">
        <v>1100000</v>
      </c>
      <c r="I1765" s="262">
        <v>1</v>
      </c>
      <c r="L1765" s="258">
        <v>1100000</v>
      </c>
    </row>
    <row r="1766" spans="1:15">
      <c r="A1766" s="264">
        <v>1765</v>
      </c>
      <c r="B1766" s="257">
        <v>45926</v>
      </c>
      <c r="C1766" s="283" t="s">
        <v>1540</v>
      </c>
      <c r="F1766" s="283" t="s">
        <v>2090</v>
      </c>
      <c r="G1766" s="262">
        <v>1068298044</v>
      </c>
      <c r="H1766" s="258">
        <v>400000</v>
      </c>
      <c r="I1766" s="262">
        <v>1</v>
      </c>
      <c r="L1766" s="258">
        <v>400000</v>
      </c>
    </row>
    <row r="1767" spans="1:15">
      <c r="A1767" s="264">
        <v>1766</v>
      </c>
      <c r="B1767" s="257">
        <v>45926</v>
      </c>
      <c r="C1767" s="283" t="s">
        <v>1540</v>
      </c>
      <c r="F1767" s="283" t="s">
        <v>1548</v>
      </c>
      <c r="G1767" s="262">
        <v>24152333903</v>
      </c>
      <c r="H1767" s="258">
        <v>50000</v>
      </c>
      <c r="I1767" s="262">
        <v>1</v>
      </c>
      <c r="L1767" s="258">
        <v>50000</v>
      </c>
    </row>
    <row r="1768" spans="1:15">
      <c r="A1768" s="264">
        <v>1767</v>
      </c>
      <c r="B1768" s="257">
        <v>45926</v>
      </c>
      <c r="C1768" s="283" t="s">
        <v>3728</v>
      </c>
      <c r="F1768" s="283">
        <v>2703900</v>
      </c>
      <c r="G1768" s="262" t="s">
        <v>3729</v>
      </c>
      <c r="H1768" s="258">
        <v>1000000</v>
      </c>
      <c r="I1768" s="262">
        <v>1</v>
      </c>
      <c r="L1768" s="258">
        <v>1000000</v>
      </c>
    </row>
    <row r="1769" spans="1:15">
      <c r="A1769" s="264">
        <v>1768</v>
      </c>
      <c r="B1769" s="257">
        <v>45927</v>
      </c>
      <c r="C1769" s="283" t="s">
        <v>3728</v>
      </c>
      <c r="F1769" s="283" t="s">
        <v>1745</v>
      </c>
      <c r="M1769" s="258">
        <v>-1000000</v>
      </c>
    </row>
    <row r="1770" spans="1:15">
      <c r="A1770" s="264">
        <v>1769</v>
      </c>
      <c r="B1770" s="257">
        <v>45927</v>
      </c>
      <c r="C1770" s="283" t="s">
        <v>3731</v>
      </c>
      <c r="F1770" s="283" t="s">
        <v>1534</v>
      </c>
      <c r="H1770" s="258">
        <v>450000</v>
      </c>
      <c r="I1770" s="262">
        <v>1</v>
      </c>
      <c r="L1770" s="258">
        <v>450000</v>
      </c>
    </row>
    <row r="1771" spans="1:15">
      <c r="A1771" s="264">
        <v>1770</v>
      </c>
      <c r="B1771" s="257">
        <v>45927</v>
      </c>
      <c r="C1771" s="283" t="s">
        <v>3731</v>
      </c>
      <c r="F1771" s="283" t="s">
        <v>1745</v>
      </c>
      <c r="M1771" s="258">
        <v>-450000</v>
      </c>
    </row>
    <row r="1772" spans="1:15">
      <c r="A1772" s="264">
        <v>1771</v>
      </c>
      <c r="B1772" s="257">
        <v>45927</v>
      </c>
      <c r="C1772" s="283" t="s">
        <v>1808</v>
      </c>
      <c r="F1772" s="283" t="s">
        <v>1745</v>
      </c>
      <c r="M1772" s="258">
        <v>-350000</v>
      </c>
    </row>
    <row r="1773" spans="1:15">
      <c r="A1773" s="264">
        <v>1772</v>
      </c>
      <c r="B1773" s="257">
        <v>45927</v>
      </c>
      <c r="C1773" s="283" t="s">
        <v>2740</v>
      </c>
      <c r="F1773" s="283" t="s">
        <v>3736</v>
      </c>
      <c r="M1773" s="258">
        <v>-450000</v>
      </c>
    </row>
    <row r="1774" spans="1:15">
      <c r="A1774" s="264">
        <v>1773</v>
      </c>
      <c r="B1774" s="257">
        <v>45927</v>
      </c>
      <c r="C1774" s="283" t="s">
        <v>1960</v>
      </c>
      <c r="F1774" s="283" t="s">
        <v>1915</v>
      </c>
      <c r="G1774" s="262" t="s">
        <v>2053</v>
      </c>
      <c r="H1774" s="258">
        <v>1000000</v>
      </c>
      <c r="I1774" s="262">
        <v>1</v>
      </c>
      <c r="L1774" s="258">
        <v>1000000</v>
      </c>
      <c r="O1774" s="283" t="s">
        <v>3737</v>
      </c>
    </row>
    <row r="1775" spans="1:15">
      <c r="A1775" s="264">
        <v>1774</v>
      </c>
      <c r="B1775" s="257">
        <v>45929</v>
      </c>
      <c r="C1775" s="283" t="s">
        <v>2257</v>
      </c>
      <c r="F1775" s="283" t="s">
        <v>2177</v>
      </c>
      <c r="G1775" s="262" t="s">
        <v>1463</v>
      </c>
      <c r="H1775" s="258" t="s">
        <v>3741</v>
      </c>
      <c r="I1775" s="262">
        <v>1</v>
      </c>
      <c r="L1775" s="258">
        <v>0</v>
      </c>
      <c r="O1775" s="283" t="s">
        <v>3742</v>
      </c>
    </row>
    <row r="1776" spans="1:15">
      <c r="A1776" s="264">
        <v>1775</v>
      </c>
      <c r="B1776" s="257">
        <v>45929</v>
      </c>
      <c r="C1776" s="283" t="s">
        <v>1804</v>
      </c>
      <c r="F1776" s="283" t="s">
        <v>3748</v>
      </c>
      <c r="M1776" s="258">
        <v>-2069500</v>
      </c>
    </row>
    <row r="1777" spans="1:15">
      <c r="A1777" s="264">
        <v>1776</v>
      </c>
      <c r="B1777" s="257">
        <v>45925</v>
      </c>
      <c r="C1777" s="283" t="s">
        <v>1466</v>
      </c>
      <c r="F1777" s="283" t="s">
        <v>3041</v>
      </c>
      <c r="G1777" s="262">
        <v>2820403</v>
      </c>
      <c r="H1777" s="258">
        <v>700000</v>
      </c>
      <c r="I1777" s="262">
        <v>1</v>
      </c>
      <c r="K1777" s="259">
        <v>70000</v>
      </c>
      <c r="L1777" s="258">
        <v>770000</v>
      </c>
    </row>
    <row r="1778" spans="1:15">
      <c r="A1778" s="264">
        <v>1777</v>
      </c>
      <c r="B1778" s="257">
        <v>45929</v>
      </c>
      <c r="C1778" s="283" t="s">
        <v>1466</v>
      </c>
      <c r="F1778" s="283" t="s">
        <v>2185</v>
      </c>
      <c r="G1778" s="262" t="s">
        <v>1199</v>
      </c>
      <c r="H1778" s="258">
        <v>800000</v>
      </c>
      <c r="I1778" s="262">
        <v>1</v>
      </c>
      <c r="K1778" s="259">
        <v>80000</v>
      </c>
      <c r="L1778" s="258">
        <v>880000</v>
      </c>
      <c r="O1778" s="283" t="s">
        <v>3750</v>
      </c>
    </row>
    <row r="1779" spans="1:15">
      <c r="A1779" s="264">
        <v>1778</v>
      </c>
      <c r="B1779" s="257">
        <v>45929</v>
      </c>
      <c r="C1779" s="283" t="s">
        <v>1746</v>
      </c>
      <c r="F1779" s="283" t="s">
        <v>2189</v>
      </c>
      <c r="G1779" s="262">
        <v>50228</v>
      </c>
      <c r="H1779" s="258">
        <v>110000</v>
      </c>
      <c r="I1779" s="262">
        <v>2</v>
      </c>
      <c r="K1779" s="259">
        <v>22000</v>
      </c>
      <c r="L1779" s="258">
        <v>242000</v>
      </c>
    </row>
    <row r="1780" spans="1:15">
      <c r="A1780" s="264">
        <v>1779</v>
      </c>
      <c r="B1780" s="257">
        <v>45929</v>
      </c>
      <c r="C1780" s="283" t="s">
        <v>1746</v>
      </c>
      <c r="F1780" s="283" t="s">
        <v>2189</v>
      </c>
      <c r="G1780" s="262">
        <v>50229</v>
      </c>
      <c r="H1780" s="258">
        <v>75000</v>
      </c>
      <c r="I1780" s="262">
        <v>2</v>
      </c>
      <c r="K1780" s="259">
        <v>15000</v>
      </c>
      <c r="L1780" s="258">
        <v>165000</v>
      </c>
    </row>
    <row r="1781" spans="1:15">
      <c r="A1781" s="264">
        <v>1780</v>
      </c>
      <c r="B1781" s="257">
        <v>45929</v>
      </c>
      <c r="C1781" s="283" t="s">
        <v>1746</v>
      </c>
      <c r="F1781" s="283" t="s">
        <v>2190</v>
      </c>
      <c r="G1781" s="262" t="s">
        <v>1794</v>
      </c>
      <c r="H1781" s="258">
        <v>35000</v>
      </c>
      <c r="I1781" s="262">
        <v>1</v>
      </c>
      <c r="K1781" s="259">
        <v>3500</v>
      </c>
      <c r="L1781" s="258">
        <v>38500</v>
      </c>
    </row>
    <row r="1782" spans="1:15">
      <c r="A1782" s="264">
        <v>1781</v>
      </c>
      <c r="B1782" s="257">
        <v>45929</v>
      </c>
      <c r="C1782" s="283" t="s">
        <v>2856</v>
      </c>
      <c r="F1782" s="283" t="s">
        <v>3050</v>
      </c>
      <c r="G1782" s="262" t="s">
        <v>1951</v>
      </c>
      <c r="H1782" s="258">
        <v>1000000</v>
      </c>
      <c r="I1782" s="262">
        <v>1</v>
      </c>
      <c r="K1782" s="259">
        <v>100000</v>
      </c>
      <c r="L1782" s="258">
        <v>1100000</v>
      </c>
    </row>
    <row r="1783" spans="1:15">
      <c r="A1783" s="264">
        <v>1782</v>
      </c>
      <c r="B1783" s="257">
        <v>45929</v>
      </c>
      <c r="C1783" s="283" t="s">
        <v>1390</v>
      </c>
      <c r="F1783" s="283" t="s">
        <v>3050</v>
      </c>
      <c r="G1783" s="262" t="s">
        <v>1951</v>
      </c>
      <c r="H1783" s="258">
        <v>1000000</v>
      </c>
      <c r="I1783" s="262">
        <v>1</v>
      </c>
      <c r="L1783" s="258">
        <v>1000000</v>
      </c>
    </row>
    <row r="1784" spans="1:15">
      <c r="A1784" s="264">
        <v>1783</v>
      </c>
      <c r="B1784" s="257">
        <v>45929</v>
      </c>
      <c r="C1784" s="283" t="s">
        <v>1960</v>
      </c>
      <c r="F1784" s="283" t="s">
        <v>1504</v>
      </c>
      <c r="H1784" s="258">
        <v>1000000</v>
      </c>
      <c r="I1784" s="262">
        <v>1</v>
      </c>
      <c r="L1784" s="258">
        <v>1000000</v>
      </c>
      <c r="O1784" s="283" t="s">
        <v>3755</v>
      </c>
    </row>
    <row r="1785" spans="1:15">
      <c r="A1785" s="264">
        <v>1784</v>
      </c>
      <c r="B1785" s="257">
        <v>45929</v>
      </c>
      <c r="C1785" s="283" t="s">
        <v>3268</v>
      </c>
      <c r="F1785" s="283" t="s">
        <v>1560</v>
      </c>
      <c r="G1785" s="262" t="s">
        <v>1767</v>
      </c>
      <c r="H1785" s="258">
        <v>1000000</v>
      </c>
      <c r="I1785" s="262">
        <v>1</v>
      </c>
      <c r="L1785" s="258">
        <v>1000000</v>
      </c>
      <c r="O1785" s="283" t="s">
        <v>3757</v>
      </c>
    </row>
    <row r="1786" spans="1:15">
      <c r="A1786" s="264">
        <v>1785</v>
      </c>
      <c r="B1786" s="257">
        <v>45929</v>
      </c>
      <c r="C1786" s="283" t="s">
        <v>3463</v>
      </c>
      <c r="F1786" s="283" t="s">
        <v>1204</v>
      </c>
      <c r="G1786" s="262" t="s">
        <v>1203</v>
      </c>
      <c r="H1786" s="258">
        <v>600000</v>
      </c>
      <c r="I1786" s="262">
        <v>1</v>
      </c>
      <c r="L1786" s="258">
        <v>600000</v>
      </c>
      <c r="O1786" s="283" t="s">
        <v>3759</v>
      </c>
    </row>
    <row r="1787" spans="1:15">
      <c r="A1787" s="264">
        <v>1786</v>
      </c>
      <c r="B1787" s="257">
        <v>45929</v>
      </c>
      <c r="C1787" s="283" t="s">
        <v>1721</v>
      </c>
      <c r="F1787" s="283" t="s">
        <v>2838</v>
      </c>
      <c r="G1787" s="262" t="s">
        <v>2748</v>
      </c>
      <c r="H1787" s="258">
        <v>129000</v>
      </c>
      <c r="I1787" s="262">
        <v>2</v>
      </c>
      <c r="L1787" s="258">
        <v>258000</v>
      </c>
    </row>
    <row r="1788" spans="1:15">
      <c r="A1788" s="264">
        <v>1787</v>
      </c>
      <c r="B1788" s="257">
        <v>45925</v>
      </c>
      <c r="C1788" s="283" t="s">
        <v>1398</v>
      </c>
      <c r="F1788" s="283" t="s">
        <v>1742</v>
      </c>
      <c r="H1788" s="258">
        <v>1100000</v>
      </c>
      <c r="I1788" s="262">
        <v>1</v>
      </c>
      <c r="L1788" s="258">
        <v>1100000</v>
      </c>
    </row>
    <row r="1789" spans="1:15">
      <c r="A1789" s="264">
        <v>1788</v>
      </c>
      <c r="B1789" s="257">
        <v>45925</v>
      </c>
      <c r="C1789" s="283" t="s">
        <v>1540</v>
      </c>
      <c r="F1789" s="283" t="s">
        <v>1202</v>
      </c>
      <c r="G1789" s="262" t="s">
        <v>1751</v>
      </c>
      <c r="H1789" s="258">
        <v>1200000</v>
      </c>
      <c r="I1789" s="262">
        <v>1</v>
      </c>
      <c r="L1789" s="258">
        <v>1200000</v>
      </c>
    </row>
    <row r="1790" spans="1:15">
      <c r="A1790" s="264">
        <v>1789</v>
      </c>
      <c r="B1790" s="257">
        <v>45925</v>
      </c>
      <c r="C1790" s="283" t="s">
        <v>1540</v>
      </c>
      <c r="F1790" s="283" t="s">
        <v>1495</v>
      </c>
      <c r="G1790" s="262" t="s">
        <v>2677</v>
      </c>
      <c r="H1790" s="258">
        <v>350000</v>
      </c>
      <c r="I1790" s="262">
        <v>1</v>
      </c>
      <c r="L1790" s="258">
        <v>350000</v>
      </c>
    </row>
    <row r="1791" spans="1:15">
      <c r="A1791" s="264">
        <v>1790</v>
      </c>
      <c r="B1791" s="257">
        <v>45925</v>
      </c>
      <c r="C1791" s="283" t="s">
        <v>1377</v>
      </c>
      <c r="F1791" s="283" t="s">
        <v>2179</v>
      </c>
      <c r="G1791" s="262" t="s">
        <v>1200</v>
      </c>
      <c r="H1791" s="258">
        <v>1500000</v>
      </c>
      <c r="I1791" s="262">
        <v>1</v>
      </c>
      <c r="L1791" s="258">
        <v>1500000</v>
      </c>
    </row>
    <row r="1792" spans="1:15">
      <c r="A1792" s="264">
        <v>1791</v>
      </c>
      <c r="B1792" s="257">
        <v>45925</v>
      </c>
      <c r="C1792" s="283" t="s">
        <v>1377</v>
      </c>
      <c r="F1792" s="283" t="s">
        <v>2180</v>
      </c>
      <c r="G1792" s="262" t="s">
        <v>1802</v>
      </c>
      <c r="H1792" s="258">
        <v>50000</v>
      </c>
      <c r="I1792" s="262">
        <v>1</v>
      </c>
      <c r="L1792" s="258">
        <v>50000</v>
      </c>
    </row>
    <row r="1793" spans="1:13">
      <c r="A1793" s="264">
        <v>1792</v>
      </c>
      <c r="B1793" s="257">
        <v>45925</v>
      </c>
      <c r="C1793" s="283" t="s">
        <v>1377</v>
      </c>
      <c r="F1793" s="283" t="s">
        <v>2181</v>
      </c>
      <c r="G1793" s="262" t="s">
        <v>2216</v>
      </c>
      <c r="H1793" s="258">
        <v>250000</v>
      </c>
      <c r="I1793" s="262">
        <v>1</v>
      </c>
      <c r="L1793" s="258">
        <v>250000</v>
      </c>
    </row>
    <row r="1794" spans="1:13">
      <c r="A1794" s="264">
        <v>1793</v>
      </c>
      <c r="B1794" s="257">
        <v>45929</v>
      </c>
      <c r="C1794" s="283" t="s">
        <v>1540</v>
      </c>
      <c r="F1794" s="283" t="s">
        <v>2103</v>
      </c>
      <c r="G1794" s="262">
        <v>2830401</v>
      </c>
      <c r="H1794" s="258">
        <v>1000000</v>
      </c>
      <c r="I1794" s="262">
        <v>1</v>
      </c>
      <c r="L1794" s="258">
        <v>1000000</v>
      </c>
    </row>
    <row r="1795" spans="1:13">
      <c r="A1795" s="264">
        <v>1794</v>
      </c>
      <c r="B1795" s="257">
        <v>45929</v>
      </c>
      <c r="C1795" s="283" t="s">
        <v>1540</v>
      </c>
      <c r="F1795" s="283" t="s">
        <v>1265</v>
      </c>
      <c r="G1795" s="262" t="s">
        <v>1264</v>
      </c>
      <c r="H1795" s="258">
        <v>50000</v>
      </c>
      <c r="I1795" s="262">
        <v>1</v>
      </c>
      <c r="L1795" s="258">
        <v>50000</v>
      </c>
    </row>
    <row r="1796" spans="1:13">
      <c r="A1796" s="264">
        <v>1795</v>
      </c>
      <c r="B1796" s="257">
        <v>45929</v>
      </c>
      <c r="C1796" s="283" t="s">
        <v>1443</v>
      </c>
      <c r="F1796" s="283" t="s">
        <v>3766</v>
      </c>
      <c r="M1796" s="258">
        <v>-800000</v>
      </c>
    </row>
    <row r="1797" spans="1:13">
      <c r="A1797" s="264">
        <v>1796</v>
      </c>
      <c r="B1797" s="257">
        <v>45929</v>
      </c>
      <c r="C1797" s="283" t="s">
        <v>1146</v>
      </c>
      <c r="F1797" s="283" t="s">
        <v>1124</v>
      </c>
      <c r="M1797" s="258">
        <v>-320000</v>
      </c>
    </row>
    <row r="1798" spans="1:13">
      <c r="A1798" s="264">
        <v>1797</v>
      </c>
      <c r="B1798" s="257">
        <v>45929</v>
      </c>
      <c r="C1798" s="283" t="s">
        <v>1960</v>
      </c>
      <c r="F1798" s="283" t="s">
        <v>1124</v>
      </c>
      <c r="M1798" s="258">
        <v>-2000000</v>
      </c>
    </row>
    <row r="1799" spans="1:13">
      <c r="A1799" s="264">
        <v>1798</v>
      </c>
      <c r="B1799" s="257">
        <v>45929</v>
      </c>
      <c r="C1799" s="283" t="s">
        <v>1172</v>
      </c>
      <c r="F1799" s="283" t="s">
        <v>1124</v>
      </c>
      <c r="M1799" s="258">
        <v>-1100000</v>
      </c>
    </row>
    <row r="1800" spans="1:13">
      <c r="A1800" s="264">
        <v>1799</v>
      </c>
      <c r="B1800" s="257">
        <v>45929</v>
      </c>
      <c r="C1800" s="283" t="s">
        <v>3268</v>
      </c>
      <c r="F1800" s="283" t="s">
        <v>1124</v>
      </c>
      <c r="M1800" s="258">
        <v>-1000000</v>
      </c>
    </row>
    <row r="1801" spans="1:13">
      <c r="A1801" s="264">
        <v>1800</v>
      </c>
      <c r="B1801" s="257">
        <v>45929</v>
      </c>
      <c r="C1801" s="283" t="s">
        <v>3463</v>
      </c>
      <c r="F1801" s="283" t="s">
        <v>1124</v>
      </c>
      <c r="M1801" s="258">
        <v>-600000</v>
      </c>
    </row>
    <row r="1802" spans="1:13">
      <c r="A1802" s="264">
        <v>1801</v>
      </c>
      <c r="B1802" s="257">
        <v>45930</v>
      </c>
      <c r="C1802" s="283" t="s">
        <v>1390</v>
      </c>
      <c r="F1802" s="283" t="s">
        <v>1124</v>
      </c>
      <c r="M1802" s="258">
        <v>-1000000</v>
      </c>
    </row>
    <row r="1803" spans="1:13">
      <c r="A1803" s="264">
        <v>1802</v>
      </c>
      <c r="B1803" s="257">
        <v>45930</v>
      </c>
      <c r="C1803" s="283" t="s">
        <v>2147</v>
      </c>
      <c r="F1803" s="283" t="s">
        <v>1716</v>
      </c>
      <c r="G1803" s="262">
        <v>2800802</v>
      </c>
      <c r="H1803" s="258">
        <v>150000</v>
      </c>
      <c r="I1803" s="262">
        <v>1</v>
      </c>
      <c r="L1803" s="258">
        <v>150000</v>
      </c>
    </row>
    <row r="1804" spans="1:13">
      <c r="A1804" s="264">
        <v>1803</v>
      </c>
      <c r="B1804" s="257">
        <v>45930</v>
      </c>
      <c r="C1804" s="283" t="s">
        <v>1540</v>
      </c>
      <c r="F1804" s="283" t="s">
        <v>2042</v>
      </c>
      <c r="G1804" s="262">
        <v>60580082114</v>
      </c>
      <c r="H1804" s="258">
        <v>500000</v>
      </c>
      <c r="I1804" s="262">
        <v>1</v>
      </c>
      <c r="L1804" s="258">
        <v>500000</v>
      </c>
    </row>
    <row r="1805" spans="1:13">
      <c r="A1805" s="264">
        <v>1804</v>
      </c>
      <c r="B1805" s="257">
        <v>45930</v>
      </c>
      <c r="C1805" s="283" t="s">
        <v>2621</v>
      </c>
      <c r="F1805" s="283" t="s">
        <v>3778</v>
      </c>
      <c r="H1805" s="258">
        <v>2000000</v>
      </c>
      <c r="I1805" s="262">
        <v>1</v>
      </c>
      <c r="K1805" s="259">
        <v>200000</v>
      </c>
      <c r="L1805" s="258">
        <v>2200000</v>
      </c>
    </row>
    <row r="1806" spans="1:13">
      <c r="A1806" s="264">
        <v>1805</v>
      </c>
      <c r="B1806" s="257">
        <v>45930</v>
      </c>
      <c r="C1806" s="283" t="s">
        <v>1398</v>
      </c>
      <c r="F1806" s="283" t="s">
        <v>1265</v>
      </c>
      <c r="G1806" s="262" t="s">
        <v>1264</v>
      </c>
      <c r="H1806" s="258">
        <v>50000</v>
      </c>
      <c r="I1806" s="262">
        <v>1</v>
      </c>
      <c r="L1806" s="258">
        <v>50000</v>
      </c>
    </row>
    <row r="1807" spans="1:13">
      <c r="A1807" s="264">
        <v>1806</v>
      </c>
      <c r="B1807" s="257">
        <v>45930</v>
      </c>
      <c r="C1807" s="283" t="s">
        <v>1466</v>
      </c>
      <c r="F1807" s="283" t="s">
        <v>1495</v>
      </c>
      <c r="G1807" s="262" t="s">
        <v>2677</v>
      </c>
      <c r="H1807" s="258">
        <v>350000</v>
      </c>
      <c r="I1807" s="262">
        <v>1</v>
      </c>
      <c r="K1807" s="259">
        <v>35000</v>
      </c>
      <c r="L1807" s="258">
        <v>385000</v>
      </c>
    </row>
    <row r="1808" spans="1:13">
      <c r="A1808" s="264">
        <v>1807</v>
      </c>
      <c r="B1808" s="257">
        <v>45930</v>
      </c>
      <c r="C1808" s="283" t="s">
        <v>1721</v>
      </c>
      <c r="F1808" s="283" t="s">
        <v>1150</v>
      </c>
      <c r="G1808" s="262">
        <v>2830506</v>
      </c>
      <c r="H1808" s="258">
        <v>1650000</v>
      </c>
      <c r="I1808" s="262">
        <v>1</v>
      </c>
      <c r="L1808" s="258">
        <v>1650000</v>
      </c>
    </row>
    <row r="1809" spans="1:13">
      <c r="A1809" s="264">
        <v>1808</v>
      </c>
      <c r="B1809" s="257">
        <v>45930</v>
      </c>
      <c r="C1809" s="283" t="s">
        <v>1746</v>
      </c>
      <c r="F1809" s="283" t="s">
        <v>2187</v>
      </c>
      <c r="G1809" s="262" t="s">
        <v>1258</v>
      </c>
      <c r="H1809" s="258">
        <v>130000</v>
      </c>
      <c r="I1809" s="262">
        <v>1</v>
      </c>
      <c r="K1809" s="259">
        <v>13000</v>
      </c>
      <c r="L1809" s="258">
        <v>143000</v>
      </c>
    </row>
    <row r="1810" spans="1:13">
      <c r="A1810" s="264">
        <v>1809</v>
      </c>
      <c r="B1810" s="257">
        <v>45930</v>
      </c>
      <c r="C1810" s="283" t="s">
        <v>3787</v>
      </c>
      <c r="F1810" s="283" t="s">
        <v>3788</v>
      </c>
      <c r="G1810" s="263">
        <v>2820403</v>
      </c>
      <c r="H1810" s="258">
        <v>1600000</v>
      </c>
      <c r="I1810" s="262">
        <v>1</v>
      </c>
      <c r="K1810" s="259" t="s">
        <v>2998</v>
      </c>
      <c r="L1810" s="258">
        <v>1760000</v>
      </c>
    </row>
    <row r="1811" spans="1:13">
      <c r="A1811" s="264">
        <v>1810</v>
      </c>
      <c r="B1811" s="257">
        <v>45930</v>
      </c>
      <c r="C1811" s="283" t="s">
        <v>3787</v>
      </c>
      <c r="F1811" s="283" t="s">
        <v>3789</v>
      </c>
      <c r="M1811" s="258">
        <v>-1760000</v>
      </c>
    </row>
    <row r="1812" spans="1:13">
      <c r="A1812" s="264">
        <v>1811</v>
      </c>
      <c r="B1812" s="257">
        <v>45930</v>
      </c>
      <c r="C1812" s="283" t="s">
        <v>2147</v>
      </c>
      <c r="F1812" s="283" t="s">
        <v>1124</v>
      </c>
      <c r="M1812" s="258">
        <v>-150000</v>
      </c>
    </row>
    <row r="1813" spans="1:13">
      <c r="A1813" s="264">
        <v>1812</v>
      </c>
      <c r="B1813" s="257">
        <v>45930</v>
      </c>
      <c r="C1813" s="283" t="s">
        <v>2856</v>
      </c>
      <c r="F1813" s="283" t="s">
        <v>1124</v>
      </c>
      <c r="M1813" s="258">
        <v>-1100000</v>
      </c>
    </row>
    <row r="1814" spans="1:13">
      <c r="A1814" s="264">
        <v>1813</v>
      </c>
      <c r="B1814" s="257">
        <v>45930</v>
      </c>
      <c r="C1814" s="283" t="s">
        <v>1576</v>
      </c>
      <c r="F1814" s="283" t="s">
        <v>1124</v>
      </c>
      <c r="M1814" s="258">
        <v>-715000</v>
      </c>
    </row>
    <row r="1815" spans="1:13">
      <c r="A1815" s="264">
        <v>1814</v>
      </c>
      <c r="B1815" s="257">
        <v>45930</v>
      </c>
      <c r="C1815" s="283" t="s">
        <v>1472</v>
      </c>
      <c r="F1815" s="283" t="s">
        <v>3785</v>
      </c>
      <c r="M1815" s="258">
        <v>-1100000</v>
      </c>
    </row>
    <row r="1816" spans="1:13">
      <c r="A1816" s="264">
        <v>1815</v>
      </c>
      <c r="B1816" s="257">
        <v>45930</v>
      </c>
      <c r="C1816" s="283" t="s">
        <v>1398</v>
      </c>
      <c r="F1816" s="283" t="s">
        <v>3786</v>
      </c>
      <c r="M1816" s="258">
        <v>-10293000</v>
      </c>
    </row>
    <row r="1817" spans="1:13">
      <c r="A1817" s="264">
        <v>1816</v>
      </c>
      <c r="B1817" s="257">
        <v>45931</v>
      </c>
      <c r="C1817" s="283" t="s">
        <v>1746</v>
      </c>
      <c r="F1817" s="283" t="s">
        <v>3790</v>
      </c>
      <c r="M1817" s="258">
        <v>-3657500</v>
      </c>
    </row>
    <row r="1818" spans="1:13">
      <c r="A1818" s="264">
        <v>1817</v>
      </c>
      <c r="B1818" s="257">
        <v>45931</v>
      </c>
      <c r="C1818" s="283" t="s">
        <v>1540</v>
      </c>
      <c r="F1818" s="283" t="s">
        <v>3791</v>
      </c>
      <c r="M1818" s="258">
        <v>-5930000</v>
      </c>
    </row>
    <row r="1819" spans="1:13">
      <c r="A1819" s="264">
        <v>1818</v>
      </c>
      <c r="B1819" s="257">
        <v>45931</v>
      </c>
      <c r="C1819" s="283" t="s">
        <v>3793</v>
      </c>
      <c r="F1819" s="283" t="s">
        <v>3794</v>
      </c>
      <c r="G1819" s="262" t="s">
        <v>3795</v>
      </c>
      <c r="H1819" s="258">
        <v>350000</v>
      </c>
      <c r="I1819" s="262">
        <v>1</v>
      </c>
    </row>
    <row r="1820" spans="1:13">
      <c r="A1820" s="264">
        <v>1819</v>
      </c>
      <c r="B1820" s="257">
        <v>45931</v>
      </c>
      <c r="C1820" s="283" t="s">
        <v>1846</v>
      </c>
      <c r="F1820" s="283" t="s">
        <v>3467</v>
      </c>
      <c r="G1820" s="262" t="s">
        <v>1206</v>
      </c>
      <c r="H1820" s="258">
        <v>540000</v>
      </c>
      <c r="I1820" s="262">
        <v>1</v>
      </c>
      <c r="L1820" s="258">
        <v>540000</v>
      </c>
    </row>
    <row r="1821" spans="1:13">
      <c r="A1821" s="264">
        <v>1820</v>
      </c>
      <c r="B1821" s="257">
        <v>45931</v>
      </c>
      <c r="C1821" s="283" t="s">
        <v>1846</v>
      </c>
      <c r="F1821" s="283" t="s">
        <v>1124</v>
      </c>
      <c r="M1821" s="258">
        <v>-540000</v>
      </c>
    </row>
    <row r="1822" spans="1:13">
      <c r="A1822" s="264">
        <v>1821</v>
      </c>
      <c r="B1822" s="257">
        <v>45931</v>
      </c>
      <c r="C1822" s="283" t="s">
        <v>1746</v>
      </c>
      <c r="F1822" s="283" t="s">
        <v>2191</v>
      </c>
      <c r="G1822" s="262" t="s">
        <v>1821</v>
      </c>
      <c r="H1822" s="258">
        <v>10000</v>
      </c>
      <c r="I1822" s="262">
        <v>5</v>
      </c>
      <c r="K1822" s="259">
        <v>5000</v>
      </c>
      <c r="L1822" s="258">
        <v>55000</v>
      </c>
    </row>
    <row r="1823" spans="1:13">
      <c r="A1823" s="264">
        <v>1822</v>
      </c>
      <c r="B1823" s="257">
        <v>45931</v>
      </c>
      <c r="C1823" s="283" t="s">
        <v>1889</v>
      </c>
      <c r="F1823" s="283" t="s">
        <v>1202</v>
      </c>
      <c r="G1823" s="262" t="s">
        <v>1751</v>
      </c>
      <c r="H1823" s="258">
        <v>650000</v>
      </c>
      <c r="I1823" s="262">
        <v>1</v>
      </c>
      <c r="L1823" s="258">
        <v>650000</v>
      </c>
    </row>
    <row r="1824" spans="1:13">
      <c r="A1824" s="264">
        <v>1823</v>
      </c>
      <c r="B1824" s="257">
        <v>45931</v>
      </c>
      <c r="C1824" s="283" t="s">
        <v>1015</v>
      </c>
      <c r="F1824" s="283" t="s">
        <v>1202</v>
      </c>
      <c r="G1824" s="262" t="s">
        <v>1751</v>
      </c>
      <c r="H1824" s="258">
        <v>1200000</v>
      </c>
      <c r="I1824" s="262">
        <v>1</v>
      </c>
      <c r="K1824" s="259">
        <v>120000</v>
      </c>
      <c r="L1824" s="258">
        <v>1320000</v>
      </c>
    </row>
    <row r="1825" spans="1:15">
      <c r="A1825" s="264">
        <v>1824</v>
      </c>
      <c r="B1825" s="257">
        <v>45931</v>
      </c>
      <c r="C1825" s="283" t="s">
        <v>1889</v>
      </c>
      <c r="F1825" s="283" t="s">
        <v>3663</v>
      </c>
      <c r="M1825" s="258">
        <v>-650000</v>
      </c>
    </row>
    <row r="1826" spans="1:15">
      <c r="A1826" s="264">
        <v>1825</v>
      </c>
      <c r="B1826" s="257">
        <v>45931</v>
      </c>
      <c r="C1826" s="283" t="s">
        <v>1869</v>
      </c>
      <c r="F1826" s="283" t="s">
        <v>3823</v>
      </c>
      <c r="H1826" s="258">
        <v>150000</v>
      </c>
      <c r="I1826" s="262">
        <v>1</v>
      </c>
      <c r="L1826" s="258">
        <v>150000</v>
      </c>
    </row>
    <row r="1827" spans="1:15">
      <c r="A1827" s="264">
        <v>1826</v>
      </c>
      <c r="B1827" s="257">
        <v>45931</v>
      </c>
      <c r="C1827" s="283" t="s">
        <v>3825</v>
      </c>
      <c r="F1827" s="283" t="s">
        <v>3467</v>
      </c>
      <c r="G1827" s="262" t="s">
        <v>1206</v>
      </c>
      <c r="H1827" s="258">
        <v>526364</v>
      </c>
      <c r="I1827" s="262">
        <v>1</v>
      </c>
      <c r="K1827" s="259">
        <v>52636</v>
      </c>
      <c r="L1827" s="258">
        <v>579000</v>
      </c>
    </row>
    <row r="1828" spans="1:15">
      <c r="A1828" s="264">
        <v>1827</v>
      </c>
      <c r="B1828" s="257">
        <v>45931</v>
      </c>
      <c r="C1828" s="283" t="s">
        <v>3825</v>
      </c>
      <c r="F1828" s="283" t="s">
        <v>1124</v>
      </c>
      <c r="M1828" s="258">
        <v>-579000</v>
      </c>
    </row>
    <row r="1829" spans="1:15">
      <c r="A1829" s="264">
        <v>1828</v>
      </c>
      <c r="B1829" s="257">
        <v>45932</v>
      </c>
      <c r="C1829" s="283" t="s">
        <v>1015</v>
      </c>
      <c r="F1829" s="283" t="s">
        <v>3827</v>
      </c>
      <c r="M1829" s="258">
        <v>-4269500</v>
      </c>
    </row>
    <row r="1830" spans="1:15">
      <c r="A1830" s="264">
        <v>1829</v>
      </c>
      <c r="B1830" s="257">
        <v>45932</v>
      </c>
      <c r="C1830" s="283" t="s">
        <v>1721</v>
      </c>
      <c r="F1830" s="283" t="s">
        <v>2187</v>
      </c>
      <c r="G1830" s="262" t="s">
        <v>1258</v>
      </c>
      <c r="H1830" s="258">
        <v>130000</v>
      </c>
      <c r="I1830" s="262">
        <v>5</v>
      </c>
      <c r="L1830" s="258">
        <v>650000</v>
      </c>
    </row>
    <row r="1831" spans="1:15">
      <c r="A1831" s="264">
        <v>1830</v>
      </c>
      <c r="B1831" s="257">
        <v>45932</v>
      </c>
      <c r="C1831" s="283" t="s">
        <v>1721</v>
      </c>
      <c r="F1831" s="283" t="s">
        <v>2190</v>
      </c>
      <c r="G1831" s="262" t="s">
        <v>1794</v>
      </c>
      <c r="H1831" s="258">
        <v>35000</v>
      </c>
      <c r="I1831" s="262">
        <v>3</v>
      </c>
      <c r="L1831" s="258">
        <v>105000</v>
      </c>
    </row>
    <row r="1832" spans="1:15">
      <c r="A1832" s="264">
        <v>1831</v>
      </c>
      <c r="B1832" s="257">
        <v>45932</v>
      </c>
      <c r="C1832" s="283" t="s">
        <v>1789</v>
      </c>
      <c r="F1832" s="283" t="s">
        <v>1202</v>
      </c>
      <c r="G1832" s="262" t="s">
        <v>1751</v>
      </c>
      <c r="H1832" s="258">
        <v>1200000</v>
      </c>
      <c r="I1832" s="262">
        <v>1</v>
      </c>
      <c r="L1832" s="258">
        <v>1200000</v>
      </c>
    </row>
    <row r="1833" spans="1:15">
      <c r="A1833" s="264">
        <v>1832</v>
      </c>
      <c r="B1833" s="257">
        <v>45932</v>
      </c>
      <c r="C1833" s="283" t="s">
        <v>1398</v>
      </c>
      <c r="F1833" s="283" t="s">
        <v>2106</v>
      </c>
      <c r="G1833" s="262">
        <v>36050661</v>
      </c>
      <c r="H1833" s="258">
        <v>1200000</v>
      </c>
      <c r="I1833" s="262">
        <v>1</v>
      </c>
      <c r="L1833" s="258">
        <v>1200000</v>
      </c>
    </row>
    <row r="1834" spans="1:15">
      <c r="A1834" s="264">
        <v>1833</v>
      </c>
      <c r="B1834" s="257">
        <v>45932</v>
      </c>
      <c r="C1834" s="283" t="s">
        <v>1398</v>
      </c>
      <c r="F1834" s="283" t="s">
        <v>3834</v>
      </c>
      <c r="G1834" s="262" t="s">
        <v>3833</v>
      </c>
      <c r="H1834" s="258">
        <v>600000</v>
      </c>
      <c r="I1834" s="262">
        <v>1</v>
      </c>
      <c r="L1834" s="258">
        <v>600000</v>
      </c>
    </row>
    <row r="1835" spans="1:15">
      <c r="A1835" s="264">
        <v>1834</v>
      </c>
      <c r="B1835" s="257">
        <v>45932</v>
      </c>
      <c r="C1835" s="283" t="s">
        <v>3828</v>
      </c>
      <c r="F1835" s="283" t="s">
        <v>2177</v>
      </c>
      <c r="G1835" s="262" t="s">
        <v>1463</v>
      </c>
      <c r="H1835" s="258">
        <v>1500000</v>
      </c>
      <c r="I1835" s="262">
        <v>1</v>
      </c>
      <c r="L1835" s="258">
        <v>1500000</v>
      </c>
      <c r="O1835" s="283" t="s">
        <v>3838</v>
      </c>
    </row>
    <row r="1836" spans="1:15">
      <c r="A1836" s="264">
        <v>1835</v>
      </c>
      <c r="B1836" s="257">
        <v>45932</v>
      </c>
      <c r="C1836" s="283" t="s">
        <v>2144</v>
      </c>
      <c r="F1836" s="283" t="s">
        <v>2195</v>
      </c>
      <c r="G1836" s="262">
        <v>2820403</v>
      </c>
      <c r="H1836" s="258">
        <v>1600000</v>
      </c>
      <c r="I1836" s="262">
        <v>1</v>
      </c>
      <c r="L1836" s="258">
        <v>1600000</v>
      </c>
    </row>
    <row r="1837" spans="1:15">
      <c r="A1837" s="264">
        <v>1836</v>
      </c>
      <c r="B1837" s="257">
        <v>45933</v>
      </c>
      <c r="C1837" s="283" t="s">
        <v>2144</v>
      </c>
      <c r="F1837" s="283" t="s">
        <v>3841</v>
      </c>
      <c r="M1837" s="258">
        <v>-1600000</v>
      </c>
    </row>
    <row r="1838" spans="1:15">
      <c r="A1838" s="264">
        <v>1837</v>
      </c>
      <c r="B1838" s="257">
        <v>45932</v>
      </c>
      <c r="C1838" s="283" t="s">
        <v>3828</v>
      </c>
      <c r="F1838" s="283" t="s">
        <v>3842</v>
      </c>
      <c r="M1838" s="258">
        <v>-1500000</v>
      </c>
    </row>
    <row r="1839" spans="1:15">
      <c r="A1839" s="264">
        <v>1838</v>
      </c>
      <c r="B1839" s="257">
        <v>45933</v>
      </c>
      <c r="C1839" s="283" t="s">
        <v>1721</v>
      </c>
      <c r="F1839" s="283" t="s">
        <v>3843</v>
      </c>
      <c r="M1839" s="258">
        <v>-8468000</v>
      </c>
    </row>
    <row r="1840" spans="1:15">
      <c r="A1840" s="264">
        <v>1839</v>
      </c>
      <c r="B1840" s="257">
        <v>45933</v>
      </c>
      <c r="C1840" s="283" t="s">
        <v>1478</v>
      </c>
      <c r="F1840" s="283" t="s">
        <v>3844</v>
      </c>
      <c r="M1840" s="258">
        <v>-1450000</v>
      </c>
    </row>
    <row r="1841" spans="1:15">
      <c r="A1841" s="264">
        <v>1840</v>
      </c>
      <c r="B1841" s="257">
        <v>45933</v>
      </c>
      <c r="C1841" s="283" t="s">
        <v>1869</v>
      </c>
      <c r="F1841" s="283" t="s">
        <v>3845</v>
      </c>
      <c r="M1841" s="258">
        <v>-150000</v>
      </c>
    </row>
    <row r="1842" spans="1:15">
      <c r="A1842" s="264">
        <v>1841</v>
      </c>
      <c r="B1842" s="257">
        <v>45933</v>
      </c>
      <c r="C1842" s="283" t="s">
        <v>2144</v>
      </c>
      <c r="F1842" s="283" t="s">
        <v>1548</v>
      </c>
      <c r="G1842" s="262">
        <v>24152333903</v>
      </c>
      <c r="H1842" s="258">
        <v>50000</v>
      </c>
      <c r="I1842" s="262">
        <v>1</v>
      </c>
      <c r="L1842" s="258">
        <v>50000</v>
      </c>
    </row>
    <row r="1843" spans="1:15">
      <c r="A1843" s="264">
        <v>1842</v>
      </c>
      <c r="B1843" s="257">
        <v>45933</v>
      </c>
      <c r="C1843" s="283" t="s">
        <v>1930</v>
      </c>
      <c r="F1843" s="283" t="s">
        <v>3123</v>
      </c>
      <c r="G1843" s="262">
        <v>6058008122</v>
      </c>
      <c r="H1843" s="258">
        <v>2500000</v>
      </c>
      <c r="I1843" s="262">
        <v>1</v>
      </c>
      <c r="L1843" s="258">
        <v>2500000</v>
      </c>
    </row>
    <row r="1844" spans="1:15">
      <c r="A1844" s="264">
        <v>1843</v>
      </c>
      <c r="B1844" s="257">
        <v>45933</v>
      </c>
      <c r="C1844" s="283" t="s">
        <v>1930</v>
      </c>
      <c r="F1844" s="283" t="s">
        <v>2036</v>
      </c>
      <c r="G1844" s="262">
        <v>2830406</v>
      </c>
      <c r="H1844" s="258">
        <v>1100000</v>
      </c>
      <c r="I1844" s="262">
        <v>1</v>
      </c>
      <c r="L1844" s="258">
        <v>1100000</v>
      </c>
    </row>
    <row r="1845" spans="1:15">
      <c r="A1845" s="264">
        <v>1844</v>
      </c>
      <c r="B1845" s="257">
        <v>45938</v>
      </c>
      <c r="C1845" s="283" t="s">
        <v>2621</v>
      </c>
      <c r="F1845" s="283" t="s">
        <v>3851</v>
      </c>
      <c r="M1845" s="258">
        <v>-2200000</v>
      </c>
    </row>
    <row r="1846" spans="1:15">
      <c r="A1846" s="264">
        <v>1845</v>
      </c>
      <c r="B1846" s="257">
        <v>45939</v>
      </c>
      <c r="C1846" s="283" t="s">
        <v>1579</v>
      </c>
      <c r="F1846" s="283" t="s">
        <v>2188</v>
      </c>
      <c r="H1846" s="258">
        <v>100000</v>
      </c>
      <c r="I1846" s="262">
        <v>1</v>
      </c>
      <c r="K1846" s="259">
        <v>10000</v>
      </c>
      <c r="L1846" s="258">
        <v>110000</v>
      </c>
    </row>
    <row r="1847" spans="1:15">
      <c r="A1847" s="264">
        <v>1846</v>
      </c>
      <c r="B1847" s="257">
        <v>45939</v>
      </c>
      <c r="C1847" s="283" t="s">
        <v>1443</v>
      </c>
      <c r="F1847" s="283" t="s">
        <v>1984</v>
      </c>
      <c r="H1847" s="258">
        <v>150000</v>
      </c>
      <c r="I1847" s="262">
        <v>1</v>
      </c>
      <c r="L1847" s="258">
        <v>150000</v>
      </c>
    </row>
    <row r="1848" spans="1:15">
      <c r="A1848" s="264">
        <v>1847</v>
      </c>
      <c r="B1848" s="257">
        <v>45940</v>
      </c>
      <c r="C1848" s="283" t="s">
        <v>1305</v>
      </c>
      <c r="F1848" s="283" t="s">
        <v>2177</v>
      </c>
      <c r="G1848" s="262" t="s">
        <v>1463</v>
      </c>
      <c r="H1848" s="258">
        <v>0</v>
      </c>
      <c r="I1848" s="262">
        <v>1</v>
      </c>
      <c r="L1848" s="258">
        <v>0</v>
      </c>
      <c r="O1848" s="283" t="s">
        <v>3858</v>
      </c>
    </row>
    <row r="1849" spans="1:15">
      <c r="A1849" s="264">
        <v>1848</v>
      </c>
      <c r="B1849" s="257">
        <v>45940</v>
      </c>
      <c r="C1849" s="283" t="s">
        <v>1053</v>
      </c>
      <c r="F1849" s="283" t="s">
        <v>3859</v>
      </c>
      <c r="M1849" s="258">
        <v>-2000000</v>
      </c>
    </row>
    <row r="1850" spans="1:15">
      <c r="A1850" s="264">
        <v>1849</v>
      </c>
      <c r="B1850" s="257">
        <v>45940</v>
      </c>
      <c r="C1850" s="283" t="s">
        <v>1746</v>
      </c>
      <c r="F1850" s="283" t="s">
        <v>2918</v>
      </c>
      <c r="G1850" s="262">
        <v>602000700</v>
      </c>
      <c r="H1850" s="258">
        <v>358182</v>
      </c>
      <c r="I1850" s="262">
        <v>1</v>
      </c>
      <c r="K1850" s="259">
        <v>35818</v>
      </c>
      <c r="L1850" s="258">
        <v>394000</v>
      </c>
    </row>
    <row r="1851" spans="1:15">
      <c r="A1851" s="264">
        <v>1850</v>
      </c>
      <c r="B1851" s="257">
        <v>45940</v>
      </c>
      <c r="C1851" s="283" t="s">
        <v>1746</v>
      </c>
      <c r="F1851" s="283" t="s">
        <v>2917</v>
      </c>
      <c r="G1851" s="262">
        <v>415054509</v>
      </c>
      <c r="H1851" s="258">
        <v>350000</v>
      </c>
      <c r="I1851" s="262">
        <v>1</v>
      </c>
      <c r="K1851" s="259">
        <v>35000</v>
      </c>
      <c r="L1851" s="258">
        <v>385000</v>
      </c>
    </row>
    <row r="1852" spans="1:15">
      <c r="A1852" s="264">
        <v>1851</v>
      </c>
      <c r="B1852" s="257">
        <v>45940</v>
      </c>
      <c r="C1852" s="283" t="s">
        <v>1746</v>
      </c>
      <c r="F1852" s="283" t="s">
        <v>3861</v>
      </c>
      <c r="G1852" s="262">
        <v>410013910</v>
      </c>
      <c r="H1852" s="258">
        <v>9091</v>
      </c>
      <c r="I1852" s="262">
        <v>1</v>
      </c>
      <c r="K1852" s="259">
        <v>909</v>
      </c>
      <c r="L1852" s="258">
        <v>10000</v>
      </c>
    </row>
    <row r="1853" spans="1:15">
      <c r="A1853" s="264">
        <v>1852</v>
      </c>
      <c r="B1853" s="257">
        <v>45940</v>
      </c>
      <c r="C1853" s="283" t="s">
        <v>1576</v>
      </c>
      <c r="F1853" s="283" t="s">
        <v>2797</v>
      </c>
      <c r="G1853" s="262">
        <v>1094302044</v>
      </c>
      <c r="H1853" s="258">
        <v>300000</v>
      </c>
      <c r="I1853" s="262">
        <v>1</v>
      </c>
      <c r="K1853" s="259">
        <v>30000</v>
      </c>
      <c r="L1853" s="258">
        <v>330000</v>
      </c>
    </row>
    <row r="1854" spans="1:15">
      <c r="A1854" s="264">
        <v>1853</v>
      </c>
      <c r="B1854" s="257">
        <v>45940</v>
      </c>
      <c r="C1854" s="283" t="s">
        <v>1576</v>
      </c>
      <c r="F1854" s="283" t="s">
        <v>1758</v>
      </c>
      <c r="G1854" s="262">
        <v>501220639</v>
      </c>
      <c r="H1854" s="258">
        <v>250000</v>
      </c>
      <c r="I1854" s="262">
        <v>1</v>
      </c>
      <c r="K1854" s="259">
        <v>25000</v>
      </c>
      <c r="L1854" s="258">
        <v>275000</v>
      </c>
    </row>
    <row r="1855" spans="1:15">
      <c r="A1855" s="264">
        <v>1854</v>
      </c>
      <c r="B1855" s="257">
        <v>45940</v>
      </c>
      <c r="C1855" s="283" t="s">
        <v>1576</v>
      </c>
      <c r="F1855" s="283" t="s">
        <v>3636</v>
      </c>
      <c r="G1855" s="262" t="s">
        <v>3635</v>
      </c>
      <c r="H1855" s="258">
        <v>30000</v>
      </c>
      <c r="I1855" s="262">
        <v>1</v>
      </c>
      <c r="K1855" s="259">
        <v>3000</v>
      </c>
      <c r="L1855" s="258">
        <v>33000</v>
      </c>
    </row>
    <row r="1856" spans="1:15">
      <c r="A1856" s="264">
        <v>1855</v>
      </c>
      <c r="B1856" s="257">
        <v>45940</v>
      </c>
      <c r="C1856" s="283" t="s">
        <v>1377</v>
      </c>
      <c r="F1856" s="283" t="s">
        <v>2181</v>
      </c>
      <c r="G1856" s="262" t="s">
        <v>2216</v>
      </c>
      <c r="H1856" s="258">
        <v>250000</v>
      </c>
      <c r="I1856" s="262">
        <v>1</v>
      </c>
      <c r="L1856" s="258">
        <v>250000</v>
      </c>
      <c r="O1856" s="295" t="s">
        <v>3866</v>
      </c>
    </row>
    <row r="1857" spans="1:13">
      <c r="A1857" s="264">
        <v>1856</v>
      </c>
      <c r="B1857" s="257">
        <v>45940</v>
      </c>
      <c r="C1857" s="283" t="s">
        <v>1372</v>
      </c>
      <c r="F1857" s="283" t="s">
        <v>2179</v>
      </c>
      <c r="G1857" s="262" t="s">
        <v>1200</v>
      </c>
      <c r="H1857" s="258">
        <v>1500000</v>
      </c>
      <c r="I1857" s="262">
        <v>1</v>
      </c>
      <c r="L1857" s="258">
        <v>1500000</v>
      </c>
    </row>
    <row r="1858" spans="1:13">
      <c r="A1858" s="264">
        <v>1857</v>
      </c>
      <c r="B1858" s="257">
        <v>45940</v>
      </c>
      <c r="C1858" s="283" t="s">
        <v>1372</v>
      </c>
      <c r="F1858" s="283" t="s">
        <v>2180</v>
      </c>
      <c r="G1858" s="262" t="s">
        <v>1802</v>
      </c>
      <c r="H1858" s="258">
        <v>50000</v>
      </c>
      <c r="I1858" s="262">
        <v>1</v>
      </c>
      <c r="L1858" s="258">
        <v>50000</v>
      </c>
    </row>
    <row r="1859" spans="1:13">
      <c r="A1859" s="264">
        <v>1858</v>
      </c>
      <c r="B1859" s="257">
        <v>45940</v>
      </c>
      <c r="C1859" s="283" t="s">
        <v>1015</v>
      </c>
      <c r="F1859" s="283" t="s">
        <v>2026</v>
      </c>
      <c r="G1859" s="262" t="s">
        <v>1215</v>
      </c>
      <c r="H1859" s="258">
        <v>1500000</v>
      </c>
      <c r="I1859" s="262">
        <v>1</v>
      </c>
      <c r="K1859" s="259">
        <v>150000</v>
      </c>
      <c r="L1859" s="258">
        <v>1650000</v>
      </c>
    </row>
    <row r="1860" spans="1:13">
      <c r="A1860" s="264">
        <v>1859</v>
      </c>
      <c r="B1860" s="257">
        <v>45940</v>
      </c>
      <c r="C1860" s="283" t="s">
        <v>3400</v>
      </c>
      <c r="F1860" s="283" t="s">
        <v>2179</v>
      </c>
      <c r="G1860" s="262" t="s">
        <v>1200</v>
      </c>
      <c r="H1860" s="258">
        <v>1500000</v>
      </c>
      <c r="I1860" s="262">
        <v>1</v>
      </c>
      <c r="L1860" s="258">
        <v>1500000</v>
      </c>
    </row>
    <row r="1861" spans="1:13">
      <c r="A1861" s="264">
        <v>1860</v>
      </c>
      <c r="B1861" s="257">
        <v>45940</v>
      </c>
      <c r="C1861" s="283" t="s">
        <v>3400</v>
      </c>
      <c r="F1861" s="283" t="s">
        <v>2180</v>
      </c>
      <c r="G1861" s="262" t="s">
        <v>1802</v>
      </c>
      <c r="H1861" s="258">
        <v>50000</v>
      </c>
      <c r="I1861" s="262">
        <v>1</v>
      </c>
      <c r="L1861" s="258">
        <v>50000</v>
      </c>
    </row>
    <row r="1862" spans="1:13">
      <c r="A1862" s="264">
        <v>1861</v>
      </c>
      <c r="B1862" s="257">
        <v>45940</v>
      </c>
      <c r="C1862" s="283" t="s">
        <v>1172</v>
      </c>
      <c r="F1862" s="283" t="s">
        <v>1742</v>
      </c>
      <c r="H1862" s="258">
        <v>650000</v>
      </c>
      <c r="I1862" s="262">
        <v>1</v>
      </c>
      <c r="L1862" s="258">
        <v>650000</v>
      </c>
    </row>
    <row r="1863" spans="1:13">
      <c r="A1863" s="264">
        <v>1862</v>
      </c>
      <c r="B1863" s="257">
        <v>45940</v>
      </c>
      <c r="C1863" s="283" t="s">
        <v>2484</v>
      </c>
      <c r="F1863" s="283" t="s">
        <v>1716</v>
      </c>
      <c r="G1863" s="262">
        <v>2800802</v>
      </c>
      <c r="H1863" s="258">
        <v>150000</v>
      </c>
      <c r="I1863" s="262">
        <v>1</v>
      </c>
      <c r="L1863" s="258">
        <v>150000</v>
      </c>
    </row>
    <row r="1864" spans="1:13">
      <c r="A1864" s="264">
        <v>1863</v>
      </c>
      <c r="B1864" s="257">
        <v>45940</v>
      </c>
      <c r="C1864" s="283" t="s">
        <v>3825</v>
      </c>
      <c r="F1864" s="283" t="s">
        <v>3467</v>
      </c>
      <c r="G1864" s="262" t="s">
        <v>1206</v>
      </c>
      <c r="H1864" s="258">
        <v>526364</v>
      </c>
      <c r="I1864" s="262">
        <v>1</v>
      </c>
      <c r="K1864" s="259">
        <v>52636</v>
      </c>
      <c r="L1864" s="258">
        <v>579000</v>
      </c>
    </row>
    <row r="1865" spans="1:13">
      <c r="A1865" s="264">
        <v>1864</v>
      </c>
      <c r="B1865" s="257">
        <v>45940</v>
      </c>
      <c r="C1865" s="283" t="s">
        <v>1597</v>
      </c>
      <c r="F1865" s="283" t="s">
        <v>1202</v>
      </c>
      <c r="G1865" s="262" t="s">
        <v>1751</v>
      </c>
      <c r="H1865" s="258">
        <v>1000000</v>
      </c>
      <c r="I1865" s="262">
        <v>1</v>
      </c>
      <c r="L1865" s="258">
        <v>1000000</v>
      </c>
    </row>
    <row r="1866" spans="1:13">
      <c r="A1866" s="264">
        <v>1865</v>
      </c>
      <c r="B1866" s="257">
        <v>45940</v>
      </c>
      <c r="C1866" s="283" t="s">
        <v>1531</v>
      </c>
      <c r="F1866" s="283" t="s">
        <v>1202</v>
      </c>
      <c r="G1866" s="262" t="s">
        <v>1751</v>
      </c>
      <c r="H1866" s="258">
        <v>1300000</v>
      </c>
      <c r="I1866" s="262">
        <v>1</v>
      </c>
      <c r="L1866" s="258">
        <v>1300000</v>
      </c>
    </row>
    <row r="1867" spans="1:13">
      <c r="A1867" s="264">
        <v>1866</v>
      </c>
      <c r="B1867" s="257">
        <v>45940</v>
      </c>
      <c r="C1867" s="283" t="s">
        <v>1531</v>
      </c>
      <c r="F1867" s="283" t="s">
        <v>2838</v>
      </c>
      <c r="G1867" s="262" t="s">
        <v>2748</v>
      </c>
      <c r="H1867" s="258">
        <v>129000</v>
      </c>
      <c r="I1867" s="262">
        <v>1</v>
      </c>
      <c r="L1867" s="258">
        <v>129000</v>
      </c>
    </row>
    <row r="1868" spans="1:13">
      <c r="A1868" s="264">
        <v>1867</v>
      </c>
      <c r="B1868" s="257">
        <v>45940</v>
      </c>
      <c r="C1868" s="283" t="s">
        <v>2144</v>
      </c>
      <c r="F1868" s="283" t="s">
        <v>3876</v>
      </c>
      <c r="M1868" s="258">
        <v>-50000</v>
      </c>
    </row>
    <row r="1869" spans="1:13">
      <c r="A1869" s="264">
        <v>1868</v>
      </c>
      <c r="B1869" s="257">
        <v>45940</v>
      </c>
      <c r="C1869" s="283" t="s">
        <v>1597</v>
      </c>
      <c r="F1869" s="283" t="s">
        <v>3877</v>
      </c>
      <c r="M1869" s="258">
        <v>-1000000</v>
      </c>
    </row>
    <row r="1870" spans="1:13">
      <c r="A1870" s="264">
        <v>1869</v>
      </c>
      <c r="B1870" s="257">
        <v>45940</v>
      </c>
      <c r="C1870" s="283" t="s">
        <v>3825</v>
      </c>
      <c r="F1870" s="283" t="s">
        <v>3878</v>
      </c>
      <c r="M1870" s="258">
        <v>-579000</v>
      </c>
    </row>
    <row r="1871" spans="1:13">
      <c r="A1871" s="264">
        <v>1870</v>
      </c>
      <c r="B1871" s="257">
        <v>45940</v>
      </c>
      <c r="C1871" s="283" t="s">
        <v>2484</v>
      </c>
      <c r="F1871" s="283" t="s">
        <v>3880</v>
      </c>
      <c r="M1871" s="258">
        <v>-150000</v>
      </c>
    </row>
    <row r="1872" spans="1:13">
      <c r="A1872" s="264">
        <v>1871</v>
      </c>
      <c r="B1872" s="257">
        <v>45940</v>
      </c>
      <c r="C1872" s="283" t="s">
        <v>3400</v>
      </c>
      <c r="F1872" s="283" t="s">
        <v>3881</v>
      </c>
      <c r="M1872" s="258">
        <v>-1550000</v>
      </c>
    </row>
    <row r="1873" spans="1:15">
      <c r="A1873" s="264">
        <v>1872</v>
      </c>
      <c r="B1873" s="257">
        <v>45932</v>
      </c>
      <c r="C1873" s="283" t="s">
        <v>1789</v>
      </c>
      <c r="F1873" s="283" t="s">
        <v>1518</v>
      </c>
      <c r="H1873" s="258">
        <v>20000</v>
      </c>
      <c r="I1873" s="262">
        <v>1</v>
      </c>
      <c r="L1873" s="258">
        <v>20000</v>
      </c>
    </row>
    <row r="1874" spans="1:15">
      <c r="A1874" s="264">
        <v>1873</v>
      </c>
      <c r="B1874" s="257">
        <v>45941</v>
      </c>
      <c r="C1874" s="283" t="s">
        <v>2996</v>
      </c>
      <c r="F1874" s="283" t="s">
        <v>1202</v>
      </c>
      <c r="G1874" s="262" t="s">
        <v>1751</v>
      </c>
      <c r="H1874" s="258">
        <v>1200000</v>
      </c>
      <c r="I1874" s="262">
        <v>1</v>
      </c>
      <c r="L1874" s="258">
        <v>1200000</v>
      </c>
    </row>
    <row r="1875" spans="1:15">
      <c r="A1875" s="264">
        <v>1874</v>
      </c>
      <c r="B1875" s="257">
        <v>45941</v>
      </c>
      <c r="C1875" s="283" t="s">
        <v>1721</v>
      </c>
      <c r="F1875" s="283" t="s">
        <v>1743</v>
      </c>
      <c r="G1875" s="262">
        <v>2830501</v>
      </c>
      <c r="H1875" s="258">
        <v>1550000</v>
      </c>
      <c r="I1875" s="262">
        <v>1</v>
      </c>
      <c r="L1875" s="258">
        <v>1550000</v>
      </c>
    </row>
    <row r="1876" spans="1:15">
      <c r="A1876" s="264">
        <v>1875</v>
      </c>
      <c r="B1876" s="257">
        <v>45943</v>
      </c>
      <c r="C1876" s="283" t="s">
        <v>1377</v>
      </c>
      <c r="F1876" s="283" t="s">
        <v>2179</v>
      </c>
      <c r="G1876" s="262" t="s">
        <v>1200</v>
      </c>
      <c r="H1876" s="258">
        <v>0</v>
      </c>
      <c r="I1876" s="262">
        <v>1</v>
      </c>
      <c r="L1876" s="258">
        <v>0</v>
      </c>
      <c r="O1876" s="283" t="s">
        <v>3891</v>
      </c>
    </row>
    <row r="1877" spans="1:15">
      <c r="A1877" s="264">
        <v>1876</v>
      </c>
      <c r="B1877" s="257">
        <v>45943</v>
      </c>
      <c r="C1877" s="283" t="s">
        <v>1531</v>
      </c>
      <c r="F1877" s="283" t="s">
        <v>1124</v>
      </c>
      <c r="M1877" s="258">
        <v>-1429000</v>
      </c>
    </row>
    <row r="1878" spans="1:15">
      <c r="A1878" s="264">
        <v>1877</v>
      </c>
      <c r="B1878" s="257">
        <v>45943</v>
      </c>
      <c r="C1878" s="283" t="s">
        <v>1398</v>
      </c>
      <c r="F1878" s="283" t="s">
        <v>1742</v>
      </c>
      <c r="H1878" s="258">
        <v>650000</v>
      </c>
      <c r="I1878" s="262">
        <v>1</v>
      </c>
      <c r="L1878" s="258">
        <v>650000</v>
      </c>
    </row>
    <row r="1879" spans="1:15">
      <c r="A1879" s="264">
        <v>1878</v>
      </c>
      <c r="B1879" s="257">
        <v>45943</v>
      </c>
      <c r="C1879" s="283" t="s">
        <v>1377</v>
      </c>
      <c r="F1879" s="283" t="s">
        <v>3889</v>
      </c>
      <c r="G1879" s="262">
        <v>9009381061816</v>
      </c>
      <c r="H1879" s="258">
        <v>350000</v>
      </c>
      <c r="I1879" s="262">
        <v>1</v>
      </c>
      <c r="L1879" s="258">
        <v>350000</v>
      </c>
      <c r="O1879" s="283" t="s">
        <v>3893</v>
      </c>
    </row>
    <row r="1880" spans="1:15">
      <c r="A1880" s="264">
        <v>1879</v>
      </c>
      <c r="B1880" s="257">
        <v>45943</v>
      </c>
      <c r="C1880" s="283" t="s">
        <v>3895</v>
      </c>
      <c r="F1880" s="283" t="s">
        <v>3467</v>
      </c>
      <c r="G1880" s="262" t="s">
        <v>1206</v>
      </c>
      <c r="H1880" s="258">
        <v>580000</v>
      </c>
      <c r="I1880" s="262">
        <v>1</v>
      </c>
      <c r="L1880" s="258">
        <v>580000</v>
      </c>
    </row>
    <row r="1881" spans="1:15">
      <c r="A1881" s="264">
        <v>1880</v>
      </c>
      <c r="B1881" s="257">
        <v>45943</v>
      </c>
      <c r="C1881" s="283" t="s">
        <v>1579</v>
      </c>
      <c r="F1881" s="283" t="s">
        <v>2411</v>
      </c>
      <c r="G1881" s="262">
        <v>1087298441</v>
      </c>
      <c r="H1881" s="258">
        <v>40000</v>
      </c>
      <c r="I1881" s="262">
        <v>1</v>
      </c>
      <c r="K1881" s="259">
        <v>4000</v>
      </c>
      <c r="L1881" s="258">
        <v>44000</v>
      </c>
    </row>
    <row r="1882" spans="1:15">
      <c r="A1882" s="264">
        <v>1881</v>
      </c>
      <c r="B1882" s="257">
        <v>45943</v>
      </c>
      <c r="C1882" s="283" t="s">
        <v>2616</v>
      </c>
      <c r="F1882" s="283" t="s">
        <v>3467</v>
      </c>
      <c r="G1882" s="262" t="s">
        <v>1206</v>
      </c>
      <c r="H1882" s="258">
        <v>526364</v>
      </c>
      <c r="I1882" s="262">
        <v>5</v>
      </c>
      <c r="K1882" s="259">
        <v>263182</v>
      </c>
      <c r="L1882" s="258">
        <v>2895002</v>
      </c>
    </row>
    <row r="1883" spans="1:15">
      <c r="A1883" s="264">
        <v>1882</v>
      </c>
      <c r="B1883" s="257">
        <v>45943</v>
      </c>
      <c r="C1883" s="283" t="s">
        <v>2616</v>
      </c>
      <c r="F1883" s="283" t="s">
        <v>3342</v>
      </c>
      <c r="H1883" s="258">
        <v>-2</v>
      </c>
      <c r="I1883" s="262">
        <v>1</v>
      </c>
      <c r="L1883" s="258">
        <v>-2</v>
      </c>
    </row>
    <row r="1884" spans="1:15">
      <c r="A1884" s="264">
        <v>1883</v>
      </c>
      <c r="B1884" s="257">
        <v>45943</v>
      </c>
      <c r="C1884" s="283" t="s">
        <v>3901</v>
      </c>
      <c r="F1884" s="283" t="s">
        <v>2182</v>
      </c>
      <c r="G1884" s="262" t="s">
        <v>1719</v>
      </c>
      <c r="H1884" s="258">
        <v>60000</v>
      </c>
      <c r="I1884" s="262">
        <v>1</v>
      </c>
      <c r="K1884" s="259">
        <v>6000</v>
      </c>
      <c r="L1884" s="258">
        <v>66000</v>
      </c>
    </row>
    <row r="1885" spans="1:15">
      <c r="A1885" s="264">
        <v>1884</v>
      </c>
      <c r="B1885" s="257">
        <v>45943</v>
      </c>
      <c r="C1885" s="283" t="s">
        <v>3901</v>
      </c>
      <c r="F1885" s="283" t="s">
        <v>2180</v>
      </c>
      <c r="G1885" s="262" t="s">
        <v>1802</v>
      </c>
      <c r="H1885" s="258">
        <v>70000</v>
      </c>
      <c r="I1885" s="262">
        <v>1</v>
      </c>
      <c r="K1885" s="259">
        <v>7000</v>
      </c>
      <c r="L1885" s="258">
        <v>77000</v>
      </c>
    </row>
    <row r="1886" spans="1:15">
      <c r="A1886" s="264">
        <v>1885</v>
      </c>
      <c r="B1886" s="257">
        <v>45943</v>
      </c>
      <c r="C1886" s="283" t="s">
        <v>3268</v>
      </c>
      <c r="F1886" s="283" t="s">
        <v>1560</v>
      </c>
      <c r="G1886" s="262" t="s">
        <v>2695</v>
      </c>
      <c r="H1886" s="258">
        <v>200000</v>
      </c>
      <c r="I1886" s="262">
        <v>1</v>
      </c>
      <c r="L1886" s="258">
        <v>200000</v>
      </c>
    </row>
    <row r="1887" spans="1:15">
      <c r="A1887" s="58">
        <v>1886</v>
      </c>
      <c r="B1887" s="257">
        <v>45943</v>
      </c>
      <c r="C1887" s="283" t="s">
        <v>2616</v>
      </c>
      <c r="F1887" s="283" t="s">
        <v>3905</v>
      </c>
      <c r="M1887" s="258">
        <v>-2895000</v>
      </c>
    </row>
    <row r="1888" spans="1:15">
      <c r="A1888" s="58">
        <v>1887</v>
      </c>
      <c r="B1888" s="257">
        <v>45943</v>
      </c>
      <c r="C1888" s="283" t="s">
        <v>3901</v>
      </c>
      <c r="F1888" s="283" t="s">
        <v>3907</v>
      </c>
      <c r="M1888" s="258">
        <v>-143000</v>
      </c>
    </row>
    <row r="1889" spans="1:14">
      <c r="A1889" s="58">
        <v>1888</v>
      </c>
      <c r="B1889" s="257">
        <v>45943</v>
      </c>
      <c r="C1889" s="283" t="s">
        <v>1018</v>
      </c>
      <c r="F1889" s="283" t="s">
        <v>3909</v>
      </c>
      <c r="M1889" s="258">
        <v>-3400000</v>
      </c>
    </row>
    <row r="1890" spans="1:14">
      <c r="A1890" s="58">
        <v>1889</v>
      </c>
      <c r="B1890" s="257">
        <v>45943</v>
      </c>
      <c r="C1890" s="283" t="s">
        <v>1172</v>
      </c>
      <c r="F1890" s="283" t="s">
        <v>3911</v>
      </c>
      <c r="M1890" s="258">
        <v>-650000</v>
      </c>
    </row>
    <row r="1891" spans="1:14">
      <c r="A1891" s="58">
        <v>1890</v>
      </c>
      <c r="B1891" s="257">
        <v>45943</v>
      </c>
      <c r="C1891" s="283" t="s">
        <v>3268</v>
      </c>
      <c r="F1891" s="283" t="s">
        <v>3913</v>
      </c>
      <c r="M1891" s="258">
        <v>-200000</v>
      </c>
    </row>
    <row r="1892" spans="1:14">
      <c r="A1892" s="58">
        <v>1891</v>
      </c>
      <c r="B1892" s="257">
        <v>45943</v>
      </c>
      <c r="C1892" s="283" t="s">
        <v>3895</v>
      </c>
      <c r="F1892" s="283" t="s">
        <v>3915</v>
      </c>
      <c r="M1892" s="258">
        <v>-580000</v>
      </c>
    </row>
    <row r="1893" spans="1:14">
      <c r="A1893" s="58">
        <v>1892</v>
      </c>
      <c r="B1893" s="257">
        <v>45943</v>
      </c>
      <c r="C1893" s="283" t="s">
        <v>1866</v>
      </c>
      <c r="F1893" s="283" t="s">
        <v>1742</v>
      </c>
      <c r="H1893" s="258">
        <v>1100000</v>
      </c>
      <c r="I1893" s="262">
        <v>1</v>
      </c>
      <c r="L1893" s="258">
        <v>1100000</v>
      </c>
    </row>
    <row r="1894" spans="1:14">
      <c r="A1894" s="58">
        <v>1893</v>
      </c>
      <c r="B1894" s="257">
        <v>45943</v>
      </c>
      <c r="C1894" s="283" t="s">
        <v>1553</v>
      </c>
      <c r="F1894" s="283" t="s">
        <v>1202</v>
      </c>
      <c r="G1894" s="262" t="s">
        <v>1751</v>
      </c>
      <c r="H1894" s="258">
        <v>1200000</v>
      </c>
      <c r="I1894" s="262">
        <v>1</v>
      </c>
      <c r="K1894" s="259">
        <v>120000</v>
      </c>
      <c r="L1894" s="258">
        <v>1320000</v>
      </c>
    </row>
    <row r="1895" spans="1:14">
      <c r="A1895" s="58">
        <v>1894</v>
      </c>
      <c r="B1895" s="257">
        <v>45943</v>
      </c>
      <c r="C1895" s="283" t="s">
        <v>1553</v>
      </c>
      <c r="D1895" s="283" t="s">
        <v>3925</v>
      </c>
      <c r="F1895" s="283" t="s">
        <v>1495</v>
      </c>
      <c r="G1895" s="262" t="s">
        <v>2677</v>
      </c>
      <c r="H1895" s="258">
        <v>350000</v>
      </c>
      <c r="I1895" s="262">
        <v>1</v>
      </c>
      <c r="K1895" s="259">
        <v>35000</v>
      </c>
      <c r="L1895" s="258">
        <v>385000</v>
      </c>
    </row>
    <row r="1896" spans="1:14">
      <c r="A1896" s="58">
        <v>1895</v>
      </c>
      <c r="B1896" s="257">
        <v>45972</v>
      </c>
      <c r="C1896" s="283" t="s">
        <v>1576</v>
      </c>
      <c r="D1896" s="283" t="s">
        <v>3959</v>
      </c>
      <c r="E1896" s="286" t="s">
        <v>3952</v>
      </c>
      <c r="F1896" s="283" t="s">
        <v>1202</v>
      </c>
      <c r="G1896" s="262" t="s">
        <v>1751</v>
      </c>
      <c r="I1896" s="262">
        <v>1</v>
      </c>
      <c r="J1896" s="259">
        <v>1</v>
      </c>
    </row>
    <row r="1897" spans="1:14">
      <c r="A1897" s="58">
        <v>1896</v>
      </c>
      <c r="B1897" s="257">
        <v>45972</v>
      </c>
      <c r="C1897" s="283" t="s">
        <v>1576</v>
      </c>
      <c r="D1897" s="283" t="s">
        <v>3959</v>
      </c>
      <c r="E1897" s="286" t="s">
        <v>3952</v>
      </c>
      <c r="F1897" s="283" t="s">
        <v>1202</v>
      </c>
      <c r="G1897" s="262" t="s">
        <v>1751</v>
      </c>
      <c r="I1897" s="262">
        <v>1</v>
      </c>
      <c r="J1897" s="259">
        <v>1</v>
      </c>
    </row>
    <row r="1898" spans="1:14">
      <c r="A1898" s="58">
        <v>1897</v>
      </c>
      <c r="B1898" s="257">
        <v>45972</v>
      </c>
      <c r="C1898" s="283" t="s">
        <v>2369</v>
      </c>
      <c r="D1898" s="283" t="s">
        <v>3959</v>
      </c>
      <c r="E1898" s="286" t="s">
        <v>3950</v>
      </c>
      <c r="F1898" s="283" t="s">
        <v>1202</v>
      </c>
      <c r="G1898" s="262" t="s">
        <v>1751</v>
      </c>
      <c r="I1898" s="262">
        <v>1</v>
      </c>
      <c r="J1898" s="259">
        <v>1</v>
      </c>
    </row>
    <row r="1899" spans="1:14">
      <c r="A1899" s="58">
        <v>1898</v>
      </c>
      <c r="B1899" s="257">
        <v>45972</v>
      </c>
      <c r="C1899" s="283" t="s">
        <v>2760</v>
      </c>
      <c r="D1899" s="283" t="s">
        <v>3959</v>
      </c>
      <c r="E1899" s="286" t="s">
        <v>3952</v>
      </c>
      <c r="F1899" s="283" t="s">
        <v>1202</v>
      </c>
      <c r="G1899" s="262" t="s">
        <v>1751</v>
      </c>
      <c r="I1899" s="262">
        <v>1</v>
      </c>
      <c r="J1899" s="259">
        <v>1</v>
      </c>
    </row>
    <row r="1900" spans="1:14">
      <c r="A1900" s="58">
        <v>1899</v>
      </c>
      <c r="B1900" s="257">
        <v>45972</v>
      </c>
      <c r="C1900" s="283" t="s">
        <v>1576</v>
      </c>
      <c r="D1900" s="283" t="s">
        <v>3959</v>
      </c>
      <c r="E1900" s="286" t="s">
        <v>3951</v>
      </c>
      <c r="F1900" s="283" t="s">
        <v>1202</v>
      </c>
      <c r="G1900" s="262" t="s">
        <v>1751</v>
      </c>
      <c r="I1900" s="262">
        <v>1</v>
      </c>
      <c r="J1900" s="259">
        <v>1</v>
      </c>
    </row>
    <row r="1901" spans="1:14">
      <c r="A1901" s="58">
        <v>1900</v>
      </c>
      <c r="B1901" s="257">
        <v>45972</v>
      </c>
      <c r="C1901" s="283" t="s">
        <v>1576</v>
      </c>
      <c r="D1901" s="283" t="s">
        <v>3958</v>
      </c>
      <c r="E1901" s="286" t="s">
        <v>3959</v>
      </c>
      <c r="F1901" s="283" t="s">
        <v>3951</v>
      </c>
      <c r="G1901" s="262" t="s">
        <v>1202</v>
      </c>
      <c r="I1901" s="262">
        <v>1</v>
      </c>
      <c r="J1901" s="259">
        <v>1200000</v>
      </c>
      <c r="K1901" s="259">
        <v>1</v>
      </c>
      <c r="M1901" s="258">
        <v>1200000</v>
      </c>
      <c r="N1901" s="258" t="s">
        <v>1752</v>
      </c>
    </row>
    <row r="1902" spans="1:14">
      <c r="A1902" s="58">
        <v>1901</v>
      </c>
      <c r="B1902" s="257">
        <v>45972</v>
      </c>
      <c r="C1902" s="283" t="s">
        <v>1576</v>
      </c>
      <c r="D1902" s="283" t="s">
        <v>3958</v>
      </c>
      <c r="E1902" s="286" t="s">
        <v>3959</v>
      </c>
      <c r="F1902" s="283" t="s">
        <v>3951</v>
      </c>
      <c r="G1902" s="262" t="s">
        <v>1202</v>
      </c>
      <c r="I1902" s="262">
        <v>1</v>
      </c>
      <c r="J1902" s="259">
        <v>1200000</v>
      </c>
      <c r="K1902" s="259">
        <v>1</v>
      </c>
      <c r="M1902" s="258">
        <v>1200000</v>
      </c>
      <c r="N1902" s="258" t="s">
        <v>1752</v>
      </c>
    </row>
    <row r="1903" spans="1:14">
      <c r="A1903" s="58">
        <v>1902</v>
      </c>
      <c r="B1903" s="257">
        <v>45972</v>
      </c>
      <c r="C1903" s="283" t="s">
        <v>1576</v>
      </c>
      <c r="D1903" s="283" t="s">
        <v>3959</v>
      </c>
      <c r="E1903" s="286" t="s">
        <v>3951</v>
      </c>
      <c r="F1903" s="283" t="s">
        <v>1202</v>
      </c>
      <c r="H1903" s="258" t="s">
        <v>1751</v>
      </c>
      <c r="I1903" s="262">
        <v>1</v>
      </c>
      <c r="J1903" s="259">
        <v>1</v>
      </c>
      <c r="L1903" s="258">
        <v>1200000</v>
      </c>
    </row>
    <row r="1904" spans="1:14">
      <c r="A1904" s="58">
        <v>1903</v>
      </c>
      <c r="B1904" s="257">
        <v>45972</v>
      </c>
      <c r="C1904" s="283" t="s">
        <v>1576</v>
      </c>
      <c r="D1904" s="283" t="s">
        <v>3959</v>
      </c>
      <c r="E1904" s="286" t="s">
        <v>3951</v>
      </c>
      <c r="F1904" s="283" t="s">
        <v>1202</v>
      </c>
      <c r="H1904" s="258" t="s">
        <v>1751</v>
      </c>
      <c r="I1904" s="262">
        <v>1</v>
      </c>
      <c r="J1904" s="259">
        <v>1</v>
      </c>
      <c r="L1904" s="258">
        <v>1200000</v>
      </c>
    </row>
    <row r="1905" spans="1:13">
      <c r="A1905" s="58">
        <v>1904</v>
      </c>
      <c r="B1905" s="257">
        <v>45972</v>
      </c>
      <c r="C1905" s="283" t="s">
        <v>1576</v>
      </c>
      <c r="D1905" s="283" t="s">
        <v>3959</v>
      </c>
      <c r="E1905" s="286" t="s">
        <v>3951</v>
      </c>
      <c r="F1905" s="283" t="s">
        <v>1202</v>
      </c>
      <c r="H1905" s="258" t="s">
        <v>1751</v>
      </c>
      <c r="I1905" s="262">
        <v>1</v>
      </c>
      <c r="J1905" s="259">
        <v>1</v>
      </c>
      <c r="L1905" s="258">
        <v>1200000</v>
      </c>
    </row>
    <row r="1906" spans="1:13">
      <c r="A1906" s="58">
        <v>1905</v>
      </c>
      <c r="B1906" s="257">
        <v>45972</v>
      </c>
      <c r="C1906" s="283" t="s">
        <v>1436</v>
      </c>
      <c r="D1906" s="283" t="s">
        <v>3959</v>
      </c>
      <c r="E1906" s="286" t="s">
        <v>3951</v>
      </c>
      <c r="F1906" s="283" t="s">
        <v>1202</v>
      </c>
      <c r="H1906" s="258" t="s">
        <v>1751</v>
      </c>
      <c r="I1906" s="262">
        <v>1</v>
      </c>
      <c r="J1906" s="259">
        <v>1</v>
      </c>
      <c r="L1906" s="258">
        <v>1200000</v>
      </c>
    </row>
    <row r="1907" spans="1:13">
      <c r="A1907" s="58">
        <v>1906</v>
      </c>
      <c r="B1907" s="257">
        <v>45972</v>
      </c>
      <c r="C1907" s="283" t="s">
        <v>2871</v>
      </c>
      <c r="D1907" s="283" t="s">
        <v>3959</v>
      </c>
      <c r="E1907" s="286" t="s">
        <v>3951</v>
      </c>
      <c r="F1907" s="283" t="s">
        <v>1202</v>
      </c>
      <c r="H1907" s="258" t="s">
        <v>1751</v>
      </c>
      <c r="I1907" s="262">
        <v>1</v>
      </c>
      <c r="J1907" s="259">
        <v>1</v>
      </c>
      <c r="L1907" s="258">
        <v>1200000</v>
      </c>
    </row>
    <row r="1908" spans="1:13">
      <c r="A1908" s="58">
        <v>1907</v>
      </c>
      <c r="B1908" s="257">
        <v>45972</v>
      </c>
      <c r="C1908" s="283" t="s">
        <v>978</v>
      </c>
      <c r="D1908" s="283" t="s">
        <v>3959</v>
      </c>
      <c r="E1908" s="286" t="s">
        <v>3950</v>
      </c>
      <c r="F1908" s="283" t="s">
        <v>1202</v>
      </c>
      <c r="H1908" s="258" t="s">
        <v>1751</v>
      </c>
      <c r="I1908" s="262">
        <v>1</v>
      </c>
      <c r="J1908" s="259">
        <v>1</v>
      </c>
      <c r="L1908" s="258">
        <v>1200000</v>
      </c>
    </row>
    <row r="1909" spans="1:13">
      <c r="A1909" s="58">
        <v>1908</v>
      </c>
      <c r="B1909" s="257">
        <v>45972</v>
      </c>
      <c r="C1909" s="283" t="s">
        <v>978</v>
      </c>
      <c r="D1909" s="283" t="s">
        <v>3959</v>
      </c>
      <c r="E1909" s="286" t="s">
        <v>3952</v>
      </c>
      <c r="F1909" s="283" t="s">
        <v>1202</v>
      </c>
      <c r="H1909" s="258" t="s">
        <v>1751</v>
      </c>
      <c r="I1909" s="262">
        <v>1</v>
      </c>
      <c r="J1909" s="259">
        <v>1</v>
      </c>
      <c r="L1909" s="258">
        <v>1200000</v>
      </c>
    </row>
    <row r="1910" spans="1:13">
      <c r="A1910" s="58">
        <v>1909</v>
      </c>
      <c r="B1910" s="257">
        <v>45975</v>
      </c>
      <c r="C1910" s="283" t="s">
        <v>1436</v>
      </c>
      <c r="D1910" s="283" t="s">
        <v>3959</v>
      </c>
      <c r="E1910" s="286" t="s">
        <v>3973</v>
      </c>
      <c r="F1910" s="283" t="s">
        <v>2179</v>
      </c>
      <c r="H1910" s="258" t="s">
        <v>1200</v>
      </c>
      <c r="I1910" s="262">
        <v>1</v>
      </c>
      <c r="J1910" s="259">
        <v>1</v>
      </c>
      <c r="L1910" s="258">
        <v>1100000</v>
      </c>
    </row>
    <row r="1911" spans="1:13">
      <c r="A1911" s="58">
        <v>1910</v>
      </c>
      <c r="B1911" s="257">
        <v>45975</v>
      </c>
      <c r="C1911" s="283" t="s">
        <v>1436</v>
      </c>
      <c r="E1911" s="286" t="s">
        <v>3973</v>
      </c>
      <c r="F1911" s="283" t="s">
        <v>2179</v>
      </c>
      <c r="H1911" s="258" t="s">
        <v>1200</v>
      </c>
      <c r="I1911" s="262">
        <v>1</v>
      </c>
      <c r="J1911" s="259">
        <v>1</v>
      </c>
      <c r="L1911" s="258">
        <v>1100000</v>
      </c>
    </row>
    <row r="1912" spans="1:13">
      <c r="A1912" s="58">
        <v>1911</v>
      </c>
      <c r="B1912" s="257">
        <v>45975</v>
      </c>
      <c r="C1912" s="283" t="s">
        <v>1436</v>
      </c>
      <c r="E1912" s="286" t="s">
        <v>3973</v>
      </c>
      <c r="F1912" s="283" t="s">
        <v>2179</v>
      </c>
      <c r="H1912" s="258" t="s">
        <v>1200</v>
      </c>
      <c r="I1912" s="262">
        <v>1</v>
      </c>
      <c r="J1912" s="259">
        <v>1</v>
      </c>
      <c r="L1912" s="258">
        <v>1100000</v>
      </c>
    </row>
    <row r="1913" spans="1:13">
      <c r="A1913" s="58">
        <v>1912</v>
      </c>
      <c r="B1913" s="257">
        <v>45975</v>
      </c>
      <c r="C1913" s="283" t="s">
        <v>1576</v>
      </c>
      <c r="D1913" s="283" t="s">
        <v>3959</v>
      </c>
      <c r="E1913" s="286" t="s">
        <v>3973</v>
      </c>
      <c r="F1913" s="283" t="s">
        <v>2179</v>
      </c>
      <c r="H1913" s="258" t="s">
        <v>1200</v>
      </c>
      <c r="I1913" s="262">
        <v>1</v>
      </c>
      <c r="J1913" s="259">
        <v>1</v>
      </c>
      <c r="L1913" s="258">
        <v>1100000</v>
      </c>
    </row>
    <row r="1914" spans="1:13">
      <c r="A1914" s="58">
        <v>1913</v>
      </c>
      <c r="B1914" s="257">
        <v>45975</v>
      </c>
      <c r="C1914" s="283" t="s">
        <v>2369</v>
      </c>
      <c r="D1914" s="283" t="s">
        <v>3959</v>
      </c>
      <c r="E1914" s="286" t="s">
        <v>3983</v>
      </c>
      <c r="F1914" s="283" t="s">
        <v>2179</v>
      </c>
      <c r="H1914" s="258" t="s">
        <v>1200</v>
      </c>
      <c r="I1914" s="262">
        <v>1</v>
      </c>
      <c r="J1914" s="259">
        <v>1</v>
      </c>
      <c r="L1914" s="258">
        <v>1100000</v>
      </c>
    </row>
    <row r="1915" spans="1:13">
      <c r="A1915" s="58">
        <v>1914</v>
      </c>
      <c r="B1915" s="257">
        <v>45975</v>
      </c>
      <c r="C1915" s="283" t="s">
        <v>1436</v>
      </c>
      <c r="D1915" s="283" t="s">
        <v>3959</v>
      </c>
      <c r="E1915" s="286" t="s">
        <v>3967</v>
      </c>
      <c r="F1915" s="283" t="s">
        <v>2179</v>
      </c>
      <c r="H1915" s="258" t="s">
        <v>1200</v>
      </c>
      <c r="I1915" s="262">
        <v>1</v>
      </c>
      <c r="J1915" s="259">
        <v>1</v>
      </c>
      <c r="L1915" s="258">
        <v>1500000</v>
      </c>
    </row>
    <row r="1916" spans="1:13">
      <c r="A1916" s="58">
        <v>1915</v>
      </c>
      <c r="B1916" s="257">
        <v>45975</v>
      </c>
      <c r="C1916" s="283" t="s">
        <v>2871</v>
      </c>
      <c r="D1916" s="283" t="s">
        <v>3959</v>
      </c>
      <c r="E1916" s="286" t="s">
        <v>3933</v>
      </c>
      <c r="F1916" s="283" t="s">
        <v>2179</v>
      </c>
      <c r="H1916" s="258" t="s">
        <v>1200</v>
      </c>
      <c r="I1916" s="262">
        <v>1</v>
      </c>
      <c r="J1916" s="259">
        <v>1</v>
      </c>
      <c r="L1916" s="258">
        <v>1100000</v>
      </c>
    </row>
    <row r="1917" spans="1:13">
      <c r="A1917" s="58">
        <v>1916</v>
      </c>
      <c r="B1917" s="257">
        <v>45976</v>
      </c>
      <c r="C1917" s="283" t="s">
        <v>1436</v>
      </c>
      <c r="D1917" s="283" t="s">
        <v>3959</v>
      </c>
      <c r="E1917" s="286" t="s">
        <v>3934</v>
      </c>
      <c r="F1917" s="283" t="s">
        <v>2179</v>
      </c>
      <c r="H1917" s="258" t="s">
        <v>1200</v>
      </c>
      <c r="I1917" s="262">
        <v>1</v>
      </c>
      <c r="J1917" s="259">
        <v>1</v>
      </c>
      <c r="K1917" s="259">
        <v>110000</v>
      </c>
      <c r="L1917" s="258">
        <v>1210000</v>
      </c>
    </row>
    <row r="1918" spans="1:13">
      <c r="A1918" s="58">
        <v>1917</v>
      </c>
      <c r="B1918" s="257">
        <v>45976</v>
      </c>
      <c r="C1918" s="283" t="s">
        <v>2760</v>
      </c>
      <c r="D1918" s="283" t="s">
        <v>3959</v>
      </c>
      <c r="E1918" s="286" t="s">
        <v>3983</v>
      </c>
      <c r="F1918" s="283" t="s">
        <v>2179</v>
      </c>
      <c r="H1918" s="258" t="s">
        <v>1200</v>
      </c>
      <c r="I1918" s="262">
        <v>1</v>
      </c>
      <c r="J1918" s="259">
        <v>1</v>
      </c>
      <c r="K1918" s="259">
        <v>110000</v>
      </c>
      <c r="L1918" s="258">
        <v>1210000</v>
      </c>
      <c r="M1918" s="258" t="s">
        <v>3989</v>
      </c>
    </row>
    <row r="1919" spans="1:13">
      <c r="A1919" s="58">
        <v>1918</v>
      </c>
      <c r="B1919" s="257">
        <v>45976</v>
      </c>
      <c r="C1919" s="283" t="s">
        <v>2760</v>
      </c>
      <c r="D1919" s="283" t="s">
        <v>3959</v>
      </c>
      <c r="E1919" s="286">
        <v>1004</v>
      </c>
      <c r="F1919" s="283" t="s">
        <v>1202</v>
      </c>
      <c r="H1919" s="258" t="s">
        <v>1751</v>
      </c>
      <c r="I1919" s="262">
        <v>1</v>
      </c>
      <c r="J1919" s="259">
        <v>1</v>
      </c>
      <c r="K1919" s="259">
        <v>120000</v>
      </c>
      <c r="L1919" s="258">
        <v>1320000</v>
      </c>
      <c r="M1919" s="258" t="s">
        <v>1752</v>
      </c>
    </row>
    <row r="1920" spans="1:13">
      <c r="A1920" s="58">
        <v>1919</v>
      </c>
      <c r="B1920" s="257">
        <v>46013</v>
      </c>
      <c r="C1920" s="283" t="s">
        <v>1398</v>
      </c>
      <c r="D1920" s="283" t="s">
        <v>3959</v>
      </c>
      <c r="E1920" s="286" t="s">
        <v>3968</v>
      </c>
      <c r="F1920" s="283" t="s">
        <v>2179</v>
      </c>
      <c r="H1920" s="258" t="s">
        <v>1200</v>
      </c>
      <c r="I1920" s="262">
        <v>1500000</v>
      </c>
      <c r="J1920" s="259">
        <v>1</v>
      </c>
      <c r="L1920" s="258">
        <v>1500000</v>
      </c>
    </row>
    <row r="1921" spans="1:15">
      <c r="A1921" s="58">
        <v>1920</v>
      </c>
      <c r="B1921" s="257">
        <v>46013</v>
      </c>
      <c r="C1921" s="283" t="s">
        <v>2384</v>
      </c>
      <c r="D1921" s="283" t="s">
        <v>3959</v>
      </c>
      <c r="E1921" s="286" t="s">
        <v>3951</v>
      </c>
      <c r="F1921" s="283" t="s">
        <v>1202</v>
      </c>
      <c r="H1921" s="258" t="s">
        <v>1751</v>
      </c>
      <c r="I1921" s="262">
        <v>1200000</v>
      </c>
      <c r="J1921" s="259">
        <v>1</v>
      </c>
      <c r="L1921" s="258">
        <v>1200000</v>
      </c>
      <c r="M1921" s="258" t="s">
        <v>3992</v>
      </c>
    </row>
    <row r="1922" spans="1:15">
      <c r="A1922" s="58">
        <v>1921</v>
      </c>
      <c r="B1922" s="257">
        <v>46013</v>
      </c>
      <c r="C1922" s="283" t="s">
        <v>2384</v>
      </c>
      <c r="D1922" s="283" t="s">
        <v>3959</v>
      </c>
      <c r="E1922" s="286" t="s">
        <v>3934</v>
      </c>
      <c r="F1922" s="283" t="s">
        <v>2179</v>
      </c>
      <c r="H1922" s="258" t="s">
        <v>1200</v>
      </c>
      <c r="I1922" s="262">
        <v>1100000</v>
      </c>
      <c r="J1922" s="259">
        <v>1</v>
      </c>
      <c r="L1922" s="258">
        <v>1100000</v>
      </c>
    </row>
    <row r="1923" spans="1:15">
      <c r="A1923" s="58">
        <v>1922</v>
      </c>
      <c r="B1923" s="257">
        <v>46013</v>
      </c>
      <c r="C1923" s="283" t="s">
        <v>2871</v>
      </c>
      <c r="D1923" s="283" t="s">
        <v>3959</v>
      </c>
      <c r="E1923" s="286" t="s">
        <v>3933</v>
      </c>
      <c r="F1923" s="283" t="s">
        <v>2179</v>
      </c>
      <c r="H1923" s="258" t="s">
        <v>1200</v>
      </c>
      <c r="I1923" s="262">
        <v>1100000</v>
      </c>
      <c r="J1923" s="259">
        <v>1</v>
      </c>
      <c r="L1923" s="258">
        <v>1100000</v>
      </c>
      <c r="N1923" s="258" t="s">
        <v>3996</v>
      </c>
      <c r="O1923" s="283" t="s">
        <v>3993</v>
      </c>
    </row>
    <row r="1924" spans="1:15">
      <c r="A1924" s="58">
        <v>1923</v>
      </c>
      <c r="B1924" s="257">
        <v>46030</v>
      </c>
      <c r="C1924" s="283" t="s">
        <v>2871</v>
      </c>
      <c r="E1924" s="286" t="s">
        <v>3933</v>
      </c>
      <c r="F1924" s="283" t="s">
        <v>2179</v>
      </c>
      <c r="H1924" s="258" t="s">
        <v>1200</v>
      </c>
      <c r="I1924" s="262">
        <v>1100000</v>
      </c>
      <c r="J1924" s="259">
        <v>1</v>
      </c>
      <c r="K1924" s="259">
        <v>110000</v>
      </c>
      <c r="L1924" s="258">
        <v>1210000</v>
      </c>
    </row>
    <row r="1925" spans="1:15">
      <c r="A1925" s="58">
        <v>1924</v>
      </c>
      <c r="B1925" s="257">
        <v>46030</v>
      </c>
      <c r="C1925" s="283" t="s">
        <v>1436</v>
      </c>
      <c r="E1925" s="286" t="s">
        <v>3949</v>
      </c>
      <c r="F1925" s="283" t="s">
        <v>1202</v>
      </c>
      <c r="H1925" s="258" t="s">
        <v>1751</v>
      </c>
      <c r="I1925" s="262">
        <v>1200000</v>
      </c>
      <c r="J1925" s="259">
        <v>1</v>
      </c>
      <c r="L1925" s="258">
        <v>1200000</v>
      </c>
      <c r="M1925" s="258" t="s">
        <v>1752</v>
      </c>
    </row>
    <row r="1926" spans="1:15">
      <c r="A1926" s="58">
        <v>1925</v>
      </c>
      <c r="B1926" s="257">
        <v>46030</v>
      </c>
      <c r="C1926" s="283" t="s">
        <v>2760</v>
      </c>
      <c r="D1926" s="283" t="s">
        <v>3959</v>
      </c>
      <c r="E1926" s="286" t="s">
        <v>3948</v>
      </c>
      <c r="F1926" s="283" t="s">
        <v>1202</v>
      </c>
      <c r="H1926" s="258" t="s">
        <v>1751</v>
      </c>
      <c r="I1926" s="262">
        <v>1200000</v>
      </c>
      <c r="J1926" s="259">
        <v>1</v>
      </c>
      <c r="L1926" s="258">
        <v>1200000</v>
      </c>
      <c r="M1926" s="258" t="s">
        <v>1752</v>
      </c>
    </row>
  </sheetData>
  <autoFilter ref="A1:L184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G3" sqref="G3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</row>
    <row r="3" spans="1:16" ht="15.95" customHeight="1">
      <c r="A3" s="227">
        <v>45943</v>
      </c>
      <c r="B3" s="228" t="s">
        <v>1125</v>
      </c>
      <c r="C3" s="279">
        <f>SUMIF($B:$B,A3,I:I)</f>
        <v>7667000</v>
      </c>
      <c r="D3" s="230" t="s">
        <v>1123</v>
      </c>
      <c r="E3" s="229">
        <f ca="1">SUMIF($B:$B,TODAY(),E:E)</f>
        <v>0</v>
      </c>
      <c r="F3" s="240" t="s">
        <v>2518</v>
      </c>
      <c r="G3" s="229">
        <f>SUMIF($D:$D,"*schaeffler*",I:I)</f>
        <v>5962002</v>
      </c>
      <c r="H3" s="240"/>
      <c r="I3" s="233"/>
      <c r="J3" s="69"/>
      <c r="K3" s="67"/>
    </row>
    <row r="4" spans="1:16" ht="15.95" customHeight="1">
      <c r="A4" s="234">
        <f>MONTH(A3)</f>
        <v>10</v>
      </c>
      <c r="B4" s="228" t="s">
        <v>1126</v>
      </c>
      <c r="C4" s="229">
        <f>SUMIFS($I:$I,$B:$B,"&gt;="&amp;DATE(A5,A4,1),$B:$B,"&lt;="&amp;EOMONTH(DATE(A5,A4,1),0))</f>
        <v>34731000</v>
      </c>
      <c r="D4" s="231"/>
      <c r="E4" s="235"/>
      <c r="F4" s="240" t="s">
        <v>2519</v>
      </c>
      <c r="G4" s="229">
        <f>SUMIF($D:$D,"*schaeffler*",E:E)</f>
        <v>0</v>
      </c>
      <c r="H4" s="237"/>
      <c r="I4" s="233"/>
      <c r="J4" s="69"/>
      <c r="K4" s="67"/>
    </row>
    <row r="5" spans="1:16" ht="15.95" customHeight="1">
      <c r="A5" s="241">
        <f>YEAR(A3)</f>
        <v>2025</v>
      </c>
      <c r="B5" s="228" t="s">
        <v>1127</v>
      </c>
      <c r="C5" s="229">
        <f>SUMIFS($I:$I,$B:$B,"&gt;="&amp;DATE(A5,A4,1),$B:$B,"&lt;="&amp;EOMONTH(DATE(A5,A4,1),0))</f>
        <v>34731000</v>
      </c>
      <c r="D5" s="238"/>
      <c r="E5" s="235"/>
      <c r="F5" s="236"/>
      <c r="G5" s="235"/>
      <c r="H5" s="237"/>
      <c r="I5" s="233"/>
      <c r="J5" s="69"/>
      <c r="K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1122</v>
      </c>
      <c r="F8" s="118" t="s">
        <v>42</v>
      </c>
      <c r="G8" s="77" t="s">
        <v>50</v>
      </c>
      <c r="H8" s="118" t="s">
        <v>81</v>
      </c>
      <c r="I8" s="118" t="s">
        <v>58</v>
      </c>
      <c r="J8" s="118" t="s">
        <v>1682</v>
      </c>
      <c r="M8" s="54"/>
      <c r="N8" s="54"/>
      <c r="O8" s="54"/>
      <c r="P8" s="54"/>
    </row>
    <row r="9" spans="1:16" ht="18" customHeight="1">
      <c r="A9" s="89">
        <v>1816</v>
      </c>
      <c r="B9" s="94">
        <v>45931</v>
      </c>
      <c r="C9" s="85" t="s">
        <v>1746</v>
      </c>
      <c r="D9" s="111" t="s">
        <v>3790</v>
      </c>
      <c r="E9" s="79"/>
      <c r="F9" s="222"/>
      <c r="H9" s="127"/>
      <c r="J9" s="80">
        <v>-3657500</v>
      </c>
      <c r="M9" s="54"/>
      <c r="N9" s="54"/>
      <c r="O9" s="54"/>
      <c r="P9" s="54"/>
    </row>
    <row r="10" spans="1:16" ht="18" customHeight="1">
      <c r="A10" s="89">
        <v>1817</v>
      </c>
      <c r="B10" s="94">
        <v>45931</v>
      </c>
      <c r="C10" s="85" t="s">
        <v>1540</v>
      </c>
      <c r="D10" s="111" t="s">
        <v>3791</v>
      </c>
      <c r="E10" s="79"/>
      <c r="F10" s="222"/>
      <c r="H10" s="127"/>
      <c r="J10" s="80">
        <v>-5930000</v>
      </c>
      <c r="M10" s="54"/>
      <c r="N10" s="54"/>
      <c r="O10" s="54"/>
      <c r="P10" s="54"/>
    </row>
    <row r="11" spans="1:16" ht="18" customHeight="1">
      <c r="A11" s="89">
        <v>1818</v>
      </c>
      <c r="B11" s="94">
        <v>45931</v>
      </c>
      <c r="C11" s="85" t="s">
        <v>2760</v>
      </c>
      <c r="D11" s="111" t="s">
        <v>3792</v>
      </c>
      <c r="E11" s="79"/>
      <c r="F11" s="222">
        <v>350000</v>
      </c>
      <c r="G11" s="85">
        <v>1</v>
      </c>
      <c r="H11" s="127"/>
      <c r="M11" s="54"/>
      <c r="N11" s="54"/>
      <c r="O11" s="54"/>
      <c r="P11" s="54"/>
    </row>
    <row r="12" spans="1:16" ht="18" customHeight="1">
      <c r="A12" s="89">
        <v>1819</v>
      </c>
      <c r="B12" s="94">
        <v>45931</v>
      </c>
      <c r="C12" s="85" t="s">
        <v>1846</v>
      </c>
      <c r="D12" s="111" t="s">
        <v>3467</v>
      </c>
      <c r="E12" s="79"/>
      <c r="F12" s="222">
        <v>540000</v>
      </c>
      <c r="G12" s="85">
        <v>1</v>
      </c>
      <c r="H12" s="127"/>
      <c r="I12" s="80">
        <v>540000</v>
      </c>
      <c r="M12" s="54"/>
      <c r="N12" s="54"/>
      <c r="O12" s="54"/>
      <c r="P12" s="54"/>
    </row>
    <row r="13" spans="1:16" ht="18" customHeight="1">
      <c r="A13" s="89">
        <v>1820</v>
      </c>
      <c r="B13" s="94">
        <v>45931</v>
      </c>
      <c r="C13" s="85" t="s">
        <v>1846</v>
      </c>
      <c r="D13" s="111" t="s">
        <v>1124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>
      <c r="A14" s="89">
        <v>1821</v>
      </c>
      <c r="B14" s="94">
        <v>45931</v>
      </c>
      <c r="C14" s="85" t="s">
        <v>1746</v>
      </c>
      <c r="D14" s="111" t="s">
        <v>2191</v>
      </c>
      <c r="E14" s="79"/>
      <c r="F14" s="222">
        <v>10000</v>
      </c>
      <c r="G14" s="85">
        <v>5</v>
      </c>
      <c r="H14" s="127">
        <v>5000</v>
      </c>
      <c r="I14" s="80">
        <v>55000</v>
      </c>
      <c r="M14" s="54"/>
      <c r="N14" s="54"/>
      <c r="O14" s="54"/>
      <c r="P14" s="54"/>
    </row>
    <row r="15" spans="1:16" ht="18" customHeight="1">
      <c r="A15" s="89">
        <v>1822</v>
      </c>
      <c r="B15" s="94">
        <v>45931</v>
      </c>
      <c r="C15" s="85" t="s">
        <v>1889</v>
      </c>
      <c r="D15" s="111" t="s">
        <v>1202</v>
      </c>
      <c r="E15" s="78"/>
      <c r="F15" s="80">
        <v>650000</v>
      </c>
      <c r="G15" s="85">
        <v>1</v>
      </c>
      <c r="I15" s="80">
        <v>650000</v>
      </c>
      <c r="M15" s="284"/>
      <c r="N15" s="54"/>
      <c r="O15" s="54"/>
      <c r="P15" s="54"/>
    </row>
    <row r="16" spans="1:16" ht="18" customHeight="1">
      <c r="A16" s="82">
        <v>1823</v>
      </c>
      <c r="B16" s="93">
        <v>45931</v>
      </c>
      <c r="C16" s="83" t="s">
        <v>1015</v>
      </c>
      <c r="D16" s="112" t="s">
        <v>1202</v>
      </c>
      <c r="F16" s="119">
        <v>1200000</v>
      </c>
      <c r="G16" s="85">
        <v>1</v>
      </c>
      <c r="H16" s="125">
        <v>120000</v>
      </c>
      <c r="I16" s="80">
        <v>1320000</v>
      </c>
      <c r="M16" s="54"/>
      <c r="N16" s="54"/>
      <c r="O16" s="54"/>
      <c r="P16" s="54"/>
    </row>
    <row r="17" spans="1:16" ht="18" customHeight="1">
      <c r="A17" s="89">
        <v>1824</v>
      </c>
      <c r="B17" s="94">
        <v>45931</v>
      </c>
      <c r="C17" s="85" t="s">
        <v>1889</v>
      </c>
      <c r="D17" s="111" t="s">
        <v>3663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>
      <c r="A18" s="89">
        <v>1825</v>
      </c>
      <c r="B18" s="94">
        <v>45931</v>
      </c>
      <c r="C18" s="85" t="s">
        <v>1869</v>
      </c>
      <c r="D18" s="111" t="s">
        <v>3823</v>
      </c>
      <c r="E18" s="79"/>
      <c r="F18" s="222">
        <v>150000</v>
      </c>
      <c r="G18" s="85">
        <v>1</v>
      </c>
      <c r="H18" s="127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>
      <c r="A19" s="89">
        <v>1826</v>
      </c>
      <c r="B19" s="94">
        <v>45931</v>
      </c>
      <c r="C19" s="85" t="s">
        <v>3825</v>
      </c>
      <c r="D19" s="111" t="s">
        <v>3467</v>
      </c>
      <c r="E19" s="78"/>
      <c r="F19" s="80">
        <v>526364</v>
      </c>
      <c r="G19" s="85">
        <v>1</v>
      </c>
      <c r="H19" s="125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>
      <c r="A20" s="89">
        <v>1827</v>
      </c>
      <c r="B20" s="94">
        <v>45931</v>
      </c>
      <c r="C20" s="85" t="s">
        <v>3825</v>
      </c>
      <c r="D20" s="111" t="s">
        <v>1124</v>
      </c>
      <c r="E20" s="79"/>
      <c r="F20" s="222"/>
      <c r="G20" s="85"/>
      <c r="H20" s="127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>
      <c r="A21" s="89">
        <v>1828</v>
      </c>
      <c r="B21" s="94">
        <v>45932</v>
      </c>
      <c r="C21" s="85" t="s">
        <v>1015</v>
      </c>
      <c r="D21" s="111" t="s">
        <v>3827</v>
      </c>
      <c r="E21" s="79"/>
      <c r="F21" s="222"/>
      <c r="G21" s="85"/>
      <c r="H21" s="127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>
      <c r="A22" s="89">
        <v>1829</v>
      </c>
      <c r="B22" s="94">
        <v>45932</v>
      </c>
      <c r="C22" s="85" t="s">
        <v>1721</v>
      </c>
      <c r="D22" s="111" t="s">
        <v>2187</v>
      </c>
      <c r="E22" s="78"/>
      <c r="F22" s="80">
        <v>130000</v>
      </c>
      <c r="G22" s="85">
        <v>5</v>
      </c>
      <c r="H22" s="125"/>
      <c r="I22" s="80">
        <v>650000</v>
      </c>
      <c r="J22" s="80"/>
      <c r="K22" s="69"/>
      <c r="L22" s="67"/>
    </row>
    <row r="23" spans="1:16" s="68" customFormat="1" ht="18" customHeight="1">
      <c r="A23" s="89">
        <v>1830</v>
      </c>
      <c r="B23" s="94">
        <v>45932</v>
      </c>
      <c r="C23" s="85" t="s">
        <v>1721</v>
      </c>
      <c r="D23" s="111" t="s">
        <v>2190</v>
      </c>
      <c r="E23" s="78"/>
      <c r="F23" s="80">
        <v>35000</v>
      </c>
      <c r="G23" s="85">
        <v>3</v>
      </c>
      <c r="H23" s="125"/>
      <c r="I23" s="80">
        <v>105000</v>
      </c>
      <c r="J23" s="80"/>
      <c r="K23" s="69"/>
      <c r="L23" s="67"/>
    </row>
    <row r="24" spans="1:16" s="68" customFormat="1" ht="18" customHeight="1">
      <c r="A24" s="89">
        <v>1831</v>
      </c>
      <c r="B24" s="94">
        <v>45932</v>
      </c>
      <c r="C24" s="85" t="s">
        <v>1789</v>
      </c>
      <c r="D24" s="111" t="s">
        <v>1202</v>
      </c>
      <c r="E24" s="78"/>
      <c r="F24" s="80">
        <v>1200000</v>
      </c>
      <c r="G24" s="85">
        <v>1</v>
      </c>
      <c r="H24" s="125"/>
      <c r="I24" s="80">
        <v>1200000</v>
      </c>
      <c r="J24" s="80"/>
      <c r="K24" s="69"/>
      <c r="L24" s="67"/>
    </row>
    <row r="25" spans="1:16" ht="18" customHeight="1">
      <c r="A25" s="89">
        <v>1832</v>
      </c>
      <c r="B25" s="94">
        <v>45932</v>
      </c>
      <c r="C25" s="85" t="s">
        <v>1398</v>
      </c>
      <c r="D25" s="111" t="s">
        <v>2106</v>
      </c>
      <c r="E25" s="78"/>
      <c r="F25" s="80">
        <v>1200000</v>
      </c>
      <c r="G25" s="85">
        <v>1</v>
      </c>
      <c r="I25" s="80">
        <v>1200000</v>
      </c>
    </row>
    <row r="26" spans="1:16" ht="18" customHeight="1">
      <c r="A26" s="89">
        <v>1833</v>
      </c>
      <c r="B26" s="94">
        <v>45932</v>
      </c>
      <c r="C26" s="85" t="s">
        <v>1398</v>
      </c>
      <c r="D26" s="111" t="s">
        <v>3834</v>
      </c>
      <c r="E26" s="78"/>
      <c r="F26" s="80">
        <v>600000</v>
      </c>
      <c r="G26" s="85">
        <v>1</v>
      </c>
      <c r="I26" s="80">
        <v>600000</v>
      </c>
    </row>
    <row r="27" spans="1:16" ht="18" customHeight="1">
      <c r="A27" s="89">
        <v>1834</v>
      </c>
      <c r="B27" s="94">
        <v>45932</v>
      </c>
      <c r="C27" s="85" t="s">
        <v>3828</v>
      </c>
      <c r="D27" s="111" t="s">
        <v>2177</v>
      </c>
      <c r="E27" s="78"/>
      <c r="F27" s="80">
        <v>1500000</v>
      </c>
      <c r="G27" s="85">
        <v>1</v>
      </c>
      <c r="I27" s="80">
        <v>1500000</v>
      </c>
    </row>
    <row r="28" spans="1:16" ht="18" customHeight="1">
      <c r="A28" s="89">
        <v>1835</v>
      </c>
      <c r="B28" s="94">
        <v>45932</v>
      </c>
      <c r="C28" s="85" t="s">
        <v>2144</v>
      </c>
      <c r="D28" s="111" t="s">
        <v>2195</v>
      </c>
      <c r="E28" s="78"/>
      <c r="F28" s="80">
        <v>1600000</v>
      </c>
      <c r="G28" s="85">
        <v>1</v>
      </c>
      <c r="I28" s="80">
        <v>1600000</v>
      </c>
    </row>
    <row r="29" spans="1:16" ht="18" customHeight="1">
      <c r="A29" s="89">
        <v>1836</v>
      </c>
      <c r="B29" s="94">
        <v>45933</v>
      </c>
      <c r="C29" s="85" t="s">
        <v>2144</v>
      </c>
      <c r="D29" s="111" t="s">
        <v>3841</v>
      </c>
      <c r="E29" s="78"/>
      <c r="F29" s="80"/>
      <c r="J29" s="80">
        <v>-1600000</v>
      </c>
    </row>
    <row r="30" spans="1:16" ht="18" customHeight="1">
      <c r="A30" s="89">
        <v>1837</v>
      </c>
      <c r="B30" s="94">
        <v>45932</v>
      </c>
      <c r="C30" s="85" t="s">
        <v>3828</v>
      </c>
      <c r="D30" s="111" t="s">
        <v>3842</v>
      </c>
      <c r="E30" s="78"/>
      <c r="F30" s="80"/>
      <c r="J30" s="80">
        <v>-1500000</v>
      </c>
    </row>
    <row r="31" spans="1:16" ht="18" customHeight="1">
      <c r="A31" s="89">
        <v>1838</v>
      </c>
      <c r="B31" s="94">
        <v>45933</v>
      </c>
      <c r="C31" s="85" t="s">
        <v>1721</v>
      </c>
      <c r="D31" s="111" t="s">
        <v>3843</v>
      </c>
      <c r="E31" s="78"/>
      <c r="F31" s="80"/>
      <c r="J31" s="80">
        <v>-8468000</v>
      </c>
    </row>
    <row r="32" spans="1:16" ht="18" customHeight="1">
      <c r="A32" s="89">
        <v>1839</v>
      </c>
      <c r="B32" s="94">
        <v>45933</v>
      </c>
      <c r="C32" s="85" t="s">
        <v>1478</v>
      </c>
      <c r="D32" s="111" t="s">
        <v>3844</v>
      </c>
      <c r="E32" s="78"/>
      <c r="F32" s="80"/>
      <c r="J32" s="80">
        <v>-1450000</v>
      </c>
    </row>
    <row r="33" spans="1:10" ht="18" customHeight="1">
      <c r="A33" s="89">
        <v>1840</v>
      </c>
      <c r="B33" s="94">
        <v>45933</v>
      </c>
      <c r="C33" s="85" t="s">
        <v>1869</v>
      </c>
      <c r="D33" s="111" t="s">
        <v>3845</v>
      </c>
      <c r="E33" s="79"/>
      <c r="F33" s="222"/>
      <c r="H33" s="127"/>
      <c r="J33" s="80">
        <v>-150000</v>
      </c>
    </row>
    <row r="34" spans="1:10" ht="18" customHeight="1">
      <c r="A34" s="82">
        <v>1841</v>
      </c>
      <c r="B34" s="93">
        <v>45933</v>
      </c>
      <c r="C34" s="83" t="s">
        <v>2144</v>
      </c>
      <c r="D34" s="112" t="s">
        <v>1548</v>
      </c>
      <c r="F34" s="119">
        <v>50000</v>
      </c>
      <c r="G34" s="85">
        <v>1</v>
      </c>
      <c r="I34" s="80">
        <v>50000</v>
      </c>
    </row>
    <row r="35" spans="1:10" ht="18" customHeight="1">
      <c r="A35" s="82">
        <v>1842</v>
      </c>
      <c r="B35" s="93">
        <v>45933</v>
      </c>
      <c r="C35" s="83" t="s">
        <v>1930</v>
      </c>
      <c r="D35" s="112" t="s">
        <v>3123</v>
      </c>
      <c r="F35" s="119">
        <v>2500000</v>
      </c>
      <c r="G35" s="85">
        <v>1</v>
      </c>
      <c r="I35" s="80">
        <v>2500000</v>
      </c>
    </row>
    <row r="36" spans="1:10" ht="18" customHeight="1">
      <c r="A36" s="82">
        <v>1843</v>
      </c>
      <c r="B36" s="93">
        <v>45933</v>
      </c>
      <c r="C36" s="83" t="s">
        <v>1930</v>
      </c>
      <c r="D36" s="112" t="s">
        <v>2036</v>
      </c>
      <c r="F36" s="119">
        <v>1100000</v>
      </c>
      <c r="G36" s="85">
        <v>1</v>
      </c>
      <c r="I36" s="80">
        <v>1100000</v>
      </c>
    </row>
    <row r="37" spans="1:10" ht="18" customHeight="1">
      <c r="A37" s="82">
        <v>1844</v>
      </c>
      <c r="B37" s="93">
        <v>45938</v>
      </c>
      <c r="C37" s="83" t="s">
        <v>2621</v>
      </c>
      <c r="D37" s="112" t="s">
        <v>3851</v>
      </c>
      <c r="J37" s="80">
        <v>-2200000</v>
      </c>
    </row>
    <row r="38" spans="1:10" ht="18" customHeight="1">
      <c r="A38" s="82">
        <v>1845</v>
      </c>
      <c r="B38" s="93">
        <v>45939</v>
      </c>
      <c r="C38" s="83" t="s">
        <v>1579</v>
      </c>
      <c r="D38" s="112" t="s">
        <v>2188</v>
      </c>
      <c r="F38" s="119">
        <v>100000</v>
      </c>
      <c r="G38" s="85">
        <v>1</v>
      </c>
      <c r="H38" s="125">
        <v>10000</v>
      </c>
      <c r="I38" s="80">
        <v>110000</v>
      </c>
    </row>
    <row r="39" spans="1:10" ht="18" customHeight="1">
      <c r="A39" s="82">
        <v>1846</v>
      </c>
      <c r="B39" s="93">
        <v>45939</v>
      </c>
      <c r="C39" s="83" t="s">
        <v>1443</v>
      </c>
      <c r="D39" s="112" t="s">
        <v>1984</v>
      </c>
      <c r="F39" s="119">
        <v>150000</v>
      </c>
      <c r="G39" s="85">
        <v>1</v>
      </c>
      <c r="I39" s="80">
        <v>150000</v>
      </c>
    </row>
    <row r="40" spans="1:10" ht="18" customHeight="1">
      <c r="A40" s="82">
        <v>1847</v>
      </c>
      <c r="B40" s="93">
        <v>45940</v>
      </c>
      <c r="C40" s="83" t="s">
        <v>1305</v>
      </c>
      <c r="D40" s="112" t="s">
        <v>2177</v>
      </c>
      <c r="F40" s="119">
        <v>0</v>
      </c>
      <c r="G40" s="85">
        <v>1</v>
      </c>
      <c r="I40" s="80">
        <v>0</v>
      </c>
    </row>
    <row r="41" spans="1:10" ht="18" customHeight="1">
      <c r="A41" s="82">
        <v>1848</v>
      </c>
      <c r="B41" s="93">
        <v>45940</v>
      </c>
      <c r="C41" s="83" t="s">
        <v>1053</v>
      </c>
      <c r="D41" s="112" t="s">
        <v>3859</v>
      </c>
      <c r="J41" s="80">
        <v>-2000000</v>
      </c>
    </row>
    <row r="42" spans="1:10" ht="18" customHeight="1">
      <c r="A42" s="82">
        <v>1849</v>
      </c>
      <c r="B42" s="94">
        <v>45940</v>
      </c>
      <c r="C42" s="85" t="s">
        <v>1746</v>
      </c>
      <c r="D42" s="111" t="s">
        <v>2918</v>
      </c>
      <c r="E42" s="78"/>
      <c r="F42" s="80">
        <v>358182</v>
      </c>
      <c r="G42" s="85">
        <v>1</v>
      </c>
      <c r="H42" s="125">
        <v>35818</v>
      </c>
      <c r="I42" s="80">
        <v>394000</v>
      </c>
    </row>
    <row r="43" spans="1:10" ht="18" customHeight="1">
      <c r="A43" s="89">
        <v>1850</v>
      </c>
      <c r="B43" s="94">
        <v>45940</v>
      </c>
      <c r="C43" s="85" t="s">
        <v>1746</v>
      </c>
      <c r="D43" s="111" t="s">
        <v>2917</v>
      </c>
      <c r="E43" s="79"/>
      <c r="F43" s="222">
        <v>350000</v>
      </c>
      <c r="G43" s="85">
        <v>1</v>
      </c>
      <c r="H43" s="127">
        <v>35000</v>
      </c>
      <c r="I43" s="80">
        <v>385000</v>
      </c>
    </row>
    <row r="44" spans="1:10" ht="18" customHeight="1">
      <c r="A44" s="82">
        <v>1851</v>
      </c>
      <c r="B44" s="94">
        <v>45940</v>
      </c>
      <c r="C44" s="85" t="s">
        <v>1746</v>
      </c>
      <c r="D44" s="111" t="s">
        <v>3861</v>
      </c>
      <c r="E44" s="78"/>
      <c r="F44" s="80">
        <v>9091</v>
      </c>
      <c r="G44" s="85">
        <v>1</v>
      </c>
      <c r="H44" s="125">
        <v>909</v>
      </c>
      <c r="I44" s="80">
        <v>10000</v>
      </c>
    </row>
    <row r="45" spans="1:10" ht="18" customHeight="1">
      <c r="A45" s="82">
        <v>1852</v>
      </c>
      <c r="B45" s="94">
        <v>45940</v>
      </c>
      <c r="C45" s="85" t="s">
        <v>1576</v>
      </c>
      <c r="D45" s="111" t="s">
        <v>2797</v>
      </c>
      <c r="E45" s="78"/>
      <c r="F45" s="80">
        <v>300000</v>
      </c>
      <c r="G45" s="85">
        <v>1</v>
      </c>
      <c r="H45" s="125">
        <v>30000</v>
      </c>
      <c r="I45" s="80">
        <v>330000</v>
      </c>
    </row>
    <row r="46" spans="1:10" ht="18" customHeight="1">
      <c r="A46" s="89">
        <v>1853</v>
      </c>
      <c r="B46" s="94">
        <v>45940</v>
      </c>
      <c r="C46" s="85" t="s">
        <v>1576</v>
      </c>
      <c r="D46" s="111" t="s">
        <v>1758</v>
      </c>
      <c r="E46" s="78"/>
      <c r="F46" s="80">
        <v>250000</v>
      </c>
      <c r="G46" s="85">
        <v>1</v>
      </c>
      <c r="H46" s="125">
        <v>25000</v>
      </c>
      <c r="I46" s="80">
        <v>275000</v>
      </c>
    </row>
    <row r="47" spans="1:10" ht="18" customHeight="1">
      <c r="A47" s="82">
        <v>1854</v>
      </c>
      <c r="B47" s="93">
        <v>45940</v>
      </c>
      <c r="C47" s="83" t="s">
        <v>1576</v>
      </c>
      <c r="D47" s="112" t="s">
        <v>3636</v>
      </c>
      <c r="F47" s="119">
        <v>30000</v>
      </c>
      <c r="G47" s="85">
        <v>1</v>
      </c>
      <c r="H47" s="125">
        <v>3000</v>
      </c>
      <c r="I47" s="80">
        <v>33000</v>
      </c>
    </row>
    <row r="48" spans="1:10" ht="18" customHeight="1">
      <c r="A48" s="82">
        <v>1855</v>
      </c>
      <c r="B48" s="93">
        <v>45940</v>
      </c>
      <c r="C48" s="83" t="s">
        <v>1377</v>
      </c>
      <c r="D48" s="112" t="s">
        <v>2181</v>
      </c>
      <c r="F48" s="119">
        <v>250000</v>
      </c>
      <c r="G48" s="85">
        <v>1</v>
      </c>
      <c r="I48" s="80">
        <v>250000</v>
      </c>
    </row>
    <row r="49" spans="1:10" ht="18" customHeight="1">
      <c r="A49" s="82">
        <v>1856</v>
      </c>
      <c r="B49" s="93">
        <v>45940</v>
      </c>
      <c r="C49" s="83" t="s">
        <v>1372</v>
      </c>
      <c r="D49" s="112" t="s">
        <v>2179</v>
      </c>
      <c r="F49" s="119">
        <v>1500000</v>
      </c>
      <c r="G49" s="85">
        <v>1</v>
      </c>
      <c r="I49" s="80">
        <v>1500000</v>
      </c>
    </row>
    <row r="50" spans="1:10" ht="18" customHeight="1">
      <c r="A50" s="82">
        <v>1857</v>
      </c>
      <c r="B50" s="93">
        <v>45940</v>
      </c>
      <c r="C50" s="83" t="s">
        <v>1372</v>
      </c>
      <c r="D50" s="112" t="s">
        <v>2180</v>
      </c>
      <c r="F50" s="119">
        <v>50000</v>
      </c>
      <c r="G50" s="85">
        <v>1</v>
      </c>
      <c r="I50" s="80">
        <v>50000</v>
      </c>
    </row>
    <row r="51" spans="1:10" ht="18" customHeight="1">
      <c r="A51" s="82">
        <v>1858</v>
      </c>
      <c r="B51" s="93">
        <v>45940</v>
      </c>
      <c r="C51" s="83" t="s">
        <v>1015</v>
      </c>
      <c r="D51" s="112" t="s">
        <v>2026</v>
      </c>
      <c r="F51" s="119">
        <v>1500000</v>
      </c>
      <c r="G51" s="85">
        <v>1</v>
      </c>
      <c r="H51" s="125">
        <v>150000</v>
      </c>
      <c r="I51" s="80">
        <v>1650000</v>
      </c>
    </row>
    <row r="52" spans="1:10" ht="18" customHeight="1">
      <c r="A52" s="82">
        <v>1859</v>
      </c>
      <c r="B52" s="93">
        <v>45940</v>
      </c>
      <c r="C52" s="83" t="s">
        <v>3400</v>
      </c>
      <c r="D52" s="112" t="s">
        <v>2179</v>
      </c>
      <c r="F52" s="119">
        <v>1500000</v>
      </c>
      <c r="G52" s="85">
        <v>1</v>
      </c>
      <c r="I52" s="80">
        <v>1500000</v>
      </c>
    </row>
    <row r="53" spans="1:10" ht="18" customHeight="1">
      <c r="A53" s="82">
        <v>1860</v>
      </c>
      <c r="B53" s="93">
        <v>45940</v>
      </c>
      <c r="C53" s="83" t="s">
        <v>3400</v>
      </c>
      <c r="D53" s="112" t="s">
        <v>2180</v>
      </c>
      <c r="F53" s="119">
        <v>50000</v>
      </c>
      <c r="G53" s="85">
        <v>1</v>
      </c>
      <c r="I53" s="80">
        <v>50000</v>
      </c>
    </row>
    <row r="54" spans="1:10" ht="18" customHeight="1">
      <c r="A54" s="82">
        <v>1861</v>
      </c>
      <c r="B54" s="93">
        <v>45940</v>
      </c>
      <c r="C54" s="83" t="s">
        <v>1172</v>
      </c>
      <c r="D54" s="112" t="s">
        <v>1742</v>
      </c>
      <c r="F54" s="119">
        <v>650000</v>
      </c>
      <c r="G54" s="85">
        <v>1</v>
      </c>
      <c r="I54" s="80">
        <v>650000</v>
      </c>
    </row>
    <row r="55" spans="1:10" ht="18" customHeight="1">
      <c r="A55" s="82">
        <v>1862</v>
      </c>
      <c r="B55" s="93">
        <v>45940</v>
      </c>
      <c r="C55" s="83" t="s">
        <v>2484</v>
      </c>
      <c r="D55" s="112" t="s">
        <v>1716</v>
      </c>
      <c r="F55" s="119">
        <v>150000</v>
      </c>
      <c r="G55" s="85">
        <v>1</v>
      </c>
      <c r="I55" s="80">
        <v>150000</v>
      </c>
    </row>
    <row r="56" spans="1:10" ht="18" customHeight="1">
      <c r="A56" s="82">
        <v>1863</v>
      </c>
      <c r="B56" s="93">
        <v>45940</v>
      </c>
      <c r="C56" s="83" t="s">
        <v>3825</v>
      </c>
      <c r="D56" s="112" t="s">
        <v>3467</v>
      </c>
      <c r="F56" s="119">
        <v>526364</v>
      </c>
      <c r="G56" s="85">
        <v>1</v>
      </c>
      <c r="H56" s="125">
        <v>52636</v>
      </c>
      <c r="I56" s="80">
        <v>579000</v>
      </c>
    </row>
    <row r="57" spans="1:10" ht="18" customHeight="1">
      <c r="A57" s="82">
        <v>1864</v>
      </c>
      <c r="B57" s="93">
        <v>45940</v>
      </c>
      <c r="C57" s="83" t="s">
        <v>1597</v>
      </c>
      <c r="D57" s="112" t="s">
        <v>1202</v>
      </c>
      <c r="F57" s="119">
        <v>1000000</v>
      </c>
      <c r="G57" s="85">
        <v>1</v>
      </c>
      <c r="I57" s="80">
        <v>1000000</v>
      </c>
    </row>
    <row r="58" spans="1:10" ht="18" customHeight="1">
      <c r="A58" s="82">
        <v>1865</v>
      </c>
      <c r="B58" s="93">
        <v>45940</v>
      </c>
      <c r="C58" s="83" t="s">
        <v>1531</v>
      </c>
      <c r="D58" s="112" t="s">
        <v>1202</v>
      </c>
      <c r="F58" s="119">
        <v>1300000</v>
      </c>
      <c r="G58" s="85">
        <v>1</v>
      </c>
      <c r="I58" s="80">
        <v>1300000</v>
      </c>
    </row>
    <row r="59" spans="1:10" ht="18" customHeight="1">
      <c r="A59" s="82">
        <v>1866</v>
      </c>
      <c r="B59" s="93">
        <v>45940</v>
      </c>
      <c r="C59" s="83" t="s">
        <v>1531</v>
      </c>
      <c r="D59" s="112" t="s">
        <v>2838</v>
      </c>
      <c r="F59" s="119">
        <v>129000</v>
      </c>
      <c r="G59" s="85">
        <v>1</v>
      </c>
      <c r="I59" s="80">
        <v>129000</v>
      </c>
    </row>
    <row r="60" spans="1:10" ht="18" customHeight="1">
      <c r="A60" s="82">
        <v>1867</v>
      </c>
      <c r="B60" s="93">
        <v>45940</v>
      </c>
      <c r="C60" s="83" t="s">
        <v>2144</v>
      </c>
      <c r="D60" s="112" t="s">
        <v>3876</v>
      </c>
      <c r="J60" s="80">
        <v>-50000</v>
      </c>
    </row>
    <row r="61" spans="1:10" ht="18" customHeight="1">
      <c r="A61" s="82">
        <v>1868</v>
      </c>
      <c r="B61" s="93">
        <v>45940</v>
      </c>
      <c r="C61" s="83" t="s">
        <v>1597</v>
      </c>
      <c r="D61" s="112" t="s">
        <v>3877</v>
      </c>
      <c r="J61" s="80">
        <v>-1000000</v>
      </c>
    </row>
    <row r="62" spans="1:10" ht="18" customHeight="1">
      <c r="A62" s="82">
        <v>1869</v>
      </c>
      <c r="B62" s="93">
        <v>45940</v>
      </c>
      <c r="C62" s="83" t="s">
        <v>3825</v>
      </c>
      <c r="D62" s="112" t="s">
        <v>3878</v>
      </c>
      <c r="J62" s="80">
        <v>-579000</v>
      </c>
    </row>
    <row r="63" spans="1:10" ht="18" customHeight="1">
      <c r="A63" s="82">
        <v>1870</v>
      </c>
      <c r="B63" s="93">
        <v>45940</v>
      </c>
      <c r="C63" s="83" t="s">
        <v>2484</v>
      </c>
      <c r="D63" s="112" t="s">
        <v>3880</v>
      </c>
      <c r="J63" s="80">
        <v>-150000</v>
      </c>
    </row>
    <row r="64" spans="1:10" ht="18" customHeight="1">
      <c r="A64" s="82">
        <v>1871</v>
      </c>
      <c r="B64" s="93">
        <v>45940</v>
      </c>
      <c r="C64" s="83" t="s">
        <v>3400</v>
      </c>
      <c r="D64" s="112" t="s">
        <v>3881</v>
      </c>
      <c r="J64" s="80">
        <v>-1550000</v>
      </c>
    </row>
    <row r="65" spans="1:10" ht="18" customHeight="1">
      <c r="A65" s="82">
        <v>1872</v>
      </c>
      <c r="B65" s="93">
        <v>45932</v>
      </c>
      <c r="C65" s="83" t="s">
        <v>1789</v>
      </c>
      <c r="D65" s="112" t="s">
        <v>1518</v>
      </c>
      <c r="F65" s="119">
        <v>20000</v>
      </c>
      <c r="G65" s="85">
        <v>1</v>
      </c>
      <c r="I65" s="80">
        <v>20000</v>
      </c>
    </row>
    <row r="66" spans="1:10" ht="18" customHeight="1">
      <c r="A66" s="82">
        <v>1873</v>
      </c>
      <c r="B66" s="93">
        <v>45941</v>
      </c>
      <c r="C66" s="83" t="s">
        <v>2996</v>
      </c>
      <c r="D66" s="112" t="s">
        <v>1202</v>
      </c>
      <c r="F66" s="119">
        <v>1200000</v>
      </c>
      <c r="G66" s="85">
        <v>1</v>
      </c>
      <c r="I66" s="80">
        <v>1200000</v>
      </c>
    </row>
    <row r="67" spans="1:10" ht="18" customHeight="1">
      <c r="A67" s="82">
        <v>1874</v>
      </c>
      <c r="B67" s="93">
        <v>45941</v>
      </c>
      <c r="C67" s="83" t="s">
        <v>1721</v>
      </c>
      <c r="D67" s="112" t="s">
        <v>1743</v>
      </c>
      <c r="F67" s="119">
        <v>1550000</v>
      </c>
      <c r="G67" s="85">
        <v>1</v>
      </c>
      <c r="I67" s="80">
        <v>1550000</v>
      </c>
    </row>
    <row r="68" spans="1:10" ht="18" customHeight="1">
      <c r="A68" s="82">
        <v>1875</v>
      </c>
      <c r="B68" s="93">
        <v>45943</v>
      </c>
      <c r="C68" s="83" t="s">
        <v>1377</v>
      </c>
      <c r="D68" s="112" t="s">
        <v>2179</v>
      </c>
      <c r="F68" s="119">
        <v>0</v>
      </c>
      <c r="G68" s="85">
        <v>1</v>
      </c>
      <c r="I68" s="80">
        <v>0</v>
      </c>
    </row>
    <row r="69" spans="1:10" ht="18" customHeight="1">
      <c r="A69" s="82">
        <v>1876</v>
      </c>
      <c r="B69" s="93">
        <v>45943</v>
      </c>
      <c r="C69" s="83" t="s">
        <v>1531</v>
      </c>
      <c r="D69" s="112" t="s">
        <v>1124</v>
      </c>
      <c r="J69" s="80">
        <v>-1429000</v>
      </c>
    </row>
    <row r="70" spans="1:10" ht="18" customHeight="1">
      <c r="A70" s="82">
        <v>1877</v>
      </c>
      <c r="B70" s="93">
        <v>45943</v>
      </c>
      <c r="C70" s="83" t="s">
        <v>1398</v>
      </c>
      <c r="D70" s="112" t="s">
        <v>1742</v>
      </c>
      <c r="F70" s="119">
        <v>650000</v>
      </c>
      <c r="G70" s="85">
        <v>1</v>
      </c>
      <c r="I70" s="80">
        <v>650000</v>
      </c>
    </row>
    <row r="71" spans="1:10" ht="18" customHeight="1">
      <c r="A71" s="82">
        <v>1878</v>
      </c>
      <c r="B71" s="93">
        <v>45943</v>
      </c>
      <c r="C71" s="83" t="s">
        <v>1377</v>
      </c>
      <c r="D71" s="112" t="s">
        <v>3889</v>
      </c>
      <c r="F71" s="119">
        <v>350000</v>
      </c>
      <c r="G71" s="85">
        <v>1</v>
      </c>
      <c r="I71" s="80">
        <v>350000</v>
      </c>
    </row>
    <row r="72" spans="1:10" ht="18" customHeight="1">
      <c r="A72" s="82">
        <v>1879</v>
      </c>
      <c r="B72" s="93">
        <v>45943</v>
      </c>
      <c r="C72" s="83" t="s">
        <v>3895</v>
      </c>
      <c r="D72" s="112" t="s">
        <v>3467</v>
      </c>
      <c r="F72" s="119">
        <v>580000</v>
      </c>
      <c r="G72" s="85">
        <v>1</v>
      </c>
      <c r="I72" s="80">
        <v>580000</v>
      </c>
    </row>
    <row r="73" spans="1:10" ht="18" customHeight="1">
      <c r="A73" s="82">
        <v>1880</v>
      </c>
      <c r="B73" s="93">
        <v>45943</v>
      </c>
      <c r="C73" s="83" t="s">
        <v>1579</v>
      </c>
      <c r="D73" s="112" t="s">
        <v>2411</v>
      </c>
      <c r="F73" s="119">
        <v>40000</v>
      </c>
      <c r="G73" s="85">
        <v>1</v>
      </c>
      <c r="H73" s="125">
        <v>4000</v>
      </c>
      <c r="I73" s="80">
        <v>44000</v>
      </c>
    </row>
    <row r="74" spans="1:10" ht="18" customHeight="1">
      <c r="A74" s="82">
        <v>1881</v>
      </c>
      <c r="B74" s="93">
        <v>45943</v>
      </c>
      <c r="C74" s="83" t="s">
        <v>2616</v>
      </c>
      <c r="D74" s="112" t="s">
        <v>3467</v>
      </c>
      <c r="F74" s="119">
        <v>526364</v>
      </c>
      <c r="G74" s="85">
        <v>5</v>
      </c>
      <c r="H74" s="125">
        <v>263182</v>
      </c>
      <c r="I74" s="80">
        <v>2895002</v>
      </c>
    </row>
    <row r="75" spans="1:10" ht="18" customHeight="1">
      <c r="A75" s="82">
        <v>1882</v>
      </c>
      <c r="B75" s="93">
        <v>45943</v>
      </c>
      <c r="C75" s="83" t="s">
        <v>2616</v>
      </c>
      <c r="D75" s="112" t="s">
        <v>3342</v>
      </c>
      <c r="F75" s="119">
        <v>-2</v>
      </c>
      <c r="G75" s="85">
        <v>1</v>
      </c>
      <c r="I75" s="80">
        <v>-2</v>
      </c>
    </row>
    <row r="76" spans="1:10" ht="18" customHeight="1">
      <c r="A76" s="82">
        <v>1883</v>
      </c>
      <c r="B76" s="93">
        <v>45943</v>
      </c>
      <c r="C76" s="83" t="s">
        <v>3901</v>
      </c>
      <c r="D76" s="112" t="s">
        <v>2182</v>
      </c>
      <c r="F76" s="119">
        <v>60000</v>
      </c>
      <c r="G76" s="85">
        <v>1</v>
      </c>
      <c r="H76" s="125">
        <v>6000</v>
      </c>
      <c r="I76" s="80">
        <v>66000</v>
      </c>
    </row>
    <row r="77" spans="1:10" ht="18" customHeight="1">
      <c r="A77" s="82">
        <v>1884</v>
      </c>
      <c r="B77" s="93">
        <v>45943</v>
      </c>
      <c r="C77" s="83" t="s">
        <v>3901</v>
      </c>
      <c r="D77" s="112" t="s">
        <v>2180</v>
      </c>
      <c r="F77" s="119">
        <v>70000</v>
      </c>
      <c r="G77" s="85">
        <v>1</v>
      </c>
      <c r="H77" s="125">
        <v>7000</v>
      </c>
      <c r="I77" s="80">
        <v>77000</v>
      </c>
    </row>
    <row r="78" spans="1:10" ht="18" customHeight="1">
      <c r="A78" s="82">
        <v>1885</v>
      </c>
      <c r="B78" s="93">
        <v>45943</v>
      </c>
      <c r="C78" s="83" t="s">
        <v>3268</v>
      </c>
      <c r="D78" s="112" t="s">
        <v>1560</v>
      </c>
      <c r="F78" s="119">
        <v>200000</v>
      </c>
      <c r="G78" s="85">
        <v>1</v>
      </c>
      <c r="I78" s="80">
        <v>200000</v>
      </c>
    </row>
    <row r="79" spans="1:10" ht="18" customHeight="1">
      <c r="A79" s="82">
        <v>1886</v>
      </c>
      <c r="B79" s="93">
        <v>45943</v>
      </c>
      <c r="C79" s="83" t="s">
        <v>2616</v>
      </c>
      <c r="D79" s="112" t="s">
        <v>3905</v>
      </c>
      <c r="J79" s="80">
        <v>-2895000</v>
      </c>
    </row>
    <row r="80" spans="1:10" ht="18" customHeight="1">
      <c r="A80" s="82">
        <v>1887</v>
      </c>
      <c r="B80" s="93">
        <v>45943</v>
      </c>
      <c r="C80" s="83" t="s">
        <v>3901</v>
      </c>
      <c r="D80" s="112" t="s">
        <v>3907</v>
      </c>
      <c r="J80" s="80">
        <v>-143000</v>
      </c>
    </row>
    <row r="81" spans="1:10" ht="18" customHeight="1">
      <c r="A81" s="82">
        <v>1888</v>
      </c>
      <c r="B81" s="93">
        <v>45943</v>
      </c>
      <c r="C81" s="83" t="s">
        <v>1018</v>
      </c>
      <c r="D81" s="112" t="s">
        <v>3909</v>
      </c>
      <c r="J81" s="80">
        <v>-3400000</v>
      </c>
    </row>
    <row r="82" spans="1:10" ht="18" customHeight="1">
      <c r="A82" s="82">
        <v>1889</v>
      </c>
      <c r="B82" s="93">
        <v>45943</v>
      </c>
      <c r="C82" s="83" t="s">
        <v>1172</v>
      </c>
      <c r="D82" s="112" t="s">
        <v>3911</v>
      </c>
      <c r="J82" s="80">
        <v>-650000</v>
      </c>
    </row>
    <row r="83" spans="1:10" ht="18" customHeight="1">
      <c r="A83" s="82">
        <v>1890</v>
      </c>
      <c r="B83" s="93">
        <v>45943</v>
      </c>
      <c r="C83" s="83" t="s">
        <v>3268</v>
      </c>
      <c r="D83" s="112" t="s">
        <v>3913</v>
      </c>
      <c r="J83" s="80">
        <v>-200000</v>
      </c>
    </row>
    <row r="84" spans="1:10" ht="18" customHeight="1">
      <c r="A84" s="82">
        <v>1891</v>
      </c>
      <c r="B84" s="93">
        <v>45943</v>
      </c>
      <c r="C84" s="83" t="s">
        <v>3895</v>
      </c>
      <c r="D84" s="112" t="s">
        <v>3915</v>
      </c>
      <c r="J84" s="80">
        <v>-580000</v>
      </c>
    </row>
    <row r="85" spans="1:10" ht="18" customHeight="1">
      <c r="A85" s="82">
        <v>1892</v>
      </c>
      <c r="B85" s="93">
        <v>45943</v>
      </c>
      <c r="C85" s="83" t="s">
        <v>1866</v>
      </c>
      <c r="D85" s="112" t="s">
        <v>1742</v>
      </c>
      <c r="F85" s="119">
        <v>1100000</v>
      </c>
      <c r="G85" s="85">
        <v>1</v>
      </c>
      <c r="I85" s="80">
        <v>1100000</v>
      </c>
    </row>
    <row r="86" spans="1:10" ht="18" customHeight="1">
      <c r="A86" s="82">
        <v>1893</v>
      </c>
      <c r="B86" s="93">
        <v>45943</v>
      </c>
      <c r="C86" s="83" t="s">
        <v>1553</v>
      </c>
      <c r="D86" s="112" t="s">
        <v>1202</v>
      </c>
      <c r="F86" s="80">
        <v>1200000</v>
      </c>
      <c r="G86" s="85">
        <v>1</v>
      </c>
      <c r="H86" s="125">
        <v>120000</v>
      </c>
      <c r="I86" s="80">
        <v>1320000</v>
      </c>
    </row>
    <row r="87" spans="1:10" ht="18" customHeight="1">
      <c r="A87" s="82">
        <v>1894</v>
      </c>
      <c r="B87" s="93">
        <v>45943</v>
      </c>
      <c r="C87" s="83" t="s">
        <v>1553</v>
      </c>
      <c r="D87" s="112" t="s">
        <v>1495</v>
      </c>
      <c r="F87" s="119">
        <v>350000</v>
      </c>
      <c r="G87" s="85">
        <v>1</v>
      </c>
      <c r="H87" s="125">
        <v>35000</v>
      </c>
      <c r="I87" s="80">
        <v>385000</v>
      </c>
    </row>
    <row r="88" spans="1:10" ht="18" customHeight="1">
      <c r="F88" s="80"/>
    </row>
    <row r="90" spans="1:10" ht="18" customHeight="1">
      <c r="F90" s="80"/>
    </row>
    <row r="92" spans="1:10" ht="18" customHeight="1">
      <c r="F92" s="80"/>
      <c r="G92" s="119"/>
    </row>
    <row r="93" spans="1:10" ht="18" customHeight="1">
      <c r="F93" s="80"/>
      <c r="G93" s="119"/>
    </row>
    <row r="94" spans="1:10" ht="18" customHeight="1">
      <c r="F94" s="80"/>
      <c r="G94" s="119"/>
    </row>
    <row r="95" spans="1:10" ht="18" customHeight="1">
      <c r="F95" s="80"/>
      <c r="G95" s="119"/>
    </row>
    <row r="96" spans="1:10" ht="18" customHeight="1">
      <c r="F96" s="80"/>
      <c r="G96" s="119"/>
    </row>
    <row r="97" spans="6:7" ht="18" customHeight="1">
      <c r="F97" s="80"/>
      <c r="G97" s="119"/>
    </row>
    <row r="98" spans="6:7" ht="18" customHeight="1">
      <c r="F98" s="80"/>
      <c r="G98" s="119"/>
    </row>
    <row r="99" spans="6:7" ht="18" customHeight="1">
      <c r="F99" s="80"/>
      <c r="G99" s="119"/>
    </row>
    <row r="100" spans="6:7" ht="18" customHeight="1">
      <c r="F100" s="80"/>
      <c r="G100" s="119"/>
    </row>
    <row r="101" spans="6:7" ht="18" customHeight="1">
      <c r="F101" s="80"/>
      <c r="G101" s="119"/>
    </row>
    <row r="102" spans="6:7" ht="18" customHeight="1">
      <c r="F102" s="80"/>
      <c r="G102" s="119"/>
    </row>
    <row r="103" spans="6:7" ht="18" customHeight="1">
      <c r="F103" s="80"/>
      <c r="G103" s="119"/>
    </row>
    <row r="104" spans="6:7" ht="18" customHeight="1">
      <c r="F104" s="80"/>
      <c r="G104" s="119"/>
    </row>
    <row r="105" spans="6:7" ht="18" customHeight="1">
      <c r="F105" s="80"/>
      <c r="G105" s="119"/>
    </row>
    <row r="106" spans="6:7" ht="18" customHeight="1">
      <c r="F106" s="80"/>
      <c r="G106" s="119"/>
    </row>
    <row r="107" spans="6:7" ht="18" customHeight="1">
      <c r="F107" s="80"/>
      <c r="G107" s="119"/>
    </row>
    <row r="108" spans="6:7" ht="18" customHeight="1">
      <c r="F108" s="80"/>
      <c r="G108" s="119"/>
    </row>
    <row r="109" spans="6:7" ht="18" customHeight="1">
      <c r="F109" s="80"/>
      <c r="G109" s="119"/>
    </row>
    <row r="110" spans="6:7" ht="18" customHeight="1">
      <c r="F110" s="80"/>
      <c r="G110" s="119"/>
    </row>
    <row r="111" spans="6:7" ht="18" customHeight="1">
      <c r="F111" s="80"/>
      <c r="G111" s="119"/>
    </row>
    <row r="112" spans="6:7" ht="18" customHeight="1">
      <c r="F112" s="80"/>
      <c r="G112" s="119"/>
    </row>
    <row r="113" spans="6:7" ht="18" customHeight="1">
      <c r="F113" s="80"/>
      <c r="G113" s="119"/>
    </row>
    <row r="114" spans="6:7" ht="18" customHeight="1">
      <c r="F114" s="80"/>
      <c r="G114" s="119"/>
    </row>
    <row r="115" spans="6:7" ht="18" customHeight="1">
      <c r="F115" s="80"/>
      <c r="G115" s="119"/>
    </row>
    <row r="116" spans="6:7" ht="18" customHeight="1">
      <c r="F116" s="80"/>
      <c r="G116" s="119"/>
    </row>
    <row r="117" spans="6:7" ht="18" customHeight="1">
      <c r="F117" s="80"/>
      <c r="G117" s="119"/>
    </row>
    <row r="118" spans="6:7" ht="18" customHeight="1">
      <c r="F118" s="80"/>
      <c r="G118" s="119"/>
    </row>
    <row r="119" spans="6:7" ht="18" customHeight="1">
      <c r="F119" s="80"/>
      <c r="G119" s="119"/>
    </row>
    <row r="120" spans="6:7" ht="18" customHeight="1">
      <c r="F120" s="80"/>
      <c r="G120" s="119"/>
    </row>
    <row r="121" spans="6:7" ht="18" customHeight="1">
      <c r="F121" s="80"/>
      <c r="G121" s="119"/>
    </row>
    <row r="140" spans="11:11" ht="18" customHeight="1">
      <c r="K140" s="69" t="s">
        <v>3522</v>
      </c>
    </row>
    <row r="141" spans="11:11" ht="18" customHeight="1">
      <c r="K141" s="69" t="s">
        <v>3522</v>
      </c>
    </row>
    <row r="142" spans="11:11" ht="18" customHeight="1">
      <c r="K142" s="69" t="s">
        <v>3522</v>
      </c>
    </row>
    <row r="143" spans="11:11" ht="18" customHeight="1">
      <c r="K143" s="69" t="s">
        <v>3522</v>
      </c>
    </row>
    <row r="144" spans="11:11" ht="18" customHeight="1">
      <c r="K144" s="69" t="s">
        <v>3522</v>
      </c>
    </row>
    <row r="145" spans="11:11" ht="18" customHeight="1">
      <c r="K145" s="69" t="s">
        <v>3522</v>
      </c>
    </row>
    <row r="146" spans="11:11" ht="18" customHeight="1">
      <c r="K146" s="69" t="s">
        <v>3522</v>
      </c>
    </row>
    <row r="147" spans="11:11" ht="18" customHeight="1">
      <c r="K147" s="69" t="s">
        <v>3522</v>
      </c>
    </row>
    <row r="148" spans="11:11" ht="18" customHeight="1">
      <c r="K148" s="69" t="s">
        <v>3522</v>
      </c>
    </row>
    <row r="150" spans="11:11" ht="18" customHeight="1">
      <c r="K150" s="69" t="s">
        <v>3522</v>
      </c>
    </row>
    <row r="151" spans="11:11" ht="18" customHeight="1">
      <c r="K151" s="69" t="s">
        <v>3522</v>
      </c>
    </row>
    <row r="152" spans="11:11" ht="18" customHeight="1">
      <c r="K152" s="69" t="s">
        <v>3522</v>
      </c>
    </row>
    <row r="153" spans="11:11" ht="18" customHeight="1">
      <c r="K153" s="69" t="s">
        <v>3522</v>
      </c>
    </row>
    <row r="154" spans="11:11" ht="18" customHeight="1">
      <c r="K154" s="69" t="s">
        <v>3522</v>
      </c>
    </row>
    <row r="155" spans="11:11" ht="18" customHeight="1">
      <c r="K155" s="69" t="s">
        <v>3522</v>
      </c>
    </row>
    <row r="156" spans="11:11" ht="18" customHeight="1">
      <c r="K156" s="69" t="s">
        <v>3522</v>
      </c>
    </row>
    <row r="157" spans="11:11" ht="18" customHeight="1">
      <c r="K157" s="69" t="s">
        <v>3522</v>
      </c>
    </row>
    <row r="200" spans="9:9" ht="18" customHeight="1">
      <c r="I200" s="125"/>
    </row>
    <row r="201" spans="9:9" ht="18" customHeight="1">
      <c r="I201" s="125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3677</v>
      </c>
      <c r="B1" s="276" t="s">
        <v>49</v>
      </c>
      <c r="C1" s="290" t="s">
        <v>2830</v>
      </c>
      <c r="D1" s="276" t="s">
        <v>2829</v>
      </c>
      <c r="E1" s="276"/>
      <c r="F1" s="275"/>
    </row>
    <row r="2" spans="1:6">
      <c r="B2" s="262" t="s">
        <v>1351</v>
      </c>
      <c r="C2" s="261">
        <f>SUMIF(BTS_매출관리!C:C,B2,BTS_매출관리!I:I)</f>
        <v>3600000</v>
      </c>
      <c r="D2" s="262">
        <f t="shared" ref="D2:D65" si="0">RANK(C2,C:C,0)</f>
        <v>1</v>
      </c>
      <c r="E2" t="s">
        <v>3811</v>
      </c>
    </row>
    <row r="3" spans="1:6">
      <c r="B3" s="58" t="s">
        <v>1301</v>
      </c>
      <c r="C3" s="292">
        <f>SUMIF(BTS_매출관리!C:C,B3,BTS_매출관리!I:I)</f>
        <v>2450000</v>
      </c>
      <c r="D3" s="58">
        <f t="shared" si="0"/>
        <v>4</v>
      </c>
      <c r="E3" t="s">
        <v>3811</v>
      </c>
    </row>
    <row r="4" spans="1:6">
      <c r="B4" s="262" t="s">
        <v>1341</v>
      </c>
      <c r="C4" s="261">
        <f>SUMIF(BTS_매출관리!C:C,B4,BTS_매출관리!I:I)</f>
        <v>1650000</v>
      </c>
      <c r="D4" s="262">
        <f t="shared" si="0"/>
        <v>7</v>
      </c>
      <c r="E4" t="s">
        <v>3811</v>
      </c>
    </row>
    <row r="5" spans="1:6">
      <c r="B5" s="58" t="s">
        <v>2214</v>
      </c>
      <c r="C5" s="292">
        <f>SUMIF(BTS_매출관리!C:C,B5,BTS_매출관리!I:I)</f>
        <v>2970000</v>
      </c>
      <c r="D5" s="58">
        <f t="shared" si="0"/>
        <v>2</v>
      </c>
      <c r="E5" t="s">
        <v>3811</v>
      </c>
    </row>
    <row r="6" spans="1:6">
      <c r="B6" s="58" t="s">
        <v>1278</v>
      </c>
      <c r="C6" s="292">
        <f>SUMIF(BTS_매출관리!C:C,B6,BTS_매출관리!I:I)</f>
        <v>1220000</v>
      </c>
      <c r="D6" s="58">
        <f t="shared" si="0"/>
        <v>11</v>
      </c>
      <c r="E6" t="s">
        <v>3811</v>
      </c>
    </row>
    <row r="7" spans="1:6">
      <c r="B7" s="58" t="s">
        <v>1335</v>
      </c>
      <c r="C7" s="292">
        <f>SUMIF(BTS_매출관리!C:C,B7,BTS_매출관리!I:I)</f>
        <v>2305000</v>
      </c>
      <c r="D7" s="58">
        <f t="shared" si="0"/>
        <v>5</v>
      </c>
      <c r="E7" t="s">
        <v>3811</v>
      </c>
    </row>
    <row r="8" spans="1:6">
      <c r="B8" s="262" t="s">
        <v>1889</v>
      </c>
      <c r="C8" s="261">
        <f>SUMIF(BTS_매출관리!C:C,B8,BTS_매출관리!I:I)</f>
        <v>650000</v>
      </c>
      <c r="D8" s="262">
        <f t="shared" si="0"/>
        <v>17</v>
      </c>
      <c r="E8" t="s">
        <v>3811</v>
      </c>
    </row>
    <row r="9" spans="1:6">
      <c r="B9" s="262" t="s">
        <v>1094</v>
      </c>
      <c r="C9" s="261">
        <f>SUMIF(BTS_매출관리!C:C,B9,BTS_매출관리!I:I)</f>
        <v>1158000</v>
      </c>
      <c r="D9" s="262">
        <f t="shared" si="0"/>
        <v>13</v>
      </c>
      <c r="E9" t="s">
        <v>3811</v>
      </c>
    </row>
    <row r="10" spans="1:6">
      <c r="B10" s="262" t="s">
        <v>1294</v>
      </c>
      <c r="C10" s="261">
        <f>SUMIF(BTS_매출관리!C:C,B10,BTS_매출관리!I:I)</f>
        <v>540000</v>
      </c>
      <c r="D10" s="262">
        <f t="shared" si="0"/>
        <v>21</v>
      </c>
      <c r="E10" t="s">
        <v>3811</v>
      </c>
    </row>
    <row r="11" spans="1:6">
      <c r="B11" s="58" t="s">
        <v>1158</v>
      </c>
      <c r="C11" s="292">
        <f>SUMIF(BTS_매출관리!C:C,B11,BTS_매출관리!I:I)</f>
        <v>150000</v>
      </c>
      <c r="D11" s="58">
        <f t="shared" si="0"/>
        <v>24</v>
      </c>
      <c r="E11" t="s">
        <v>3811</v>
      </c>
    </row>
    <row r="12" spans="1:6">
      <c r="B12" s="58" t="s">
        <v>1352</v>
      </c>
      <c r="C12" s="292">
        <f>SUMIF(BTS_매출관리!C:C,B12,BTS_매출관리!I:I)</f>
        <v>844000</v>
      </c>
      <c r="D12" s="58">
        <f t="shared" si="0"/>
        <v>16</v>
      </c>
      <c r="E12" t="s">
        <v>3811</v>
      </c>
      <c r="F12" t="str">
        <f>IF(D12 &lt; 10,,"")</f>
        <v/>
      </c>
    </row>
    <row r="13" spans="1:6">
      <c r="B13" s="58" t="s">
        <v>1332</v>
      </c>
      <c r="C13" s="292">
        <f>SUMIF(BTS_매출관리!C:C,B13,BTS_매출관리!I:I)</f>
        <v>0</v>
      </c>
      <c r="D13" s="58">
        <f t="shared" si="0"/>
        <v>28</v>
      </c>
      <c r="E13" t="s">
        <v>3811</v>
      </c>
      <c r="F13" t="str">
        <f>IF(D13 &lt; 10,,"")</f>
        <v/>
      </c>
    </row>
    <row r="14" spans="1:6">
      <c r="B14" s="58" t="s">
        <v>1288</v>
      </c>
      <c r="C14" s="292">
        <f>SUMIF(BTS_매출관리!C:C,B14,BTS_매출관리!I:I)</f>
        <v>150000</v>
      </c>
      <c r="D14" s="58">
        <f t="shared" si="0"/>
        <v>24</v>
      </c>
      <c r="E14" t="s">
        <v>3811</v>
      </c>
      <c r="F14" t="str">
        <f>IF(D14 &lt; 10,,"")</f>
        <v/>
      </c>
    </row>
    <row r="15" spans="1:6">
      <c r="B15" s="58" t="s">
        <v>1286</v>
      </c>
      <c r="C15" s="292">
        <f>SUMIF(BTS_매출관리!C:C,B15,BTS_매출관리!I:I)</f>
        <v>154000</v>
      </c>
      <c r="D15" s="58">
        <f t="shared" si="0"/>
        <v>23</v>
      </c>
      <c r="E15" t="s">
        <v>3811</v>
      </c>
    </row>
    <row r="16" spans="1:6">
      <c r="B16" s="58" t="s">
        <v>1783</v>
      </c>
      <c r="C16" s="292">
        <f>SUMIF(BTS_매출관리!C:C,B16,BTS_매출관리!I:I)</f>
        <v>0</v>
      </c>
      <c r="D16" s="58">
        <f t="shared" si="0"/>
        <v>28</v>
      </c>
      <c r="E16" t="s">
        <v>3811</v>
      </c>
    </row>
    <row r="17" spans="2:18">
      <c r="B17" s="58" t="s">
        <v>1670</v>
      </c>
      <c r="C17" s="292">
        <f>SUMIF(BTS_매출관리!C:C,B17,BTS_매출관리!I:I)</f>
        <v>0</v>
      </c>
      <c r="D17" s="58">
        <f t="shared" si="0"/>
        <v>28</v>
      </c>
      <c r="E17" t="s">
        <v>3811</v>
      </c>
    </row>
    <row r="18" spans="2:18">
      <c r="B18" s="58" t="s">
        <v>1273</v>
      </c>
      <c r="C18" s="292">
        <f>SUMIF(BTS_매출관리!C:C,B18,BTS_매출관리!I:I)</f>
        <v>638000</v>
      </c>
      <c r="D18" s="58">
        <f t="shared" si="0"/>
        <v>19</v>
      </c>
      <c r="E18" t="s">
        <v>3775</v>
      </c>
    </row>
    <row r="19" spans="2:18">
      <c r="B19" s="58" t="s">
        <v>1333</v>
      </c>
      <c r="C19" s="292">
        <f>SUMIF(BTS_매출관리!C:C,B19,BTS_매출관리!I:I)</f>
        <v>0</v>
      </c>
      <c r="D19" s="58">
        <f t="shared" si="0"/>
        <v>28</v>
      </c>
      <c r="E19" t="s">
        <v>3811</v>
      </c>
    </row>
    <row r="20" spans="2:18">
      <c r="B20" s="58" t="s">
        <v>1018</v>
      </c>
      <c r="C20" s="292">
        <f>SUMIF(BTS_매출관리!C:C,B20,BTS_매출관리!I:I)</f>
        <v>0</v>
      </c>
      <c r="D20" s="58">
        <f t="shared" si="0"/>
        <v>28</v>
      </c>
      <c r="E20" t="s">
        <v>3811</v>
      </c>
    </row>
    <row r="21" spans="2:18">
      <c r="B21" s="58" t="s">
        <v>1289</v>
      </c>
      <c r="C21" s="292">
        <f>SUMIF(BTS_매출관리!C:C,B21,BTS_매출관리!I:I)</f>
        <v>0</v>
      </c>
      <c r="D21" s="58">
        <f t="shared" si="0"/>
        <v>28</v>
      </c>
      <c r="E21" t="s">
        <v>3811</v>
      </c>
      <c r="F21" t="s">
        <v>3703</v>
      </c>
    </row>
    <row r="22" spans="2:18">
      <c r="B22" s="58" t="s">
        <v>1340</v>
      </c>
      <c r="C22" s="292">
        <f>SUMIF(BTS_매출관리!C:C,B22,BTS_매출관리!I:I)</f>
        <v>0</v>
      </c>
      <c r="D22" s="58">
        <f t="shared" si="0"/>
        <v>28</v>
      </c>
      <c r="E22" t="s">
        <v>3811</v>
      </c>
      <c r="F22" t="s">
        <v>3678</v>
      </c>
      <c r="G22" t="s">
        <v>3810</v>
      </c>
      <c r="I22" t="s">
        <v>3681</v>
      </c>
      <c r="J22" s="294" t="s">
        <v>3721</v>
      </c>
      <c r="O22" t="s">
        <v>3704</v>
      </c>
      <c r="P22">
        <v>2</v>
      </c>
      <c r="Q22" t="s">
        <v>3811</v>
      </c>
    </row>
    <row r="23" spans="2:18">
      <c r="B23" s="58" t="s">
        <v>1275</v>
      </c>
      <c r="C23" s="292">
        <f>SUMIF(BTS_매출관리!C:C,B23,BTS_매출관리!I:I)</f>
        <v>0</v>
      </c>
      <c r="D23" s="58">
        <f t="shared" si="0"/>
        <v>28</v>
      </c>
      <c r="E23" t="s">
        <v>3811</v>
      </c>
      <c r="F23" t="s">
        <v>3679</v>
      </c>
      <c r="G23" t="s">
        <v>3810</v>
      </c>
      <c r="I23" t="s">
        <v>3683</v>
      </c>
      <c r="J23" s="294" t="s">
        <v>3721</v>
      </c>
      <c r="O23" t="s">
        <v>3705</v>
      </c>
      <c r="P23">
        <v>3</v>
      </c>
      <c r="Q23" t="s">
        <v>3811</v>
      </c>
    </row>
    <row r="24" spans="2:18">
      <c r="B24" s="58" t="s">
        <v>1312</v>
      </c>
      <c r="C24" s="292">
        <f>SUMIF(BTS_매출관리!C:C,B24,BTS_매출관리!I:I)</f>
        <v>1000000</v>
      </c>
      <c r="D24" s="58">
        <f t="shared" si="0"/>
        <v>15</v>
      </c>
      <c r="E24" t="s">
        <v>3811</v>
      </c>
      <c r="F24" t="s">
        <v>3680</v>
      </c>
      <c r="G24" t="s">
        <v>3810</v>
      </c>
      <c r="I24" t="s">
        <v>3685</v>
      </c>
      <c r="J24" s="294" t="s">
        <v>3721</v>
      </c>
      <c r="O24" t="s">
        <v>3706</v>
      </c>
      <c r="P24">
        <v>2</v>
      </c>
      <c r="Q24" t="s">
        <v>3811</v>
      </c>
    </row>
    <row r="25" spans="2:18">
      <c r="B25" s="58" t="s">
        <v>1058</v>
      </c>
      <c r="C25" s="292">
        <f>SUMIF(BTS_매출관리!C:C,B25,BTS_매출관리!I:I)</f>
        <v>0</v>
      </c>
      <c r="D25" s="58">
        <f t="shared" si="0"/>
        <v>28</v>
      </c>
      <c r="E25" t="s">
        <v>3811</v>
      </c>
      <c r="F25" t="s">
        <v>3682</v>
      </c>
      <c r="G25" t="s">
        <v>3721</v>
      </c>
      <c r="I25" t="s">
        <v>3688</v>
      </c>
      <c r="J25" s="294" t="s">
        <v>3810</v>
      </c>
      <c r="O25" t="s">
        <v>3707</v>
      </c>
      <c r="P25">
        <v>1</v>
      </c>
      <c r="R25" t="s">
        <v>3810</v>
      </c>
    </row>
    <row r="26" spans="2:18">
      <c r="B26" s="58" t="s">
        <v>1147</v>
      </c>
      <c r="C26" s="292">
        <f>SUMIF(BTS_매출관리!C:C,B26,BTS_매출관리!I:I)</f>
        <v>0</v>
      </c>
      <c r="D26" s="58">
        <f t="shared" si="0"/>
        <v>28</v>
      </c>
      <c r="E26" t="s">
        <v>3811</v>
      </c>
      <c r="F26" t="s">
        <v>3684</v>
      </c>
      <c r="G26" t="s">
        <v>3810</v>
      </c>
      <c r="I26" t="s">
        <v>3701</v>
      </c>
      <c r="J26" s="294" t="s">
        <v>3740</v>
      </c>
      <c r="O26" t="s">
        <v>3708</v>
      </c>
      <c r="P26">
        <v>2</v>
      </c>
      <c r="Q26" t="s">
        <v>3722</v>
      </c>
    </row>
    <row r="27" spans="2:18">
      <c r="B27" s="58" t="s">
        <v>2470</v>
      </c>
      <c r="C27" s="292">
        <f>SUMIF(BTS_매출관리!C:C,B27,BTS_매출관리!I:I)</f>
        <v>0</v>
      </c>
      <c r="D27" s="58">
        <f t="shared" si="0"/>
        <v>28</v>
      </c>
      <c r="E27" t="s">
        <v>3811</v>
      </c>
      <c r="F27" t="s">
        <v>3796</v>
      </c>
      <c r="G27" t="s">
        <v>3818</v>
      </c>
      <c r="I27" t="s">
        <v>2858</v>
      </c>
      <c r="J27" s="294" t="s">
        <v>3740</v>
      </c>
      <c r="O27" t="s">
        <v>3709</v>
      </c>
      <c r="P27">
        <v>1</v>
      </c>
      <c r="Q27" t="s">
        <v>3721</v>
      </c>
    </row>
    <row r="28" spans="2:18">
      <c r="B28" s="58" t="s">
        <v>1316</v>
      </c>
      <c r="C28" s="292">
        <f>SUMIF(BTS_매출관리!C:C,B28,BTS_매출관리!I:I)</f>
        <v>0</v>
      </c>
      <c r="D28" s="58">
        <f t="shared" si="0"/>
        <v>28</v>
      </c>
      <c r="E28" t="s">
        <v>3811</v>
      </c>
      <c r="F28" t="s">
        <v>3687</v>
      </c>
      <c r="G28" t="s">
        <v>3816</v>
      </c>
      <c r="I28" t="s">
        <v>2257</v>
      </c>
      <c r="J28" s="294" t="s">
        <v>3740</v>
      </c>
      <c r="O28" t="s">
        <v>3710</v>
      </c>
      <c r="P28">
        <v>2</v>
      </c>
      <c r="R28" t="s">
        <v>3817</v>
      </c>
    </row>
    <row r="29" spans="2:18">
      <c r="B29" s="58" t="s">
        <v>2359</v>
      </c>
      <c r="C29" s="292">
        <f>SUMIF(BTS_매출관리!C:C,B29,BTS_매출관리!I:I)</f>
        <v>0</v>
      </c>
      <c r="D29" s="58">
        <f t="shared" si="0"/>
        <v>28</v>
      </c>
      <c r="E29" t="s">
        <v>2861</v>
      </c>
      <c r="F29" t="s">
        <v>3689</v>
      </c>
      <c r="G29" t="s">
        <v>3810</v>
      </c>
      <c r="O29" t="s">
        <v>3711</v>
      </c>
      <c r="P29">
        <v>2</v>
      </c>
      <c r="Q29" t="s">
        <v>3811</v>
      </c>
    </row>
    <row r="30" spans="2:18">
      <c r="B30" s="58" t="s">
        <v>1306</v>
      </c>
      <c r="C30" s="292">
        <f>SUMIF(BTS_매출관리!C:C,B30,BTS_매출관리!I:I)</f>
        <v>0</v>
      </c>
      <c r="D30" s="58">
        <f t="shared" si="0"/>
        <v>28</v>
      </c>
      <c r="F30" t="s">
        <v>3690</v>
      </c>
      <c r="G30" t="s">
        <v>3816</v>
      </c>
      <c r="O30" t="s">
        <v>3712</v>
      </c>
      <c r="P30">
        <v>2</v>
      </c>
      <c r="Q30" t="s">
        <v>3739</v>
      </c>
    </row>
    <row r="31" spans="2:18">
      <c r="B31" s="58" t="s">
        <v>1345</v>
      </c>
      <c r="C31" s="292">
        <f>SUMIF(BTS_매출관리!C:C,B31,BTS_매출관리!I:I)</f>
        <v>0</v>
      </c>
      <c r="D31" s="58">
        <f t="shared" si="0"/>
        <v>28</v>
      </c>
      <c r="F31" t="s">
        <v>3691</v>
      </c>
      <c r="G31" t="s">
        <v>3810</v>
      </c>
      <c r="O31" t="s">
        <v>3713</v>
      </c>
      <c r="P31">
        <v>1</v>
      </c>
      <c r="R31" t="s">
        <v>3816</v>
      </c>
    </row>
    <row r="32" spans="2:18">
      <c r="B32" s="58" t="s">
        <v>980</v>
      </c>
      <c r="C32" s="292">
        <f>SUMIF(BTS_매출관리!C:C,B32,BTS_매출관리!I:I)</f>
        <v>0</v>
      </c>
      <c r="D32" s="58">
        <f t="shared" si="0"/>
        <v>28</v>
      </c>
      <c r="E32" t="s">
        <v>3811</v>
      </c>
      <c r="F32" t="s">
        <v>3692</v>
      </c>
      <c r="G32" t="s">
        <v>3810</v>
      </c>
      <c r="O32" t="s">
        <v>3714</v>
      </c>
      <c r="P32">
        <v>1</v>
      </c>
      <c r="R32" t="s">
        <v>3810</v>
      </c>
    </row>
    <row r="33" spans="2:17">
      <c r="B33" s="58" t="s">
        <v>1270</v>
      </c>
      <c r="C33" s="292">
        <f>SUMIF(BTS_매출관리!C:C,B33,BTS_매출관리!I:I)</f>
        <v>0</v>
      </c>
      <c r="D33" s="58">
        <f t="shared" si="0"/>
        <v>28</v>
      </c>
      <c r="F33" t="s">
        <v>3693</v>
      </c>
      <c r="G33" t="s">
        <v>3810</v>
      </c>
      <c r="O33" t="s">
        <v>3715</v>
      </c>
      <c r="P33">
        <v>1</v>
      </c>
      <c r="Q33" t="s">
        <v>3723</v>
      </c>
    </row>
    <row r="34" spans="2:17">
      <c r="B34" s="58" t="s">
        <v>1487</v>
      </c>
      <c r="C34" s="292">
        <f>SUMIF(BTS_매출관리!C:C,B34,BTS_매출관리!I:I)</f>
        <v>0</v>
      </c>
      <c r="D34" s="58">
        <f t="shared" si="0"/>
        <v>28</v>
      </c>
      <c r="E34" t="s">
        <v>3811</v>
      </c>
      <c r="F34" t="s">
        <v>3694</v>
      </c>
      <c r="G34" t="s">
        <v>3816</v>
      </c>
      <c r="O34" t="s">
        <v>3686</v>
      </c>
      <c r="P34">
        <v>2</v>
      </c>
      <c r="Q34" t="s">
        <v>3811</v>
      </c>
    </row>
    <row r="35" spans="2:17">
      <c r="B35" s="58" t="s">
        <v>2914</v>
      </c>
      <c r="C35" s="292">
        <f>SUMIF(BTS_매출관리!C:C,B35,BTS_매출관리!I:I)</f>
        <v>0</v>
      </c>
      <c r="D35" s="58">
        <f t="shared" si="0"/>
        <v>28</v>
      </c>
      <c r="E35" t="s">
        <v>3811</v>
      </c>
      <c r="F35" t="s">
        <v>3695</v>
      </c>
      <c r="G35" t="s">
        <v>3816</v>
      </c>
      <c r="O35" t="s">
        <v>3716</v>
      </c>
      <c r="P35">
        <v>1</v>
      </c>
    </row>
    <row r="36" spans="2:17">
      <c r="B36" s="58" t="s">
        <v>1035</v>
      </c>
      <c r="C36" s="292">
        <f>SUMIF(BTS_매출관리!C:C,B36,BTS_매출관리!I:I)</f>
        <v>1705000</v>
      </c>
      <c r="D36" s="58">
        <f t="shared" si="0"/>
        <v>6</v>
      </c>
      <c r="F36" t="s">
        <v>3696</v>
      </c>
      <c r="G36" t="s">
        <v>3810</v>
      </c>
      <c r="O36" t="s">
        <v>3717</v>
      </c>
      <c r="P36">
        <v>1</v>
      </c>
      <c r="Q36" t="s">
        <v>3811</v>
      </c>
    </row>
    <row r="37" spans="2:17">
      <c r="B37" s="58" t="s">
        <v>1616</v>
      </c>
      <c r="C37" s="292">
        <f>SUMIF(BTS_매출관리!C:C,B37,BTS_매출관리!I:I)</f>
        <v>0</v>
      </c>
      <c r="D37" s="58">
        <f t="shared" si="0"/>
        <v>28</v>
      </c>
      <c r="E37" t="s">
        <v>3811</v>
      </c>
      <c r="F37" t="s">
        <v>3697</v>
      </c>
      <c r="G37" t="s">
        <v>3810</v>
      </c>
    </row>
    <row r="38" spans="2:17">
      <c r="B38" s="58" t="s">
        <v>1325</v>
      </c>
      <c r="C38" s="292">
        <f>SUMIF(BTS_매출관리!C:C,B38,BTS_매출관리!I:I)</f>
        <v>0</v>
      </c>
      <c r="D38" s="58">
        <f t="shared" si="0"/>
        <v>28</v>
      </c>
      <c r="E38" t="s">
        <v>3775</v>
      </c>
      <c r="F38" t="s">
        <v>3698</v>
      </c>
      <c r="G38" t="s">
        <v>3816</v>
      </c>
    </row>
    <row r="39" spans="2:17">
      <c r="B39" s="58" t="s">
        <v>1344</v>
      </c>
      <c r="C39" s="292">
        <f>SUMIF(BTS_매출관리!C:C,B39,BTS_매출관리!I:I)</f>
        <v>0</v>
      </c>
      <c r="D39" s="58">
        <f t="shared" si="0"/>
        <v>28</v>
      </c>
      <c r="E39" t="s">
        <v>3811</v>
      </c>
      <c r="F39" t="s">
        <v>3699</v>
      </c>
      <c r="G39" t="s">
        <v>3816</v>
      </c>
    </row>
    <row r="40" spans="2:17">
      <c r="B40" s="58" t="s">
        <v>1348</v>
      </c>
      <c r="C40" s="292">
        <f>SUMIF(BTS_매출관리!C:C,B40,BTS_매출관리!I:I)</f>
        <v>0</v>
      </c>
      <c r="D40" s="58">
        <f t="shared" si="0"/>
        <v>28</v>
      </c>
      <c r="F40" t="s">
        <v>3700</v>
      </c>
      <c r="G40" t="s">
        <v>3816</v>
      </c>
    </row>
    <row r="41" spans="2:17">
      <c r="B41" s="58" t="s">
        <v>2559</v>
      </c>
      <c r="C41" s="292">
        <f>SUMIF(BTS_매출관리!C:C,B41,BTS_매출관리!I:I)</f>
        <v>0</v>
      </c>
      <c r="D41" s="58">
        <f t="shared" si="0"/>
        <v>28</v>
      </c>
      <c r="E41" t="s">
        <v>3811</v>
      </c>
      <c r="F41" t="s">
        <v>3702</v>
      </c>
      <c r="G41" t="s">
        <v>3810</v>
      </c>
    </row>
    <row r="42" spans="2:17">
      <c r="B42" s="58" t="s">
        <v>1287</v>
      </c>
      <c r="C42" s="292">
        <f>SUMIF(BTS_매출관리!C:C,B42,BTS_매출관리!I:I)</f>
        <v>0</v>
      </c>
      <c r="D42" s="58">
        <f t="shared" si="0"/>
        <v>28</v>
      </c>
      <c r="F42" t="s">
        <v>1327</v>
      </c>
      <c r="G42" t="s">
        <v>3816</v>
      </c>
    </row>
    <row r="43" spans="2:17">
      <c r="B43" s="58" t="s">
        <v>1172</v>
      </c>
      <c r="C43" s="292">
        <f>SUMIF(BTS_매출관리!C:C,B43,BTS_매출관리!I:I)</f>
        <v>650000</v>
      </c>
      <c r="D43" s="58">
        <f t="shared" si="0"/>
        <v>17</v>
      </c>
      <c r="F43" t="s">
        <v>3797</v>
      </c>
      <c r="G43" t="s">
        <v>3810</v>
      </c>
    </row>
    <row r="44" spans="2:17">
      <c r="B44" s="58" t="s">
        <v>1297</v>
      </c>
      <c r="C44" s="292">
        <f>SUMIF(BTS_매출관리!C:C,B44,BTS_매출관리!I:I)</f>
        <v>600000</v>
      </c>
      <c r="D44" s="58">
        <f t="shared" si="0"/>
        <v>20</v>
      </c>
      <c r="E44" t="s">
        <v>3811</v>
      </c>
      <c r="F44" t="s">
        <v>3798</v>
      </c>
      <c r="G44" t="s">
        <v>3810</v>
      </c>
    </row>
    <row r="45" spans="2:17">
      <c r="B45" s="58" t="s">
        <v>1356</v>
      </c>
      <c r="C45" s="292">
        <f>SUMIF(BTS_매출관리!C:C,B45,BTS_매출관리!I:I)</f>
        <v>0</v>
      </c>
      <c r="D45" s="58">
        <f t="shared" si="0"/>
        <v>28</v>
      </c>
      <c r="E45" t="s">
        <v>3811</v>
      </c>
      <c r="F45" t="s">
        <v>3799</v>
      </c>
      <c r="G45" t="s">
        <v>3810</v>
      </c>
      <c r="M45">
        <v>17</v>
      </c>
    </row>
    <row r="46" spans="2:17">
      <c r="B46" s="262" t="s">
        <v>983</v>
      </c>
      <c r="C46" s="261">
        <f>SUMIF(BTS_매출관리!C:C,B46,BTS_매출관리!I:I)</f>
        <v>0</v>
      </c>
      <c r="D46" s="58">
        <f t="shared" si="0"/>
        <v>28</v>
      </c>
      <c r="F46" t="s">
        <v>3812</v>
      </c>
      <c r="G46" t="s">
        <v>3810</v>
      </c>
    </row>
    <row r="47" spans="2:17">
      <c r="B47" s="58" t="s">
        <v>1302</v>
      </c>
      <c r="C47" s="292">
        <f>SUMIF(BTS_매출관리!C:C,B47,BTS_매출관리!I:I)</f>
        <v>0</v>
      </c>
      <c r="D47" s="58">
        <f t="shared" si="0"/>
        <v>28</v>
      </c>
      <c r="E47" t="s">
        <v>3811</v>
      </c>
      <c r="F47" s="58" t="s">
        <v>1035</v>
      </c>
      <c r="G47" t="s">
        <v>3810</v>
      </c>
      <c r="K47" t="s">
        <v>3810</v>
      </c>
      <c r="L47">
        <f>COUNTIF(G22:G49,"스팸")</f>
        <v>17</v>
      </c>
    </row>
    <row r="48" spans="2:17">
      <c r="B48" s="58" t="s">
        <v>1329</v>
      </c>
      <c r="C48" s="292">
        <f>SUMIF(BTS_매출관리!C:C,B48,BTS_매출관리!I:I)</f>
        <v>0</v>
      </c>
      <c r="D48" s="58">
        <f t="shared" si="0"/>
        <v>28</v>
      </c>
      <c r="F48" s="58" t="s">
        <v>1356</v>
      </c>
      <c r="G48" t="s">
        <v>3816</v>
      </c>
      <c r="K48" t="s">
        <v>3816</v>
      </c>
      <c r="L48">
        <f>COUNTIF(G22:G49,"반반")</f>
        <v>10</v>
      </c>
    </row>
    <row r="49" spans="2:7">
      <c r="B49" s="58" t="s">
        <v>1283</v>
      </c>
      <c r="C49" s="292">
        <f>SUMIF(BTS_매출관리!C:C,B49,BTS_매출관리!I:I)</f>
        <v>0</v>
      </c>
      <c r="D49" s="58">
        <f t="shared" si="0"/>
        <v>28</v>
      </c>
      <c r="F49" t="s">
        <v>1320</v>
      </c>
      <c r="G49" t="s">
        <v>3816</v>
      </c>
    </row>
    <row r="50" spans="2:7">
      <c r="B50" s="58" t="s">
        <v>1298</v>
      </c>
      <c r="C50" s="292">
        <f>SUMIF(BTS_매출관리!C:C,B50,BTS_매출관리!I:I)</f>
        <v>0</v>
      </c>
      <c r="D50" s="58">
        <f t="shared" si="0"/>
        <v>28</v>
      </c>
    </row>
    <row r="51" spans="2:7">
      <c r="B51" s="58" t="s">
        <v>2863</v>
      </c>
      <c r="C51" s="292">
        <f>SUMIF(BTS_매출관리!C:C,B51,BTS_매출관리!I:I)</f>
        <v>0</v>
      </c>
      <c r="D51" s="58">
        <f t="shared" si="0"/>
        <v>28</v>
      </c>
    </row>
    <row r="52" spans="2:7">
      <c r="B52" s="47" t="s">
        <v>1023</v>
      </c>
      <c r="C52" s="293">
        <f>SUMIF(BTS_매출관리!C:C,B52,BTS_매출관리!I:I)</f>
        <v>1200000</v>
      </c>
      <c r="D52" s="47">
        <f t="shared" si="0"/>
        <v>12</v>
      </c>
    </row>
    <row r="53" spans="2:7">
      <c r="B53" s="47" t="s">
        <v>1295</v>
      </c>
      <c r="C53" s="293">
        <f>SUMIF(BTS_매출관리!C:C,B53,BTS_매출관리!I:I)</f>
        <v>0</v>
      </c>
      <c r="D53" s="47">
        <f t="shared" si="0"/>
        <v>28</v>
      </c>
      <c r="E53" t="s">
        <v>3811</v>
      </c>
    </row>
    <row r="54" spans="2:7">
      <c r="B54" s="47" t="s">
        <v>2782</v>
      </c>
      <c r="C54" s="293">
        <f>SUMIF(BTS_매출관리!C:C,B54,BTS_매출관리!I:I)</f>
        <v>0</v>
      </c>
      <c r="D54" s="47">
        <f t="shared" si="0"/>
        <v>28</v>
      </c>
    </row>
    <row r="55" spans="2:7">
      <c r="B55" s="47" t="s">
        <v>1355</v>
      </c>
      <c r="C55" s="293">
        <f>SUMIF(BTS_매출관리!C:C,B55,BTS_매출관리!I:I)</f>
        <v>0</v>
      </c>
      <c r="D55" s="47">
        <f t="shared" si="0"/>
        <v>28</v>
      </c>
      <c r="E55" t="s">
        <v>2861</v>
      </c>
    </row>
    <row r="56" spans="2:7">
      <c r="B56" s="47" t="s">
        <v>1358</v>
      </c>
      <c r="C56" s="293">
        <f>SUMIF(BTS_매출관리!C:C,B56,BTS_매출관리!I:I)</f>
        <v>0</v>
      </c>
      <c r="D56" s="47">
        <f t="shared" si="0"/>
        <v>28</v>
      </c>
    </row>
    <row r="57" spans="2:7">
      <c r="B57" s="47" t="s">
        <v>3290</v>
      </c>
      <c r="C57" s="293">
        <f>SUMIF(BTS_매출관리!C:C,B57,BTS_매출관리!I:I)</f>
        <v>0</v>
      </c>
      <c r="D57" s="47">
        <f t="shared" si="0"/>
        <v>28</v>
      </c>
    </row>
    <row r="58" spans="2:7">
      <c r="B58" t="s">
        <v>2858</v>
      </c>
      <c r="C58" s="52">
        <f>SUMIF(BTS_매출관리!C:C,B58,BTS_매출관리!I:I)</f>
        <v>0</v>
      </c>
      <c r="D58">
        <f t="shared" si="0"/>
        <v>28</v>
      </c>
    </row>
    <row r="59" spans="2:7">
      <c r="B59" t="s">
        <v>2282</v>
      </c>
      <c r="C59" s="52">
        <f>SUMIF(BTS_매출관리!C:C,B59,BTS_매출관리!I:I)</f>
        <v>0</v>
      </c>
      <c r="D59">
        <f t="shared" si="0"/>
        <v>28</v>
      </c>
    </row>
    <row r="60" spans="2:7">
      <c r="B60" t="s">
        <v>1350</v>
      </c>
      <c r="C60" s="52">
        <f>SUMIF(BTS_매출관리!C:C,B60,BTS_매출관리!I:I)</f>
        <v>0</v>
      </c>
      <c r="D60">
        <f t="shared" si="0"/>
        <v>28</v>
      </c>
    </row>
    <row r="61" spans="2:7">
      <c r="B61" t="s">
        <v>1320</v>
      </c>
      <c r="C61" s="52">
        <f>SUMIF(BTS_매출관리!C:C,B61,BTS_매출관리!I:I)</f>
        <v>0</v>
      </c>
      <c r="D61">
        <f t="shared" si="0"/>
        <v>28</v>
      </c>
    </row>
    <row r="62" spans="2:7">
      <c r="B62" t="s">
        <v>3119</v>
      </c>
      <c r="C62" s="52">
        <f>SUMIF(BTS_매출관리!C:C,B62,BTS_매출관리!I:I)</f>
        <v>0</v>
      </c>
      <c r="D62">
        <f t="shared" si="0"/>
        <v>28</v>
      </c>
    </row>
    <row r="63" spans="2:7">
      <c r="B63" t="s">
        <v>2373</v>
      </c>
      <c r="C63" s="52">
        <f>SUMIF(BTS_매출관리!C:C,B63,BTS_매출관리!I:I)</f>
        <v>0</v>
      </c>
      <c r="D63">
        <f t="shared" si="0"/>
        <v>28</v>
      </c>
      <c r="E63" t="s">
        <v>3811</v>
      </c>
    </row>
    <row r="64" spans="2:7">
      <c r="B64" t="s">
        <v>1610</v>
      </c>
      <c r="C64" s="291">
        <f>SUMIF(BTS_매출관리!C:C,B64,BTS_매출관리!I:I)</f>
        <v>0</v>
      </c>
      <c r="D64">
        <f t="shared" si="0"/>
        <v>28</v>
      </c>
    </row>
    <row r="65" spans="2:5">
      <c r="B65" t="s">
        <v>2755</v>
      </c>
      <c r="C65" s="52">
        <f>SUMIF(BTS_매출관리!C:C,B65,BTS_매출관리!I:I)</f>
        <v>0</v>
      </c>
      <c r="D65">
        <f t="shared" si="0"/>
        <v>28</v>
      </c>
      <c r="E65" t="s">
        <v>3811</v>
      </c>
    </row>
    <row r="66" spans="2:5">
      <c r="B66" t="s">
        <v>1570</v>
      </c>
      <c r="C66" s="291">
        <f>SUMIF(BTS_매출관리!C:C,B66,BTS_매출관리!I:I)</f>
        <v>0</v>
      </c>
      <c r="D66">
        <f t="shared" ref="D66:D129" si="1">RANK(C66,C:C,0)</f>
        <v>28</v>
      </c>
    </row>
    <row r="67" spans="2:5">
      <c r="B67" t="s">
        <v>3548</v>
      </c>
      <c r="C67" s="52">
        <f>SUMIF(BTS_매출관리!C:C,B67,BTS_매출관리!I:I)</f>
        <v>0</v>
      </c>
      <c r="D67">
        <f t="shared" si="1"/>
        <v>28</v>
      </c>
      <c r="E67" t="s">
        <v>3811</v>
      </c>
    </row>
    <row r="68" spans="2:5">
      <c r="B68" t="s">
        <v>1327</v>
      </c>
      <c r="C68" s="52">
        <f>SUMIF(BTS_매출관리!C:C,B68,BTS_매출관리!I:I)</f>
        <v>0</v>
      </c>
      <c r="D68">
        <f t="shared" si="1"/>
        <v>28</v>
      </c>
    </row>
    <row r="69" spans="2:5">
      <c r="B69" t="s">
        <v>1903</v>
      </c>
      <c r="C69" s="291">
        <f>SUMIF(BTS_매출관리!C:C,B69,BTS_매출관리!I:I)</f>
        <v>0</v>
      </c>
      <c r="D69">
        <f t="shared" si="1"/>
        <v>28</v>
      </c>
    </row>
    <row r="70" spans="2:5">
      <c r="B70" t="s">
        <v>2257</v>
      </c>
      <c r="C70" s="52">
        <f>SUMIF(BTS_매출관리!C:C,B70,BTS_매출관리!I:I)</f>
        <v>0</v>
      </c>
      <c r="D70">
        <f t="shared" si="1"/>
        <v>28</v>
      </c>
    </row>
    <row r="71" spans="2:5">
      <c r="B71" t="s">
        <v>3639</v>
      </c>
      <c r="C71" s="52">
        <f>SUMIF(BTS_매출관리!C:C,B71,BTS_매출관리!I:I)</f>
        <v>0</v>
      </c>
      <c r="D71">
        <f t="shared" si="1"/>
        <v>28</v>
      </c>
    </row>
    <row r="72" spans="2:5">
      <c r="B72" t="s">
        <v>1282</v>
      </c>
      <c r="C72" s="291">
        <f>SUMIF(BTS_매출관리!C:C,B72,BTS_매출관리!I:I)</f>
        <v>0</v>
      </c>
      <c r="D72">
        <f t="shared" si="1"/>
        <v>28</v>
      </c>
    </row>
    <row r="73" spans="2:5">
      <c r="B73" t="s">
        <v>2867</v>
      </c>
      <c r="C73" s="52">
        <f>SUMIF(BTS_매출관리!C:C,B73,BTS_매출관리!I:I)</f>
        <v>0</v>
      </c>
      <c r="D73">
        <f t="shared" si="1"/>
        <v>28</v>
      </c>
    </row>
    <row r="74" spans="2:5">
      <c r="B74" t="s">
        <v>2363</v>
      </c>
      <c r="C74" s="52">
        <f>SUMIF(BTS_매출관리!C:C,B74,BTS_매출관리!I:I)</f>
        <v>0</v>
      </c>
      <c r="D74">
        <f t="shared" si="1"/>
        <v>28</v>
      </c>
    </row>
    <row r="75" spans="2:5">
      <c r="B75" t="s">
        <v>1338</v>
      </c>
      <c r="C75" s="52">
        <f>SUMIF(BTS_매출관리!C:C,B75,BTS_매출관리!I:I)</f>
        <v>0</v>
      </c>
      <c r="D75">
        <f t="shared" si="1"/>
        <v>28</v>
      </c>
    </row>
    <row r="76" spans="2:5">
      <c r="B76" t="s">
        <v>2888</v>
      </c>
      <c r="C76" s="52">
        <f>SUMIF(BTS_매출관리!C:C,B76,BTS_매출관리!I:I)</f>
        <v>0</v>
      </c>
      <c r="D76">
        <f t="shared" si="1"/>
        <v>28</v>
      </c>
    </row>
    <row r="77" spans="2:5">
      <c r="B77" t="s">
        <v>1304</v>
      </c>
      <c r="C77" s="291">
        <f>SUMIF(BTS_매출관리!C:C,B77,BTS_매출관리!I:I)</f>
        <v>0</v>
      </c>
      <c r="D77">
        <f t="shared" si="1"/>
        <v>28</v>
      </c>
    </row>
    <row r="78" spans="2:5">
      <c r="B78" t="s">
        <v>1373</v>
      </c>
      <c r="C78" s="52">
        <f>SUMIF(BTS_매출관리!C:C,B78,BTS_매출관리!I:I)</f>
        <v>1550000</v>
      </c>
      <c r="D78">
        <f t="shared" si="1"/>
        <v>8</v>
      </c>
    </row>
    <row r="79" spans="2:5">
      <c r="B79" t="s">
        <v>3268</v>
      </c>
      <c r="C79" s="52">
        <f>SUMIF(BTS_매출관리!C:C,B79,BTS_매출관리!I:I)</f>
        <v>200000</v>
      </c>
      <c r="D79">
        <f t="shared" si="1"/>
        <v>22</v>
      </c>
    </row>
    <row r="80" spans="2:5">
      <c r="B80" t="s">
        <v>1227</v>
      </c>
      <c r="C80" s="52">
        <f>SUMIF(BTS_매출관리!C:C,B80,BTS_매출관리!I:I)</f>
        <v>0</v>
      </c>
      <c r="D80">
        <f t="shared" si="1"/>
        <v>28</v>
      </c>
    </row>
    <row r="81" spans="2:4">
      <c r="B81" t="s">
        <v>1314</v>
      </c>
      <c r="C81" s="52">
        <f>SUMIF(BTS_매출관리!C:C,B81,BTS_매출관리!I:I)</f>
        <v>1100000</v>
      </c>
      <c r="D81">
        <f t="shared" si="1"/>
        <v>14</v>
      </c>
    </row>
    <row r="82" spans="2:4">
      <c r="B82" t="s">
        <v>1291</v>
      </c>
      <c r="C82" s="291">
        <f>SUMIF(BTS_매출관리!C:C,B82,BTS_매출관리!I:I)</f>
        <v>0</v>
      </c>
      <c r="D82">
        <f t="shared" si="1"/>
        <v>28</v>
      </c>
    </row>
    <row r="83" spans="2:4">
      <c r="B83" t="s">
        <v>2306</v>
      </c>
      <c r="C83" s="52">
        <f>SUMIF(BTS_매출관리!C:C,B83,BTS_매출관리!I:I)</f>
        <v>0</v>
      </c>
      <c r="D83">
        <f t="shared" si="1"/>
        <v>28</v>
      </c>
    </row>
    <row r="84" spans="2:4">
      <c r="B84" t="s">
        <v>2016</v>
      </c>
      <c r="C84" s="52">
        <f>SUMIF(BTS_매출관리!C:C,B84,BTS_매출관리!I:I)</f>
        <v>0</v>
      </c>
      <c r="D84">
        <f t="shared" si="1"/>
        <v>28</v>
      </c>
    </row>
    <row r="85" spans="2:4">
      <c r="B85" t="s">
        <v>1274</v>
      </c>
      <c r="C85" s="291">
        <f>SUMIF(BTS_매출관리!C:C,B85,BTS_매출관리!I:I)</f>
        <v>0</v>
      </c>
      <c r="D85">
        <f t="shared" si="1"/>
        <v>28</v>
      </c>
    </row>
    <row r="86" spans="2:4">
      <c r="B86" t="s">
        <v>2787</v>
      </c>
      <c r="C86" s="52">
        <f>SUMIF(BTS_매출관리!C:C,B86,BTS_매출관리!I:I)</f>
        <v>0</v>
      </c>
      <c r="D86">
        <f t="shared" si="1"/>
        <v>28</v>
      </c>
    </row>
    <row r="87" spans="2:4">
      <c r="B87" t="s">
        <v>1293</v>
      </c>
      <c r="C87" s="291">
        <f>SUMIF(BTS_매출관리!C:C,B87,BTS_매출관리!I:I)</f>
        <v>0</v>
      </c>
      <c r="D87">
        <f t="shared" si="1"/>
        <v>28</v>
      </c>
    </row>
    <row r="88" spans="2:4">
      <c r="B88" t="s">
        <v>1267</v>
      </c>
      <c r="C88" s="291">
        <f>SUMIF(BTS_매출관리!C:C,B88,BTS_매출관리!I:I)</f>
        <v>1429000</v>
      </c>
      <c r="D88">
        <f t="shared" si="1"/>
        <v>10</v>
      </c>
    </row>
    <row r="89" spans="2:4">
      <c r="B89" t="s">
        <v>2760</v>
      </c>
      <c r="C89" s="52">
        <f>SUMIF(BTS_매출관리!C:C,B89,BTS_매출관리!I:I)</f>
        <v>0</v>
      </c>
      <c r="D89">
        <f t="shared" si="1"/>
        <v>28</v>
      </c>
    </row>
    <row r="90" spans="2:4">
      <c r="B90" t="s">
        <v>2702</v>
      </c>
      <c r="C90" s="52">
        <f>SUMIF(BTS_매출관리!C:C,B90,BTS_매출관리!I:I)</f>
        <v>0</v>
      </c>
      <c r="D90">
        <f t="shared" si="1"/>
        <v>28</v>
      </c>
    </row>
    <row r="91" spans="2:4">
      <c r="B91" t="s">
        <v>2894</v>
      </c>
      <c r="C91" s="52">
        <f>SUMIF(BTS_매출관리!C:C,B91,BTS_매출관리!I:I)</f>
        <v>0</v>
      </c>
      <c r="D91">
        <f t="shared" si="1"/>
        <v>28</v>
      </c>
    </row>
    <row r="92" spans="2:4">
      <c r="B92" t="s">
        <v>1007</v>
      </c>
      <c r="C92" s="52">
        <f>SUMIF(BTS_매출관리!C:C,B92,BTS_매출관리!I:I)</f>
        <v>0</v>
      </c>
      <c r="D92">
        <f t="shared" si="1"/>
        <v>28</v>
      </c>
    </row>
    <row r="93" spans="2:4">
      <c r="B93" t="s">
        <v>2740</v>
      </c>
      <c r="C93" s="52">
        <f>SUMIF(BTS_매출관리!C:C,B93,BTS_매출관리!I:I)</f>
        <v>0</v>
      </c>
      <c r="D93">
        <f t="shared" si="1"/>
        <v>28</v>
      </c>
    </row>
    <row r="94" spans="2:4">
      <c r="B94" t="s">
        <v>2094</v>
      </c>
      <c r="C94" s="52">
        <f>SUMIF(BTS_매출관리!C:C,B94,BTS_매출관리!I:I)</f>
        <v>0</v>
      </c>
      <c r="D94">
        <f t="shared" si="1"/>
        <v>28</v>
      </c>
    </row>
    <row r="95" spans="2:4">
      <c r="B95" t="s">
        <v>1284</v>
      </c>
      <c r="C95" s="291">
        <f>SUMIF(BTS_매출관리!C:C,B95,BTS_매출관리!I:I)</f>
        <v>0</v>
      </c>
      <c r="D95">
        <f t="shared" si="1"/>
        <v>28</v>
      </c>
    </row>
    <row r="96" spans="2:4">
      <c r="B96" t="s">
        <v>2767</v>
      </c>
      <c r="C96" s="52">
        <f>SUMIF(BTS_매출관리!C:C,B96,BTS_매출관리!I:I)</f>
        <v>0</v>
      </c>
      <c r="D96">
        <f t="shared" si="1"/>
        <v>28</v>
      </c>
    </row>
    <row r="97" spans="2:4">
      <c r="B97" t="s">
        <v>2933</v>
      </c>
      <c r="C97" s="52">
        <f>SUMIF(BTS_매출관리!C:C,B97,BTS_매출관리!I:I)</f>
        <v>0</v>
      </c>
      <c r="D97">
        <f t="shared" si="1"/>
        <v>28</v>
      </c>
    </row>
    <row r="98" spans="2:4">
      <c r="B98" t="s">
        <v>3028</v>
      </c>
      <c r="C98" s="52">
        <f>SUMIF(BTS_매출관리!C:C,B98,BTS_매출관리!I:I)</f>
        <v>0</v>
      </c>
      <c r="D98">
        <f t="shared" si="1"/>
        <v>28</v>
      </c>
    </row>
    <row r="99" spans="2:4">
      <c r="B99" t="s">
        <v>1233</v>
      </c>
      <c r="C99" s="291">
        <f>SUMIF(BTS_매출관리!C:C,B99,BTS_매출관리!I:I)</f>
        <v>0</v>
      </c>
      <c r="D99">
        <f t="shared" si="1"/>
        <v>28</v>
      </c>
    </row>
    <row r="100" spans="2:4">
      <c r="B100" t="s">
        <v>2940</v>
      </c>
      <c r="C100" s="52">
        <f>SUMIF(BTS_매출관리!C:C,B100,BTS_매출관리!I:I)</f>
        <v>0</v>
      </c>
      <c r="D100">
        <f t="shared" si="1"/>
        <v>28</v>
      </c>
    </row>
    <row r="101" spans="2:4">
      <c r="B101" t="s">
        <v>2132</v>
      </c>
      <c r="C101" s="52">
        <f>SUMIF(BTS_매출관리!C:C,B101,BTS_매출관리!I:I)</f>
        <v>0</v>
      </c>
      <c r="D101">
        <f t="shared" si="1"/>
        <v>28</v>
      </c>
    </row>
    <row r="102" spans="2:4">
      <c r="B102" t="s">
        <v>2147</v>
      </c>
      <c r="C102" s="52">
        <f>SUMIF(BTS_매출관리!C:C,B102,BTS_매출관리!I:I)</f>
        <v>0</v>
      </c>
      <c r="D102">
        <f t="shared" si="1"/>
        <v>28</v>
      </c>
    </row>
    <row r="103" spans="2:4">
      <c r="B103" t="s">
        <v>2038</v>
      </c>
      <c r="C103" s="52">
        <f>SUMIF(BTS_매출관리!C:C,B103,BTS_매출관리!I:I)</f>
        <v>0</v>
      </c>
      <c r="D103">
        <f t="shared" si="1"/>
        <v>28</v>
      </c>
    </row>
    <row r="104" spans="2:4">
      <c r="B104" t="s">
        <v>1190</v>
      </c>
      <c r="C104" s="52">
        <f>SUMIF(BTS_매출관리!C:C,B104,BTS_매출관리!I:I)</f>
        <v>0</v>
      </c>
      <c r="D104">
        <f t="shared" si="1"/>
        <v>28</v>
      </c>
    </row>
    <row r="105" spans="2:4">
      <c r="B105" t="s">
        <v>1237</v>
      </c>
      <c r="C105" s="52">
        <f>SUMIF(BTS_매출관리!C:C,B105,BTS_매출관리!I:I)</f>
        <v>0</v>
      </c>
      <c r="D105">
        <f t="shared" si="1"/>
        <v>28</v>
      </c>
    </row>
    <row r="106" spans="2:4">
      <c r="B106" t="s">
        <v>1328</v>
      </c>
      <c r="C106" s="52">
        <f>SUMIF(BTS_매출관리!C:C,B106,BTS_매출관리!I:I)</f>
        <v>0</v>
      </c>
      <c r="D106">
        <f t="shared" si="1"/>
        <v>28</v>
      </c>
    </row>
    <row r="107" spans="2:4">
      <c r="B107" t="s">
        <v>1359</v>
      </c>
      <c r="C107" s="52">
        <f>SUMIF(BTS_매출관리!C:C,B107,BTS_매출관리!I:I)</f>
        <v>0</v>
      </c>
      <c r="D107">
        <f t="shared" si="1"/>
        <v>28</v>
      </c>
    </row>
    <row r="108" spans="2:4">
      <c r="B108" t="s">
        <v>3186</v>
      </c>
      <c r="C108" s="52">
        <f>SUMIF(BTS_매출관리!C:C,B108,BTS_매출관리!I:I)</f>
        <v>0</v>
      </c>
      <c r="D108">
        <f t="shared" si="1"/>
        <v>28</v>
      </c>
    </row>
    <row r="109" spans="2:4">
      <c r="B109" t="s">
        <v>1657</v>
      </c>
      <c r="C109" s="52">
        <f>SUMIF(BTS_매출관리!C:C,B109,BTS_매출관리!I:I)</f>
        <v>0</v>
      </c>
      <c r="D109">
        <f t="shared" si="1"/>
        <v>28</v>
      </c>
    </row>
    <row r="110" spans="2:4">
      <c r="B110" t="s">
        <v>1315</v>
      </c>
      <c r="C110" s="52">
        <f>SUMIF(BTS_매출관리!C:C,B110,BTS_매출관리!I:I)</f>
        <v>0</v>
      </c>
      <c r="D110">
        <f t="shared" si="1"/>
        <v>28</v>
      </c>
    </row>
    <row r="111" spans="2:4">
      <c r="B111" t="s">
        <v>1277</v>
      </c>
      <c r="C111" s="291">
        <f>SUMIF(BTS_매출관리!C:C,B111,BTS_매출관리!I:I)</f>
        <v>0</v>
      </c>
      <c r="D111">
        <f t="shared" si="1"/>
        <v>28</v>
      </c>
    </row>
    <row r="112" spans="2:4">
      <c r="B112" t="s">
        <v>1318</v>
      </c>
      <c r="C112" s="52">
        <f>SUMIF(BTS_매출관리!C:C,B112,BTS_매출관리!I:I)</f>
        <v>0</v>
      </c>
      <c r="D112">
        <f t="shared" si="1"/>
        <v>28</v>
      </c>
    </row>
    <row r="113" spans="2:4">
      <c r="B113" t="s">
        <v>2590</v>
      </c>
      <c r="C113" s="291">
        <f>SUMIF(BTS_매출관리!C:C,B113,BTS_매출관리!I:I)</f>
        <v>0</v>
      </c>
      <c r="D113">
        <f t="shared" si="1"/>
        <v>28</v>
      </c>
    </row>
    <row r="114" spans="2:4">
      <c r="B114" t="s">
        <v>1307</v>
      </c>
      <c r="C114" s="291">
        <f>SUMIF(BTS_매출관리!C:C,B114,BTS_매출관리!I:I)</f>
        <v>0</v>
      </c>
      <c r="D114">
        <f t="shared" si="1"/>
        <v>28</v>
      </c>
    </row>
    <row r="115" spans="2:4">
      <c r="B115" t="s">
        <v>3076</v>
      </c>
      <c r="C115" s="52">
        <f>SUMIF(BTS_매출관리!C:C,B115,BTS_매출관리!I:I)</f>
        <v>0</v>
      </c>
      <c r="D115">
        <f t="shared" si="1"/>
        <v>28</v>
      </c>
    </row>
    <row r="116" spans="2:4">
      <c r="B116" t="s">
        <v>1347</v>
      </c>
      <c r="C116" s="52">
        <f>SUMIF(BTS_매출관리!C:C,B116,BTS_매출관리!I:I)</f>
        <v>0</v>
      </c>
      <c r="D116">
        <f t="shared" si="1"/>
        <v>28</v>
      </c>
    </row>
    <row r="117" spans="2:4">
      <c r="B117" t="s">
        <v>3404</v>
      </c>
      <c r="C117" s="52">
        <f>SUMIF(BTS_매출관리!C:C,B117,BTS_매출관리!I:I)</f>
        <v>1550000</v>
      </c>
      <c r="D117">
        <f t="shared" si="1"/>
        <v>8</v>
      </c>
    </row>
    <row r="118" spans="2:4">
      <c r="B118" t="s">
        <v>1321</v>
      </c>
      <c r="C118" s="52">
        <f>SUMIF(BTS_매출관리!C:C,B118,BTS_매출관리!I:I)</f>
        <v>0</v>
      </c>
      <c r="D118">
        <f t="shared" si="1"/>
        <v>28</v>
      </c>
    </row>
    <row r="119" spans="2:4">
      <c r="B119" t="s">
        <v>1155</v>
      </c>
      <c r="C119" s="52">
        <f>SUMIF(BTS_매출관리!C:C,B119,BTS_매출관리!I:I)</f>
        <v>0</v>
      </c>
      <c r="D119">
        <f t="shared" si="1"/>
        <v>28</v>
      </c>
    </row>
    <row r="120" spans="2:4">
      <c r="B120" t="s">
        <v>2033</v>
      </c>
      <c r="C120" s="52">
        <f>SUMIF(BTS_매출관리!C:C,B120,BTS_매출관리!I:I)</f>
        <v>0</v>
      </c>
      <c r="D120">
        <f t="shared" si="1"/>
        <v>28</v>
      </c>
    </row>
    <row r="121" spans="2:4">
      <c r="B121" t="s">
        <v>3464</v>
      </c>
      <c r="C121" s="52">
        <f>SUMIF(BTS_매출관리!C:C,B121,BTS_매출관리!I:I)</f>
        <v>0</v>
      </c>
      <c r="D121">
        <f t="shared" si="1"/>
        <v>28</v>
      </c>
    </row>
    <row r="122" spans="2:4">
      <c r="B122" t="s">
        <v>2871</v>
      </c>
      <c r="C122" s="52">
        <f>SUMIF(BTS_매출관리!C:C,B122,BTS_매출관리!I:I)</f>
        <v>0</v>
      </c>
      <c r="D122">
        <f t="shared" si="1"/>
        <v>28</v>
      </c>
    </row>
    <row r="123" spans="2:4">
      <c r="B123" t="s">
        <v>3020</v>
      </c>
      <c r="C123" s="52">
        <f>SUMIF(BTS_매출관리!C:C,B123,BTS_매출관리!I:I)</f>
        <v>0</v>
      </c>
      <c r="D123">
        <f t="shared" si="1"/>
        <v>28</v>
      </c>
    </row>
    <row r="124" spans="2:4">
      <c r="B124" t="s">
        <v>3580</v>
      </c>
      <c r="C124" s="52">
        <f>SUMIF(BTS_매출관리!C:C,B124,BTS_매출관리!I:I)</f>
        <v>0</v>
      </c>
      <c r="D124">
        <f t="shared" si="1"/>
        <v>28</v>
      </c>
    </row>
    <row r="125" spans="2:4">
      <c r="B125" t="s">
        <v>1322</v>
      </c>
      <c r="C125" s="52">
        <f>SUMIF(BTS_매출관리!C:C,B125,BTS_매출관리!I:I)</f>
        <v>0</v>
      </c>
      <c r="D125">
        <f t="shared" si="1"/>
        <v>28</v>
      </c>
    </row>
    <row r="126" spans="2:4">
      <c r="B126" t="s">
        <v>1187</v>
      </c>
      <c r="C126" s="52">
        <f>SUMIF(BTS_매출관리!C:C,B126,BTS_매출관리!I:I)</f>
        <v>0</v>
      </c>
      <c r="D126">
        <f t="shared" si="1"/>
        <v>28</v>
      </c>
    </row>
    <row r="127" spans="2:4">
      <c r="B127" t="s">
        <v>2807</v>
      </c>
      <c r="C127" s="52">
        <f>SUMIF(BTS_매출관리!C:C,B127,BTS_매출관리!I:I)</f>
        <v>0</v>
      </c>
      <c r="D127">
        <f t="shared" si="1"/>
        <v>28</v>
      </c>
    </row>
    <row r="128" spans="2:4">
      <c r="B128" t="s">
        <v>3209</v>
      </c>
      <c r="C128" s="52">
        <f>SUMIF(BTS_매출관리!C:C,B128,BTS_매출관리!I:I)</f>
        <v>0</v>
      </c>
      <c r="D128">
        <f t="shared" si="1"/>
        <v>28</v>
      </c>
    </row>
    <row r="129" spans="2:4">
      <c r="B129" t="s">
        <v>2379</v>
      </c>
      <c r="C129" s="52">
        <f>SUMIF(BTS_매출관리!C:C,B129,BTS_매출관리!I:I)</f>
        <v>0</v>
      </c>
      <c r="D129">
        <f t="shared" si="1"/>
        <v>28</v>
      </c>
    </row>
    <row r="130" spans="2:4">
      <c r="B130" t="s">
        <v>1300</v>
      </c>
      <c r="C130" s="291">
        <f>SUMIF(BTS_매출관리!C:C,B130,BTS_매출관리!I:I)</f>
        <v>0</v>
      </c>
      <c r="D130">
        <f t="shared" ref="D130:D193" si="2">RANK(C130,C:C,0)</f>
        <v>28</v>
      </c>
    </row>
    <row r="131" spans="2:4">
      <c r="B131" t="s">
        <v>2489</v>
      </c>
      <c r="C131" s="52">
        <f>SUMIF(BTS_매출관리!C:C,B131,BTS_매출관리!I:I)</f>
        <v>0</v>
      </c>
      <c r="D131">
        <f t="shared" si="2"/>
        <v>28</v>
      </c>
    </row>
    <row r="132" spans="2:4">
      <c r="B132" t="s">
        <v>1296</v>
      </c>
      <c r="C132" s="291">
        <f>SUMIF(BTS_매출관리!C:C,B132,BTS_매출관리!I:I)</f>
        <v>0</v>
      </c>
      <c r="D132">
        <f t="shared" si="2"/>
        <v>28</v>
      </c>
    </row>
    <row r="133" spans="2:4">
      <c r="B133" t="s">
        <v>2466</v>
      </c>
      <c r="C133" s="52">
        <f>SUMIF(BTS_매출관리!C:C,B133,BTS_매출관리!I:I)</f>
        <v>0</v>
      </c>
      <c r="D133">
        <f t="shared" si="2"/>
        <v>28</v>
      </c>
    </row>
    <row r="134" spans="2:4">
      <c r="B134" t="s">
        <v>1313</v>
      </c>
      <c r="C134" s="291">
        <f>SUMIF(BTS_매출관리!C:C,B134,BTS_매출관리!I:I)</f>
        <v>0</v>
      </c>
      <c r="D134">
        <f t="shared" si="2"/>
        <v>28</v>
      </c>
    </row>
    <row r="135" spans="2:4">
      <c r="B135" t="s">
        <v>1317</v>
      </c>
      <c r="C135" s="52">
        <f>SUMIF(BTS_매출관리!C:C,B135,BTS_매출관리!I:I)</f>
        <v>0</v>
      </c>
      <c r="D135">
        <f t="shared" si="2"/>
        <v>28</v>
      </c>
    </row>
    <row r="136" spans="2:4">
      <c r="B136" t="s">
        <v>1343</v>
      </c>
      <c r="C136" s="52">
        <f>SUMIF(BTS_매출관리!C:C,B136,BTS_매출관리!I:I)</f>
        <v>0</v>
      </c>
      <c r="D136">
        <f t="shared" si="2"/>
        <v>28</v>
      </c>
    </row>
    <row r="137" spans="2:4">
      <c r="B137" t="s">
        <v>1353</v>
      </c>
      <c r="C137" s="52">
        <f>SUMIF(BTS_매출관리!C:C,B137,BTS_매출관리!I:I)</f>
        <v>0</v>
      </c>
      <c r="D137">
        <f t="shared" si="2"/>
        <v>28</v>
      </c>
    </row>
    <row r="138" spans="2:4">
      <c r="B138" t="s">
        <v>3150</v>
      </c>
      <c r="C138" s="52">
        <f>SUMIF(BTS_매출관리!C:C,B138,BTS_매출관리!I:I)</f>
        <v>0</v>
      </c>
      <c r="D138">
        <f t="shared" si="2"/>
        <v>28</v>
      </c>
    </row>
    <row r="139" spans="2:4">
      <c r="B139" t="s">
        <v>3460</v>
      </c>
      <c r="C139" s="52">
        <f>SUMIF(BTS_매출관리!C:C,B139,BTS_매출관리!I:I)</f>
        <v>0</v>
      </c>
      <c r="D139">
        <f t="shared" si="2"/>
        <v>28</v>
      </c>
    </row>
    <row r="140" spans="2:4">
      <c r="B140" t="s">
        <v>1280</v>
      </c>
      <c r="C140" s="291">
        <f>SUMIF(BTS_매출관리!C:C,B140,BTS_매출관리!I:I)</f>
        <v>0</v>
      </c>
      <c r="D140">
        <f t="shared" si="2"/>
        <v>28</v>
      </c>
    </row>
    <row r="141" spans="2:4">
      <c r="B141" t="s">
        <v>1323</v>
      </c>
      <c r="C141" s="52">
        <f>SUMIF(BTS_매출관리!C:C,B141,BTS_매출관리!I:I)</f>
        <v>2895000</v>
      </c>
      <c r="D141">
        <f t="shared" si="2"/>
        <v>3</v>
      </c>
    </row>
    <row r="142" spans="2:4">
      <c r="B142" t="s">
        <v>2052</v>
      </c>
      <c r="C142" s="52">
        <f>SUMIF(BTS_매출관리!C:C,B142,BTS_매출관리!I:I)</f>
        <v>0</v>
      </c>
      <c r="D142">
        <f t="shared" si="2"/>
        <v>28</v>
      </c>
    </row>
    <row r="143" spans="2:4">
      <c r="B143" t="s">
        <v>3453</v>
      </c>
      <c r="C143" s="52">
        <f>SUMIF(BTS_매출관리!C:C,B143,BTS_매출관리!I:I)</f>
        <v>0</v>
      </c>
      <c r="D143">
        <f t="shared" si="2"/>
        <v>28</v>
      </c>
    </row>
    <row r="144" spans="2:4">
      <c r="B144" t="s">
        <v>3506</v>
      </c>
      <c r="C144" s="52">
        <f>SUMIF(BTS_매출관리!C:C,B144,BTS_매출관리!I:I)</f>
        <v>0</v>
      </c>
      <c r="D144">
        <f t="shared" si="2"/>
        <v>28</v>
      </c>
    </row>
    <row r="145" spans="2:4">
      <c r="B145" t="s">
        <v>2962</v>
      </c>
      <c r="C145" s="52">
        <f>SUMIF(BTS_매출관리!C:C,B145,BTS_매출관리!I:I)</f>
        <v>0</v>
      </c>
      <c r="D145">
        <f t="shared" si="2"/>
        <v>28</v>
      </c>
    </row>
    <row r="146" spans="2:4">
      <c r="B146" t="s">
        <v>3731</v>
      </c>
      <c r="C146" s="52">
        <f>SUMIF(BTS_매출관리!C:C,B146,BTS_매출관리!I:I)</f>
        <v>0</v>
      </c>
      <c r="D146">
        <f t="shared" si="2"/>
        <v>28</v>
      </c>
    </row>
    <row r="147" spans="2:4">
      <c r="B147" t="s">
        <v>2631</v>
      </c>
      <c r="C147" s="52">
        <f>SUMIF(BTS_매출관리!C:C,B147,BTS_매출관리!I:I)</f>
        <v>0</v>
      </c>
      <c r="D147">
        <f t="shared" si="2"/>
        <v>28</v>
      </c>
    </row>
    <row r="148" spans="2:4">
      <c r="B148" t="s">
        <v>2276</v>
      </c>
      <c r="C148" s="52">
        <f>SUMIF(BTS_매출관리!C:C,B148,BTS_매출관리!I:I)</f>
        <v>0</v>
      </c>
      <c r="D148">
        <f t="shared" si="2"/>
        <v>28</v>
      </c>
    </row>
    <row r="149" spans="2:4">
      <c r="B149" t="s">
        <v>3350</v>
      </c>
      <c r="C149" s="52">
        <f>SUMIF(BTS_매출관리!C:C,B149,BTS_매출관리!I:I)</f>
        <v>0</v>
      </c>
      <c r="D149">
        <f t="shared" si="2"/>
        <v>28</v>
      </c>
    </row>
    <row r="150" spans="2:4">
      <c r="B150" t="s">
        <v>1276</v>
      </c>
      <c r="C150" s="291">
        <f>SUMIF(BTS_매출관리!C:C,B150,BTS_매출관리!I:I)</f>
        <v>0</v>
      </c>
      <c r="D150">
        <f t="shared" si="2"/>
        <v>28</v>
      </c>
    </row>
    <row r="151" spans="2:4">
      <c r="B151" t="s">
        <v>1309</v>
      </c>
      <c r="C151" s="291">
        <f>SUMIF(BTS_매출관리!C:C,B151,BTS_매출관리!I:I)</f>
        <v>0</v>
      </c>
      <c r="D151">
        <f t="shared" si="2"/>
        <v>28</v>
      </c>
    </row>
    <row r="152" spans="2:4">
      <c r="B152" t="s">
        <v>3262</v>
      </c>
      <c r="C152" s="52">
        <f>SUMIF(BTS_매출관리!C:C,B152,BTS_매출관리!I:I)</f>
        <v>0</v>
      </c>
      <c r="D152">
        <f t="shared" si="2"/>
        <v>28</v>
      </c>
    </row>
    <row r="153" spans="2:4">
      <c r="B153" t="s">
        <v>1837</v>
      </c>
      <c r="C153" s="52">
        <f>SUMIF(BTS_매출관리!C:C,B153,BTS_매출관리!I:I)</f>
        <v>0</v>
      </c>
      <c r="D153">
        <f t="shared" si="2"/>
        <v>28</v>
      </c>
    </row>
    <row r="154" spans="2:4">
      <c r="B154" t="s">
        <v>2485</v>
      </c>
      <c r="C154" s="52">
        <f>SUMIF(BTS_매출관리!C:C,B154,BTS_매출관리!I:I)</f>
        <v>150000</v>
      </c>
      <c r="D154">
        <f t="shared" si="2"/>
        <v>24</v>
      </c>
    </row>
    <row r="155" spans="2:4">
      <c r="B155" t="s">
        <v>2730</v>
      </c>
      <c r="C155" s="52">
        <f>SUMIF(BTS_매출관리!C:C,B155,BTS_매출관리!I:I)</f>
        <v>0</v>
      </c>
      <c r="D155">
        <f t="shared" si="2"/>
        <v>28</v>
      </c>
    </row>
    <row r="156" spans="2:4">
      <c r="B156" t="s">
        <v>3182</v>
      </c>
      <c r="C156" s="52">
        <f>SUMIF(BTS_매출관리!C:C,B156,BTS_매출관리!I:I)</f>
        <v>0</v>
      </c>
      <c r="D156">
        <f t="shared" si="2"/>
        <v>28</v>
      </c>
    </row>
    <row r="157" spans="2:4">
      <c r="B157" t="s">
        <v>1334</v>
      </c>
      <c r="C157" s="52">
        <f>SUMIF(BTS_매출관리!C:C,B157,BTS_매출관리!I:I)</f>
        <v>0</v>
      </c>
      <c r="D157">
        <f t="shared" si="2"/>
        <v>28</v>
      </c>
    </row>
    <row r="158" spans="2:4">
      <c r="B158" t="s">
        <v>1290</v>
      </c>
      <c r="C158" s="52">
        <f>SUMIF(BTS_매출관리!C:C,B158,BTS_매출관리!I:I)</f>
        <v>0</v>
      </c>
      <c r="D158">
        <f t="shared" si="2"/>
        <v>28</v>
      </c>
    </row>
    <row r="159" spans="2:4">
      <c r="B159" t="s">
        <v>1281</v>
      </c>
      <c r="C159" s="52">
        <f>SUMIF(BTS_매출관리!C:C,B159,BTS_매출관리!I:I)</f>
        <v>0</v>
      </c>
      <c r="D159">
        <f t="shared" si="2"/>
        <v>28</v>
      </c>
    </row>
    <row r="160" spans="2:4">
      <c r="B160" t="s">
        <v>1285</v>
      </c>
      <c r="C160" s="52">
        <f>SUMIF(BTS_매출관리!C:C,B160,BTS_매출관리!I:I)</f>
        <v>0</v>
      </c>
      <c r="D160">
        <f t="shared" si="2"/>
        <v>28</v>
      </c>
    </row>
    <row r="161" spans="2:4">
      <c r="B161" t="s">
        <v>1292</v>
      </c>
      <c r="C161" s="52">
        <f>SUMIF(BTS_매출관리!C:C,B161,BTS_매출관리!I:I)</f>
        <v>0</v>
      </c>
      <c r="D161">
        <f t="shared" si="2"/>
        <v>28</v>
      </c>
    </row>
    <row r="162" spans="2:4">
      <c r="B162" t="s">
        <v>1077</v>
      </c>
      <c r="C162" s="52">
        <f>SUMIF(BTS_매출관리!C:C,B162,BTS_매출관리!I:I)</f>
        <v>0</v>
      </c>
      <c r="D162">
        <f t="shared" si="2"/>
        <v>28</v>
      </c>
    </row>
    <row r="163" spans="2:4">
      <c r="B163" t="s">
        <v>1299</v>
      </c>
      <c r="C163" s="52">
        <f>SUMIF(BTS_매출관리!C:C,B163,BTS_매출관리!I:I)</f>
        <v>0</v>
      </c>
      <c r="D163">
        <f t="shared" si="2"/>
        <v>28</v>
      </c>
    </row>
    <row r="164" spans="2:4">
      <c r="B164" t="s">
        <v>1303</v>
      </c>
      <c r="C164" s="52">
        <f>SUMIF(BTS_매출관리!C:C,B164,BTS_매출관리!I:I)</f>
        <v>0</v>
      </c>
      <c r="D164">
        <f t="shared" si="2"/>
        <v>28</v>
      </c>
    </row>
    <row r="165" spans="2:4">
      <c r="B165" t="s">
        <v>1012</v>
      </c>
      <c r="C165" s="52">
        <f>SUMIF(BTS_매출관리!C:C,B165,BTS_매출관리!I:I)</f>
        <v>0</v>
      </c>
      <c r="D165">
        <f t="shared" si="2"/>
        <v>28</v>
      </c>
    </row>
    <row r="166" spans="2:4">
      <c r="B166" t="s">
        <v>1308</v>
      </c>
      <c r="C166" s="52">
        <f>SUMIF(BTS_매출관리!C:C,B166,BTS_매출관리!I:I)</f>
        <v>0</v>
      </c>
      <c r="D166">
        <f t="shared" si="2"/>
        <v>28</v>
      </c>
    </row>
    <row r="167" spans="2:4">
      <c r="B167" t="s">
        <v>1310</v>
      </c>
      <c r="C167" s="52">
        <f>SUMIF(BTS_매출관리!C:C,B167,BTS_매출관리!I:I)</f>
        <v>0</v>
      </c>
      <c r="D167">
        <f t="shared" si="2"/>
        <v>28</v>
      </c>
    </row>
    <row r="168" spans="2:4">
      <c r="B168" t="s">
        <v>1311</v>
      </c>
      <c r="C168" s="52">
        <f>SUMIF(BTS_매출관리!C:C,B168,BTS_매출관리!I:I)</f>
        <v>0</v>
      </c>
      <c r="D168">
        <f t="shared" si="2"/>
        <v>28</v>
      </c>
    </row>
    <row r="169" spans="2:4">
      <c r="B169" t="s">
        <v>1089</v>
      </c>
      <c r="C169" s="52">
        <f>SUMIF(BTS_매출관리!C:C,B169,BTS_매출관리!I:I)</f>
        <v>0</v>
      </c>
      <c r="D169">
        <f t="shared" si="2"/>
        <v>28</v>
      </c>
    </row>
    <row r="170" spans="2:4">
      <c r="B170" t="s">
        <v>997</v>
      </c>
      <c r="C170" s="52">
        <f>SUMIF(BTS_매출관리!C:C,B170,BTS_매출관리!I:I)</f>
        <v>0</v>
      </c>
      <c r="D170">
        <f t="shared" si="2"/>
        <v>28</v>
      </c>
    </row>
    <row r="171" spans="2:4">
      <c r="B171" t="s">
        <v>1319</v>
      </c>
      <c r="C171" s="52">
        <f>SUMIF(BTS_매출관리!C:C,B171,BTS_매출관리!I:I)</f>
        <v>0</v>
      </c>
      <c r="D171">
        <f t="shared" si="2"/>
        <v>28</v>
      </c>
    </row>
    <row r="172" spans="2:4">
      <c r="B172" t="s">
        <v>1324</v>
      </c>
      <c r="C172" s="52">
        <f>SUMIF(BTS_매출관리!C:C,B172,BTS_매출관리!I:I)</f>
        <v>0</v>
      </c>
      <c r="D172">
        <f t="shared" si="2"/>
        <v>28</v>
      </c>
    </row>
    <row r="173" spans="2:4">
      <c r="B173" t="s">
        <v>1326</v>
      </c>
      <c r="C173" s="52">
        <f>SUMIF(BTS_매출관리!C:C,B173,BTS_매출관리!I:I)</f>
        <v>0</v>
      </c>
      <c r="D173">
        <f t="shared" si="2"/>
        <v>28</v>
      </c>
    </row>
    <row r="174" spans="2:4">
      <c r="B174" t="s">
        <v>1330</v>
      </c>
      <c r="C174" s="52">
        <f>SUMIF(BTS_매출관리!C:C,B174,BTS_매출관리!I:I)</f>
        <v>0</v>
      </c>
      <c r="D174">
        <f t="shared" si="2"/>
        <v>28</v>
      </c>
    </row>
    <row r="175" spans="2:4">
      <c r="B175" t="s">
        <v>1336</v>
      </c>
      <c r="C175" s="52">
        <f>SUMIF(BTS_매출관리!C:C,B175,BTS_매출관리!I:I)</f>
        <v>0</v>
      </c>
      <c r="D175">
        <f t="shared" si="2"/>
        <v>28</v>
      </c>
    </row>
    <row r="176" spans="2:4">
      <c r="B176" t="s">
        <v>1337</v>
      </c>
      <c r="C176" s="52">
        <f>SUMIF(BTS_매출관리!C:C,B176,BTS_매출관리!I:I)</f>
        <v>0</v>
      </c>
      <c r="D176">
        <f t="shared" si="2"/>
        <v>28</v>
      </c>
    </row>
    <row r="177" spans="2:4">
      <c r="B177" t="s">
        <v>1339</v>
      </c>
      <c r="C177" s="52">
        <f>SUMIF(BTS_매출관리!C:C,B177,BTS_매출관리!I:I)</f>
        <v>0</v>
      </c>
      <c r="D177">
        <f t="shared" si="2"/>
        <v>28</v>
      </c>
    </row>
    <row r="178" spans="2:4">
      <c r="B178" t="s">
        <v>1342</v>
      </c>
      <c r="C178" s="52">
        <f>SUMIF(BTS_매출관리!C:C,B178,BTS_매출관리!I:I)</f>
        <v>0</v>
      </c>
      <c r="D178">
        <f t="shared" si="2"/>
        <v>28</v>
      </c>
    </row>
    <row r="179" spans="2:4">
      <c r="B179" t="s">
        <v>1346</v>
      </c>
      <c r="C179" s="52">
        <f>SUMIF(BTS_매출관리!C:C,B179,BTS_매출관리!I:I)</f>
        <v>0</v>
      </c>
      <c r="D179">
        <f t="shared" si="2"/>
        <v>28</v>
      </c>
    </row>
    <row r="180" spans="2:4">
      <c r="B180" t="s">
        <v>1349</v>
      </c>
      <c r="C180" s="52">
        <f>SUMIF(BTS_매출관리!C:C,B180,BTS_매출관리!I:I)</f>
        <v>0</v>
      </c>
      <c r="D180">
        <f t="shared" si="2"/>
        <v>28</v>
      </c>
    </row>
    <row r="181" spans="2:4">
      <c r="B181" t="s">
        <v>1354</v>
      </c>
      <c r="C181" s="52">
        <f>SUMIF(BTS_매출관리!C:C,B181,BTS_매출관리!I:I)</f>
        <v>143000</v>
      </c>
      <c r="D181">
        <f t="shared" si="2"/>
        <v>27</v>
      </c>
    </row>
    <row r="182" spans="2:4">
      <c r="B182" t="s">
        <v>1054</v>
      </c>
      <c r="C182" s="52">
        <f>SUMIF(BTS_매출관리!C:C,B182,BTS_매출관리!I:I)</f>
        <v>0</v>
      </c>
      <c r="D182">
        <f t="shared" si="2"/>
        <v>28</v>
      </c>
    </row>
    <row r="183" spans="2:4">
      <c r="B183" t="s">
        <v>1357</v>
      </c>
      <c r="C183" s="52">
        <f>SUMIF(BTS_매출관리!C:C,B183,BTS_매출관리!I:I)</f>
        <v>0</v>
      </c>
      <c r="D183">
        <f t="shared" si="2"/>
        <v>28</v>
      </c>
    </row>
    <row r="184" spans="2:4">
      <c r="B184" t="s">
        <v>1564</v>
      </c>
      <c r="C184" s="52">
        <f>SUMIF(BTS_매출관리!C:C,B184,BTS_매출관리!I:I)</f>
        <v>0</v>
      </c>
      <c r="D184">
        <f t="shared" si="2"/>
        <v>28</v>
      </c>
    </row>
    <row r="185" spans="2:4">
      <c r="B185" t="s">
        <v>2369</v>
      </c>
      <c r="C185" s="52">
        <f>SUMIF(BTS_매출관리!C:C,B185,BTS_매출관리!I:I)</f>
        <v>0</v>
      </c>
      <c r="D185">
        <f t="shared" si="2"/>
        <v>28</v>
      </c>
    </row>
    <row r="186" spans="2:4">
      <c r="B186" t="s">
        <v>2675</v>
      </c>
      <c r="C186" s="52">
        <f>SUMIF(BTS_매출관리!C:C,B186,BTS_매출관리!I:I)</f>
        <v>0</v>
      </c>
      <c r="D186">
        <f t="shared" si="2"/>
        <v>28</v>
      </c>
    </row>
    <row r="187" spans="2:4">
      <c r="B187" t="s">
        <v>2928</v>
      </c>
      <c r="C187" s="52">
        <f>SUMIF(BTS_매출관리!C:C,B187,BTS_매출관리!I:I)</f>
        <v>0</v>
      </c>
      <c r="D187">
        <f t="shared" si="2"/>
        <v>28</v>
      </c>
    </row>
    <row r="188" spans="2:4">
      <c r="C188" s="52">
        <f>SUMIF(BTS_매출관리!C:C,B188,BTS_매출관리!I:I)</f>
        <v>0</v>
      </c>
      <c r="D188">
        <f t="shared" si="2"/>
        <v>28</v>
      </c>
    </row>
    <row r="189" spans="2:4">
      <c r="C189" s="52">
        <f>SUMIF(BTS_매출관리!C:C,B189,BTS_매출관리!I:I)</f>
        <v>0</v>
      </c>
      <c r="D189">
        <f t="shared" si="2"/>
        <v>28</v>
      </c>
    </row>
    <row r="190" spans="2:4">
      <c r="C190" s="52">
        <f>SUMIF(BTS_매출관리!C:C,B190,BTS_매출관리!I:I)</f>
        <v>0</v>
      </c>
      <c r="D190">
        <f t="shared" si="2"/>
        <v>28</v>
      </c>
    </row>
    <row r="191" spans="2:4">
      <c r="C191" s="52">
        <f>SUMIF(BTS_매출관리!C:C,B191,BTS_매출관리!I:I)</f>
        <v>0</v>
      </c>
      <c r="D191">
        <f t="shared" si="2"/>
        <v>28</v>
      </c>
    </row>
    <row r="192" spans="2:4">
      <c r="C192" s="52">
        <f>SUMIF(BTS_매출관리!C:C,B192,BTS_매출관리!I:I)</f>
        <v>0</v>
      </c>
      <c r="D192">
        <f t="shared" si="2"/>
        <v>28</v>
      </c>
    </row>
    <row r="193" spans="3:4">
      <c r="C193" s="52">
        <f>SUMIF(BTS_매출관리!C:C,B193,BTS_매출관리!I:I)</f>
        <v>0</v>
      </c>
      <c r="D193">
        <f t="shared" si="2"/>
        <v>28</v>
      </c>
    </row>
    <row r="194" spans="3:4">
      <c r="C194" s="52">
        <f>SUMIF(BTS_매출관리!C:C,B194,BTS_매출관리!I:I)</f>
        <v>0</v>
      </c>
      <c r="D194">
        <f t="shared" ref="D194:D224" si="3">RANK(C194,C:C,0)</f>
        <v>28</v>
      </c>
    </row>
    <row r="195" spans="3:4">
      <c r="C195" s="52">
        <f>SUMIF(BTS_매출관리!C:C,B195,BTS_매출관리!I:I)</f>
        <v>0</v>
      </c>
      <c r="D195">
        <f t="shared" si="3"/>
        <v>28</v>
      </c>
    </row>
    <row r="196" spans="3:4">
      <c r="C196" s="52">
        <f>SUMIF(BTS_매출관리!C:C,B196,BTS_매출관리!I:I)</f>
        <v>0</v>
      </c>
      <c r="D196">
        <f t="shared" si="3"/>
        <v>28</v>
      </c>
    </row>
    <row r="197" spans="3:4">
      <c r="C197" s="52">
        <f>SUMIF(BTS_매출관리!C:C,B197,BTS_매출관리!I:I)</f>
        <v>0</v>
      </c>
      <c r="D197">
        <f t="shared" si="3"/>
        <v>28</v>
      </c>
    </row>
    <row r="198" spans="3:4">
      <c r="C198" s="52">
        <f>SUMIF(BTS_매출관리!C:C,B198,BTS_매출관리!I:I)</f>
        <v>0</v>
      </c>
      <c r="D198">
        <f t="shared" si="3"/>
        <v>28</v>
      </c>
    </row>
    <row r="199" spans="3:4">
      <c r="C199" s="52">
        <f>SUMIF(BTS_매출관리!C:C,B199,BTS_매출관리!I:I)</f>
        <v>0</v>
      </c>
      <c r="D199">
        <f t="shared" si="3"/>
        <v>28</v>
      </c>
    </row>
    <row r="200" spans="3:4">
      <c r="C200" s="52">
        <f>SUMIF(BTS_매출관리!C:C,B200,BTS_매출관리!I:I)</f>
        <v>0</v>
      </c>
      <c r="D200">
        <f t="shared" si="3"/>
        <v>28</v>
      </c>
    </row>
    <row r="201" spans="3:4">
      <c r="C201" s="52">
        <f>SUMIF(BTS_매출관리!C:C,B201,BTS_매출관리!I:I)</f>
        <v>0</v>
      </c>
      <c r="D201">
        <f t="shared" si="3"/>
        <v>28</v>
      </c>
    </row>
    <row r="202" spans="3:4">
      <c r="C202" s="52">
        <f>SUMIF(BTS_매출관리!C:C,B202,BTS_매출관리!I:I)</f>
        <v>0</v>
      </c>
      <c r="D202">
        <f t="shared" si="3"/>
        <v>28</v>
      </c>
    </row>
    <row r="203" spans="3:4">
      <c r="C203" s="52">
        <f>SUMIF(BTS_매출관리!C:C,B203,BTS_매출관리!I:I)</f>
        <v>0</v>
      </c>
      <c r="D203">
        <f t="shared" si="3"/>
        <v>28</v>
      </c>
    </row>
    <row r="204" spans="3:4">
      <c r="C204" s="52">
        <f>SUMIF(BTS_매출관리!C:C,B204,BTS_매출관리!I:I)</f>
        <v>0</v>
      </c>
      <c r="D204">
        <f t="shared" si="3"/>
        <v>28</v>
      </c>
    </row>
    <row r="205" spans="3:4">
      <c r="C205" s="52">
        <f>SUMIF(BTS_매출관리!C:C,B205,BTS_매출관리!I:I)</f>
        <v>0</v>
      </c>
      <c r="D205">
        <f t="shared" si="3"/>
        <v>28</v>
      </c>
    </row>
    <row r="206" spans="3:4">
      <c r="C206" s="52">
        <f>SUMIF(BTS_매출관리!C:C,B206,BTS_매출관리!I:I)</f>
        <v>0</v>
      </c>
      <c r="D206">
        <f t="shared" si="3"/>
        <v>28</v>
      </c>
    </row>
    <row r="207" spans="3:4">
      <c r="C207" s="52">
        <f>SUMIF(BTS_매출관리!C:C,B207,BTS_매출관리!I:I)</f>
        <v>0</v>
      </c>
      <c r="D207">
        <f t="shared" si="3"/>
        <v>28</v>
      </c>
    </row>
    <row r="208" spans="3:4">
      <c r="C208" s="52">
        <f>SUMIF(BTS_매출관리!C:C,B208,BTS_매출관리!I:I)</f>
        <v>0</v>
      </c>
      <c r="D208">
        <f t="shared" si="3"/>
        <v>28</v>
      </c>
    </row>
    <row r="209" spans="3:4">
      <c r="C209" s="52">
        <f>SUMIF(BTS_매출관리!C:C,B209,BTS_매출관리!I:I)</f>
        <v>0</v>
      </c>
      <c r="D209">
        <f t="shared" si="3"/>
        <v>28</v>
      </c>
    </row>
    <row r="210" spans="3:4">
      <c r="C210" s="52">
        <f>SUMIF(BTS_매출관리!C:C,B210,BTS_매출관리!I:I)</f>
        <v>0</v>
      </c>
      <c r="D210">
        <f t="shared" si="3"/>
        <v>28</v>
      </c>
    </row>
    <row r="211" spans="3:4">
      <c r="C211" s="52">
        <f>SUMIF(BTS_매출관리!C:C,B211,BTS_매출관리!I:I)</f>
        <v>0</v>
      </c>
      <c r="D211">
        <f t="shared" si="3"/>
        <v>28</v>
      </c>
    </row>
    <row r="212" spans="3:4">
      <c r="C212" s="52">
        <f>SUMIF(BTS_매출관리!C:C,B212,BTS_매출관리!I:I)</f>
        <v>0</v>
      </c>
      <c r="D212">
        <f t="shared" si="3"/>
        <v>28</v>
      </c>
    </row>
    <row r="213" spans="3:4">
      <c r="C213" s="52">
        <f>SUMIF(BTS_매출관리!C:C,B213,BTS_매출관리!I:I)</f>
        <v>0</v>
      </c>
      <c r="D213">
        <f t="shared" si="3"/>
        <v>28</v>
      </c>
    </row>
    <row r="214" spans="3:4">
      <c r="C214" s="52">
        <f>SUMIF(BTS_매출관리!C:C,B214,BTS_매출관리!I:I)</f>
        <v>0</v>
      </c>
      <c r="D214">
        <f t="shared" si="3"/>
        <v>28</v>
      </c>
    </row>
    <row r="215" spans="3:4">
      <c r="C215" s="52">
        <f>SUMIF(BTS_매출관리!C:C,B215,BTS_매출관리!I:I)</f>
        <v>0</v>
      </c>
      <c r="D215">
        <f t="shared" si="3"/>
        <v>28</v>
      </c>
    </row>
    <row r="216" spans="3:4">
      <c r="C216" s="52">
        <f>SUMIF(BTS_매출관리!C:C,B216,BTS_매출관리!I:I)</f>
        <v>0</v>
      </c>
      <c r="D216">
        <f t="shared" si="3"/>
        <v>28</v>
      </c>
    </row>
    <row r="217" spans="3:4">
      <c r="C217" s="52">
        <f>SUMIF(BTS_매출관리!C:C,B217,BTS_매출관리!I:I)</f>
        <v>0</v>
      </c>
      <c r="D217">
        <f t="shared" si="3"/>
        <v>28</v>
      </c>
    </row>
    <row r="218" spans="3:4">
      <c r="C218" s="52">
        <f>SUMIF(BTS_매출관리!C:C,B218,BTS_매출관리!I:I)</f>
        <v>0</v>
      </c>
      <c r="D218">
        <f t="shared" si="3"/>
        <v>28</v>
      </c>
    </row>
    <row r="219" spans="3:4">
      <c r="C219" s="52">
        <f>SUMIF(BTS_매출관리!C:C,B219,BTS_매출관리!I:I)</f>
        <v>0</v>
      </c>
      <c r="D219">
        <f t="shared" si="3"/>
        <v>28</v>
      </c>
    </row>
    <row r="220" spans="3:4">
      <c r="C220" s="52">
        <f>SUMIF(BTS_매출관리!C:C,B220,BTS_매출관리!I:I)</f>
        <v>0</v>
      </c>
      <c r="D220">
        <f t="shared" si="3"/>
        <v>28</v>
      </c>
    </row>
    <row r="221" spans="3:4">
      <c r="C221" s="52">
        <f>SUMIF(BTS_매출관리!C:C,B221,BTS_매출관리!I:I)</f>
        <v>0</v>
      </c>
      <c r="D221">
        <f t="shared" si="3"/>
        <v>28</v>
      </c>
    </row>
    <row r="222" spans="3:4">
      <c r="C222" s="52">
        <f>SUMIF(BTS_매출관리!C:C,B222,BTS_매출관리!I:I)</f>
        <v>0</v>
      </c>
      <c r="D222">
        <f t="shared" si="3"/>
        <v>28</v>
      </c>
    </row>
    <row r="223" spans="3:4">
      <c r="C223" s="52">
        <f>SUMIF(BTS_매출관리!C:C,B223,BTS_매출관리!I:I)</f>
        <v>0</v>
      </c>
      <c r="D223">
        <f t="shared" si="3"/>
        <v>28</v>
      </c>
    </row>
    <row r="224" spans="3:4">
      <c r="C224" s="52">
        <f>SUMIF(BTS_매출관리!C:C,B224,BTS_매출관리!I:I)</f>
        <v>0</v>
      </c>
      <c r="D224">
        <f t="shared" si="3"/>
        <v>28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58" t="s">
        <v>2</v>
      </c>
      <c r="B1" s="463" t="s">
        <v>2321</v>
      </c>
      <c r="C1" s="461" t="s">
        <v>2522</v>
      </c>
      <c r="D1" s="458" t="s">
        <v>2551</v>
      </c>
      <c r="E1" s="458" t="s">
        <v>36</v>
      </c>
      <c r="F1" s="458" t="s">
        <v>2706</v>
      </c>
      <c r="G1" s="458"/>
      <c r="H1" s="458" t="s">
        <v>2707</v>
      </c>
      <c r="I1" s="458"/>
      <c r="J1" s="458" t="s">
        <v>2708</v>
      </c>
      <c r="K1" s="458"/>
      <c r="L1" s="268"/>
    </row>
    <row r="2" spans="1:15" ht="17.25" thickBot="1">
      <c r="A2" s="459"/>
      <c r="B2" s="464"/>
      <c r="C2" s="462"/>
      <c r="D2" s="459"/>
      <c r="E2" s="459"/>
      <c r="F2" s="274" t="s">
        <v>2523</v>
      </c>
      <c r="G2" s="274" t="s">
        <v>2524</v>
      </c>
      <c r="H2" s="274" t="s">
        <v>2525</v>
      </c>
      <c r="I2" s="274" t="s">
        <v>2526</v>
      </c>
      <c r="J2" s="274" t="s">
        <v>2525</v>
      </c>
      <c r="K2" s="274" t="s">
        <v>2526</v>
      </c>
      <c r="L2" s="274"/>
    </row>
    <row r="3" spans="1:15" ht="18" customHeight="1">
      <c r="A3" s="265">
        <v>1</v>
      </c>
      <c r="B3" s="269">
        <v>45659</v>
      </c>
      <c r="C3" s="270" t="s">
        <v>2527</v>
      </c>
      <c r="D3" s="270" t="s">
        <v>2528</v>
      </c>
      <c r="E3" s="270" t="s">
        <v>2529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2530</v>
      </c>
      <c r="D4" s="245" t="s">
        <v>2531</v>
      </c>
      <c r="E4" s="245" t="s">
        <v>2529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2527</v>
      </c>
      <c r="D5" s="245" t="s">
        <v>2528</v>
      </c>
      <c r="E5" s="245" t="s">
        <v>2529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2527</v>
      </c>
      <c r="D6" s="245" t="s">
        <v>2528</v>
      </c>
      <c r="E6" s="245" t="s">
        <v>2529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2527</v>
      </c>
      <c r="D7" s="245" t="s">
        <v>2528</v>
      </c>
      <c r="E7" s="245" t="s">
        <v>2532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2533</v>
      </c>
      <c r="D8" s="245" t="s">
        <v>2534</v>
      </c>
      <c r="E8" s="245" t="s">
        <v>2529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2535</v>
      </c>
      <c r="D9" s="245" t="s">
        <v>2536</v>
      </c>
      <c r="E9" s="245" t="s">
        <v>2529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2537</v>
      </c>
      <c r="D10" s="245" t="s">
        <v>2528</v>
      </c>
      <c r="E10" s="245" t="s">
        <v>2532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2538</v>
      </c>
      <c r="D11" s="245" t="s">
        <v>2528</v>
      </c>
      <c r="E11" s="245" t="s">
        <v>2532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2527</v>
      </c>
      <c r="D12" s="245" t="s">
        <v>2528</v>
      </c>
      <c r="E12" s="245" t="s">
        <v>2529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2527</v>
      </c>
      <c r="D13" s="245" t="s">
        <v>2528</v>
      </c>
      <c r="E13" s="245" t="s">
        <v>2529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2530</v>
      </c>
      <c r="D14" s="245" t="s">
        <v>2531</v>
      </c>
      <c r="E14" s="245" t="s">
        <v>2532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2527</v>
      </c>
      <c r="D15" s="245" t="s">
        <v>2528</v>
      </c>
      <c r="E15" s="245" t="s">
        <v>2532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2539</v>
      </c>
      <c r="D16" s="245" t="s">
        <v>2540</v>
      </c>
      <c r="E16" s="245" t="s">
        <v>2532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2527</v>
      </c>
      <c r="D17" s="245" t="s">
        <v>2528</v>
      </c>
      <c r="E17" s="245" t="s">
        <v>2532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2538</v>
      </c>
      <c r="D18" s="245" t="s">
        <v>2528</v>
      </c>
      <c r="E18" s="245" t="s">
        <v>2529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2541</v>
      </c>
      <c r="D19" s="245" t="s">
        <v>2542</v>
      </c>
      <c r="E19" s="245" t="s">
        <v>2532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2537</v>
      </c>
      <c r="D20" s="245" t="s">
        <v>2528</v>
      </c>
      <c r="E20" s="245" t="s">
        <v>2532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2543</v>
      </c>
      <c r="D21" s="245" t="s">
        <v>2540</v>
      </c>
      <c r="E21" s="245" t="s">
        <v>2532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2544</v>
      </c>
      <c r="D22" s="245" t="s">
        <v>2545</v>
      </c>
      <c r="E22" s="245" t="s">
        <v>2532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2546</v>
      </c>
      <c r="D23" s="245" t="s">
        <v>2547</v>
      </c>
      <c r="E23" s="245" t="s">
        <v>2532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2530</v>
      </c>
      <c r="D24" s="245" t="s">
        <v>2531</v>
      </c>
      <c r="E24" s="245" t="s">
        <v>2532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2527</v>
      </c>
      <c r="D25" s="245" t="s">
        <v>2528</v>
      </c>
      <c r="E25" s="245" t="s">
        <v>2532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2527</v>
      </c>
      <c r="D26" s="245" t="s">
        <v>2548</v>
      </c>
      <c r="E26" s="245" t="s">
        <v>2532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2549</v>
      </c>
      <c r="D27" s="245" t="s">
        <v>2528</v>
      </c>
      <c r="E27" s="245" t="s">
        <v>2532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2527</v>
      </c>
      <c r="D28" s="245" t="s">
        <v>2528</v>
      </c>
      <c r="E28" s="245" t="s">
        <v>2532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2527</v>
      </c>
      <c r="D29" s="245" t="s">
        <v>2528</v>
      </c>
      <c r="E29" s="245" t="s">
        <v>2532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2537</v>
      </c>
      <c r="D30" s="245" t="s">
        <v>2528</v>
      </c>
      <c r="E30" s="245" t="s">
        <v>2532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2541</v>
      </c>
      <c r="D31" s="245" t="s">
        <v>2542</v>
      </c>
      <c r="E31" s="245" t="s">
        <v>2532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2539</v>
      </c>
      <c r="D32" s="245" t="s">
        <v>2540</v>
      </c>
      <c r="E32" s="245" t="s">
        <v>2532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2538</v>
      </c>
      <c r="D33" s="245" t="s">
        <v>2528</v>
      </c>
      <c r="E33" s="245" t="s">
        <v>2532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2543</v>
      </c>
      <c r="D34" s="245" t="s">
        <v>2540</v>
      </c>
      <c r="E34" s="245" t="s">
        <v>2532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2530</v>
      </c>
      <c r="D35" s="245" t="s">
        <v>2531</v>
      </c>
      <c r="E35" s="245" t="s">
        <v>2532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2527</v>
      </c>
      <c r="D36" s="245" t="s">
        <v>2528</v>
      </c>
      <c r="E36" s="245" t="s">
        <v>2532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2530</v>
      </c>
      <c r="D37" s="245" t="s">
        <v>2531</v>
      </c>
      <c r="E37" s="245" t="s">
        <v>2532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2546</v>
      </c>
      <c r="D38" s="245" t="s">
        <v>2547</v>
      </c>
      <c r="E38" s="245" t="s">
        <v>2532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2527</v>
      </c>
      <c r="D39" s="245" t="s">
        <v>2528</v>
      </c>
      <c r="E39" s="245" t="s">
        <v>2532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2530</v>
      </c>
      <c r="D40" s="245" t="s">
        <v>2531</v>
      </c>
      <c r="E40" s="245" t="s">
        <v>2532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2544</v>
      </c>
      <c r="D41" s="245" t="s">
        <v>2545</v>
      </c>
      <c r="E41" s="245" t="s">
        <v>2532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2546</v>
      </c>
      <c r="D42" s="245" t="s">
        <v>2547</v>
      </c>
      <c r="E42" s="245" t="s">
        <v>2532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2527</v>
      </c>
      <c r="D43" s="245" t="s">
        <v>2528</v>
      </c>
      <c r="E43" s="245" t="s">
        <v>2532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2537</v>
      </c>
      <c r="D44" s="245" t="s">
        <v>2528</v>
      </c>
      <c r="E44" s="245" t="s">
        <v>2532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2543</v>
      </c>
      <c r="D45" s="245" t="s">
        <v>2540</v>
      </c>
      <c r="E45" s="245" t="s">
        <v>2532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2538</v>
      </c>
      <c r="D46" s="245" t="s">
        <v>2528</v>
      </c>
      <c r="E46" s="245" t="s">
        <v>2532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2539</v>
      </c>
      <c r="D47" s="245" t="s">
        <v>2540</v>
      </c>
      <c r="E47" s="245" t="s">
        <v>2532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2971</v>
      </c>
      <c r="D48" s="245" t="s">
        <v>2972</v>
      </c>
      <c r="E48" s="245" t="s">
        <v>2532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3051</v>
      </c>
      <c r="D49" s="245" t="s">
        <v>3052</v>
      </c>
      <c r="E49" s="245" t="s">
        <v>2532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2527</v>
      </c>
      <c r="D50" s="245" t="s">
        <v>2972</v>
      </c>
      <c r="E50" s="245" t="s">
        <v>2532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2546</v>
      </c>
      <c r="D51" s="245" t="s">
        <v>3055</v>
      </c>
      <c r="E51" s="245" t="s">
        <v>2532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3053</v>
      </c>
      <c r="D52" s="245" t="s">
        <v>3054</v>
      </c>
      <c r="E52" s="245" t="s">
        <v>2532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2546</v>
      </c>
      <c r="D53" s="245" t="s">
        <v>3055</v>
      </c>
      <c r="E53" s="245" t="s">
        <v>2532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3056</v>
      </c>
      <c r="D54" s="245" t="s">
        <v>3057</v>
      </c>
      <c r="E54" s="245" t="s">
        <v>2532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2537</v>
      </c>
      <c r="D55" s="245" t="s">
        <v>2528</v>
      </c>
      <c r="E55" s="245" t="s">
        <v>2532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2543</v>
      </c>
      <c r="D56" s="245" t="s">
        <v>2540</v>
      </c>
      <c r="E56" s="245" t="s">
        <v>2532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2539</v>
      </c>
      <c r="D57" s="245" t="s">
        <v>2540</v>
      </c>
      <c r="E57" s="245" t="s">
        <v>2532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2538</v>
      </c>
      <c r="D58" s="245" t="s">
        <v>2528</v>
      </c>
      <c r="E58" s="245" t="s">
        <v>2532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2533</v>
      </c>
      <c r="D59" s="245" t="s">
        <v>2534</v>
      </c>
      <c r="E59" s="245" t="s">
        <v>2532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2527</v>
      </c>
      <c r="D60" s="245" t="s">
        <v>2528</v>
      </c>
      <c r="E60" s="245" t="s">
        <v>2532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2532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2532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2532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2532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2532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2532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2532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2532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2532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2532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2532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2532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2532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2532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2532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2532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2532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2532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2532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2532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2532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2532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2532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2532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2532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2532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2532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2532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2529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2532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2532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2532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2532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2532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2532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2532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2532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2532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2532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2532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2532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2532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2532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2532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2532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2532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2532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2532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2532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2532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2532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2532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2532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2532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2532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2532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2532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2532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2532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2532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2532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2532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2532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2532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2532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2532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2532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2532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2532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2532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2532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2532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2532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2532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60" t="s">
        <v>2550</v>
      </c>
      <c r="C149" s="460"/>
      <c r="D149" s="460"/>
      <c r="E149" s="460"/>
      <c r="F149" s="460"/>
      <c r="G149" s="460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1125</v>
      </c>
      <c r="C3" s="229">
        <f>SUMIF($B:$B,A3,I:I)</f>
        <v>0</v>
      </c>
      <c r="D3" s="230" t="s">
        <v>1123</v>
      </c>
      <c r="E3" s="229">
        <f ca="1">SUMIF($B:$B,TODAY(),E:E)</f>
        <v>0</v>
      </c>
      <c r="F3" s="240" t="s">
        <v>2518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1126</v>
      </c>
      <c r="C4" s="229">
        <f>SUMIFS($I:$I,$B:$B,"&gt;="&amp;DATE(A5,A4,1),$B:$B,"&lt;="&amp;EOMONTH(DATE(A5,A4,1),0))</f>
        <v>0</v>
      </c>
      <c r="D4" s="231"/>
      <c r="E4" s="235"/>
      <c r="F4" s="240" t="s">
        <v>2519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1127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1167</v>
      </c>
      <c r="D8" s="76" t="s">
        <v>2551</v>
      </c>
      <c r="E8" s="77" t="s">
        <v>36</v>
      </c>
      <c r="F8" s="118" t="s">
        <v>42</v>
      </c>
      <c r="G8" s="77" t="s">
        <v>50</v>
      </c>
      <c r="H8" s="118" t="s">
        <v>42</v>
      </c>
      <c r="I8" s="118" t="s">
        <v>1624</v>
      </c>
      <c r="J8" s="118" t="s">
        <v>2552</v>
      </c>
      <c r="K8" s="77" t="s">
        <v>1624</v>
      </c>
      <c r="L8" s="77" t="s">
        <v>2552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1998</v>
      </c>
    </row>
    <row r="3" spans="1:2">
      <c r="A3" t="s">
        <v>2000</v>
      </c>
    </row>
    <row r="4" spans="1:2">
      <c r="A4" t="s">
        <v>2001</v>
      </c>
    </row>
    <row r="5" spans="1:2">
      <c r="A5" t="s">
        <v>2002</v>
      </c>
    </row>
    <row r="6" spans="1:2">
      <c r="A6" t="s">
        <v>2004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5"/>
      <c r="B1" s="336"/>
      <c r="C1" s="336"/>
      <c r="D1" s="336"/>
      <c r="E1" s="336"/>
      <c r="F1" s="336"/>
      <c r="G1" s="33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7" t="s">
        <v>1196</v>
      </c>
      <c r="R1" s="337"/>
      <c r="S1" s="447"/>
      <c r="T1" s="447"/>
      <c r="U1" s="448"/>
    </row>
    <row r="2" spans="1:21">
      <c r="A2" s="315" t="s">
        <v>65</v>
      </c>
      <c r="B2" s="316"/>
      <c r="C2" s="317" t="s">
        <v>2222</v>
      </c>
      <c r="D2" s="318"/>
      <c r="E2" s="318"/>
      <c r="F2" s="318"/>
      <c r="G2" s="319"/>
      <c r="H2" s="317" t="s">
        <v>76</v>
      </c>
      <c r="I2" s="318"/>
      <c r="J2" s="318"/>
      <c r="K2" s="318"/>
      <c r="L2" s="318"/>
      <c r="M2" s="318"/>
      <c r="N2" s="318"/>
      <c r="O2" s="319"/>
      <c r="P2" s="320" t="s">
        <v>63</v>
      </c>
      <c r="Q2" s="321"/>
      <c r="R2" s="321"/>
      <c r="S2" s="316"/>
      <c r="T2" s="322">
        <v>45804</v>
      </c>
      <c r="U2" s="323"/>
    </row>
    <row r="3" spans="1:21" ht="24" customHeight="1">
      <c r="A3" s="390" t="s">
        <v>1166</v>
      </c>
      <c r="B3" s="37" t="s">
        <v>59</v>
      </c>
      <c r="C3" s="511" t="s">
        <v>1540</v>
      </c>
      <c r="D3" s="512"/>
      <c r="E3" s="512"/>
      <c r="F3" s="512"/>
      <c r="G3" s="512"/>
      <c r="H3" s="512"/>
      <c r="I3" s="512"/>
      <c r="J3" s="513"/>
      <c r="K3" s="396" t="s">
        <v>1167</v>
      </c>
      <c r="L3" s="37" t="s">
        <v>59</v>
      </c>
      <c r="M3" s="500" t="s">
        <v>964</v>
      </c>
      <c r="N3" s="501"/>
      <c r="O3" s="501"/>
      <c r="P3" s="501"/>
      <c r="Q3" s="501"/>
      <c r="R3" s="501"/>
      <c r="S3" s="501"/>
      <c r="T3" s="501"/>
      <c r="U3" s="502"/>
    </row>
    <row r="4" spans="1:21" ht="24.95" customHeight="1">
      <c r="A4" s="391"/>
      <c r="B4" s="37" t="s">
        <v>61</v>
      </c>
      <c r="C4" s="444"/>
      <c r="D4" s="445"/>
      <c r="E4" s="445"/>
      <c r="F4" s="445"/>
      <c r="G4" s="445"/>
      <c r="H4" s="445"/>
      <c r="I4" s="445"/>
      <c r="J4" s="446"/>
      <c r="K4" s="397"/>
      <c r="L4" s="37" t="s">
        <v>61</v>
      </c>
      <c r="M4" s="405" t="s">
        <v>962</v>
      </c>
      <c r="N4" s="406"/>
      <c r="O4" s="406"/>
      <c r="P4" s="406"/>
      <c r="Q4" s="406"/>
      <c r="R4" s="407"/>
      <c r="S4" s="38" t="s">
        <v>62</v>
      </c>
      <c r="T4" s="480" t="s">
        <v>73</v>
      </c>
      <c r="U4" s="481"/>
    </row>
    <row r="5" spans="1:21" ht="15.75" customHeight="1">
      <c r="A5" s="391"/>
      <c r="B5" s="38" t="s">
        <v>60</v>
      </c>
      <c r="C5" s="405" t="s">
        <v>1093</v>
      </c>
      <c r="D5" s="406"/>
      <c r="E5" s="406"/>
      <c r="F5" s="406"/>
      <c r="G5" s="406"/>
      <c r="H5" s="406"/>
      <c r="I5" s="406"/>
      <c r="J5" s="407"/>
      <c r="K5" s="397"/>
      <c r="L5" s="38" t="s">
        <v>60</v>
      </c>
      <c r="M5" s="405" t="s">
        <v>74</v>
      </c>
      <c r="N5" s="406"/>
      <c r="O5" s="406"/>
      <c r="P5" s="406"/>
      <c r="Q5" s="406"/>
      <c r="R5" s="406"/>
      <c r="S5" s="406"/>
      <c r="T5" s="406"/>
      <c r="U5" s="408"/>
    </row>
    <row r="6" spans="1:21" ht="15.75" customHeight="1">
      <c r="A6" s="392"/>
      <c r="B6" s="38" t="s">
        <v>75</v>
      </c>
      <c r="C6" s="405" t="s">
        <v>1092</v>
      </c>
      <c r="D6" s="406"/>
      <c r="E6" s="406"/>
      <c r="F6" s="406"/>
      <c r="G6" s="406"/>
      <c r="H6" s="406"/>
      <c r="I6" s="406"/>
      <c r="J6" s="407"/>
      <c r="K6" s="398"/>
      <c r="L6" s="38" t="s">
        <v>75</v>
      </c>
      <c r="M6" s="405" t="s">
        <v>66</v>
      </c>
      <c r="N6" s="406"/>
      <c r="O6" s="406"/>
      <c r="P6" s="406"/>
      <c r="Q6" s="406"/>
      <c r="R6" s="407"/>
      <c r="S6" s="38" t="s">
        <v>22</v>
      </c>
      <c r="T6" s="405" t="s">
        <v>973</v>
      </c>
      <c r="U6" s="408"/>
    </row>
    <row r="7" spans="1:21" ht="15.75" customHeight="1">
      <c r="A7" s="324" t="s">
        <v>70</v>
      </c>
      <c r="B7" s="325"/>
      <c r="C7" s="325"/>
      <c r="D7" s="325"/>
      <c r="E7" s="387"/>
      <c r="F7" s="388" t="s">
        <v>78</v>
      </c>
      <c r="G7" s="325"/>
      <c r="H7" s="325"/>
      <c r="I7" s="387"/>
      <c r="J7" s="388" t="s">
        <v>67</v>
      </c>
      <c r="K7" s="387"/>
      <c r="L7" s="388" t="s">
        <v>42</v>
      </c>
      <c r="M7" s="325"/>
      <c r="N7" s="325"/>
      <c r="O7" s="325"/>
      <c r="P7" s="387"/>
      <c r="Q7" s="388" t="s">
        <v>68</v>
      </c>
      <c r="R7" s="325"/>
      <c r="S7" s="387"/>
      <c r="T7" s="388" t="s">
        <v>69</v>
      </c>
      <c r="U7" s="389"/>
    </row>
    <row r="8" spans="1:21" ht="15" customHeight="1">
      <c r="A8" s="514" t="s">
        <v>1130</v>
      </c>
      <c r="B8" s="515"/>
      <c r="C8" s="515"/>
      <c r="D8" s="515"/>
      <c r="E8" s="516"/>
      <c r="F8" s="517"/>
      <c r="G8" s="515"/>
      <c r="H8" s="515"/>
      <c r="I8" s="516"/>
      <c r="J8" s="518">
        <v>1</v>
      </c>
      <c r="K8" s="433"/>
      <c r="L8" s="437">
        <v>1000000</v>
      </c>
      <c r="M8" s="438"/>
      <c r="N8" s="438"/>
      <c r="O8" s="438"/>
      <c r="P8" s="439"/>
      <c r="Q8" s="437">
        <v>1000000</v>
      </c>
      <c r="R8" s="438"/>
      <c r="S8" s="439"/>
      <c r="T8" s="440"/>
      <c r="U8" s="441"/>
    </row>
    <row r="9" spans="1:21" ht="15" customHeight="1">
      <c r="A9" s="504"/>
      <c r="B9" s="505"/>
      <c r="C9" s="505"/>
      <c r="D9" s="505"/>
      <c r="E9" s="506"/>
      <c r="F9" s="507"/>
      <c r="G9" s="505"/>
      <c r="H9" s="505"/>
      <c r="I9" s="506"/>
      <c r="J9" s="423"/>
      <c r="K9" s="422"/>
      <c r="L9" s="424"/>
      <c r="M9" s="425"/>
      <c r="N9" s="425"/>
      <c r="O9" s="425"/>
      <c r="P9" s="426"/>
      <c r="Q9" s="424"/>
      <c r="R9" s="425"/>
      <c r="S9" s="426"/>
      <c r="T9" s="427"/>
      <c r="U9" s="428"/>
    </row>
    <row r="10" spans="1:21" ht="15" customHeight="1">
      <c r="A10" s="504"/>
      <c r="B10" s="505"/>
      <c r="C10" s="505"/>
      <c r="D10" s="505"/>
      <c r="E10" s="506"/>
      <c r="F10" s="507"/>
      <c r="G10" s="505"/>
      <c r="H10" s="505"/>
      <c r="I10" s="506"/>
      <c r="J10" s="423"/>
      <c r="K10" s="422"/>
      <c r="L10" s="424"/>
      <c r="M10" s="425"/>
      <c r="N10" s="425"/>
      <c r="O10" s="425"/>
      <c r="P10" s="426"/>
      <c r="Q10" s="424"/>
      <c r="R10" s="425"/>
      <c r="S10" s="426"/>
      <c r="T10" s="427"/>
      <c r="U10" s="428"/>
    </row>
    <row r="11" spans="1:21" ht="15" customHeight="1">
      <c r="A11" s="504"/>
      <c r="B11" s="505"/>
      <c r="C11" s="505"/>
      <c r="D11" s="505"/>
      <c r="E11" s="506"/>
      <c r="F11" s="507"/>
      <c r="G11" s="505"/>
      <c r="H11" s="505"/>
      <c r="I11" s="506"/>
      <c r="J11" s="423"/>
      <c r="K11" s="422"/>
      <c r="L11" s="424"/>
      <c r="M11" s="425"/>
      <c r="N11" s="425"/>
      <c r="O11" s="425"/>
      <c r="P11" s="426"/>
      <c r="Q11" s="424"/>
      <c r="R11" s="425"/>
      <c r="S11" s="426"/>
      <c r="T11" s="427"/>
      <c r="U11" s="428"/>
    </row>
    <row r="12" spans="1:21" ht="15" customHeight="1">
      <c r="A12" s="504"/>
      <c r="B12" s="505"/>
      <c r="C12" s="505"/>
      <c r="D12" s="505"/>
      <c r="E12" s="506"/>
      <c r="F12" s="507"/>
      <c r="G12" s="505"/>
      <c r="H12" s="505"/>
      <c r="I12" s="506"/>
      <c r="J12" s="423"/>
      <c r="K12" s="422"/>
      <c r="L12" s="424"/>
      <c r="M12" s="425"/>
      <c r="N12" s="425"/>
      <c r="O12" s="425"/>
      <c r="P12" s="426"/>
      <c r="Q12" s="424"/>
      <c r="R12" s="425"/>
      <c r="S12" s="426"/>
      <c r="T12" s="427"/>
      <c r="U12" s="428"/>
    </row>
    <row r="13" spans="1:21" ht="15" customHeight="1">
      <c r="A13" s="504"/>
      <c r="B13" s="505"/>
      <c r="C13" s="505"/>
      <c r="D13" s="505"/>
      <c r="E13" s="506"/>
      <c r="F13" s="508"/>
      <c r="G13" s="509"/>
      <c r="H13" s="509"/>
      <c r="I13" s="510"/>
      <c r="J13" s="423"/>
      <c r="K13" s="422"/>
      <c r="L13" s="424"/>
      <c r="M13" s="425"/>
      <c r="N13" s="425"/>
      <c r="O13" s="425"/>
      <c r="P13" s="426"/>
      <c r="Q13" s="424"/>
      <c r="R13" s="425"/>
      <c r="S13" s="426"/>
      <c r="T13" s="427"/>
      <c r="U13" s="428"/>
    </row>
    <row r="14" spans="1:21" ht="15" customHeight="1">
      <c r="A14" s="504"/>
      <c r="B14" s="505"/>
      <c r="C14" s="505"/>
      <c r="D14" s="505"/>
      <c r="E14" s="506"/>
      <c r="F14" s="507"/>
      <c r="G14" s="505"/>
      <c r="H14" s="505"/>
      <c r="I14" s="506"/>
      <c r="J14" s="423"/>
      <c r="K14" s="422"/>
      <c r="L14" s="424"/>
      <c r="M14" s="425"/>
      <c r="N14" s="425"/>
      <c r="O14" s="425"/>
      <c r="P14" s="426"/>
      <c r="Q14" s="424"/>
      <c r="R14" s="425"/>
      <c r="S14" s="426"/>
      <c r="T14" s="427"/>
      <c r="U14" s="428"/>
    </row>
    <row r="15" spans="1:21" ht="15" customHeight="1">
      <c r="A15" s="420"/>
      <c r="B15" s="421"/>
      <c r="C15" s="421"/>
      <c r="D15" s="421"/>
      <c r="E15" s="422"/>
      <c r="F15" s="423"/>
      <c r="G15" s="421"/>
      <c r="H15" s="421"/>
      <c r="I15" s="422"/>
      <c r="J15" s="423"/>
      <c r="K15" s="422"/>
      <c r="L15" s="494"/>
      <c r="M15" s="495"/>
      <c r="N15" s="495"/>
      <c r="O15" s="495"/>
      <c r="P15" s="496"/>
      <c r="Q15" s="494"/>
      <c r="R15" s="495"/>
      <c r="S15" s="496"/>
      <c r="T15" s="427"/>
      <c r="U15" s="428"/>
    </row>
    <row r="16" spans="1:21" ht="15" customHeight="1">
      <c r="A16" s="420"/>
      <c r="B16" s="421"/>
      <c r="C16" s="421"/>
      <c r="D16" s="421"/>
      <c r="E16" s="422"/>
      <c r="F16" s="423"/>
      <c r="G16" s="421"/>
      <c r="H16" s="421"/>
      <c r="I16" s="422"/>
      <c r="J16" s="423"/>
      <c r="K16" s="422"/>
      <c r="L16" s="494"/>
      <c r="M16" s="495"/>
      <c r="N16" s="495"/>
      <c r="O16" s="495"/>
      <c r="P16" s="496"/>
      <c r="Q16" s="494"/>
      <c r="R16" s="495"/>
      <c r="S16" s="496"/>
      <c r="T16" s="427"/>
      <c r="U16" s="428"/>
    </row>
    <row r="17" spans="1:21" ht="15" customHeight="1">
      <c r="A17" s="420"/>
      <c r="B17" s="421"/>
      <c r="C17" s="421"/>
      <c r="D17" s="421"/>
      <c r="E17" s="422"/>
      <c r="F17" s="423"/>
      <c r="G17" s="421"/>
      <c r="H17" s="421"/>
      <c r="I17" s="422"/>
      <c r="J17" s="423"/>
      <c r="K17" s="422"/>
      <c r="L17" s="494"/>
      <c r="M17" s="495"/>
      <c r="N17" s="495"/>
      <c r="O17" s="495"/>
      <c r="P17" s="496"/>
      <c r="Q17" s="494"/>
      <c r="R17" s="495"/>
      <c r="S17" s="496"/>
      <c r="T17" s="427"/>
      <c r="U17" s="428"/>
    </row>
    <row r="18" spans="1:21" ht="15" customHeight="1">
      <c r="A18" s="420"/>
      <c r="B18" s="421"/>
      <c r="C18" s="421"/>
      <c r="D18" s="421"/>
      <c r="E18" s="422"/>
      <c r="F18" s="423"/>
      <c r="G18" s="421"/>
      <c r="H18" s="421"/>
      <c r="I18" s="422"/>
      <c r="J18" s="423"/>
      <c r="K18" s="422"/>
      <c r="L18" s="494"/>
      <c r="M18" s="495"/>
      <c r="N18" s="495"/>
      <c r="O18" s="495"/>
      <c r="P18" s="496"/>
      <c r="Q18" s="494"/>
      <c r="R18" s="495"/>
      <c r="S18" s="496"/>
      <c r="T18" s="427"/>
      <c r="U18" s="428"/>
    </row>
    <row r="19" spans="1:21" ht="15" customHeight="1">
      <c r="A19" s="465"/>
      <c r="B19" s="466"/>
      <c r="C19" s="466"/>
      <c r="D19" s="466"/>
      <c r="E19" s="467"/>
      <c r="F19" s="468"/>
      <c r="G19" s="466"/>
      <c r="H19" s="466"/>
      <c r="I19" s="467"/>
      <c r="J19" s="468"/>
      <c r="K19" s="467"/>
      <c r="L19" s="482"/>
      <c r="M19" s="483"/>
      <c r="N19" s="483"/>
      <c r="O19" s="483"/>
      <c r="P19" s="484"/>
      <c r="Q19" s="482"/>
      <c r="R19" s="483"/>
      <c r="S19" s="484"/>
      <c r="T19" s="485"/>
      <c r="U19" s="486"/>
    </row>
    <row r="20" spans="1:21">
      <c r="A20" s="324" t="s">
        <v>80</v>
      </c>
      <c r="B20" s="325"/>
      <c r="C20" s="325"/>
      <c r="D20" s="325"/>
      <c r="E20" s="325"/>
      <c r="F20" s="326">
        <v>2450000</v>
      </c>
      <c r="G20" s="326"/>
      <c r="H20" s="326"/>
      <c r="I20" s="327"/>
      <c r="J20" s="473">
        <f>SUM(J8:K19)</f>
        <v>1</v>
      </c>
      <c r="K20" s="473"/>
      <c r="L20" s="522" t="s">
        <v>959</v>
      </c>
      <c r="M20" s="523"/>
      <c r="N20" s="523"/>
      <c r="O20" s="523"/>
      <c r="P20" s="524"/>
      <c r="Q20" s="366">
        <f>SUM(Q8:S19)</f>
        <v>1000000</v>
      </c>
      <c r="R20" s="326"/>
      <c r="S20" s="326"/>
      <c r="T20" s="326"/>
      <c r="U20" s="367"/>
    </row>
    <row r="21" spans="1:21" ht="17.25" thickBot="1">
      <c r="A21" s="329" t="s">
        <v>90</v>
      </c>
      <c r="B21" s="330"/>
      <c r="C21" s="330"/>
      <c r="D21" s="330"/>
      <c r="E21" s="330"/>
      <c r="F21" s="331">
        <f>F20+Q20</f>
        <v>3450000</v>
      </c>
      <c r="G21" s="331"/>
      <c r="H21" s="331"/>
      <c r="I21" s="332"/>
      <c r="J21" s="333" t="s">
        <v>965</v>
      </c>
      <c r="K21" s="330"/>
      <c r="L21" s="334" t="str">
        <f>T4</f>
        <v>장효주</v>
      </c>
      <c r="M21" s="334"/>
      <c r="N21" s="334"/>
      <c r="O21" s="333" t="s">
        <v>64</v>
      </c>
      <c r="P21" s="359"/>
      <c r="Q21" s="474" t="str">
        <f>C3</f>
        <v>제이오토(대구)</v>
      </c>
      <c r="R21" s="475"/>
      <c r="S21" s="475"/>
      <c r="T21" s="475"/>
      <c r="U21" s="476"/>
    </row>
    <row r="22" spans="1:21" ht="9" customHeight="1">
      <c r="A22" s="454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454"/>
    </row>
    <row r="23" spans="1:21" ht="11.25" customHeight="1" thickBot="1">
      <c r="A23" s="314"/>
      <c r="B23" s="314"/>
      <c r="C23" s="314"/>
      <c r="D23" s="314"/>
      <c r="E23" s="314"/>
      <c r="F23" s="314"/>
      <c r="G23" s="314"/>
      <c r="H23" s="314"/>
      <c r="I23" s="314"/>
      <c r="J23" s="314"/>
      <c r="K23" s="314"/>
      <c r="L23" s="314"/>
      <c r="M23" s="314"/>
      <c r="N23" s="314"/>
      <c r="O23" s="314"/>
      <c r="P23" s="314"/>
      <c r="Q23" s="314"/>
      <c r="R23" s="314"/>
      <c r="S23" s="314"/>
      <c r="T23" s="314"/>
      <c r="U23" s="314"/>
    </row>
    <row r="24" spans="1:21" ht="24" customHeight="1" thickBot="1">
      <c r="A24" s="477" t="s">
        <v>71</v>
      </c>
      <c r="B24" s="478"/>
      <c r="C24" s="478"/>
      <c r="D24" s="478"/>
      <c r="E24" s="478"/>
      <c r="F24" s="478"/>
      <c r="G24" s="478"/>
      <c r="H24" s="478"/>
      <c r="I24" s="478"/>
      <c r="J24" s="478"/>
      <c r="K24" s="478"/>
      <c r="L24" s="478"/>
      <c r="M24" s="478"/>
      <c r="N24" s="478"/>
      <c r="O24" s="478"/>
      <c r="P24" s="478"/>
      <c r="Q24" s="478"/>
      <c r="R24" s="478"/>
      <c r="S24" s="478"/>
      <c r="T24" s="478"/>
      <c r="U24" s="479"/>
    </row>
    <row r="25" spans="1:21">
      <c r="A25" s="315" t="s">
        <v>65</v>
      </c>
      <c r="B25" s="316"/>
      <c r="C25" s="317" t="str">
        <f>C2</f>
        <v>카카오뱅크 3333181865047</v>
      </c>
      <c r="D25" s="318"/>
      <c r="E25" s="318"/>
      <c r="F25" s="318"/>
      <c r="G25" s="319"/>
      <c r="H25" s="317" t="s">
        <v>77</v>
      </c>
      <c r="I25" s="318"/>
      <c r="J25" s="318"/>
      <c r="K25" s="318"/>
      <c r="L25" s="318"/>
      <c r="M25" s="318"/>
      <c r="N25" s="318"/>
      <c r="O25" s="319"/>
      <c r="P25" s="320" t="s">
        <v>63</v>
      </c>
      <c r="Q25" s="321"/>
      <c r="R25" s="321"/>
      <c r="S25" s="316"/>
      <c r="T25" s="322">
        <f>T2</f>
        <v>45804</v>
      </c>
      <c r="U25" s="323"/>
    </row>
    <row r="26" spans="1:21" ht="27" customHeight="1">
      <c r="A26" s="390" t="s">
        <v>1166</v>
      </c>
      <c r="B26" s="37" t="s">
        <v>59</v>
      </c>
      <c r="C26" s="497" t="str">
        <f>C3</f>
        <v>제이오토(대구)</v>
      </c>
      <c r="D26" s="498"/>
      <c r="E26" s="498"/>
      <c r="F26" s="498"/>
      <c r="G26" s="498"/>
      <c r="H26" s="498"/>
      <c r="I26" s="498"/>
      <c r="J26" s="499"/>
      <c r="K26" s="396" t="s">
        <v>1167</v>
      </c>
      <c r="L26" s="37" t="s">
        <v>59</v>
      </c>
      <c r="M26" s="500" t="str">
        <f>M3</f>
        <v>BTS&amp;P</v>
      </c>
      <c r="N26" s="501"/>
      <c r="O26" s="501"/>
      <c r="P26" s="501"/>
      <c r="Q26" s="501"/>
      <c r="R26" s="501"/>
      <c r="S26" s="501"/>
      <c r="T26" s="501"/>
      <c r="U26" s="502"/>
    </row>
    <row r="27" spans="1:21" ht="24.95" customHeight="1">
      <c r="A27" s="391"/>
      <c r="B27" s="37" t="s">
        <v>61</v>
      </c>
      <c r="C27" s="519">
        <f>C4</f>
        <v>0</v>
      </c>
      <c r="D27" s="520"/>
      <c r="E27" s="520"/>
      <c r="F27" s="520"/>
      <c r="G27" s="520"/>
      <c r="H27" s="520"/>
      <c r="I27" s="520"/>
      <c r="J27" s="521"/>
      <c r="K27" s="397"/>
      <c r="L27" s="37" t="s">
        <v>61</v>
      </c>
      <c r="M27" s="405" t="str">
        <f>M4</f>
        <v>259-12-01768</v>
      </c>
      <c r="N27" s="406"/>
      <c r="O27" s="406"/>
      <c r="P27" s="406"/>
      <c r="Q27" s="406"/>
      <c r="R27" s="407"/>
      <c r="S27" s="38" t="s">
        <v>62</v>
      </c>
      <c r="T27" s="480" t="str">
        <f>T4</f>
        <v>장효주</v>
      </c>
      <c r="U27" s="481"/>
    </row>
    <row r="28" spans="1:21" ht="15.75" customHeight="1">
      <c r="A28" s="391"/>
      <c r="B28" s="38" t="s">
        <v>10</v>
      </c>
      <c r="C28" s="405" t="str">
        <f>C5</f>
        <v>대구광역시 서구 가르뱅이로 53</v>
      </c>
      <c r="D28" s="406"/>
      <c r="E28" s="406"/>
      <c r="F28" s="406"/>
      <c r="G28" s="406"/>
      <c r="H28" s="406"/>
      <c r="I28" s="406"/>
      <c r="J28" s="407"/>
      <c r="K28" s="397"/>
      <c r="L28" s="38" t="s">
        <v>10</v>
      </c>
      <c r="M28" s="405" t="str">
        <f>M5</f>
        <v>대구 달서구 용산로 28(본리동)</v>
      </c>
      <c r="N28" s="406"/>
      <c r="O28" s="406"/>
      <c r="P28" s="406"/>
      <c r="Q28" s="406"/>
      <c r="R28" s="406"/>
      <c r="S28" s="406"/>
      <c r="T28" s="406"/>
      <c r="U28" s="408"/>
    </row>
    <row r="29" spans="1:21" ht="15.75" customHeight="1">
      <c r="A29" s="392"/>
      <c r="B29" s="38" t="s">
        <v>75</v>
      </c>
      <c r="C29" s="405" t="str">
        <f>C6</f>
        <v>010-5102-8176</v>
      </c>
      <c r="D29" s="406"/>
      <c r="E29" s="406"/>
      <c r="F29" s="406"/>
      <c r="G29" s="406"/>
      <c r="H29" s="406"/>
      <c r="I29" s="406"/>
      <c r="J29" s="407"/>
      <c r="K29" s="398"/>
      <c r="L29" s="38" t="s">
        <v>75</v>
      </c>
      <c r="M29" s="405" t="str">
        <f>M6</f>
        <v>010-5168-3542</v>
      </c>
      <c r="N29" s="406"/>
      <c r="O29" s="406"/>
      <c r="P29" s="406"/>
      <c r="Q29" s="406"/>
      <c r="R29" s="407"/>
      <c r="S29" s="38" t="s">
        <v>22</v>
      </c>
      <c r="T29" s="405"/>
      <c r="U29" s="408"/>
    </row>
    <row r="30" spans="1:21" ht="15.75" customHeight="1">
      <c r="A30" s="324" t="s">
        <v>70</v>
      </c>
      <c r="B30" s="325"/>
      <c r="C30" s="325"/>
      <c r="D30" s="325"/>
      <c r="E30" s="387"/>
      <c r="F30" s="388" t="s">
        <v>44</v>
      </c>
      <c r="G30" s="325"/>
      <c r="H30" s="325"/>
      <c r="I30" s="387"/>
      <c r="J30" s="388" t="s">
        <v>67</v>
      </c>
      <c r="K30" s="387"/>
      <c r="L30" s="388" t="s">
        <v>42</v>
      </c>
      <c r="M30" s="325"/>
      <c r="N30" s="325"/>
      <c r="O30" s="325"/>
      <c r="P30" s="387"/>
      <c r="Q30" s="388" t="s">
        <v>68</v>
      </c>
      <c r="R30" s="325"/>
      <c r="S30" s="387"/>
      <c r="T30" s="388" t="s">
        <v>69</v>
      </c>
      <c r="U30" s="389"/>
    </row>
    <row r="31" spans="1:21" ht="15" customHeight="1">
      <c r="A31" s="491" t="str">
        <f>A8</f>
        <v>8HP70 VALBEBODY</v>
      </c>
      <c r="B31" s="492"/>
      <c r="C31" s="492"/>
      <c r="D31" s="492"/>
      <c r="E31" s="492"/>
      <c r="F31" s="492">
        <f>F8</f>
        <v>0</v>
      </c>
      <c r="G31" s="492"/>
      <c r="H31" s="492"/>
      <c r="I31" s="492"/>
      <c r="J31" s="492">
        <f>J8</f>
        <v>1</v>
      </c>
      <c r="K31" s="492"/>
      <c r="L31" s="493">
        <f>L8</f>
        <v>1000000</v>
      </c>
      <c r="M31" s="493"/>
      <c r="N31" s="493"/>
      <c r="O31" s="493"/>
      <c r="P31" s="493"/>
      <c r="Q31" s="493">
        <f>Q8</f>
        <v>1000000</v>
      </c>
      <c r="R31" s="493"/>
      <c r="S31" s="493"/>
      <c r="T31" s="492">
        <f>T8</f>
        <v>0</v>
      </c>
      <c r="U31" s="503"/>
    </row>
    <row r="32" spans="1:21" ht="15" customHeight="1">
      <c r="A32" s="472">
        <f t="shared" ref="A32:A42" si="0">A9</f>
        <v>0</v>
      </c>
      <c r="B32" s="469"/>
      <c r="C32" s="469"/>
      <c r="D32" s="469"/>
      <c r="E32" s="469"/>
      <c r="F32" s="469">
        <f t="shared" ref="F32:F42" si="1">F9</f>
        <v>0</v>
      </c>
      <c r="G32" s="469"/>
      <c r="H32" s="469"/>
      <c r="I32" s="469"/>
      <c r="J32" s="469">
        <f t="shared" ref="J32:J42" si="2">J9</f>
        <v>0</v>
      </c>
      <c r="K32" s="469"/>
      <c r="L32" s="471">
        <f t="shared" ref="L32:L42" si="3">L9</f>
        <v>0</v>
      </c>
      <c r="M32" s="471"/>
      <c r="N32" s="471"/>
      <c r="O32" s="471"/>
      <c r="P32" s="471"/>
      <c r="Q32" s="471">
        <f t="shared" ref="Q32:Q42" si="4">Q9</f>
        <v>0</v>
      </c>
      <c r="R32" s="471"/>
      <c r="S32" s="471"/>
      <c r="T32" s="469">
        <f t="shared" ref="T32:T42" si="5">T9</f>
        <v>0</v>
      </c>
      <c r="U32" s="470"/>
    </row>
    <row r="33" spans="1:21" ht="15" customHeight="1">
      <c r="A33" s="472">
        <f t="shared" si="0"/>
        <v>0</v>
      </c>
      <c r="B33" s="469"/>
      <c r="C33" s="469"/>
      <c r="D33" s="469"/>
      <c r="E33" s="469"/>
      <c r="F33" s="469">
        <f t="shared" si="1"/>
        <v>0</v>
      </c>
      <c r="G33" s="469"/>
      <c r="H33" s="469"/>
      <c r="I33" s="469"/>
      <c r="J33" s="469">
        <f t="shared" si="2"/>
        <v>0</v>
      </c>
      <c r="K33" s="469"/>
      <c r="L33" s="471">
        <f t="shared" si="3"/>
        <v>0</v>
      </c>
      <c r="M33" s="471"/>
      <c r="N33" s="471"/>
      <c r="O33" s="471"/>
      <c r="P33" s="471"/>
      <c r="Q33" s="471">
        <f t="shared" si="4"/>
        <v>0</v>
      </c>
      <c r="R33" s="471"/>
      <c r="S33" s="471"/>
      <c r="T33" s="469">
        <f t="shared" si="5"/>
        <v>0</v>
      </c>
      <c r="U33" s="470"/>
    </row>
    <row r="34" spans="1:21" ht="15" customHeight="1">
      <c r="A34" s="472">
        <f t="shared" si="0"/>
        <v>0</v>
      </c>
      <c r="B34" s="469"/>
      <c r="C34" s="469"/>
      <c r="D34" s="469"/>
      <c r="E34" s="469"/>
      <c r="F34" s="469">
        <f t="shared" si="1"/>
        <v>0</v>
      </c>
      <c r="G34" s="469"/>
      <c r="H34" s="469"/>
      <c r="I34" s="469"/>
      <c r="J34" s="469">
        <v>1</v>
      </c>
      <c r="K34" s="469"/>
      <c r="L34" s="471">
        <f t="shared" si="3"/>
        <v>0</v>
      </c>
      <c r="M34" s="471"/>
      <c r="N34" s="471"/>
      <c r="O34" s="471"/>
      <c r="P34" s="471"/>
      <c r="Q34" s="471">
        <f t="shared" si="4"/>
        <v>0</v>
      </c>
      <c r="R34" s="471"/>
      <c r="S34" s="471"/>
      <c r="T34" s="469">
        <f t="shared" si="5"/>
        <v>0</v>
      </c>
      <c r="U34" s="470"/>
    </row>
    <row r="35" spans="1:21" ht="15" customHeight="1">
      <c r="A35" s="472">
        <f t="shared" si="0"/>
        <v>0</v>
      </c>
      <c r="B35" s="469"/>
      <c r="C35" s="469"/>
      <c r="D35" s="469"/>
      <c r="E35" s="469"/>
      <c r="F35" s="469">
        <f t="shared" si="1"/>
        <v>0</v>
      </c>
      <c r="G35" s="469"/>
      <c r="H35" s="469"/>
      <c r="I35" s="469"/>
      <c r="J35" s="469">
        <f t="shared" si="2"/>
        <v>0</v>
      </c>
      <c r="K35" s="469"/>
      <c r="L35" s="471">
        <f t="shared" si="3"/>
        <v>0</v>
      </c>
      <c r="M35" s="471"/>
      <c r="N35" s="471"/>
      <c r="O35" s="471"/>
      <c r="P35" s="471"/>
      <c r="Q35" s="471">
        <f t="shared" si="4"/>
        <v>0</v>
      </c>
      <c r="R35" s="471"/>
      <c r="S35" s="471"/>
      <c r="T35" s="469">
        <f t="shared" si="5"/>
        <v>0</v>
      </c>
      <c r="U35" s="470"/>
    </row>
    <row r="36" spans="1:21" ht="15" customHeight="1">
      <c r="A36" s="472">
        <f t="shared" si="0"/>
        <v>0</v>
      </c>
      <c r="B36" s="469"/>
      <c r="C36" s="469"/>
      <c r="D36" s="469"/>
      <c r="E36" s="469"/>
      <c r="F36" s="469">
        <f t="shared" si="1"/>
        <v>0</v>
      </c>
      <c r="G36" s="469"/>
      <c r="H36" s="469"/>
      <c r="I36" s="469"/>
      <c r="J36" s="469">
        <f t="shared" si="2"/>
        <v>0</v>
      </c>
      <c r="K36" s="469"/>
      <c r="L36" s="471">
        <f t="shared" si="3"/>
        <v>0</v>
      </c>
      <c r="M36" s="471"/>
      <c r="N36" s="471"/>
      <c r="O36" s="471"/>
      <c r="P36" s="471"/>
      <c r="Q36" s="471">
        <f t="shared" si="4"/>
        <v>0</v>
      </c>
      <c r="R36" s="471"/>
      <c r="S36" s="471"/>
      <c r="T36" s="469">
        <f t="shared" si="5"/>
        <v>0</v>
      </c>
      <c r="U36" s="470"/>
    </row>
    <row r="37" spans="1:21" ht="15" customHeight="1">
      <c r="A37" s="472">
        <f t="shared" si="0"/>
        <v>0</v>
      </c>
      <c r="B37" s="469"/>
      <c r="C37" s="469"/>
      <c r="D37" s="469"/>
      <c r="E37" s="469"/>
      <c r="F37" s="469">
        <f t="shared" si="1"/>
        <v>0</v>
      </c>
      <c r="G37" s="469"/>
      <c r="H37" s="469"/>
      <c r="I37" s="469"/>
      <c r="J37" s="469">
        <f t="shared" si="2"/>
        <v>0</v>
      </c>
      <c r="K37" s="469"/>
      <c r="L37" s="471">
        <f t="shared" si="3"/>
        <v>0</v>
      </c>
      <c r="M37" s="471"/>
      <c r="N37" s="471"/>
      <c r="O37" s="471"/>
      <c r="P37" s="471"/>
      <c r="Q37" s="471">
        <f t="shared" si="4"/>
        <v>0</v>
      </c>
      <c r="R37" s="471"/>
      <c r="S37" s="471"/>
      <c r="T37" s="469">
        <f t="shared" si="5"/>
        <v>0</v>
      </c>
      <c r="U37" s="470"/>
    </row>
    <row r="38" spans="1:21" ht="15" customHeight="1">
      <c r="A38" s="472">
        <f t="shared" si="0"/>
        <v>0</v>
      </c>
      <c r="B38" s="469"/>
      <c r="C38" s="469"/>
      <c r="D38" s="469"/>
      <c r="E38" s="469"/>
      <c r="F38" s="469">
        <f t="shared" si="1"/>
        <v>0</v>
      </c>
      <c r="G38" s="469"/>
      <c r="H38" s="469"/>
      <c r="I38" s="469"/>
      <c r="J38" s="469">
        <f t="shared" si="2"/>
        <v>0</v>
      </c>
      <c r="K38" s="469"/>
      <c r="L38" s="471">
        <f t="shared" si="3"/>
        <v>0</v>
      </c>
      <c r="M38" s="471"/>
      <c r="N38" s="471"/>
      <c r="O38" s="471"/>
      <c r="P38" s="471"/>
      <c r="Q38" s="471">
        <f t="shared" si="4"/>
        <v>0</v>
      </c>
      <c r="R38" s="471"/>
      <c r="S38" s="471"/>
      <c r="T38" s="469">
        <f t="shared" si="5"/>
        <v>0</v>
      </c>
      <c r="U38" s="470"/>
    </row>
    <row r="39" spans="1:21" ht="15" customHeight="1">
      <c r="A39" s="472">
        <f t="shared" si="0"/>
        <v>0</v>
      </c>
      <c r="B39" s="469"/>
      <c r="C39" s="469"/>
      <c r="D39" s="469"/>
      <c r="E39" s="469"/>
      <c r="F39" s="469">
        <f t="shared" si="1"/>
        <v>0</v>
      </c>
      <c r="G39" s="469"/>
      <c r="H39" s="469"/>
      <c r="I39" s="469"/>
      <c r="J39" s="469">
        <f t="shared" si="2"/>
        <v>0</v>
      </c>
      <c r="K39" s="469"/>
      <c r="L39" s="471">
        <f t="shared" si="3"/>
        <v>0</v>
      </c>
      <c r="M39" s="471"/>
      <c r="N39" s="471"/>
      <c r="O39" s="471"/>
      <c r="P39" s="471"/>
      <c r="Q39" s="471">
        <f t="shared" si="4"/>
        <v>0</v>
      </c>
      <c r="R39" s="471"/>
      <c r="S39" s="471"/>
      <c r="T39" s="469">
        <f t="shared" si="5"/>
        <v>0</v>
      </c>
      <c r="U39" s="470"/>
    </row>
    <row r="40" spans="1:21" ht="15" customHeight="1">
      <c r="A40" s="472">
        <f t="shared" si="0"/>
        <v>0</v>
      </c>
      <c r="B40" s="469"/>
      <c r="C40" s="469"/>
      <c r="D40" s="469"/>
      <c r="E40" s="469"/>
      <c r="F40" s="469">
        <f t="shared" si="1"/>
        <v>0</v>
      </c>
      <c r="G40" s="469"/>
      <c r="H40" s="469"/>
      <c r="I40" s="469"/>
      <c r="J40" s="469">
        <f t="shared" si="2"/>
        <v>0</v>
      </c>
      <c r="K40" s="469"/>
      <c r="L40" s="471">
        <f t="shared" si="3"/>
        <v>0</v>
      </c>
      <c r="M40" s="471"/>
      <c r="N40" s="471"/>
      <c r="O40" s="471"/>
      <c r="P40" s="471"/>
      <c r="Q40" s="471">
        <f t="shared" si="4"/>
        <v>0</v>
      </c>
      <c r="R40" s="471"/>
      <c r="S40" s="471"/>
      <c r="T40" s="469">
        <f t="shared" si="5"/>
        <v>0</v>
      </c>
      <c r="U40" s="470"/>
    </row>
    <row r="41" spans="1:21" ht="15" customHeight="1">
      <c r="A41" s="472">
        <f t="shared" si="0"/>
        <v>0</v>
      </c>
      <c r="B41" s="469"/>
      <c r="C41" s="469"/>
      <c r="D41" s="469"/>
      <c r="E41" s="469"/>
      <c r="F41" s="469">
        <f t="shared" si="1"/>
        <v>0</v>
      </c>
      <c r="G41" s="469"/>
      <c r="H41" s="469"/>
      <c r="I41" s="469"/>
      <c r="J41" s="469">
        <f t="shared" si="2"/>
        <v>0</v>
      </c>
      <c r="K41" s="469"/>
      <c r="L41" s="471">
        <f t="shared" si="3"/>
        <v>0</v>
      </c>
      <c r="M41" s="471"/>
      <c r="N41" s="471"/>
      <c r="O41" s="471"/>
      <c r="P41" s="471"/>
      <c r="Q41" s="471">
        <f t="shared" si="4"/>
        <v>0</v>
      </c>
      <c r="R41" s="471"/>
      <c r="S41" s="471"/>
      <c r="T41" s="469">
        <f t="shared" si="5"/>
        <v>0</v>
      </c>
      <c r="U41" s="470"/>
    </row>
    <row r="42" spans="1:21" ht="15" customHeight="1">
      <c r="A42" s="487">
        <f t="shared" si="0"/>
        <v>0</v>
      </c>
      <c r="B42" s="488"/>
      <c r="C42" s="488"/>
      <c r="D42" s="488"/>
      <c r="E42" s="488"/>
      <c r="F42" s="488">
        <f t="shared" si="1"/>
        <v>0</v>
      </c>
      <c r="G42" s="488"/>
      <c r="H42" s="488"/>
      <c r="I42" s="488"/>
      <c r="J42" s="488">
        <f t="shared" si="2"/>
        <v>0</v>
      </c>
      <c r="K42" s="488"/>
      <c r="L42" s="489">
        <f t="shared" si="3"/>
        <v>0</v>
      </c>
      <c r="M42" s="489"/>
      <c r="N42" s="489"/>
      <c r="O42" s="489"/>
      <c r="P42" s="489"/>
      <c r="Q42" s="489">
        <f t="shared" si="4"/>
        <v>0</v>
      </c>
      <c r="R42" s="489"/>
      <c r="S42" s="489"/>
      <c r="T42" s="488">
        <f t="shared" si="5"/>
        <v>0</v>
      </c>
      <c r="U42" s="490"/>
    </row>
    <row r="43" spans="1:21">
      <c r="A43" s="324" t="s">
        <v>80</v>
      </c>
      <c r="B43" s="325"/>
      <c r="C43" s="325"/>
      <c r="D43" s="325"/>
      <c r="E43" s="325"/>
      <c r="F43" s="326">
        <f>F20</f>
        <v>2450000</v>
      </c>
      <c r="G43" s="326"/>
      <c r="H43" s="326"/>
      <c r="I43" s="327"/>
      <c r="J43" s="473">
        <f>J20</f>
        <v>1</v>
      </c>
      <c r="K43" s="473"/>
      <c r="L43" s="522" t="s">
        <v>959</v>
      </c>
      <c r="M43" s="523"/>
      <c r="N43" s="523"/>
      <c r="O43" s="523"/>
      <c r="P43" s="524"/>
      <c r="Q43" s="525">
        <f>Q20</f>
        <v>1000000</v>
      </c>
      <c r="R43" s="526"/>
      <c r="S43" s="526"/>
      <c r="T43" s="526"/>
      <c r="U43" s="527"/>
    </row>
    <row r="44" spans="1:21" ht="17.25" thickBot="1">
      <c r="A44" s="329" t="s">
        <v>90</v>
      </c>
      <c r="B44" s="330"/>
      <c r="C44" s="330"/>
      <c r="D44" s="330"/>
      <c r="E44" s="330"/>
      <c r="F44" s="331">
        <f>F21</f>
        <v>3450000</v>
      </c>
      <c r="G44" s="331"/>
      <c r="H44" s="331"/>
      <c r="I44" s="332"/>
      <c r="J44" s="333" t="s">
        <v>965</v>
      </c>
      <c r="K44" s="330"/>
      <c r="L44" s="334" t="str">
        <f>L21</f>
        <v>장효주</v>
      </c>
      <c r="M44" s="334"/>
      <c r="N44" s="334"/>
      <c r="O44" s="333" t="s">
        <v>64</v>
      </c>
      <c r="P44" s="359"/>
      <c r="Q44" s="474" t="str">
        <f>Q21</f>
        <v>제이오토(대구)</v>
      </c>
      <c r="R44" s="475"/>
      <c r="S44" s="475"/>
      <c r="T44" s="475"/>
      <c r="U44" s="476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29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49</v>
      </c>
      <c r="D1" s="31" t="s">
        <v>1170</v>
      </c>
      <c r="E1" s="31" t="s">
        <v>1169</v>
      </c>
      <c r="F1" s="31" t="s">
        <v>1168</v>
      </c>
      <c r="G1" s="96">
        <v>1054</v>
      </c>
    </row>
    <row r="2" spans="1:7">
      <c r="A2">
        <v>1</v>
      </c>
      <c r="B2" s="13">
        <v>45735</v>
      </c>
      <c r="C2" t="s">
        <v>1145</v>
      </c>
      <c r="D2" t="s">
        <v>1217</v>
      </c>
    </row>
    <row r="3" spans="1:7">
      <c r="A3">
        <v>2</v>
      </c>
      <c r="B3" s="13">
        <v>45736</v>
      </c>
      <c r="C3" t="s">
        <v>1038</v>
      </c>
      <c r="D3" t="s">
        <v>1219</v>
      </c>
    </row>
    <row r="4" spans="1:7">
      <c r="A4">
        <v>3</v>
      </c>
      <c r="B4" s="13">
        <v>45736</v>
      </c>
      <c r="C4" t="s">
        <v>977</v>
      </c>
      <c r="D4" t="s">
        <v>1221</v>
      </c>
    </row>
    <row r="5" spans="1:7">
      <c r="A5">
        <v>4</v>
      </c>
      <c r="B5" s="13">
        <v>45736</v>
      </c>
      <c r="C5" t="s">
        <v>1237</v>
      </c>
      <c r="D5" t="s">
        <v>1240</v>
      </c>
    </row>
    <row r="6" spans="1:7">
      <c r="A6">
        <v>5</v>
      </c>
      <c r="B6" s="13">
        <v>45737</v>
      </c>
      <c r="C6" t="s">
        <v>1000</v>
      </c>
      <c r="D6" t="s">
        <v>1263</v>
      </c>
    </row>
    <row r="7" spans="1:7">
      <c r="A7">
        <v>6</v>
      </c>
      <c r="B7" s="13">
        <v>45740</v>
      </c>
      <c r="C7" t="s">
        <v>1237</v>
      </c>
      <c r="D7" t="s">
        <v>1362</v>
      </c>
      <c r="E7" t="s">
        <v>1361</v>
      </c>
    </row>
    <row r="8" spans="1:7">
      <c r="A8">
        <v>6</v>
      </c>
      <c r="B8" s="13">
        <v>45740</v>
      </c>
      <c r="C8" t="s">
        <v>1305</v>
      </c>
      <c r="D8" t="s">
        <v>1368</v>
      </c>
      <c r="E8" t="s">
        <v>1367</v>
      </c>
    </row>
    <row r="9" spans="1:7">
      <c r="A9">
        <v>7</v>
      </c>
      <c r="B9" s="13">
        <v>45740</v>
      </c>
      <c r="C9" t="s">
        <v>1372</v>
      </c>
      <c r="D9" t="s">
        <v>1376</v>
      </c>
    </row>
    <row r="10" spans="1:7">
      <c r="A10">
        <v>8</v>
      </c>
      <c r="B10" s="13">
        <v>45740</v>
      </c>
      <c r="C10" t="s">
        <v>1377</v>
      </c>
      <c r="D10" t="s">
        <v>1378</v>
      </c>
    </row>
    <row r="11" spans="1:7">
      <c r="A11">
        <v>9</v>
      </c>
      <c r="B11" s="13">
        <v>45740</v>
      </c>
      <c r="C11" t="s">
        <v>1007</v>
      </c>
      <c r="D11" t="s">
        <v>1382</v>
      </c>
    </row>
    <row r="12" spans="1:7">
      <c r="A12">
        <v>10</v>
      </c>
      <c r="B12" s="13">
        <v>45723</v>
      </c>
      <c r="C12" t="s">
        <v>1398</v>
      </c>
      <c r="D12" t="s">
        <v>1435</v>
      </c>
    </row>
    <row r="13" spans="1:7">
      <c r="A13">
        <v>11</v>
      </c>
      <c r="B13" s="13">
        <v>45723</v>
      </c>
      <c r="C13" t="s">
        <v>1436</v>
      </c>
      <c r="D13" t="s">
        <v>1437</v>
      </c>
    </row>
    <row r="14" spans="1:7">
      <c r="A14">
        <v>12</v>
      </c>
      <c r="B14" s="13">
        <v>45723</v>
      </c>
      <c r="C14" t="s">
        <v>1390</v>
      </c>
      <c r="D14" t="s">
        <v>1438</v>
      </c>
    </row>
    <row r="15" spans="1:7">
      <c r="A15">
        <v>13</v>
      </c>
      <c r="B15" s="13">
        <v>45722</v>
      </c>
      <c r="C15" t="s">
        <v>1398</v>
      </c>
      <c r="D15" t="s">
        <v>1439</v>
      </c>
    </row>
    <row r="16" spans="1:7">
      <c r="A16">
        <v>14</v>
      </c>
      <c r="B16" s="13">
        <v>45722</v>
      </c>
      <c r="C16" t="s">
        <v>1146</v>
      </c>
      <c r="D16" t="s">
        <v>1440</v>
      </c>
    </row>
    <row r="17" spans="1:4">
      <c r="A17">
        <v>15</v>
      </c>
      <c r="B17" s="13">
        <v>45722</v>
      </c>
      <c r="C17" t="s">
        <v>1441</v>
      </c>
      <c r="D17" t="s">
        <v>1442</v>
      </c>
    </row>
    <row r="18" spans="1:4">
      <c r="A18">
        <v>16</v>
      </c>
      <c r="B18" s="13">
        <v>45721</v>
      </c>
      <c r="C18" t="s">
        <v>1443</v>
      </c>
      <c r="D18" t="s">
        <v>1444</v>
      </c>
    </row>
    <row r="19" spans="1:4">
      <c r="A19">
        <v>17</v>
      </c>
      <c r="B19" s="13">
        <v>45720</v>
      </c>
      <c r="C19" t="s">
        <v>1398</v>
      </c>
      <c r="D19" t="s">
        <v>1445</v>
      </c>
    </row>
    <row r="20" spans="1:4">
      <c r="A20">
        <v>17</v>
      </c>
      <c r="B20" s="13">
        <v>45720</v>
      </c>
      <c r="C20" t="s">
        <v>1443</v>
      </c>
      <c r="D20" t="s">
        <v>1446</v>
      </c>
    </row>
    <row r="21" spans="1:4">
      <c r="A21">
        <v>18</v>
      </c>
      <c r="B21" s="13">
        <v>45720</v>
      </c>
      <c r="C21" t="s">
        <v>1146</v>
      </c>
      <c r="D21" t="s">
        <v>1447</v>
      </c>
    </row>
    <row r="22" spans="1:4">
      <c r="A22">
        <v>19</v>
      </c>
      <c r="B22" s="13">
        <v>45720</v>
      </c>
      <c r="C22" t="s">
        <v>1448</v>
      </c>
      <c r="D22" t="s">
        <v>1449</v>
      </c>
    </row>
    <row r="23" spans="1:4">
      <c r="A23">
        <v>20</v>
      </c>
      <c r="B23" s="13">
        <v>45717</v>
      </c>
      <c r="C23" t="s">
        <v>1398</v>
      </c>
      <c r="D23" t="s">
        <v>1450</v>
      </c>
    </row>
    <row r="24" spans="1:4">
      <c r="A24">
        <v>21</v>
      </c>
      <c r="B24" s="13">
        <v>45717</v>
      </c>
      <c r="C24" t="s">
        <v>1451</v>
      </c>
      <c r="D24" t="s">
        <v>1452</v>
      </c>
    </row>
    <row r="25" spans="1:4">
      <c r="A25">
        <v>22</v>
      </c>
      <c r="B25" s="13">
        <v>45723</v>
      </c>
      <c r="C25" t="s">
        <v>1453</v>
      </c>
      <c r="D25" t="s">
        <v>1454</v>
      </c>
    </row>
    <row r="26" spans="1:4">
      <c r="A26">
        <v>23</v>
      </c>
      <c r="B26" s="13">
        <v>45723</v>
      </c>
      <c r="C26" t="s">
        <v>1455</v>
      </c>
      <c r="D26" t="s">
        <v>1456</v>
      </c>
    </row>
    <row r="27" spans="1:4">
      <c r="A27">
        <v>24</v>
      </c>
      <c r="B27" s="13">
        <v>45723</v>
      </c>
      <c r="C27" t="s">
        <v>1457</v>
      </c>
      <c r="D27" t="s">
        <v>1458</v>
      </c>
    </row>
    <row r="28" spans="1:4">
      <c r="A28">
        <v>25</v>
      </c>
      <c r="B28" s="13">
        <v>45724</v>
      </c>
      <c r="C28" t="s">
        <v>1398</v>
      </c>
      <c r="D28" t="s">
        <v>1459</v>
      </c>
    </row>
    <row r="29" spans="1:4">
      <c r="A29">
        <v>26</v>
      </c>
      <c r="B29" s="13">
        <v>45726</v>
      </c>
      <c r="C29" t="s">
        <v>1443</v>
      </c>
      <c r="D29" t="s">
        <v>1460</v>
      </c>
    </row>
    <row r="30" spans="1:4">
      <c r="A30">
        <v>27</v>
      </c>
      <c r="B30" s="13">
        <v>45726</v>
      </c>
      <c r="C30" t="s">
        <v>1053</v>
      </c>
      <c r="D30" t="s">
        <v>1461</v>
      </c>
    </row>
    <row r="31" spans="1:4">
      <c r="A31">
        <v>28</v>
      </c>
      <c r="B31" s="13">
        <v>45727</v>
      </c>
      <c r="C31" t="s">
        <v>1082</v>
      </c>
      <c r="D31" t="s">
        <v>1462</v>
      </c>
    </row>
    <row r="32" spans="1:4">
      <c r="A32">
        <v>29</v>
      </c>
      <c r="B32" s="13">
        <v>45727</v>
      </c>
      <c r="C32" t="s">
        <v>1398</v>
      </c>
      <c r="D32" t="s">
        <v>1464</v>
      </c>
    </row>
    <row r="33" spans="1:4">
      <c r="A33">
        <v>30</v>
      </c>
      <c r="B33" s="13">
        <v>45727</v>
      </c>
      <c r="C33" t="s">
        <v>1155</v>
      </c>
      <c r="D33" t="s">
        <v>1465</v>
      </c>
    </row>
    <row r="34" spans="1:4">
      <c r="A34">
        <v>31</v>
      </c>
      <c r="B34" s="13">
        <v>45727</v>
      </c>
      <c r="C34" t="s">
        <v>1466</v>
      </c>
      <c r="D34" t="s">
        <v>1467</v>
      </c>
    </row>
    <row r="35" spans="1:4">
      <c r="A35">
        <v>32</v>
      </c>
      <c r="B35" s="13">
        <v>45729</v>
      </c>
      <c r="C35" t="s">
        <v>1468</v>
      </c>
      <c r="D35" t="s">
        <v>1470</v>
      </c>
    </row>
    <row r="36" spans="1:4">
      <c r="A36">
        <v>33</v>
      </c>
      <c r="B36" s="13">
        <v>45729</v>
      </c>
      <c r="C36" t="s">
        <v>1007</v>
      </c>
      <c r="D36" t="s">
        <v>1471</v>
      </c>
    </row>
    <row r="37" spans="1:4">
      <c r="A37">
        <v>34</v>
      </c>
      <c r="B37" s="13">
        <v>45730</v>
      </c>
      <c r="C37" t="s">
        <v>1472</v>
      </c>
      <c r="D37" t="s">
        <v>1473</v>
      </c>
    </row>
    <row r="38" spans="1:4">
      <c r="A38">
        <v>35</v>
      </c>
      <c r="B38" s="13">
        <v>45730</v>
      </c>
      <c r="C38" t="s">
        <v>1398</v>
      </c>
      <c r="D38" t="s">
        <v>1476</v>
      </c>
    </row>
    <row r="39" spans="1:4">
      <c r="A39">
        <v>36</v>
      </c>
      <c r="B39" s="13">
        <v>45731</v>
      </c>
      <c r="C39" t="s">
        <v>1172</v>
      </c>
      <c r="D39" t="s">
        <v>1477</v>
      </c>
    </row>
    <row r="40" spans="1:4">
      <c r="A40">
        <v>37</v>
      </c>
      <c r="B40" s="13">
        <v>45731</v>
      </c>
      <c r="C40" t="s">
        <v>1478</v>
      </c>
      <c r="D40" t="s">
        <v>1480</v>
      </c>
    </row>
    <row r="41" spans="1:4">
      <c r="A41">
        <v>38</v>
      </c>
      <c r="B41" s="13">
        <v>45731</v>
      </c>
      <c r="C41" t="s">
        <v>1026</v>
      </c>
      <c r="D41" t="s">
        <v>1482</v>
      </c>
    </row>
    <row r="42" spans="1:4">
      <c r="A42">
        <v>39</v>
      </c>
      <c r="B42" s="13">
        <v>45733</v>
      </c>
      <c r="C42" t="s">
        <v>1146</v>
      </c>
      <c r="D42" t="s">
        <v>1483</v>
      </c>
    </row>
    <row r="43" spans="1:4">
      <c r="A43">
        <v>40</v>
      </c>
      <c r="B43" s="13">
        <v>45733</v>
      </c>
      <c r="C43" t="s">
        <v>1484</v>
      </c>
      <c r="D43" t="s">
        <v>1486</v>
      </c>
    </row>
    <row r="44" spans="1:4">
      <c r="A44">
        <v>41</v>
      </c>
      <c r="B44" s="13">
        <v>45733</v>
      </c>
      <c r="C44" t="s">
        <v>1046</v>
      </c>
      <c r="D44" t="s">
        <v>1490</v>
      </c>
    </row>
    <row r="45" spans="1:4">
      <c r="A45">
        <v>42</v>
      </c>
      <c r="B45" s="13">
        <v>45733</v>
      </c>
      <c r="C45" t="s">
        <v>1468</v>
      </c>
      <c r="D45" t="s">
        <v>1492</v>
      </c>
    </row>
    <row r="46" spans="1:4">
      <c r="A46">
        <v>43</v>
      </c>
      <c r="B46" s="13">
        <v>45733</v>
      </c>
      <c r="C46" t="s">
        <v>1493</v>
      </c>
      <c r="D46" t="s">
        <v>1496</v>
      </c>
    </row>
    <row r="47" spans="1:4">
      <c r="A47">
        <v>44</v>
      </c>
      <c r="B47" s="13">
        <v>45734</v>
      </c>
      <c r="C47" t="s">
        <v>1497</v>
      </c>
      <c r="D47" t="s">
        <v>1498</v>
      </c>
    </row>
    <row r="48" spans="1:4">
      <c r="A48">
        <v>45</v>
      </c>
      <c r="B48" s="13">
        <v>45735</v>
      </c>
      <c r="C48" t="s">
        <v>1398</v>
      </c>
      <c r="D48" t="s">
        <v>1499</v>
      </c>
    </row>
    <row r="49" spans="1:5">
      <c r="A49">
        <v>46</v>
      </c>
      <c r="B49" s="13">
        <v>45735</v>
      </c>
      <c r="C49" t="s">
        <v>1398</v>
      </c>
      <c r="D49" t="s">
        <v>1501</v>
      </c>
    </row>
    <row r="50" spans="1:5">
      <c r="A50">
        <v>47</v>
      </c>
      <c r="B50" s="13">
        <v>45735</v>
      </c>
      <c r="C50" t="s">
        <v>1053</v>
      </c>
      <c r="D50" t="s">
        <v>1503</v>
      </c>
    </row>
    <row r="51" spans="1:5">
      <c r="A51">
        <v>48</v>
      </c>
      <c r="B51" s="13">
        <v>45735</v>
      </c>
      <c r="C51" t="s">
        <v>1377</v>
      </c>
      <c r="D51" t="s">
        <v>1506</v>
      </c>
    </row>
    <row r="52" spans="1:5">
      <c r="A52">
        <v>49</v>
      </c>
      <c r="B52" s="13">
        <v>45736</v>
      </c>
      <c r="C52" t="s">
        <v>1443</v>
      </c>
      <c r="D52" t="s">
        <v>1510</v>
      </c>
    </row>
    <row r="53" spans="1:5">
      <c r="A53">
        <v>50</v>
      </c>
      <c r="B53" s="13">
        <v>45736</v>
      </c>
      <c r="C53" t="s">
        <v>1237</v>
      </c>
      <c r="D53" t="s">
        <v>1511</v>
      </c>
    </row>
    <row r="54" spans="1:5">
      <c r="A54">
        <v>51</v>
      </c>
      <c r="B54" s="13">
        <v>45736</v>
      </c>
      <c r="C54" t="s">
        <v>1468</v>
      </c>
      <c r="D54" t="s">
        <v>1512</v>
      </c>
    </row>
    <row r="55" spans="1:5">
      <c r="A55">
        <v>52</v>
      </c>
      <c r="B55" s="13">
        <v>45736</v>
      </c>
      <c r="C55" t="s">
        <v>1227</v>
      </c>
      <c r="D55" t="s">
        <v>1513</v>
      </c>
    </row>
    <row r="56" spans="1:5">
      <c r="A56">
        <v>53</v>
      </c>
      <c r="B56" s="13">
        <v>45736</v>
      </c>
      <c r="C56" t="s">
        <v>1514</v>
      </c>
      <c r="D56" t="s">
        <v>1515</v>
      </c>
    </row>
    <row r="57" spans="1:5">
      <c r="A57">
        <v>54</v>
      </c>
      <c r="B57" s="13">
        <v>45741</v>
      </c>
      <c r="C57" t="s">
        <v>1516</v>
      </c>
      <c r="D57" t="s">
        <v>1519</v>
      </c>
    </row>
    <row r="58" spans="1:5">
      <c r="A58">
        <v>55</v>
      </c>
      <c r="B58" s="13">
        <v>45737</v>
      </c>
      <c r="C58" t="s">
        <v>1520</v>
      </c>
      <c r="D58" t="s">
        <v>1524</v>
      </c>
    </row>
    <row r="59" spans="1:5">
      <c r="A59">
        <v>56</v>
      </c>
      <c r="B59" s="13">
        <v>45737</v>
      </c>
      <c r="C59" t="s">
        <v>1443</v>
      </c>
      <c r="D59" t="s">
        <v>1525</v>
      </c>
    </row>
    <row r="60" spans="1:5">
      <c r="A60">
        <v>57</v>
      </c>
      <c r="B60" s="13">
        <v>45740</v>
      </c>
      <c r="C60" t="s">
        <v>1305</v>
      </c>
      <c r="D60" t="s">
        <v>1526</v>
      </c>
      <c r="E60" t="s">
        <v>1367</v>
      </c>
    </row>
    <row r="61" spans="1:5">
      <c r="A61">
        <v>58</v>
      </c>
      <c r="B61" s="13">
        <v>45740</v>
      </c>
      <c r="C61" t="s">
        <v>1237</v>
      </c>
      <c r="D61" t="s">
        <v>1527</v>
      </c>
    </row>
    <row r="62" spans="1:5">
      <c r="A62">
        <v>59</v>
      </c>
      <c r="B62" s="13">
        <v>45740</v>
      </c>
      <c r="C62" t="s">
        <v>1372</v>
      </c>
      <c r="D62" t="s">
        <v>1528</v>
      </c>
    </row>
    <row r="63" spans="1:5">
      <c r="A63">
        <v>60</v>
      </c>
      <c r="B63" s="13">
        <v>45740</v>
      </c>
      <c r="C63" t="s">
        <v>1172</v>
      </c>
      <c r="D63" t="s">
        <v>1529</v>
      </c>
    </row>
    <row r="64" spans="1:5">
      <c r="A64">
        <v>61</v>
      </c>
      <c r="B64" s="13">
        <v>45740</v>
      </c>
      <c r="C64" t="s">
        <v>1007</v>
      </c>
      <c r="D64" t="s">
        <v>1530</v>
      </c>
    </row>
    <row r="65" spans="1:6">
      <c r="A65">
        <v>62</v>
      </c>
      <c r="B65" s="13">
        <v>45740</v>
      </c>
      <c r="C65" t="s">
        <v>1531</v>
      </c>
      <c r="D65" t="s">
        <v>1533</v>
      </c>
      <c r="E65" t="s">
        <v>1532</v>
      </c>
    </row>
    <row r="66" spans="1:6">
      <c r="A66">
        <v>63</v>
      </c>
      <c r="B66" s="13">
        <v>45741</v>
      </c>
      <c r="C66" t="s">
        <v>1448</v>
      </c>
      <c r="D66" t="s">
        <v>1535</v>
      </c>
    </row>
    <row r="67" spans="1:6">
      <c r="A67">
        <v>64</v>
      </c>
      <c r="B67" s="13">
        <v>45741</v>
      </c>
      <c r="C67" t="s">
        <v>1146</v>
      </c>
      <c r="D67" t="s">
        <v>1536</v>
      </c>
    </row>
    <row r="68" spans="1:6">
      <c r="A68">
        <v>65</v>
      </c>
      <c r="B68" s="13">
        <v>45741</v>
      </c>
      <c r="C68" t="s">
        <v>1018</v>
      </c>
      <c r="D68" t="s">
        <v>1538</v>
      </c>
    </row>
    <row r="69" spans="1:6">
      <c r="A69">
        <v>66</v>
      </c>
      <c r="B69" s="13">
        <v>45741</v>
      </c>
      <c r="C69" t="s">
        <v>1443</v>
      </c>
      <c r="D69" t="s">
        <v>1539</v>
      </c>
    </row>
    <row r="70" spans="1:6">
      <c r="A70">
        <v>67</v>
      </c>
      <c r="B70" s="13">
        <v>45741</v>
      </c>
      <c r="C70" t="s">
        <v>1540</v>
      </c>
      <c r="D70" t="s">
        <v>1542</v>
      </c>
    </row>
    <row r="71" spans="1:6">
      <c r="A71">
        <v>68</v>
      </c>
      <c r="B71" s="13">
        <v>45741</v>
      </c>
      <c r="C71" t="s">
        <v>1543</v>
      </c>
      <c r="D71" t="s">
        <v>1544</v>
      </c>
    </row>
    <row r="72" spans="1:6">
      <c r="A72">
        <v>69</v>
      </c>
      <c r="B72" s="13">
        <v>45742</v>
      </c>
      <c r="C72" t="s">
        <v>1018</v>
      </c>
      <c r="D72" t="s">
        <v>1545</v>
      </c>
    </row>
    <row r="73" spans="1:6">
      <c r="A73">
        <v>70</v>
      </c>
      <c r="B73" s="13">
        <v>45742</v>
      </c>
      <c r="C73" t="s">
        <v>1390</v>
      </c>
      <c r="D73" t="s">
        <v>1546</v>
      </c>
    </row>
    <row r="74" spans="1:6">
      <c r="A74">
        <v>71</v>
      </c>
      <c r="B74" s="13">
        <v>45742</v>
      </c>
      <c r="C74" t="s">
        <v>1394</v>
      </c>
      <c r="D74" t="s">
        <v>1547</v>
      </c>
    </row>
    <row r="75" spans="1:6">
      <c r="A75">
        <v>72</v>
      </c>
      <c r="B75" s="13">
        <v>45742</v>
      </c>
      <c r="C75" t="s">
        <v>1007</v>
      </c>
      <c r="D75" t="s">
        <v>1549</v>
      </c>
      <c r="E75" s="49">
        <v>6725030166635</v>
      </c>
    </row>
    <row r="76" spans="1:6">
      <c r="A76">
        <v>73</v>
      </c>
      <c r="B76" s="13">
        <v>45743</v>
      </c>
      <c r="C76" t="s">
        <v>1567</v>
      </c>
      <c r="D76" t="s">
        <v>1568</v>
      </c>
      <c r="F76" t="s">
        <v>1569</v>
      </c>
    </row>
    <row r="77" spans="1:6">
      <c r="A77">
        <v>74</v>
      </c>
      <c r="B77" s="13">
        <v>45743</v>
      </c>
      <c r="C77" t="s">
        <v>1553</v>
      </c>
      <c r="D77" t="s">
        <v>1556</v>
      </c>
      <c r="E77" t="s">
        <v>1555</v>
      </c>
    </row>
    <row r="78" spans="1:6">
      <c r="A78">
        <v>75</v>
      </c>
      <c r="B78" s="13">
        <v>45744</v>
      </c>
      <c r="C78" t="s">
        <v>1553</v>
      </c>
      <c r="D78" t="s">
        <v>1559</v>
      </c>
    </row>
    <row r="79" spans="1:6">
      <c r="A79">
        <v>76</v>
      </c>
      <c r="B79" s="13">
        <v>45745</v>
      </c>
      <c r="C79" t="s">
        <v>978</v>
      </c>
      <c r="D79" t="s">
        <v>1561</v>
      </c>
    </row>
    <row r="80" spans="1:6">
      <c r="A80">
        <v>77</v>
      </c>
      <c r="B80" s="13">
        <v>45747</v>
      </c>
      <c r="C80" t="s">
        <v>1540</v>
      </c>
      <c r="D80" t="s">
        <v>1572</v>
      </c>
      <c r="E80" t="s">
        <v>1571</v>
      </c>
    </row>
    <row r="81" spans="1:4">
      <c r="A81">
        <v>78</v>
      </c>
      <c r="B81" s="13">
        <v>45747</v>
      </c>
      <c r="C81" t="s">
        <v>1082</v>
      </c>
      <c r="D81" t="s">
        <v>1573</v>
      </c>
    </row>
    <row r="82" spans="1:4">
      <c r="A82">
        <v>79</v>
      </c>
      <c r="B82" s="13">
        <v>45747</v>
      </c>
      <c r="C82" t="s">
        <v>979</v>
      </c>
      <c r="D82" t="s">
        <v>1575</v>
      </c>
    </row>
    <row r="83" spans="1:4">
      <c r="A83">
        <v>80</v>
      </c>
      <c r="B83" s="13">
        <v>45734</v>
      </c>
      <c r="C83" t="s">
        <v>1576</v>
      </c>
      <c r="D83" t="s">
        <v>1578</v>
      </c>
    </row>
    <row r="84" spans="1:4">
      <c r="A84">
        <v>81</v>
      </c>
      <c r="B84" s="13">
        <v>45723</v>
      </c>
      <c r="C84" t="s">
        <v>1579</v>
      </c>
      <c r="D84" t="s">
        <v>1581</v>
      </c>
    </row>
    <row r="85" spans="1:4">
      <c r="A85">
        <v>82</v>
      </c>
      <c r="B85" s="13">
        <v>45723</v>
      </c>
      <c r="C85" t="s">
        <v>1579</v>
      </c>
      <c r="D85" t="s">
        <v>1582</v>
      </c>
    </row>
    <row r="86" spans="1:4">
      <c r="A86">
        <v>83</v>
      </c>
      <c r="B86" s="13">
        <v>45723</v>
      </c>
      <c r="C86" t="s">
        <v>1579</v>
      </c>
      <c r="D86" t="s">
        <v>1583</v>
      </c>
    </row>
    <row r="87" spans="1:4">
      <c r="A87">
        <v>84</v>
      </c>
      <c r="B87" s="13">
        <v>45718</v>
      </c>
      <c r="C87" t="s">
        <v>1015</v>
      </c>
      <c r="D87" t="s">
        <v>1584</v>
      </c>
    </row>
    <row r="88" spans="1:4">
      <c r="A88">
        <v>85</v>
      </c>
      <c r="B88" s="13">
        <v>45729</v>
      </c>
      <c r="C88" t="s">
        <v>1585</v>
      </c>
      <c r="D88" t="s">
        <v>1589</v>
      </c>
    </row>
    <row r="89" spans="1:4">
      <c r="A89">
        <v>86</v>
      </c>
      <c r="B89" s="13">
        <v>45716</v>
      </c>
      <c r="C89" t="s">
        <v>1585</v>
      </c>
      <c r="D89" t="s">
        <v>1590</v>
      </c>
    </row>
    <row r="90" spans="1:4">
      <c r="A90">
        <v>87</v>
      </c>
      <c r="B90" s="13">
        <v>45722</v>
      </c>
      <c r="C90" t="s">
        <v>1466</v>
      </c>
      <c r="D90" t="s">
        <v>1592</v>
      </c>
    </row>
    <row r="91" spans="1:4">
      <c r="A91">
        <v>88</v>
      </c>
      <c r="B91" s="13">
        <v>45722</v>
      </c>
      <c r="C91" t="s">
        <v>987</v>
      </c>
      <c r="D91" t="s">
        <v>1593</v>
      </c>
    </row>
    <row r="92" spans="1:4">
      <c r="A92">
        <v>89</v>
      </c>
      <c r="B92" s="13">
        <v>45726</v>
      </c>
      <c r="C92" t="s">
        <v>987</v>
      </c>
      <c r="D92" t="s">
        <v>1594</v>
      </c>
    </row>
    <row r="93" spans="1:4">
      <c r="A93">
        <v>90</v>
      </c>
      <c r="B93" s="13">
        <v>45735</v>
      </c>
      <c r="C93" t="s">
        <v>1595</v>
      </c>
      <c r="D93" t="s">
        <v>1596</v>
      </c>
    </row>
    <row r="94" spans="1:4">
      <c r="A94">
        <v>91</v>
      </c>
      <c r="B94" s="13">
        <v>45736</v>
      </c>
      <c r="C94" t="s">
        <v>1597</v>
      </c>
      <c r="D94" t="s">
        <v>1598</v>
      </c>
    </row>
    <row r="95" spans="1:4">
      <c r="A95">
        <v>92</v>
      </c>
      <c r="B95" s="13">
        <v>45721</v>
      </c>
      <c r="C95" t="s">
        <v>1451</v>
      </c>
      <c r="D95" t="s">
        <v>1600</v>
      </c>
    </row>
    <row r="96" spans="1:4">
      <c r="A96">
        <v>93</v>
      </c>
      <c r="B96" s="13">
        <v>45736</v>
      </c>
      <c r="C96" t="s">
        <v>1601</v>
      </c>
      <c r="D96" t="s">
        <v>1603</v>
      </c>
    </row>
    <row r="97" spans="1:4">
      <c r="A97">
        <v>94</v>
      </c>
      <c r="B97" s="13">
        <v>45735</v>
      </c>
      <c r="D97" t="s">
        <v>1604</v>
      </c>
    </row>
    <row r="98" spans="1:4">
      <c r="A98">
        <v>95</v>
      </c>
      <c r="B98" s="13">
        <v>45744</v>
      </c>
      <c r="D98" t="s">
        <v>1606</v>
      </c>
    </row>
    <row r="99" spans="1:4">
      <c r="A99">
        <v>96</v>
      </c>
      <c r="B99" s="13">
        <v>45748</v>
      </c>
      <c r="C99" t="s">
        <v>1520</v>
      </c>
      <c r="D99" t="s">
        <v>1609</v>
      </c>
    </row>
    <row r="100" spans="1:4">
      <c r="A100">
        <v>97</v>
      </c>
      <c r="B100" s="13">
        <v>45748</v>
      </c>
      <c r="C100" t="s">
        <v>1516</v>
      </c>
      <c r="D100" t="s">
        <v>1620</v>
      </c>
    </row>
    <row r="101" spans="1:4">
      <c r="A101">
        <v>98</v>
      </c>
      <c r="B101" s="13">
        <v>45748</v>
      </c>
      <c r="C101" t="s">
        <v>1576</v>
      </c>
      <c r="D101" t="s">
        <v>1627</v>
      </c>
    </row>
    <row r="102" spans="1:4">
      <c r="A102">
        <v>99</v>
      </c>
      <c r="B102" s="13">
        <v>45748</v>
      </c>
      <c r="C102" t="s">
        <v>1576</v>
      </c>
      <c r="D102" t="s">
        <v>1629</v>
      </c>
    </row>
    <row r="103" spans="1:4">
      <c r="A103">
        <v>100</v>
      </c>
      <c r="B103" s="13">
        <v>45749</v>
      </c>
      <c r="C103" t="s">
        <v>1448</v>
      </c>
      <c r="D103" t="s">
        <v>1636</v>
      </c>
    </row>
    <row r="104" spans="1:4">
      <c r="A104">
        <v>101</v>
      </c>
      <c r="B104" s="13">
        <v>45749</v>
      </c>
      <c r="C104" t="s">
        <v>1540</v>
      </c>
      <c r="D104" t="s">
        <v>1654</v>
      </c>
    </row>
    <row r="105" spans="1:4">
      <c r="A105">
        <v>102</v>
      </c>
      <c r="B105" s="13">
        <v>45749</v>
      </c>
      <c r="C105" t="s">
        <v>1398</v>
      </c>
      <c r="D105" t="s">
        <v>1655</v>
      </c>
    </row>
    <row r="106" spans="1:4">
      <c r="A106">
        <v>103</v>
      </c>
      <c r="B106" s="13">
        <v>45749</v>
      </c>
      <c r="C106" t="s">
        <v>1018</v>
      </c>
      <c r="D106" t="s">
        <v>1656</v>
      </c>
    </row>
    <row r="107" spans="1:4">
      <c r="A107">
        <v>104</v>
      </c>
      <c r="B107" s="13">
        <v>45749</v>
      </c>
      <c r="C107" t="s">
        <v>1657</v>
      </c>
      <c r="D107" t="s">
        <v>1661</v>
      </c>
    </row>
    <row r="108" spans="1:4">
      <c r="A108">
        <v>105</v>
      </c>
      <c r="B108" s="13">
        <v>45749</v>
      </c>
      <c r="C108" t="s">
        <v>1662</v>
      </c>
      <c r="D108" t="s">
        <v>1664</v>
      </c>
    </row>
    <row r="109" spans="1:4">
      <c r="A109">
        <v>106</v>
      </c>
      <c r="B109" s="13">
        <v>45749</v>
      </c>
      <c r="C109" t="s">
        <v>1540</v>
      </c>
      <c r="D109" t="s">
        <v>1666</v>
      </c>
    </row>
    <row r="110" spans="1:4">
      <c r="A110">
        <v>107</v>
      </c>
      <c r="B110" s="13">
        <v>45750</v>
      </c>
      <c r="C110" t="s">
        <v>1448</v>
      </c>
      <c r="D110" t="s">
        <v>1668</v>
      </c>
    </row>
    <row r="111" spans="1:4">
      <c r="A111">
        <v>108</v>
      </c>
      <c r="B111" s="13">
        <v>45750</v>
      </c>
      <c r="C111" t="s">
        <v>1670</v>
      </c>
      <c r="D111" t="s">
        <v>1674</v>
      </c>
    </row>
    <row r="112" spans="1:4">
      <c r="A112">
        <v>109</v>
      </c>
      <c r="B112" s="13">
        <v>45750</v>
      </c>
      <c r="C112" t="s">
        <v>1675</v>
      </c>
      <c r="D112" t="s">
        <v>1676</v>
      </c>
    </row>
    <row r="113" spans="1:4">
      <c r="A113">
        <v>110</v>
      </c>
      <c r="B113" s="13">
        <v>45750</v>
      </c>
      <c r="C113" t="s">
        <v>1443</v>
      </c>
      <c r="D113" t="s">
        <v>1685</v>
      </c>
    </row>
    <row r="114" spans="1:4">
      <c r="A114">
        <v>111</v>
      </c>
      <c r="B114" s="13">
        <v>45751</v>
      </c>
      <c r="C114" t="s">
        <v>1377</v>
      </c>
      <c r="D114" t="s">
        <v>1691</v>
      </c>
    </row>
    <row r="115" spans="1:4">
      <c r="A115">
        <v>112</v>
      </c>
      <c r="B115" s="13">
        <v>45751</v>
      </c>
      <c r="C115" t="s">
        <v>1468</v>
      </c>
      <c r="D115" t="s">
        <v>1695</v>
      </c>
    </row>
    <row r="116" spans="1:4">
      <c r="A116">
        <v>113</v>
      </c>
      <c r="B116" s="13">
        <v>45751</v>
      </c>
      <c r="C116" t="s">
        <v>1721</v>
      </c>
      <c r="D116" t="s">
        <v>1724</v>
      </c>
    </row>
    <row r="117" spans="1:4">
      <c r="A117">
        <v>114</v>
      </c>
      <c r="B117" s="13">
        <v>45751</v>
      </c>
      <c r="C117" t="s">
        <v>1721</v>
      </c>
      <c r="D117" t="s">
        <v>1725</v>
      </c>
    </row>
    <row r="118" spans="1:4">
      <c r="A118">
        <v>115</v>
      </c>
      <c r="B118" s="13">
        <v>45751</v>
      </c>
      <c r="C118" t="s">
        <v>1721</v>
      </c>
      <c r="D118" t="s">
        <v>1728</v>
      </c>
    </row>
    <row r="119" spans="1:4">
      <c r="A119">
        <v>116</v>
      </c>
      <c r="B119" s="13">
        <v>45752</v>
      </c>
      <c r="C119" t="s">
        <v>1540</v>
      </c>
      <c r="D119" t="s">
        <v>1744</v>
      </c>
    </row>
    <row r="120" spans="1:4">
      <c r="A120">
        <v>117</v>
      </c>
      <c r="B120" s="13">
        <v>45752</v>
      </c>
      <c r="C120" t="s">
        <v>1398</v>
      </c>
      <c r="D120" t="s">
        <v>1748</v>
      </c>
    </row>
    <row r="121" spans="1:4">
      <c r="A121">
        <v>118</v>
      </c>
      <c r="B121" s="13">
        <v>45754</v>
      </c>
      <c r="C121" t="s">
        <v>1746</v>
      </c>
      <c r="D121" t="s">
        <v>1749</v>
      </c>
    </row>
    <row r="122" spans="1:4">
      <c r="A122">
        <v>118</v>
      </c>
      <c r="B122" s="13">
        <v>45754</v>
      </c>
      <c r="C122" t="s">
        <v>1146</v>
      </c>
      <c r="D122" t="s">
        <v>1760</v>
      </c>
    </row>
    <row r="123" spans="1:4">
      <c r="A123">
        <v>119</v>
      </c>
      <c r="B123" s="13">
        <v>45754</v>
      </c>
      <c r="C123" t="s">
        <v>1721</v>
      </c>
      <c r="D123" t="s">
        <v>1771</v>
      </c>
    </row>
    <row r="124" spans="1:4">
      <c r="A124">
        <v>120</v>
      </c>
      <c r="B124" s="13">
        <v>45754</v>
      </c>
      <c r="C124" t="s">
        <v>1053</v>
      </c>
      <c r="D124" t="s">
        <v>1792</v>
      </c>
    </row>
    <row r="125" spans="1:4">
      <c r="A125">
        <v>121</v>
      </c>
      <c r="B125" s="13">
        <v>45754</v>
      </c>
      <c r="C125" t="s">
        <v>1789</v>
      </c>
      <c r="D125" t="s">
        <v>1796</v>
      </c>
    </row>
    <row r="126" spans="1:4">
      <c r="A126">
        <v>122</v>
      </c>
      <c r="B126" s="13">
        <v>45754</v>
      </c>
      <c r="C126" t="s">
        <v>1721</v>
      </c>
      <c r="D126" t="s">
        <v>1797</v>
      </c>
    </row>
    <row r="127" spans="1:4">
      <c r="A127">
        <v>123</v>
      </c>
      <c r="B127" s="13">
        <v>45754</v>
      </c>
      <c r="C127" t="s">
        <v>1398</v>
      </c>
      <c r="D127" t="s">
        <v>1798</v>
      </c>
    </row>
    <row r="128" spans="1:4">
      <c r="A128">
        <v>124</v>
      </c>
      <c r="B128" s="13">
        <v>45755</v>
      </c>
      <c r="C128" t="s">
        <v>1448</v>
      </c>
      <c r="D128" t="s">
        <v>1803</v>
      </c>
    </row>
    <row r="129" spans="1:5">
      <c r="A129">
        <v>125</v>
      </c>
      <c r="B129" s="13">
        <v>45755</v>
      </c>
      <c r="C129" t="s">
        <v>1804</v>
      </c>
      <c r="D129" t="s">
        <v>1806</v>
      </c>
      <c r="E129" t="s">
        <v>1805</v>
      </c>
    </row>
    <row r="130" spans="1:5">
      <c r="A130">
        <v>126</v>
      </c>
      <c r="B130" s="13">
        <v>45755</v>
      </c>
      <c r="C130" t="s">
        <v>1018</v>
      </c>
      <c r="D130" t="s">
        <v>1807</v>
      </c>
    </row>
    <row r="131" spans="1:5">
      <c r="A131">
        <v>127</v>
      </c>
      <c r="B131" s="13">
        <v>45755</v>
      </c>
      <c r="C131" t="s">
        <v>1808</v>
      </c>
      <c r="D131" t="s">
        <v>1809</v>
      </c>
    </row>
    <row r="132" spans="1:5">
      <c r="A132">
        <v>128</v>
      </c>
      <c r="B132" s="13">
        <v>45755</v>
      </c>
      <c r="C132" t="s">
        <v>1579</v>
      </c>
      <c r="D132" t="s">
        <v>1810</v>
      </c>
    </row>
    <row r="133" spans="1:5">
      <c r="A133">
        <v>129</v>
      </c>
      <c r="B133" s="13">
        <v>45755</v>
      </c>
      <c r="C133" t="s">
        <v>1811</v>
      </c>
      <c r="D133" t="s">
        <v>1813</v>
      </c>
    </row>
    <row r="134" spans="1:5">
      <c r="A134">
        <v>130</v>
      </c>
      <c r="B134" s="13">
        <v>45756</v>
      </c>
      <c r="C134" t="s">
        <v>1721</v>
      </c>
      <c r="D134" t="s">
        <v>1823</v>
      </c>
    </row>
    <row r="135" spans="1:5">
      <c r="A135">
        <v>131</v>
      </c>
      <c r="B135" s="13">
        <v>45757</v>
      </c>
      <c r="C135" t="s">
        <v>1457</v>
      </c>
      <c r="D135" t="s">
        <v>1825</v>
      </c>
    </row>
    <row r="136" spans="1:5">
      <c r="A136">
        <v>132</v>
      </c>
      <c r="B136" s="13">
        <v>45757</v>
      </c>
      <c r="C136" t="s">
        <v>1540</v>
      </c>
      <c r="D136" t="s">
        <v>1827</v>
      </c>
    </row>
    <row r="137" spans="1:5">
      <c r="A137">
        <v>133</v>
      </c>
      <c r="B137" s="13">
        <v>45757</v>
      </c>
      <c r="C137" t="s">
        <v>1540</v>
      </c>
      <c r="D137" t="s">
        <v>1830</v>
      </c>
    </row>
    <row r="138" spans="1:5">
      <c r="A138">
        <v>134</v>
      </c>
      <c r="B138" s="13">
        <v>45757</v>
      </c>
      <c r="C138" t="s">
        <v>1457</v>
      </c>
      <c r="D138" t="s">
        <v>1831</v>
      </c>
    </row>
    <row r="139" spans="1:5">
      <c r="A139">
        <v>135</v>
      </c>
      <c r="B139" s="13">
        <v>45757</v>
      </c>
      <c r="C139" t="s">
        <v>1804</v>
      </c>
      <c r="D139" t="s">
        <v>1832</v>
      </c>
    </row>
    <row r="140" spans="1:5">
      <c r="A140">
        <v>136</v>
      </c>
      <c r="B140" s="13">
        <v>45758</v>
      </c>
      <c r="C140" t="s">
        <v>1468</v>
      </c>
      <c r="D140" t="s">
        <v>1839</v>
      </c>
    </row>
    <row r="141" spans="1:5">
      <c r="A141">
        <v>137</v>
      </c>
      <c r="B141" s="13">
        <v>45758</v>
      </c>
      <c r="C141" t="s">
        <v>1837</v>
      </c>
      <c r="D141" t="s">
        <v>1841</v>
      </c>
    </row>
    <row r="142" spans="1:5">
      <c r="A142">
        <v>138</v>
      </c>
      <c r="B142" s="13">
        <v>45759</v>
      </c>
      <c r="C142" t="s">
        <v>1018</v>
      </c>
      <c r="D142" t="s">
        <v>1842</v>
      </c>
    </row>
    <row r="143" spans="1:5">
      <c r="A143">
        <v>139</v>
      </c>
      <c r="B143" s="13">
        <v>45759</v>
      </c>
      <c r="C143" t="s">
        <v>1576</v>
      </c>
      <c r="D143" t="s">
        <v>1844</v>
      </c>
      <c r="E143" t="s">
        <v>1843</v>
      </c>
    </row>
    <row r="144" spans="1:5">
      <c r="A144">
        <v>140</v>
      </c>
      <c r="B144" s="13">
        <v>45759</v>
      </c>
      <c r="C144" t="s">
        <v>1018</v>
      </c>
      <c r="D144" t="s">
        <v>1845</v>
      </c>
    </row>
    <row r="145" spans="1:4">
      <c r="A145">
        <v>141</v>
      </c>
      <c r="B145" s="13">
        <v>45761</v>
      </c>
      <c r="C145" t="s">
        <v>1018</v>
      </c>
      <c r="D145" t="s">
        <v>1847</v>
      </c>
    </row>
    <row r="146" spans="1:4">
      <c r="A146">
        <v>142</v>
      </c>
      <c r="B146" s="13">
        <v>45759</v>
      </c>
      <c r="C146" t="s">
        <v>1846</v>
      </c>
      <c r="D146" t="s">
        <v>1852</v>
      </c>
    </row>
    <row r="147" spans="1:4">
      <c r="A147">
        <v>143</v>
      </c>
      <c r="B147" s="13">
        <v>45761</v>
      </c>
      <c r="C147" t="s">
        <v>1146</v>
      </c>
      <c r="D147" t="s">
        <v>1855</v>
      </c>
    </row>
    <row r="148" spans="1:4">
      <c r="A148">
        <v>144</v>
      </c>
      <c r="B148" s="13">
        <v>45761</v>
      </c>
      <c r="C148" t="s">
        <v>1053</v>
      </c>
      <c r="D148" t="s">
        <v>1856</v>
      </c>
    </row>
    <row r="149" spans="1:4">
      <c r="A149">
        <v>145</v>
      </c>
      <c r="B149" s="13">
        <v>45761</v>
      </c>
      <c r="C149" t="s">
        <v>1018</v>
      </c>
      <c r="D149" t="s">
        <v>1857</v>
      </c>
    </row>
    <row r="150" spans="1:4">
      <c r="A150">
        <v>146</v>
      </c>
      <c r="B150" s="13">
        <v>45761</v>
      </c>
      <c r="C150" t="s">
        <v>1808</v>
      </c>
      <c r="D150" t="s">
        <v>1859</v>
      </c>
    </row>
    <row r="151" spans="1:4">
      <c r="A151">
        <v>147</v>
      </c>
      <c r="B151" s="13">
        <v>45761</v>
      </c>
      <c r="C151" t="s">
        <v>1860</v>
      </c>
      <c r="D151" t="s">
        <v>1862</v>
      </c>
    </row>
    <row r="152" spans="1:4">
      <c r="A152">
        <v>148</v>
      </c>
      <c r="B152" s="13">
        <v>45691</v>
      </c>
      <c r="C152" t="s">
        <v>1721</v>
      </c>
      <c r="D152" t="s">
        <v>1864</v>
      </c>
    </row>
    <row r="153" spans="1:4">
      <c r="A153">
        <v>149</v>
      </c>
      <c r="B153" s="13">
        <v>45761</v>
      </c>
      <c r="C153" t="s">
        <v>1721</v>
      </c>
      <c r="D153" t="s">
        <v>1865</v>
      </c>
    </row>
    <row r="154" spans="1:4">
      <c r="A154">
        <v>150</v>
      </c>
      <c r="B154" s="13">
        <v>45761</v>
      </c>
      <c r="C154" t="s">
        <v>1866</v>
      </c>
      <c r="D154" t="s">
        <v>1867</v>
      </c>
    </row>
    <row r="155" spans="1:4">
      <c r="A155">
        <v>151</v>
      </c>
      <c r="B155" s="13">
        <v>45761</v>
      </c>
      <c r="C155" t="s">
        <v>1869</v>
      </c>
      <c r="D155" t="s">
        <v>1870</v>
      </c>
    </row>
    <row r="156" spans="1:4">
      <c r="A156">
        <v>152</v>
      </c>
      <c r="B156" s="13">
        <v>45762</v>
      </c>
      <c r="C156" t="s">
        <v>1875</v>
      </c>
      <c r="D156" t="s">
        <v>1876</v>
      </c>
    </row>
    <row r="157" spans="1:4">
      <c r="A157">
        <v>153</v>
      </c>
      <c r="B157" s="13">
        <v>45762</v>
      </c>
      <c r="C157" t="s">
        <v>1721</v>
      </c>
      <c r="D157" t="s">
        <v>1877</v>
      </c>
    </row>
    <row r="158" spans="1:4">
      <c r="A158">
        <v>154</v>
      </c>
      <c r="B158" s="13">
        <v>45762</v>
      </c>
      <c r="C158" t="s">
        <v>1046</v>
      </c>
      <c r="D158" t="s">
        <v>1878</v>
      </c>
    </row>
    <row r="159" spans="1:4">
      <c r="A159">
        <v>155</v>
      </c>
      <c r="B159" s="13">
        <v>45762</v>
      </c>
      <c r="C159" t="s">
        <v>1046</v>
      </c>
      <c r="D159" t="s">
        <v>1879</v>
      </c>
    </row>
    <row r="160" spans="1:4">
      <c r="A160">
        <v>156</v>
      </c>
      <c r="B160" s="13">
        <v>45762</v>
      </c>
      <c r="C160" t="s">
        <v>1441</v>
      </c>
      <c r="D160" t="s">
        <v>1885</v>
      </c>
    </row>
    <row r="161" spans="1:5">
      <c r="A161">
        <v>157</v>
      </c>
      <c r="B161" s="13">
        <v>45762</v>
      </c>
      <c r="C161" t="s">
        <v>1670</v>
      </c>
      <c r="D161" t="s">
        <v>1886</v>
      </c>
    </row>
    <row r="162" spans="1:5">
      <c r="A162">
        <v>158</v>
      </c>
      <c r="B162" s="13">
        <v>45762</v>
      </c>
      <c r="C162" t="s">
        <v>1808</v>
      </c>
      <c r="D162" t="s">
        <v>1887</v>
      </c>
    </row>
    <row r="163" spans="1:5">
      <c r="A163">
        <v>159</v>
      </c>
      <c r="B163" s="13">
        <v>45763</v>
      </c>
      <c r="C163" t="s">
        <v>1889</v>
      </c>
      <c r="D163" t="s">
        <v>2116</v>
      </c>
    </row>
    <row r="164" spans="1:5">
      <c r="A164">
        <v>160</v>
      </c>
      <c r="B164" s="13">
        <v>45763</v>
      </c>
      <c r="C164" t="s">
        <v>1893</v>
      </c>
      <c r="D164" t="s">
        <v>1894</v>
      </c>
    </row>
    <row r="165" spans="1:5">
      <c r="A165">
        <v>161</v>
      </c>
      <c r="B165" s="13">
        <v>45763</v>
      </c>
      <c r="C165" t="s">
        <v>978</v>
      </c>
      <c r="D165" t="s">
        <v>1895</v>
      </c>
    </row>
    <row r="166" spans="1:5">
      <c r="A166">
        <v>162</v>
      </c>
      <c r="B166" s="13">
        <v>45763</v>
      </c>
      <c r="C166" t="s">
        <v>978</v>
      </c>
      <c r="D166" t="s">
        <v>1897</v>
      </c>
      <c r="E166" t="s">
        <v>1896</v>
      </c>
    </row>
    <row r="167" spans="1:5">
      <c r="A167">
        <v>163</v>
      </c>
      <c r="B167" s="13">
        <v>45763</v>
      </c>
      <c r="C167" t="s">
        <v>1597</v>
      </c>
      <c r="D167" t="s">
        <v>1899</v>
      </c>
      <c r="E167" t="s">
        <v>1896</v>
      </c>
    </row>
    <row r="168" spans="1:5">
      <c r="A168">
        <v>164</v>
      </c>
      <c r="B168" s="13">
        <v>45763</v>
      </c>
      <c r="C168" t="s">
        <v>1579</v>
      </c>
      <c r="D168" t="s">
        <v>1902</v>
      </c>
    </row>
    <row r="169" spans="1:5">
      <c r="A169">
        <v>165</v>
      </c>
      <c r="B169" s="13">
        <v>45764</v>
      </c>
      <c r="C169" t="s">
        <v>1398</v>
      </c>
      <c r="D169" t="s">
        <v>1916</v>
      </c>
    </row>
    <row r="170" spans="1:5">
      <c r="A170">
        <v>166</v>
      </c>
      <c r="B170" s="13">
        <v>45764</v>
      </c>
      <c r="C170" t="s">
        <v>1540</v>
      </c>
      <c r="D170" t="s">
        <v>1919</v>
      </c>
    </row>
    <row r="171" spans="1:5">
      <c r="A171">
        <v>167</v>
      </c>
      <c r="B171" s="13">
        <v>45764</v>
      </c>
      <c r="C171" t="s">
        <v>1441</v>
      </c>
      <c r="D171" t="s">
        <v>1921</v>
      </c>
      <c r="E171" t="s">
        <v>1920</v>
      </c>
    </row>
    <row r="172" spans="1:5">
      <c r="A172">
        <v>168</v>
      </c>
      <c r="B172" s="13">
        <v>45765</v>
      </c>
      <c r="C172" t="s">
        <v>1670</v>
      </c>
      <c r="D172" t="s">
        <v>1924</v>
      </c>
    </row>
    <row r="173" spans="1:5">
      <c r="A173">
        <v>169</v>
      </c>
      <c r="B173" s="13">
        <v>45765</v>
      </c>
      <c r="C173" t="s">
        <v>1721</v>
      </c>
      <c r="D173" t="s">
        <v>1926</v>
      </c>
    </row>
    <row r="174" spans="1:5">
      <c r="A174">
        <v>170</v>
      </c>
      <c r="B174" s="13">
        <v>45765</v>
      </c>
      <c r="C174" t="s">
        <v>1597</v>
      </c>
      <c r="D174" t="s">
        <v>1927</v>
      </c>
    </row>
    <row r="175" spans="1:5">
      <c r="A175">
        <v>171</v>
      </c>
      <c r="B175" s="13">
        <v>45765</v>
      </c>
      <c r="C175" t="s">
        <v>1466</v>
      </c>
      <c r="D175" t="s">
        <v>1928</v>
      </c>
    </row>
    <row r="176" spans="1:5">
      <c r="A176">
        <v>172</v>
      </c>
      <c r="B176" s="13">
        <v>45765</v>
      </c>
      <c r="C176" t="s">
        <v>1466</v>
      </c>
      <c r="D176" t="s">
        <v>1929</v>
      </c>
    </row>
    <row r="177" spans="1:5">
      <c r="A177">
        <v>173</v>
      </c>
      <c r="B177" s="13">
        <v>45768</v>
      </c>
      <c r="C177" t="s">
        <v>1930</v>
      </c>
      <c r="D177" t="s">
        <v>1931</v>
      </c>
    </row>
    <row r="178" spans="1:5">
      <c r="A178">
        <v>174</v>
      </c>
      <c r="B178" s="13">
        <v>45768</v>
      </c>
      <c r="C178" t="s">
        <v>1941</v>
      </c>
      <c r="D178" t="s">
        <v>1942</v>
      </c>
    </row>
    <row r="179" spans="1:5">
      <c r="A179">
        <v>175</v>
      </c>
      <c r="B179" s="13">
        <v>45768</v>
      </c>
      <c r="C179" t="s">
        <v>1941</v>
      </c>
      <c r="D179" t="s">
        <v>1943</v>
      </c>
    </row>
    <row r="180" spans="1:5">
      <c r="A180">
        <v>176</v>
      </c>
      <c r="B180" s="13">
        <v>45768</v>
      </c>
      <c r="C180" t="s">
        <v>1398</v>
      </c>
      <c r="D180" t="s">
        <v>1945</v>
      </c>
      <c r="E180" t="s">
        <v>1944</v>
      </c>
    </row>
    <row r="181" spans="1:5">
      <c r="A181">
        <v>177</v>
      </c>
      <c r="B181" s="13">
        <v>45768</v>
      </c>
      <c r="C181" t="s">
        <v>1579</v>
      </c>
      <c r="D181" t="s">
        <v>1946</v>
      </c>
      <c r="E181" t="s">
        <v>1944</v>
      </c>
    </row>
    <row r="182" spans="1:5">
      <c r="A182">
        <v>178</v>
      </c>
      <c r="B182" s="13">
        <v>45768</v>
      </c>
      <c r="C182" t="s">
        <v>1576</v>
      </c>
      <c r="D182" t="s">
        <v>1947</v>
      </c>
    </row>
    <row r="183" spans="1:5">
      <c r="A183">
        <v>179</v>
      </c>
      <c r="B183" s="13">
        <v>45768</v>
      </c>
      <c r="C183" t="s">
        <v>1721</v>
      </c>
      <c r="D183" t="s">
        <v>1953</v>
      </c>
    </row>
    <row r="184" spans="1:5">
      <c r="A184">
        <v>180</v>
      </c>
      <c r="B184" s="13">
        <v>45769</v>
      </c>
      <c r="C184" t="s">
        <v>1448</v>
      </c>
      <c r="D184" t="s">
        <v>1957</v>
      </c>
    </row>
    <row r="185" spans="1:5">
      <c r="A185">
        <v>181</v>
      </c>
      <c r="B185" s="13">
        <v>45770</v>
      </c>
      <c r="C185" t="s">
        <v>1597</v>
      </c>
      <c r="D185" t="s">
        <v>1959</v>
      </c>
    </row>
    <row r="186" spans="1:5">
      <c r="A186">
        <v>182</v>
      </c>
      <c r="B186" s="13">
        <v>45770</v>
      </c>
      <c r="C186" t="s">
        <v>1960</v>
      </c>
      <c r="D186" t="s">
        <v>1963</v>
      </c>
    </row>
    <row r="187" spans="1:5">
      <c r="A187">
        <v>183</v>
      </c>
      <c r="B187" s="13">
        <v>45770</v>
      </c>
      <c r="C187" t="s">
        <v>1960</v>
      </c>
      <c r="D187" t="s">
        <v>1966</v>
      </c>
    </row>
    <row r="188" spans="1:5">
      <c r="A188">
        <v>184</v>
      </c>
      <c r="B188" s="13">
        <v>45771</v>
      </c>
      <c r="C188" t="s">
        <v>1553</v>
      </c>
      <c r="D188" t="s">
        <v>1968</v>
      </c>
    </row>
    <row r="189" spans="1:5">
      <c r="A189">
        <v>185</v>
      </c>
      <c r="B189" s="13">
        <v>45771</v>
      </c>
      <c r="C189" t="s">
        <v>1443</v>
      </c>
      <c r="D189" t="s">
        <v>1971</v>
      </c>
    </row>
    <row r="190" spans="1:5">
      <c r="A190">
        <v>186</v>
      </c>
      <c r="B190" s="13">
        <v>45772</v>
      </c>
      <c r="C190" t="s">
        <v>1390</v>
      </c>
      <c r="D190" t="s">
        <v>1975</v>
      </c>
    </row>
    <row r="191" spans="1:5">
      <c r="A191">
        <v>187</v>
      </c>
      <c r="B191" s="13">
        <v>45772</v>
      </c>
      <c r="C191" t="s">
        <v>1976</v>
      </c>
      <c r="D191" t="s">
        <v>1978</v>
      </c>
    </row>
    <row r="192" spans="1:5">
      <c r="A192">
        <v>188</v>
      </c>
      <c r="B192" s="13">
        <v>45772</v>
      </c>
      <c r="C192" t="s">
        <v>1979</v>
      </c>
      <c r="D192" t="s">
        <v>1980</v>
      </c>
    </row>
    <row r="193" spans="1:4">
      <c r="A193">
        <v>189</v>
      </c>
      <c r="B193" s="13">
        <v>45772</v>
      </c>
      <c r="C193" t="s">
        <v>1789</v>
      </c>
      <c r="D193" t="s">
        <v>1981</v>
      </c>
    </row>
    <row r="194" spans="1:4">
      <c r="A194">
        <v>190</v>
      </c>
      <c r="B194" s="13">
        <v>45772</v>
      </c>
      <c r="C194" t="s">
        <v>1789</v>
      </c>
      <c r="D194" t="s">
        <v>1983</v>
      </c>
    </row>
    <row r="195" spans="1:4">
      <c r="A195">
        <v>191</v>
      </c>
      <c r="B195" s="13">
        <v>45772</v>
      </c>
      <c r="C195" t="s">
        <v>1443</v>
      </c>
      <c r="D195" t="s">
        <v>1985</v>
      </c>
    </row>
    <row r="196" spans="1:4">
      <c r="A196">
        <v>192</v>
      </c>
      <c r="B196" s="13">
        <v>45772</v>
      </c>
      <c r="C196" t="s">
        <v>1808</v>
      </c>
      <c r="D196" t="s">
        <v>1986</v>
      </c>
    </row>
    <row r="197" spans="1:4">
      <c r="A197">
        <v>193</v>
      </c>
      <c r="B197" s="13">
        <v>45775</v>
      </c>
      <c r="C197" t="s">
        <v>1520</v>
      </c>
      <c r="D197" t="s">
        <v>1988</v>
      </c>
    </row>
    <row r="198" spans="1:4">
      <c r="A198">
        <v>194</v>
      </c>
      <c r="B198" s="13">
        <v>45775</v>
      </c>
      <c r="C198" t="s">
        <v>1443</v>
      </c>
      <c r="D198" t="s">
        <v>1989</v>
      </c>
    </row>
    <row r="199" spans="1:4">
      <c r="A199">
        <v>195</v>
      </c>
      <c r="B199" s="13">
        <v>45775</v>
      </c>
      <c r="C199" t="s">
        <v>1146</v>
      </c>
      <c r="D199" t="s">
        <v>1990</v>
      </c>
    </row>
    <row r="200" spans="1:4">
      <c r="A200">
        <v>196</v>
      </c>
      <c r="B200" s="13">
        <v>45775</v>
      </c>
      <c r="C200" t="s">
        <v>1053</v>
      </c>
      <c r="D200" t="s">
        <v>1992</v>
      </c>
    </row>
    <row r="201" spans="1:4">
      <c r="A201">
        <v>197</v>
      </c>
      <c r="B201" s="13">
        <v>45775</v>
      </c>
      <c r="C201" t="s">
        <v>1531</v>
      </c>
      <c r="D201" t="s">
        <v>1994</v>
      </c>
    </row>
    <row r="202" spans="1:4">
      <c r="A202">
        <v>198</v>
      </c>
      <c r="B202" s="13">
        <v>45775</v>
      </c>
      <c r="C202" t="s">
        <v>1979</v>
      </c>
      <c r="D202" t="s">
        <v>1996</v>
      </c>
    </row>
    <row r="203" spans="1:4">
      <c r="A203">
        <v>199</v>
      </c>
      <c r="B203" s="13">
        <v>45776</v>
      </c>
      <c r="C203" t="s">
        <v>1540</v>
      </c>
      <c r="D203" t="s">
        <v>2010</v>
      </c>
    </row>
    <row r="204" spans="1:4">
      <c r="A204">
        <v>200</v>
      </c>
      <c r="B204" s="13">
        <v>45776</v>
      </c>
      <c r="C204" t="s">
        <v>2014</v>
      </c>
      <c r="D204" t="s">
        <v>2015</v>
      </c>
    </row>
    <row r="205" spans="1:4">
      <c r="A205">
        <v>201</v>
      </c>
      <c r="B205" s="13">
        <v>45776</v>
      </c>
      <c r="C205" t="s">
        <v>1721</v>
      </c>
      <c r="D205" t="s">
        <v>2020</v>
      </c>
    </row>
    <row r="206" spans="1:4">
      <c r="A206">
        <v>202</v>
      </c>
      <c r="B206" s="13">
        <v>45776</v>
      </c>
      <c r="C206" t="s">
        <v>2023</v>
      </c>
      <c r="D206" t="s">
        <v>2024</v>
      </c>
    </row>
    <row r="207" spans="1:4">
      <c r="A207">
        <v>203</v>
      </c>
      <c r="B207" s="13">
        <v>45776</v>
      </c>
      <c r="C207" t="s">
        <v>1979</v>
      </c>
      <c r="D207" t="s">
        <v>2025</v>
      </c>
    </row>
    <row r="208" spans="1:4">
      <c r="A208">
        <v>204</v>
      </c>
      <c r="B208" s="13">
        <v>45776</v>
      </c>
      <c r="C208" t="s">
        <v>1746</v>
      </c>
      <c r="D208" t="s">
        <v>2027</v>
      </c>
    </row>
    <row r="209" spans="1:4">
      <c r="A209">
        <v>205</v>
      </c>
      <c r="B209" s="13">
        <v>45776</v>
      </c>
      <c r="C209" t="s">
        <v>1979</v>
      </c>
      <c r="D209" t="s">
        <v>2029</v>
      </c>
    </row>
    <row r="210" spans="1:4">
      <c r="A210">
        <v>206</v>
      </c>
      <c r="B210" s="13">
        <v>45777</v>
      </c>
      <c r="C210" t="s">
        <v>1007</v>
      </c>
      <c r="D210" t="s">
        <v>2030</v>
      </c>
    </row>
    <row r="211" spans="1:4">
      <c r="A211">
        <v>207</v>
      </c>
      <c r="B211" s="13">
        <v>45777</v>
      </c>
      <c r="C211" t="s">
        <v>1443</v>
      </c>
      <c r="D211" t="s">
        <v>2032</v>
      </c>
    </row>
    <row r="212" spans="1:4">
      <c r="A212">
        <v>208</v>
      </c>
      <c r="B212" s="13">
        <v>45777</v>
      </c>
      <c r="C212" t="s">
        <v>2033</v>
      </c>
      <c r="D212" t="s">
        <v>2037</v>
      </c>
    </row>
    <row r="213" spans="1:4">
      <c r="A213">
        <v>209</v>
      </c>
      <c r="B213" s="13">
        <v>45777</v>
      </c>
      <c r="C213" t="s">
        <v>2038</v>
      </c>
      <c r="D213" t="s">
        <v>2041</v>
      </c>
    </row>
    <row r="214" spans="1:4">
      <c r="A214">
        <v>210</v>
      </c>
      <c r="B214" s="13">
        <v>45777</v>
      </c>
      <c r="C214" t="s">
        <v>1046</v>
      </c>
      <c r="D214" t="s">
        <v>2043</v>
      </c>
    </row>
    <row r="215" spans="1:4">
      <c r="A215">
        <v>211</v>
      </c>
      <c r="B215" s="13">
        <v>45777</v>
      </c>
      <c r="C215" t="s">
        <v>1576</v>
      </c>
      <c r="D215" t="s">
        <v>2044</v>
      </c>
    </row>
    <row r="216" spans="1:4">
      <c r="A216">
        <v>212</v>
      </c>
      <c r="B216" s="13">
        <v>45777</v>
      </c>
      <c r="C216" t="s">
        <v>2045</v>
      </c>
      <c r="D216" t="s">
        <v>2049</v>
      </c>
    </row>
    <row r="217" spans="1:4">
      <c r="A217">
        <v>213</v>
      </c>
      <c r="B217" s="13">
        <v>45777</v>
      </c>
      <c r="C217" t="s">
        <v>1553</v>
      </c>
      <c r="D217" t="s">
        <v>2050</v>
      </c>
    </row>
    <row r="218" spans="1:4">
      <c r="A218">
        <v>214</v>
      </c>
      <c r="B218" s="13">
        <v>45775</v>
      </c>
      <c r="C218" t="s">
        <v>1979</v>
      </c>
      <c r="D218" t="s">
        <v>2051</v>
      </c>
    </row>
    <row r="219" spans="1:4">
      <c r="A219">
        <v>215</v>
      </c>
      <c r="B219" s="13">
        <v>45778</v>
      </c>
      <c r="C219" t="s">
        <v>1579</v>
      </c>
      <c r="D219" t="s">
        <v>2060</v>
      </c>
    </row>
    <row r="220" spans="1:4">
      <c r="A220">
        <v>216</v>
      </c>
      <c r="B220" s="13">
        <v>45777</v>
      </c>
      <c r="C220" t="s">
        <v>1721</v>
      </c>
      <c r="D220" t="s">
        <v>2062</v>
      </c>
    </row>
    <row r="221" spans="1:4">
      <c r="A221">
        <v>217</v>
      </c>
      <c r="B221" s="13">
        <v>45779</v>
      </c>
      <c r="C221" t="s">
        <v>1579</v>
      </c>
      <c r="D221" t="s">
        <v>2063</v>
      </c>
    </row>
    <row r="222" spans="1:4">
      <c r="A222">
        <v>218</v>
      </c>
      <c r="B222" s="13">
        <v>45779</v>
      </c>
      <c r="C222" t="s">
        <v>1976</v>
      </c>
      <c r="D222" t="s">
        <v>2064</v>
      </c>
    </row>
    <row r="223" spans="1:4">
      <c r="A223">
        <v>219</v>
      </c>
      <c r="B223" s="13">
        <v>45779</v>
      </c>
      <c r="C223" t="s">
        <v>1398</v>
      </c>
      <c r="D223" t="s">
        <v>2065</v>
      </c>
    </row>
    <row r="224" spans="1:4">
      <c r="A224">
        <v>220</v>
      </c>
      <c r="B224" s="13">
        <v>45779</v>
      </c>
      <c r="C224" t="s">
        <v>1398</v>
      </c>
      <c r="D224" t="s">
        <v>2066</v>
      </c>
    </row>
    <row r="225" spans="1:4">
      <c r="A225">
        <v>221</v>
      </c>
      <c r="B225" s="13">
        <v>45780</v>
      </c>
      <c r="C225" t="s">
        <v>1960</v>
      </c>
      <c r="D225" t="s">
        <v>2075</v>
      </c>
    </row>
    <row r="226" spans="1:4">
      <c r="A226">
        <v>222</v>
      </c>
      <c r="B226" s="13">
        <v>45782</v>
      </c>
      <c r="C226" t="s">
        <v>2077</v>
      </c>
      <c r="D226" t="s">
        <v>2078</v>
      </c>
    </row>
    <row r="227" spans="1:4">
      <c r="A227">
        <v>223</v>
      </c>
      <c r="B227" s="13">
        <v>45782</v>
      </c>
      <c r="C227" t="s">
        <v>1007</v>
      </c>
      <c r="D227" t="s">
        <v>2079</v>
      </c>
    </row>
    <row r="228" spans="1:4">
      <c r="A228">
        <v>224</v>
      </c>
      <c r="B228" s="13">
        <v>45783</v>
      </c>
      <c r="C228" t="s">
        <v>1540</v>
      </c>
      <c r="D228" t="s">
        <v>2080</v>
      </c>
    </row>
    <row r="229" spans="1:4">
      <c r="A229">
        <v>225</v>
      </c>
      <c r="B229" s="13">
        <v>45783</v>
      </c>
      <c r="C229" t="s">
        <v>1398</v>
      </c>
      <c r="D229" t="s">
        <v>2081</v>
      </c>
    </row>
    <row r="230" spans="1:4">
      <c r="A230">
        <v>226</v>
      </c>
      <c r="B230" s="13">
        <v>45783</v>
      </c>
      <c r="C230" t="s">
        <v>1468</v>
      </c>
      <c r="D230" t="s">
        <v>2082</v>
      </c>
    </row>
    <row r="231" spans="1:4">
      <c r="A231">
        <v>227</v>
      </c>
      <c r="B231" s="13">
        <v>45783</v>
      </c>
      <c r="C231" t="s">
        <v>1398</v>
      </c>
      <c r="D231" t="s">
        <v>2084</v>
      </c>
    </row>
    <row r="232" spans="1:4">
      <c r="A232">
        <v>228</v>
      </c>
      <c r="B232" s="13">
        <v>45784</v>
      </c>
      <c r="C232" t="s">
        <v>1305</v>
      </c>
      <c r="D232" t="s">
        <v>2085</v>
      </c>
    </row>
    <row r="233" spans="1:4">
      <c r="A233">
        <v>229</v>
      </c>
      <c r="B233" s="13">
        <v>45784</v>
      </c>
      <c r="C233" t="s">
        <v>2088</v>
      </c>
      <c r="D233" t="s">
        <v>2089</v>
      </c>
    </row>
    <row r="234" spans="1:4">
      <c r="A234">
        <v>230</v>
      </c>
      <c r="B234" s="13">
        <v>45784</v>
      </c>
      <c r="C234" t="s">
        <v>2088</v>
      </c>
      <c r="D234" t="s">
        <v>2091</v>
      </c>
    </row>
    <row r="235" spans="1:4">
      <c r="A235">
        <v>231</v>
      </c>
      <c r="B235" s="13">
        <v>45784</v>
      </c>
      <c r="C235" t="s">
        <v>2088</v>
      </c>
      <c r="D235" t="s">
        <v>2092</v>
      </c>
    </row>
    <row r="236" spans="1:4">
      <c r="A236">
        <v>232</v>
      </c>
      <c r="B236" s="13">
        <v>45784</v>
      </c>
      <c r="C236" t="s">
        <v>1398</v>
      </c>
      <c r="D236" t="s">
        <v>2093</v>
      </c>
    </row>
    <row r="237" spans="1:4">
      <c r="A237">
        <v>233</v>
      </c>
      <c r="B237" s="13">
        <v>45784</v>
      </c>
      <c r="C237" t="s">
        <v>2088</v>
      </c>
      <c r="D237" t="s">
        <v>2098</v>
      </c>
    </row>
    <row r="238" spans="1:4">
      <c r="A238">
        <v>234</v>
      </c>
      <c r="B238" s="13">
        <v>45784</v>
      </c>
      <c r="C238" t="s">
        <v>2094</v>
      </c>
      <c r="D238" t="s">
        <v>2099</v>
      </c>
    </row>
    <row r="239" spans="1:4">
      <c r="A239">
        <v>235</v>
      </c>
      <c r="B239" s="13">
        <v>45785</v>
      </c>
      <c r="C239" t="s">
        <v>2100</v>
      </c>
      <c r="D239" t="s">
        <v>2104</v>
      </c>
    </row>
    <row r="240" spans="1:4">
      <c r="A240">
        <v>236</v>
      </c>
      <c r="B240" s="13">
        <v>45785</v>
      </c>
      <c r="C240" t="s">
        <v>1721</v>
      </c>
      <c r="D240" t="s">
        <v>2105</v>
      </c>
    </row>
    <row r="241" spans="1:4">
      <c r="A241">
        <v>237</v>
      </c>
      <c r="B241" s="13">
        <v>45786</v>
      </c>
      <c r="C241" t="s">
        <v>1305</v>
      </c>
      <c r="D241" t="s">
        <v>2109</v>
      </c>
    </row>
    <row r="242" spans="1:4">
      <c r="A242">
        <v>238</v>
      </c>
      <c r="B242" s="13">
        <v>45786</v>
      </c>
      <c r="C242" t="s">
        <v>2014</v>
      </c>
      <c r="D242" t="s">
        <v>2110</v>
      </c>
    </row>
    <row r="243" spans="1:4">
      <c r="A243">
        <v>239</v>
      </c>
      <c r="B243" s="13">
        <v>45786</v>
      </c>
      <c r="C243" t="s">
        <v>2112</v>
      </c>
      <c r="D243" t="s">
        <v>2113</v>
      </c>
    </row>
    <row r="244" spans="1:4">
      <c r="A244">
        <v>240</v>
      </c>
      <c r="B244" s="13">
        <v>45786</v>
      </c>
      <c r="C244" t="s">
        <v>2112</v>
      </c>
      <c r="D244" t="s">
        <v>2114</v>
      </c>
    </row>
    <row r="245" spans="1:4">
      <c r="A245">
        <v>241</v>
      </c>
      <c r="B245" s="13">
        <v>45789</v>
      </c>
      <c r="C245" t="s">
        <v>2118</v>
      </c>
      <c r="D245" t="s">
        <v>2121</v>
      </c>
    </row>
    <row r="246" spans="1:4">
      <c r="A246">
        <v>242</v>
      </c>
      <c r="B246" s="13">
        <v>45789</v>
      </c>
      <c r="C246" t="s">
        <v>1443</v>
      </c>
      <c r="D246" t="s">
        <v>2122</v>
      </c>
    </row>
    <row r="247" spans="1:4">
      <c r="A247">
        <v>243</v>
      </c>
      <c r="B247" s="13">
        <v>45789</v>
      </c>
      <c r="C247" t="s">
        <v>1976</v>
      </c>
      <c r="D247" t="s">
        <v>2123</v>
      </c>
    </row>
    <row r="248" spans="1:4">
      <c r="A248">
        <v>244</v>
      </c>
      <c r="B248" s="13">
        <v>45789</v>
      </c>
      <c r="C248" t="s">
        <v>1597</v>
      </c>
      <c r="D248" t="s">
        <v>2124</v>
      </c>
    </row>
    <row r="249" spans="1:4">
      <c r="A249">
        <v>245</v>
      </c>
      <c r="B249" s="13">
        <v>45789</v>
      </c>
      <c r="C249" t="s">
        <v>1453</v>
      </c>
      <c r="D249" t="s">
        <v>2127</v>
      </c>
    </row>
    <row r="250" spans="1:4">
      <c r="A250">
        <v>246</v>
      </c>
      <c r="B250" s="13">
        <v>45789</v>
      </c>
      <c r="C250" t="s">
        <v>1146</v>
      </c>
      <c r="D250" t="s">
        <v>2129</v>
      </c>
    </row>
    <row r="251" spans="1:4">
      <c r="A251">
        <v>247</v>
      </c>
      <c r="B251" s="13">
        <v>45789</v>
      </c>
      <c r="C251" t="s">
        <v>2132</v>
      </c>
      <c r="D251" t="s">
        <v>2135</v>
      </c>
    </row>
    <row r="252" spans="1:4">
      <c r="A252">
        <v>248</v>
      </c>
      <c r="B252" s="13">
        <v>45789</v>
      </c>
      <c r="C252" t="s">
        <v>1398</v>
      </c>
      <c r="D252" t="s">
        <v>2137</v>
      </c>
    </row>
    <row r="253" spans="1:4">
      <c r="A253">
        <v>249</v>
      </c>
      <c r="B253" s="13">
        <v>45789</v>
      </c>
      <c r="C253" t="s">
        <v>1468</v>
      </c>
      <c r="D253" t="s">
        <v>2138</v>
      </c>
    </row>
    <row r="254" spans="1:4">
      <c r="A254">
        <v>250</v>
      </c>
      <c r="B254" s="13">
        <v>45790</v>
      </c>
      <c r="C254" t="s">
        <v>1448</v>
      </c>
      <c r="D254" t="s">
        <v>2140</v>
      </c>
    </row>
    <row r="255" spans="1:4">
      <c r="A255">
        <v>251</v>
      </c>
      <c r="B255" s="13">
        <v>45790</v>
      </c>
      <c r="C255" t="s">
        <v>1930</v>
      </c>
      <c r="D255" t="s">
        <v>2141</v>
      </c>
    </row>
    <row r="256" spans="1:4">
      <c r="A256">
        <v>252</v>
      </c>
      <c r="B256" s="13">
        <v>45790</v>
      </c>
      <c r="C256" t="s">
        <v>1468</v>
      </c>
      <c r="D256" t="s">
        <v>2142</v>
      </c>
    </row>
    <row r="257" spans="1:4">
      <c r="A257">
        <v>253</v>
      </c>
      <c r="B257" s="13">
        <v>45790</v>
      </c>
      <c r="C257" t="s">
        <v>1789</v>
      </c>
      <c r="D257" t="s">
        <v>2143</v>
      </c>
    </row>
    <row r="258" spans="1:4">
      <c r="A258">
        <v>254</v>
      </c>
      <c r="B258" s="13">
        <v>45790</v>
      </c>
      <c r="C258" t="s">
        <v>2144</v>
      </c>
      <c r="D258" t="s">
        <v>2145</v>
      </c>
    </row>
    <row r="259" spans="1:4">
      <c r="A259">
        <v>255</v>
      </c>
      <c r="B259" s="13">
        <v>45790</v>
      </c>
      <c r="C259" t="s">
        <v>1875</v>
      </c>
      <c r="D259" t="s">
        <v>2146</v>
      </c>
    </row>
    <row r="260" spans="1:4">
      <c r="A260">
        <v>256</v>
      </c>
      <c r="B260" s="13">
        <v>45790</v>
      </c>
      <c r="C260" t="s">
        <v>1398</v>
      </c>
      <c r="D260" t="s">
        <v>2153</v>
      </c>
    </row>
    <row r="261" spans="1:4">
      <c r="A261">
        <v>257</v>
      </c>
      <c r="B261" s="13">
        <v>45790</v>
      </c>
      <c r="C261" t="s">
        <v>1305</v>
      </c>
      <c r="D261" t="s">
        <v>2156</v>
      </c>
    </row>
    <row r="262" spans="1:4">
      <c r="A262">
        <v>258</v>
      </c>
      <c r="B262" s="13">
        <v>45790</v>
      </c>
      <c r="C262" t="s">
        <v>1670</v>
      </c>
      <c r="D262" t="s">
        <v>2158</v>
      </c>
    </row>
    <row r="263" spans="1:4">
      <c r="A263">
        <v>259</v>
      </c>
      <c r="B263" s="13">
        <v>45790</v>
      </c>
      <c r="C263" t="s">
        <v>1377</v>
      </c>
      <c r="D263" t="s">
        <v>2160</v>
      </c>
    </row>
    <row r="264" spans="1:4">
      <c r="A264">
        <v>260</v>
      </c>
      <c r="B264" s="13">
        <v>45791</v>
      </c>
      <c r="C264" t="s">
        <v>1721</v>
      </c>
      <c r="D264" t="s">
        <v>2164</v>
      </c>
    </row>
    <row r="265" spans="1:4">
      <c r="A265">
        <v>261</v>
      </c>
      <c r="B265" s="13">
        <v>45791</v>
      </c>
      <c r="C265" t="s">
        <v>2170</v>
      </c>
      <c r="D265" t="s">
        <v>2172</v>
      </c>
    </row>
    <row r="266" spans="1:4">
      <c r="A266">
        <v>262</v>
      </c>
      <c r="B266" s="13">
        <v>45791</v>
      </c>
      <c r="C266" t="s">
        <v>1018</v>
      </c>
      <c r="D266" t="s">
        <v>2173</v>
      </c>
    </row>
    <row r="267" spans="1:4">
      <c r="A267">
        <v>263</v>
      </c>
      <c r="B267" s="13">
        <v>45791</v>
      </c>
      <c r="C267" t="s">
        <v>1789</v>
      </c>
      <c r="D267" t="s">
        <v>2175</v>
      </c>
    </row>
    <row r="268" spans="1:4">
      <c r="A268">
        <v>264</v>
      </c>
      <c r="B268" s="13">
        <v>45791</v>
      </c>
      <c r="C268" t="s">
        <v>1597</v>
      </c>
      <c r="D268" t="s">
        <v>2176</v>
      </c>
    </row>
    <row r="269" spans="1:4">
      <c r="A269">
        <v>265</v>
      </c>
      <c r="B269" s="13">
        <v>45792</v>
      </c>
      <c r="C269" t="s">
        <v>1579</v>
      </c>
      <c r="D269" t="s">
        <v>2207</v>
      </c>
    </row>
    <row r="270" spans="1:4">
      <c r="A270">
        <v>266</v>
      </c>
      <c r="B270" s="13">
        <v>45792</v>
      </c>
      <c r="C270" t="s">
        <v>2088</v>
      </c>
      <c r="D270" t="s">
        <v>2208</v>
      </c>
    </row>
    <row r="271" spans="1:4">
      <c r="A271">
        <v>267</v>
      </c>
      <c r="B271" s="13">
        <v>45792</v>
      </c>
      <c r="C271" t="s">
        <v>1540</v>
      </c>
      <c r="D271" t="s">
        <v>2209</v>
      </c>
    </row>
    <row r="272" spans="1:4">
      <c r="A272">
        <v>268</v>
      </c>
      <c r="B272" s="13">
        <v>45792</v>
      </c>
      <c r="C272" t="s">
        <v>1746</v>
      </c>
      <c r="D272" t="s">
        <v>2211</v>
      </c>
    </row>
    <row r="273" spans="1:5">
      <c r="A273">
        <v>269</v>
      </c>
      <c r="B273" s="13">
        <v>45792</v>
      </c>
      <c r="C273" t="s">
        <v>1746</v>
      </c>
      <c r="D273" t="s">
        <v>2213</v>
      </c>
    </row>
    <row r="274" spans="1:5">
      <c r="A274">
        <v>270</v>
      </c>
      <c r="B274" s="13">
        <v>45792</v>
      </c>
      <c r="C274" t="s">
        <v>1869</v>
      </c>
      <c r="D274" t="s">
        <v>2217</v>
      </c>
    </row>
    <row r="275" spans="1:5">
      <c r="A275">
        <v>271</v>
      </c>
      <c r="B275" s="13">
        <v>45793</v>
      </c>
      <c r="C275" t="s">
        <v>2094</v>
      </c>
      <c r="D275" t="s">
        <v>2225</v>
      </c>
    </row>
    <row r="276" spans="1:5">
      <c r="A276">
        <v>272</v>
      </c>
      <c r="B276" s="13">
        <v>45793</v>
      </c>
      <c r="C276" t="s">
        <v>1746</v>
      </c>
      <c r="D276" t="s">
        <v>2226</v>
      </c>
    </row>
    <row r="277" spans="1:5">
      <c r="A277">
        <v>273</v>
      </c>
      <c r="B277" s="13">
        <v>45793</v>
      </c>
      <c r="C277" t="s">
        <v>1869</v>
      </c>
      <c r="D277" t="s">
        <v>2228</v>
      </c>
    </row>
    <row r="278" spans="1:5">
      <c r="A278">
        <v>274</v>
      </c>
      <c r="B278" s="13">
        <v>45794</v>
      </c>
      <c r="C278" t="s">
        <v>1846</v>
      </c>
      <c r="D278" t="s">
        <v>2230</v>
      </c>
    </row>
    <row r="279" spans="1:5">
      <c r="A279">
        <v>275</v>
      </c>
      <c r="B279" s="13">
        <v>45794</v>
      </c>
      <c r="C279" t="s">
        <v>1746</v>
      </c>
      <c r="D279" t="s">
        <v>2231</v>
      </c>
    </row>
    <row r="280" spans="1:5">
      <c r="A280">
        <v>276</v>
      </c>
      <c r="B280" s="13">
        <v>45794</v>
      </c>
      <c r="C280" t="s">
        <v>1053</v>
      </c>
      <c r="D280" t="s">
        <v>2232</v>
      </c>
    </row>
    <row r="281" spans="1:5">
      <c r="A281">
        <v>277</v>
      </c>
      <c r="B281" s="13">
        <v>45794</v>
      </c>
      <c r="C281" t="s">
        <v>1443</v>
      </c>
      <c r="D281" t="s">
        <v>2236</v>
      </c>
    </row>
    <row r="282" spans="1:5">
      <c r="A282">
        <v>278</v>
      </c>
      <c r="B282" s="13">
        <v>45794</v>
      </c>
      <c r="C282" t="s">
        <v>2238</v>
      </c>
      <c r="D282" t="s">
        <v>2239</v>
      </c>
    </row>
    <row r="283" spans="1:5">
      <c r="A283">
        <v>279</v>
      </c>
      <c r="B283" s="13">
        <v>45794</v>
      </c>
      <c r="C283" t="s">
        <v>1721</v>
      </c>
      <c r="D283" t="s">
        <v>2241</v>
      </c>
    </row>
    <row r="284" spans="1:5">
      <c r="A284">
        <v>280</v>
      </c>
      <c r="B284" s="13">
        <v>45794</v>
      </c>
      <c r="C284" t="s">
        <v>1390</v>
      </c>
      <c r="D284" t="s">
        <v>2242</v>
      </c>
    </row>
    <row r="285" spans="1:5">
      <c r="A285">
        <v>281</v>
      </c>
      <c r="B285" s="13">
        <v>45796</v>
      </c>
      <c r="C285" t="s">
        <v>1146</v>
      </c>
      <c r="D285" t="s">
        <v>2246</v>
      </c>
    </row>
    <row r="286" spans="1:5">
      <c r="A286">
        <v>282</v>
      </c>
      <c r="B286" s="13">
        <v>45796</v>
      </c>
      <c r="C286" t="s">
        <v>1053</v>
      </c>
      <c r="D286" t="s">
        <v>2249</v>
      </c>
      <c r="E286" t="s">
        <v>2248</v>
      </c>
    </row>
    <row r="287" spans="1:5">
      <c r="A287">
        <v>283</v>
      </c>
      <c r="B287" s="13">
        <v>45797</v>
      </c>
      <c r="C287" t="s">
        <v>1015</v>
      </c>
      <c r="D287" t="s">
        <v>2250</v>
      </c>
    </row>
    <row r="288" spans="1:5">
      <c r="A288">
        <v>284</v>
      </c>
      <c r="B288" s="13">
        <v>45797</v>
      </c>
      <c r="C288" t="s">
        <v>1579</v>
      </c>
      <c r="D288" t="s">
        <v>2251</v>
      </c>
    </row>
    <row r="289" spans="1:4">
      <c r="A289">
        <v>285</v>
      </c>
      <c r="B289" s="13">
        <v>45797</v>
      </c>
      <c r="C289" t="s">
        <v>1860</v>
      </c>
      <c r="D289" t="s">
        <v>2252</v>
      </c>
    </row>
    <row r="290" spans="1:4">
      <c r="A290">
        <v>286</v>
      </c>
      <c r="B290" s="13">
        <v>45798</v>
      </c>
      <c r="C290" t="s">
        <v>1553</v>
      </c>
      <c r="D290" t="s">
        <v>2256</v>
      </c>
    </row>
    <row r="291" spans="1:4">
      <c r="A291">
        <v>287</v>
      </c>
      <c r="B291" s="13">
        <v>45798</v>
      </c>
      <c r="C291" t="s">
        <v>2257</v>
      </c>
      <c r="D291" t="s">
        <v>2258</v>
      </c>
    </row>
    <row r="292" spans="1:4">
      <c r="A292">
        <v>288</v>
      </c>
      <c r="B292" s="13">
        <v>45798</v>
      </c>
      <c r="C292" t="s">
        <v>1670</v>
      </c>
      <c r="D292" t="s">
        <v>2259</v>
      </c>
    </row>
    <row r="293" spans="1:4">
      <c r="A293">
        <v>289</v>
      </c>
      <c r="B293" s="13">
        <v>45798</v>
      </c>
      <c r="C293" t="s">
        <v>2260</v>
      </c>
      <c r="D293" t="s">
        <v>2261</v>
      </c>
    </row>
    <row r="294" spans="1:4">
      <c r="A294">
        <v>290</v>
      </c>
      <c r="B294" s="13">
        <v>45798</v>
      </c>
      <c r="C294" t="s">
        <v>1860</v>
      </c>
      <c r="D294" t="s">
        <v>2262</v>
      </c>
    </row>
    <row r="295" spans="1:4">
      <c r="A295">
        <v>291</v>
      </c>
      <c r="B295" s="13">
        <v>45799</v>
      </c>
      <c r="C295" t="s">
        <v>1398</v>
      </c>
      <c r="D295" t="s">
        <v>2263</v>
      </c>
    </row>
    <row r="296" spans="1:4">
      <c r="A296">
        <v>292</v>
      </c>
      <c r="B296" s="13">
        <v>45799</v>
      </c>
      <c r="C296" t="s">
        <v>1053</v>
      </c>
      <c r="D296" t="s">
        <v>2264</v>
      </c>
    </row>
    <row r="297" spans="1:4">
      <c r="A297">
        <v>293</v>
      </c>
      <c r="B297" s="13">
        <v>45799</v>
      </c>
      <c r="C297" t="s">
        <v>1553</v>
      </c>
      <c r="D297" t="s">
        <v>2265</v>
      </c>
    </row>
    <row r="298" spans="1:4">
      <c r="A298">
        <v>294</v>
      </c>
      <c r="B298" s="13">
        <v>45799</v>
      </c>
      <c r="C298" t="s">
        <v>1448</v>
      </c>
      <c r="D298" t="s">
        <v>2267</v>
      </c>
    </row>
    <row r="299" spans="1:4">
      <c r="A299">
        <v>295</v>
      </c>
      <c r="B299" s="13">
        <v>45799</v>
      </c>
      <c r="C299" t="s">
        <v>1478</v>
      </c>
      <c r="D299" t="s">
        <v>2268</v>
      </c>
    </row>
    <row r="300" spans="1:4">
      <c r="A300">
        <v>296</v>
      </c>
      <c r="B300" s="13">
        <v>45800</v>
      </c>
      <c r="C300" t="s">
        <v>1053</v>
      </c>
      <c r="D300" t="s">
        <v>2274</v>
      </c>
    </row>
    <row r="301" spans="1:4">
      <c r="A301">
        <v>297</v>
      </c>
      <c r="B301" s="13">
        <v>45800</v>
      </c>
      <c r="C301" t="s">
        <v>2275</v>
      </c>
      <c r="D301" t="s">
        <v>2279</v>
      </c>
    </row>
    <row r="302" spans="1:4">
      <c r="A302">
        <v>298</v>
      </c>
      <c r="B302" s="13">
        <v>45800</v>
      </c>
      <c r="C302" t="s">
        <v>1053</v>
      </c>
      <c r="D302" t="s">
        <v>2280</v>
      </c>
    </row>
    <row r="303" spans="1:4">
      <c r="A303">
        <v>299</v>
      </c>
      <c r="B303" s="13">
        <v>45800</v>
      </c>
      <c r="C303" t="s">
        <v>1721</v>
      </c>
      <c r="D303" t="s">
        <v>2281</v>
      </c>
    </row>
    <row r="304" spans="1:4">
      <c r="A304">
        <v>300</v>
      </c>
      <c r="B304" s="13">
        <v>45801</v>
      </c>
      <c r="C304" t="s">
        <v>1451</v>
      </c>
      <c r="D304" t="s">
        <v>2287</v>
      </c>
    </row>
    <row r="305" spans="1:4">
      <c r="A305">
        <v>301</v>
      </c>
      <c r="B305" s="13">
        <v>45801</v>
      </c>
      <c r="C305" t="s">
        <v>1018</v>
      </c>
      <c r="D305" t="s">
        <v>2288</v>
      </c>
    </row>
    <row r="306" spans="1:4">
      <c r="A306">
        <v>302</v>
      </c>
      <c r="B306" s="13">
        <v>45801</v>
      </c>
      <c r="C306" t="s">
        <v>1543</v>
      </c>
      <c r="D306" t="s">
        <v>2290</v>
      </c>
    </row>
    <row r="307" spans="1:4">
      <c r="A307">
        <v>303</v>
      </c>
      <c r="B307" s="13">
        <v>45803</v>
      </c>
      <c r="C307" t="s">
        <v>2291</v>
      </c>
      <c r="D307" t="s">
        <v>2295</v>
      </c>
    </row>
    <row r="308" spans="1:4">
      <c r="A308">
        <v>304</v>
      </c>
      <c r="B308" s="13">
        <v>45803</v>
      </c>
      <c r="C308" t="s">
        <v>1398</v>
      </c>
      <c r="D308" t="s">
        <v>2296</v>
      </c>
    </row>
    <row r="309" spans="1:4">
      <c r="A309">
        <v>305</v>
      </c>
      <c r="B309" s="13">
        <v>45803</v>
      </c>
      <c r="C309" t="s">
        <v>1576</v>
      </c>
      <c r="D309" t="s">
        <v>2297</v>
      </c>
    </row>
    <row r="310" spans="1:4">
      <c r="A310">
        <v>306</v>
      </c>
      <c r="B310" s="13">
        <v>45803</v>
      </c>
      <c r="C310" t="s">
        <v>2118</v>
      </c>
      <c r="D310" t="s">
        <v>2299</v>
      </c>
    </row>
    <row r="311" spans="1:4">
      <c r="A311">
        <v>307</v>
      </c>
      <c r="B311" s="13">
        <v>45803</v>
      </c>
      <c r="C311" t="s">
        <v>1018</v>
      </c>
      <c r="D311" t="s">
        <v>2300</v>
      </c>
    </row>
    <row r="312" spans="1:4">
      <c r="A312">
        <v>308</v>
      </c>
      <c r="B312" s="13">
        <v>45803</v>
      </c>
      <c r="C312" t="s">
        <v>1670</v>
      </c>
      <c r="D312" t="s">
        <v>2301</v>
      </c>
    </row>
    <row r="313" spans="1:4">
      <c r="A313">
        <v>309</v>
      </c>
      <c r="B313" s="13">
        <v>45803</v>
      </c>
      <c r="C313" t="s">
        <v>1585</v>
      </c>
      <c r="D313" t="s">
        <v>2304</v>
      </c>
    </row>
    <row r="314" spans="1:4">
      <c r="A314">
        <v>310</v>
      </c>
      <c r="B314" s="13">
        <v>45804</v>
      </c>
      <c r="C314" t="s">
        <v>1478</v>
      </c>
      <c r="D314" t="s">
        <v>2307</v>
      </c>
    </row>
    <row r="315" spans="1:4">
      <c r="A315">
        <v>311</v>
      </c>
      <c r="B315" s="13">
        <v>45804</v>
      </c>
      <c r="C315" t="s">
        <v>1721</v>
      </c>
      <c r="D315" t="s">
        <v>2308</v>
      </c>
    </row>
    <row r="316" spans="1:4">
      <c r="A316">
        <v>312</v>
      </c>
      <c r="B316" s="13">
        <v>45804</v>
      </c>
      <c r="C316" t="s">
        <v>1576</v>
      </c>
      <c r="D316" t="s">
        <v>2309</v>
      </c>
    </row>
    <row r="317" spans="1:4">
      <c r="A317">
        <v>313</v>
      </c>
      <c r="B317" s="13">
        <v>45804</v>
      </c>
      <c r="C317" t="s">
        <v>1372</v>
      </c>
      <c r="D317" t="s">
        <v>2310</v>
      </c>
    </row>
    <row r="318" spans="1:4">
      <c r="A318">
        <v>314</v>
      </c>
      <c r="B318" s="13">
        <v>45804</v>
      </c>
      <c r="C318" t="s">
        <v>1540</v>
      </c>
      <c r="D318" t="s">
        <v>2313</v>
      </c>
    </row>
    <row r="319" spans="1:4">
      <c r="A319">
        <v>343</v>
      </c>
      <c r="B319" s="13">
        <v>45806</v>
      </c>
      <c r="C319" t="s">
        <v>2260</v>
      </c>
      <c r="D319" t="s">
        <v>2322</v>
      </c>
    </row>
    <row r="320" spans="1:4">
      <c r="A320">
        <v>344</v>
      </c>
      <c r="B320" s="13">
        <v>45806</v>
      </c>
      <c r="C320" t="s">
        <v>1390</v>
      </c>
      <c r="D320" t="s">
        <v>2323</v>
      </c>
    </row>
    <row r="321" spans="1:4">
      <c r="A321">
        <v>345</v>
      </c>
      <c r="B321" s="13">
        <v>45806</v>
      </c>
      <c r="C321" t="s">
        <v>1398</v>
      </c>
      <c r="D321" t="s">
        <v>2324</v>
      </c>
    </row>
    <row r="322" spans="1:4">
      <c r="A322">
        <v>346</v>
      </c>
      <c r="B322" s="13">
        <v>45807</v>
      </c>
      <c r="C322" t="s">
        <v>1520</v>
      </c>
      <c r="D322" t="s">
        <v>2325</v>
      </c>
    </row>
    <row r="323" spans="1:4">
      <c r="A323">
        <v>347</v>
      </c>
      <c r="B323" s="13">
        <v>45807</v>
      </c>
      <c r="C323" t="s">
        <v>1478</v>
      </c>
      <c r="D323" t="s">
        <v>2330</v>
      </c>
    </row>
    <row r="324" spans="1:4">
      <c r="A324">
        <v>348</v>
      </c>
      <c r="B324" s="13">
        <v>45807</v>
      </c>
      <c r="C324" t="s">
        <v>2331</v>
      </c>
      <c r="D324" t="s">
        <v>2332</v>
      </c>
    </row>
    <row r="325" spans="1:4">
      <c r="A325">
        <v>349</v>
      </c>
      <c r="B325" s="13">
        <v>45807</v>
      </c>
      <c r="C325" t="s">
        <v>1053</v>
      </c>
      <c r="D325" t="s">
        <v>2333</v>
      </c>
    </row>
    <row r="326" spans="1:4">
      <c r="A326">
        <v>350</v>
      </c>
      <c r="B326" s="13">
        <v>45807</v>
      </c>
      <c r="C326" t="s">
        <v>2318</v>
      </c>
      <c r="D326" t="s">
        <v>2334</v>
      </c>
    </row>
    <row r="327" spans="1:4">
      <c r="A327">
        <v>351</v>
      </c>
      <c r="B327" s="13">
        <v>45807</v>
      </c>
      <c r="C327" t="s">
        <v>2100</v>
      </c>
      <c r="D327" t="s">
        <v>2335</v>
      </c>
    </row>
    <row r="328" spans="1:4">
      <c r="A328">
        <v>352</v>
      </c>
      <c r="B328" s="13">
        <v>45807</v>
      </c>
      <c r="C328" t="s">
        <v>1441</v>
      </c>
      <c r="D328" t="s">
        <v>2337</v>
      </c>
    </row>
    <row r="329" spans="1:4">
      <c r="A329">
        <v>353</v>
      </c>
      <c r="B329" s="13">
        <v>45808</v>
      </c>
      <c r="C329" t="s">
        <v>1237</v>
      </c>
      <c r="D329" t="s">
        <v>2342</v>
      </c>
    </row>
    <row r="330" spans="1:4">
      <c r="A330">
        <v>354</v>
      </c>
      <c r="B330" s="13">
        <v>45808</v>
      </c>
      <c r="C330" t="s">
        <v>1305</v>
      </c>
      <c r="D330" t="s">
        <v>2343</v>
      </c>
    </row>
    <row r="331" spans="1:4">
      <c r="A331">
        <v>355</v>
      </c>
      <c r="B331" s="13">
        <v>45808</v>
      </c>
      <c r="C331" t="s">
        <v>1721</v>
      </c>
      <c r="D331" t="s">
        <v>2349</v>
      </c>
    </row>
    <row r="332" spans="1:4">
      <c r="A332">
        <v>356</v>
      </c>
      <c r="B332" s="13">
        <v>45810</v>
      </c>
      <c r="C332" t="s">
        <v>987</v>
      </c>
      <c r="D332" t="s">
        <v>2351</v>
      </c>
    </row>
    <row r="333" spans="1:4">
      <c r="A333">
        <v>357</v>
      </c>
      <c r="B333" s="13">
        <v>45810</v>
      </c>
      <c r="C333" t="s">
        <v>1540</v>
      </c>
      <c r="D333" t="s">
        <v>2352</v>
      </c>
    </row>
    <row r="334" spans="1:4">
      <c r="A334">
        <v>358</v>
      </c>
      <c r="B334" s="13">
        <v>45810</v>
      </c>
      <c r="C334" t="s">
        <v>2291</v>
      </c>
      <c r="D334" t="s">
        <v>2353</v>
      </c>
    </row>
    <row r="335" spans="1:4">
      <c r="A335">
        <v>359</v>
      </c>
      <c r="B335" s="13">
        <v>45810</v>
      </c>
      <c r="C335" t="s">
        <v>1455</v>
      </c>
      <c r="D335" t="s">
        <v>2354</v>
      </c>
    </row>
    <row r="336" spans="1:4">
      <c r="A336">
        <v>360</v>
      </c>
      <c r="B336" s="13">
        <v>45810</v>
      </c>
      <c r="C336" t="s">
        <v>1540</v>
      </c>
      <c r="D336" t="s">
        <v>2355</v>
      </c>
    </row>
    <row r="337" spans="1:4">
      <c r="A337">
        <v>361</v>
      </c>
      <c r="B337" s="13">
        <v>45810</v>
      </c>
      <c r="C337" t="s">
        <v>2257</v>
      </c>
      <c r="D337" t="s">
        <v>2358</v>
      </c>
    </row>
    <row r="338" spans="1:4">
      <c r="A338">
        <v>362</v>
      </c>
      <c r="B338" s="13">
        <v>45811</v>
      </c>
      <c r="C338" t="s">
        <v>1595</v>
      </c>
      <c r="D338" t="s">
        <v>2360</v>
      </c>
    </row>
    <row r="339" spans="1:4">
      <c r="A339">
        <v>363</v>
      </c>
      <c r="B339" s="13">
        <v>45811</v>
      </c>
      <c r="C339" t="s">
        <v>1448</v>
      </c>
      <c r="D339" t="s">
        <v>2362</v>
      </c>
    </row>
    <row r="340" spans="1:4">
      <c r="A340">
        <v>364</v>
      </c>
      <c r="B340" s="13">
        <v>45811</v>
      </c>
      <c r="C340" t="s">
        <v>2363</v>
      </c>
      <c r="D340" t="s">
        <v>2366</v>
      </c>
    </row>
    <row r="341" spans="1:4">
      <c r="A341">
        <v>365</v>
      </c>
      <c r="B341" s="13">
        <v>45811</v>
      </c>
      <c r="C341" t="s">
        <v>2363</v>
      </c>
      <c r="D341" t="s">
        <v>2367</v>
      </c>
    </row>
    <row r="342" spans="1:4">
      <c r="A342">
        <v>366</v>
      </c>
      <c r="B342" s="13">
        <v>45807</v>
      </c>
      <c r="C342" t="s">
        <v>1015</v>
      </c>
      <c r="D342" t="s">
        <v>2376</v>
      </c>
    </row>
    <row r="343" spans="1:4">
      <c r="A343">
        <v>367</v>
      </c>
      <c r="B343" s="13">
        <v>45812</v>
      </c>
      <c r="C343" t="s">
        <v>1597</v>
      </c>
      <c r="D343" t="s">
        <v>2377</v>
      </c>
    </row>
    <row r="344" spans="1:4">
      <c r="A344">
        <v>368</v>
      </c>
      <c r="B344" s="13">
        <v>45812</v>
      </c>
      <c r="C344" t="s">
        <v>2378</v>
      </c>
      <c r="D344" t="s">
        <v>2383</v>
      </c>
    </row>
    <row r="345" spans="1:4">
      <c r="A345">
        <v>369</v>
      </c>
      <c r="B345" s="13">
        <v>45812</v>
      </c>
      <c r="C345" t="s">
        <v>1579</v>
      </c>
      <c r="D345" t="s">
        <v>2386</v>
      </c>
    </row>
    <row r="346" spans="1:4">
      <c r="A346">
        <v>370</v>
      </c>
      <c r="B346" s="13">
        <v>45813</v>
      </c>
      <c r="C346" t="s">
        <v>1540</v>
      </c>
      <c r="D346" t="s">
        <v>2391</v>
      </c>
    </row>
    <row r="347" spans="1:4">
      <c r="A347">
        <v>371</v>
      </c>
      <c r="B347" s="13">
        <v>45813</v>
      </c>
      <c r="C347" t="s">
        <v>1540</v>
      </c>
      <c r="D347" t="s">
        <v>2392</v>
      </c>
    </row>
    <row r="348" spans="1:4">
      <c r="A348">
        <v>372</v>
      </c>
      <c r="B348" s="13">
        <v>45813</v>
      </c>
      <c r="C348" t="s">
        <v>1455</v>
      </c>
      <c r="D348" t="s">
        <v>2393</v>
      </c>
    </row>
    <row r="349" spans="1:4">
      <c r="A349">
        <v>373</v>
      </c>
      <c r="B349" s="13">
        <v>45813</v>
      </c>
      <c r="C349" t="s">
        <v>1146</v>
      </c>
      <c r="D349" t="s">
        <v>2396</v>
      </c>
    </row>
    <row r="350" spans="1:4">
      <c r="A350">
        <v>374</v>
      </c>
      <c r="B350" s="13">
        <v>45813</v>
      </c>
      <c r="C350" t="s">
        <v>2403</v>
      </c>
      <c r="D350" t="s">
        <v>2404</v>
      </c>
    </row>
    <row r="351" spans="1:4">
      <c r="A351">
        <v>375</v>
      </c>
      <c r="B351" s="13">
        <v>45814</v>
      </c>
      <c r="C351" t="s">
        <v>1721</v>
      </c>
      <c r="D351" t="s">
        <v>2405</v>
      </c>
    </row>
    <row r="352" spans="1:4">
      <c r="A352">
        <v>376</v>
      </c>
      <c r="B352" s="13">
        <v>45815</v>
      </c>
      <c r="C352" t="s">
        <v>1721</v>
      </c>
      <c r="D352" t="s">
        <v>2406</v>
      </c>
    </row>
    <row r="353" spans="1:4">
      <c r="A353">
        <v>377</v>
      </c>
      <c r="B353" s="13">
        <v>45817</v>
      </c>
      <c r="C353" t="s">
        <v>2408</v>
      </c>
      <c r="D353" t="s">
        <v>2409</v>
      </c>
    </row>
    <row r="354" spans="1:4">
      <c r="A354">
        <v>378</v>
      </c>
      <c r="B354" s="13">
        <v>45817</v>
      </c>
      <c r="C354" t="s">
        <v>987</v>
      </c>
      <c r="D354" t="s">
        <v>2410</v>
      </c>
    </row>
    <row r="355" spans="1:4">
      <c r="A355">
        <v>379</v>
      </c>
      <c r="B355" s="13">
        <v>45817</v>
      </c>
      <c r="C355" t="s">
        <v>1146</v>
      </c>
      <c r="D355" t="s">
        <v>2413</v>
      </c>
    </row>
    <row r="356" spans="1:4">
      <c r="A356">
        <v>380</v>
      </c>
      <c r="B356" s="13">
        <v>45817</v>
      </c>
      <c r="C356" t="s">
        <v>1721</v>
      </c>
      <c r="D356" t="s">
        <v>2414</v>
      </c>
    </row>
    <row r="357" spans="1:4">
      <c r="A357">
        <v>381</v>
      </c>
      <c r="B357" s="13">
        <v>45817</v>
      </c>
      <c r="C357" t="s">
        <v>1018</v>
      </c>
      <c r="D357" t="s">
        <v>2417</v>
      </c>
    </row>
    <row r="358" spans="1:4">
      <c r="A358">
        <v>382</v>
      </c>
      <c r="B358" s="13">
        <v>45817</v>
      </c>
      <c r="C358" t="s">
        <v>1443</v>
      </c>
      <c r="D358" t="s">
        <v>2418</v>
      </c>
    </row>
    <row r="359" spans="1:4">
      <c r="A359">
        <v>383</v>
      </c>
      <c r="B359" s="13">
        <v>45817</v>
      </c>
      <c r="C359" t="s">
        <v>1398</v>
      </c>
      <c r="D359" t="s">
        <v>2419</v>
      </c>
    </row>
    <row r="360" spans="1:4">
      <c r="A360">
        <v>384</v>
      </c>
      <c r="B360" s="13">
        <v>45817</v>
      </c>
      <c r="C360" t="s">
        <v>1579</v>
      </c>
      <c r="D360" t="s">
        <v>2420</v>
      </c>
    </row>
    <row r="361" spans="1:4">
      <c r="A361">
        <v>385</v>
      </c>
      <c r="B361" s="13">
        <v>45817</v>
      </c>
      <c r="C361" t="s">
        <v>1576</v>
      </c>
      <c r="D361" t="s">
        <v>2426</v>
      </c>
    </row>
    <row r="362" spans="1:4">
      <c r="A362">
        <v>386</v>
      </c>
      <c r="B362" s="13">
        <v>45817</v>
      </c>
      <c r="C362" t="s">
        <v>1721</v>
      </c>
      <c r="D362" t="s">
        <v>2434</v>
      </c>
    </row>
    <row r="363" spans="1:4">
      <c r="A363">
        <v>387</v>
      </c>
      <c r="B363" s="13">
        <v>45817</v>
      </c>
      <c r="C363" t="s">
        <v>1398</v>
      </c>
      <c r="D363" t="s">
        <v>2435</v>
      </c>
    </row>
    <row r="364" spans="1:4">
      <c r="A364">
        <v>388</v>
      </c>
      <c r="B364" s="13">
        <v>45818</v>
      </c>
      <c r="C364" t="s">
        <v>2363</v>
      </c>
      <c r="D364" t="s">
        <v>2450</v>
      </c>
    </row>
    <row r="365" spans="1:4">
      <c r="A365">
        <v>389</v>
      </c>
      <c r="B365" s="13">
        <v>45818</v>
      </c>
      <c r="C365" t="s">
        <v>1746</v>
      </c>
      <c r="D365" t="s">
        <v>2451</v>
      </c>
    </row>
    <row r="366" spans="1:4">
      <c r="A366">
        <v>390</v>
      </c>
      <c r="B366" s="13">
        <v>45818</v>
      </c>
      <c r="C366" t="s">
        <v>1398</v>
      </c>
      <c r="D366" t="s">
        <v>2452</v>
      </c>
    </row>
    <row r="367" spans="1:4">
      <c r="A367">
        <v>391</v>
      </c>
      <c r="B367" s="13">
        <v>45818</v>
      </c>
      <c r="C367" t="s">
        <v>1305</v>
      </c>
      <c r="D367" t="s">
        <v>2454</v>
      </c>
    </row>
    <row r="368" spans="1:4">
      <c r="A368">
        <v>392</v>
      </c>
      <c r="B368" s="13">
        <v>45818</v>
      </c>
      <c r="C368" t="s">
        <v>1576</v>
      </c>
      <c r="D368" t="s">
        <v>2455</v>
      </c>
    </row>
    <row r="369" spans="1:4">
      <c r="A369">
        <v>393</v>
      </c>
      <c r="B369" s="13">
        <v>45818</v>
      </c>
      <c r="C369" t="s">
        <v>1443</v>
      </c>
      <c r="D369" t="s">
        <v>2457</v>
      </c>
    </row>
    <row r="370" spans="1:4">
      <c r="A370">
        <v>394</v>
      </c>
      <c r="B370" s="13">
        <v>45818</v>
      </c>
      <c r="C370" t="s">
        <v>2318</v>
      </c>
      <c r="D370" t="s">
        <v>2459</v>
      </c>
    </row>
    <row r="371" spans="1:4">
      <c r="A371">
        <v>395</v>
      </c>
      <c r="B371" s="13">
        <v>45818</v>
      </c>
      <c r="C371" t="s">
        <v>1893</v>
      </c>
      <c r="D371" t="s">
        <v>2460</v>
      </c>
    </row>
    <row r="372" spans="1:4">
      <c r="A372">
        <v>396</v>
      </c>
      <c r="B372" s="13">
        <v>45819</v>
      </c>
      <c r="C372" t="s">
        <v>1448</v>
      </c>
      <c r="D372" t="s">
        <v>2462</v>
      </c>
    </row>
    <row r="373" spans="1:4">
      <c r="A373">
        <v>397</v>
      </c>
      <c r="B373" s="13">
        <v>45819</v>
      </c>
      <c r="C373" t="s">
        <v>2369</v>
      </c>
      <c r="D373" t="s">
        <v>2473</v>
      </c>
    </row>
    <row r="374" spans="1:4">
      <c r="A374">
        <v>398</v>
      </c>
      <c r="B374" s="13">
        <v>45819</v>
      </c>
      <c r="C374" t="s">
        <v>2474</v>
      </c>
      <c r="D374" t="s">
        <v>2475</v>
      </c>
    </row>
    <row r="375" spans="1:4">
      <c r="A375">
        <v>399</v>
      </c>
      <c r="B375" s="13">
        <v>45819</v>
      </c>
      <c r="C375" t="s">
        <v>1451</v>
      </c>
      <c r="D375" t="s">
        <v>2477</v>
      </c>
    </row>
    <row r="376" spans="1:4">
      <c r="A376">
        <v>400</v>
      </c>
      <c r="B376" s="13">
        <v>45819</v>
      </c>
      <c r="C376" t="s">
        <v>1372</v>
      </c>
      <c r="D376" t="s">
        <v>2478</v>
      </c>
    </row>
    <row r="377" spans="1:4">
      <c r="A377">
        <v>401</v>
      </c>
      <c r="B377" s="13">
        <v>45819</v>
      </c>
      <c r="C377" t="s">
        <v>2465</v>
      </c>
      <c r="D377" t="s">
        <v>2479</v>
      </c>
    </row>
    <row r="378" spans="1:4">
      <c r="A378">
        <v>402</v>
      </c>
      <c r="B378" s="13">
        <v>45819</v>
      </c>
      <c r="C378" t="s">
        <v>1448</v>
      </c>
      <c r="D378" t="s">
        <v>2480</v>
      </c>
    </row>
    <row r="379" spans="1:4">
      <c r="A379">
        <v>403</v>
      </c>
      <c r="B379" s="13">
        <v>45820</v>
      </c>
      <c r="C379" t="s">
        <v>1472</v>
      </c>
      <c r="D379" t="s">
        <v>2481</v>
      </c>
    </row>
    <row r="380" spans="1:4">
      <c r="A380">
        <v>404</v>
      </c>
      <c r="B380" s="13">
        <v>45820</v>
      </c>
      <c r="C380" t="s">
        <v>1472</v>
      </c>
      <c r="D380" t="s">
        <v>2482</v>
      </c>
    </row>
    <row r="381" spans="1:4">
      <c r="A381">
        <v>405</v>
      </c>
      <c r="B381" s="13">
        <v>45820</v>
      </c>
      <c r="C381" t="s">
        <v>1478</v>
      </c>
      <c r="D381" t="s">
        <v>2483</v>
      </c>
    </row>
    <row r="382" spans="1:4">
      <c r="A382">
        <v>406</v>
      </c>
      <c r="B382" s="13">
        <v>45821</v>
      </c>
      <c r="C382" t="s">
        <v>2484</v>
      </c>
      <c r="D382" t="s">
        <v>2490</v>
      </c>
    </row>
    <row r="383" spans="1:4">
      <c r="A383">
        <v>407</v>
      </c>
      <c r="B383" s="13">
        <v>45821</v>
      </c>
      <c r="C383" t="s">
        <v>1018</v>
      </c>
      <c r="D383" t="s">
        <v>2491</v>
      </c>
    </row>
    <row r="384" spans="1:4">
      <c r="A384">
        <v>408</v>
      </c>
      <c r="B384" s="13">
        <v>45821</v>
      </c>
      <c r="C384" t="s">
        <v>1808</v>
      </c>
      <c r="D384" t="s">
        <v>2492</v>
      </c>
    </row>
    <row r="385" spans="1:4">
      <c r="A385">
        <v>409</v>
      </c>
      <c r="B385" s="13">
        <v>45821</v>
      </c>
      <c r="C385" t="s">
        <v>1979</v>
      </c>
      <c r="D385" t="s">
        <v>2493</v>
      </c>
    </row>
    <row r="386" spans="1:4">
      <c r="A386">
        <v>410</v>
      </c>
      <c r="B386" s="13">
        <v>45821</v>
      </c>
      <c r="C386" t="s">
        <v>2494</v>
      </c>
      <c r="D386" t="s">
        <v>2495</v>
      </c>
    </row>
    <row r="387" spans="1:4">
      <c r="A387">
        <v>411</v>
      </c>
      <c r="B387" s="13">
        <v>45821</v>
      </c>
      <c r="C387" t="s">
        <v>1468</v>
      </c>
      <c r="D387" t="s">
        <v>2499</v>
      </c>
    </row>
    <row r="388" spans="1:4">
      <c r="A388">
        <v>412</v>
      </c>
      <c r="B388" s="13">
        <v>45821</v>
      </c>
      <c r="C388" t="s">
        <v>1493</v>
      </c>
      <c r="D388" t="s">
        <v>2504</v>
      </c>
    </row>
    <row r="389" spans="1:4">
      <c r="A389">
        <v>413</v>
      </c>
      <c r="B389" s="13">
        <v>45822</v>
      </c>
      <c r="C389" t="s">
        <v>1398</v>
      </c>
      <c r="D389" t="s">
        <v>2505</v>
      </c>
    </row>
    <row r="390" spans="1:4">
      <c r="A390">
        <v>414</v>
      </c>
      <c r="B390" s="13">
        <v>45822</v>
      </c>
      <c r="C390" t="s">
        <v>1540</v>
      </c>
      <c r="D390" t="s">
        <v>2506</v>
      </c>
    </row>
    <row r="391" spans="1:4">
      <c r="A391">
        <v>415</v>
      </c>
      <c r="B391" s="13">
        <v>45824</v>
      </c>
      <c r="C391" t="s">
        <v>1453</v>
      </c>
      <c r="D391" t="s">
        <v>2507</v>
      </c>
    </row>
    <row r="392" spans="1:4">
      <c r="A392">
        <v>416</v>
      </c>
      <c r="B392" s="13">
        <v>45824</v>
      </c>
      <c r="C392" t="s">
        <v>1018</v>
      </c>
      <c r="D392" t="s">
        <v>2512</v>
      </c>
    </row>
    <row r="393" spans="1:4">
      <c r="A393">
        <v>417</v>
      </c>
      <c r="B393" s="13">
        <v>45824</v>
      </c>
      <c r="C393" t="s">
        <v>1398</v>
      </c>
      <c r="D393" t="s">
        <v>2513</v>
      </c>
    </row>
    <row r="394" spans="1:4">
      <c r="A394">
        <v>418</v>
      </c>
      <c r="B394" s="13">
        <v>45825</v>
      </c>
      <c r="C394" t="s">
        <v>1377</v>
      </c>
      <c r="D394" t="s">
        <v>2514</v>
      </c>
    </row>
    <row r="395" spans="1:4">
      <c r="A395">
        <v>419</v>
      </c>
      <c r="B395" s="13">
        <v>45825</v>
      </c>
      <c r="C395" t="s">
        <v>1540</v>
      </c>
      <c r="D395" t="s">
        <v>2554</v>
      </c>
    </row>
    <row r="396" spans="1:4">
      <c r="A396">
        <v>420</v>
      </c>
      <c r="B396" s="13">
        <v>45825</v>
      </c>
      <c r="C396" t="s">
        <v>1398</v>
      </c>
      <c r="D396" t="s">
        <v>2557</v>
      </c>
    </row>
    <row r="397" spans="1:4">
      <c r="A397">
        <v>421</v>
      </c>
      <c r="B397" s="13">
        <v>45825</v>
      </c>
      <c r="C397" t="s">
        <v>2556</v>
      </c>
      <c r="D397" t="s">
        <v>2558</v>
      </c>
    </row>
    <row r="398" spans="1:4">
      <c r="A398">
        <v>422</v>
      </c>
      <c r="B398" s="13">
        <v>45826</v>
      </c>
      <c r="C398" t="s">
        <v>1018</v>
      </c>
      <c r="D398" t="s">
        <v>2562</v>
      </c>
    </row>
    <row r="399" spans="1:4">
      <c r="A399">
        <v>423</v>
      </c>
      <c r="B399" s="13">
        <v>45826</v>
      </c>
      <c r="C399" t="s">
        <v>1398</v>
      </c>
      <c r="D399" t="s">
        <v>2565</v>
      </c>
    </row>
    <row r="400" spans="1:4">
      <c r="A400">
        <v>424</v>
      </c>
      <c r="B400" s="13">
        <v>45826</v>
      </c>
      <c r="C400" t="s">
        <v>2474</v>
      </c>
      <c r="D400" t="s">
        <v>2566</v>
      </c>
    </row>
    <row r="401" spans="1:4">
      <c r="A401">
        <v>425</v>
      </c>
      <c r="B401" s="13">
        <v>45826</v>
      </c>
      <c r="C401" t="s">
        <v>1976</v>
      </c>
      <c r="D401" t="s">
        <v>2567</v>
      </c>
    </row>
    <row r="402" spans="1:4">
      <c r="A402">
        <v>426</v>
      </c>
      <c r="B402" s="13">
        <v>45826</v>
      </c>
      <c r="C402" t="s">
        <v>2291</v>
      </c>
      <c r="D402" t="s">
        <v>2568</v>
      </c>
    </row>
    <row r="403" spans="1:4">
      <c r="A403">
        <v>427</v>
      </c>
      <c r="B403" s="13">
        <v>45826</v>
      </c>
      <c r="C403" t="s">
        <v>1721</v>
      </c>
      <c r="D403" t="s">
        <v>2569</v>
      </c>
    </row>
    <row r="404" spans="1:4">
      <c r="A404">
        <v>428</v>
      </c>
      <c r="B404" s="13">
        <v>45826</v>
      </c>
      <c r="C404" t="s">
        <v>1398</v>
      </c>
      <c r="D404" t="s">
        <v>2570</v>
      </c>
    </row>
    <row r="405" spans="1:4">
      <c r="A405">
        <v>429</v>
      </c>
      <c r="B405" s="13">
        <v>45827</v>
      </c>
      <c r="C405" t="s">
        <v>1976</v>
      </c>
      <c r="D405" t="s">
        <v>2572</v>
      </c>
    </row>
    <row r="406" spans="1:4">
      <c r="A406">
        <v>430</v>
      </c>
      <c r="B406" s="13">
        <v>45827</v>
      </c>
      <c r="C406" t="s">
        <v>1448</v>
      </c>
      <c r="D406" t="s">
        <v>2573</v>
      </c>
    </row>
    <row r="407" spans="1:4">
      <c r="A407">
        <v>431</v>
      </c>
      <c r="B407" s="13">
        <v>45827</v>
      </c>
      <c r="C407" t="s">
        <v>2556</v>
      </c>
      <c r="D407" t="s">
        <v>2578</v>
      </c>
    </row>
    <row r="408" spans="1:4">
      <c r="A408">
        <v>432</v>
      </c>
      <c r="B408" s="13">
        <v>45827</v>
      </c>
      <c r="C408" t="s">
        <v>1398</v>
      </c>
      <c r="D408" t="s">
        <v>2581</v>
      </c>
    </row>
    <row r="409" spans="1:4">
      <c r="A409">
        <v>433</v>
      </c>
      <c r="B409" s="13">
        <v>45827</v>
      </c>
      <c r="C409" t="s">
        <v>1443</v>
      </c>
      <c r="D409" t="s">
        <v>2582</v>
      </c>
    </row>
    <row r="410" spans="1:4">
      <c r="A410">
        <v>434</v>
      </c>
      <c r="B410" s="13">
        <v>45827</v>
      </c>
      <c r="C410" t="s">
        <v>1721</v>
      </c>
      <c r="D410" t="s">
        <v>2583</v>
      </c>
    </row>
    <row r="411" spans="1:4">
      <c r="A411">
        <v>435</v>
      </c>
      <c r="B411" s="13">
        <v>45827</v>
      </c>
      <c r="C411" t="s">
        <v>2408</v>
      </c>
      <c r="D411" t="s">
        <v>2584</v>
      </c>
    </row>
    <row r="412" spans="1:4">
      <c r="A412">
        <v>436</v>
      </c>
      <c r="B412" s="13">
        <v>45827</v>
      </c>
      <c r="C412" t="s">
        <v>1576</v>
      </c>
      <c r="D412" t="s">
        <v>2586</v>
      </c>
    </row>
    <row r="413" spans="1:4">
      <c r="A413">
        <v>437</v>
      </c>
      <c r="B413" s="13">
        <v>45827</v>
      </c>
      <c r="C413" t="s">
        <v>1576</v>
      </c>
      <c r="D413" t="s">
        <v>2588</v>
      </c>
    </row>
    <row r="414" spans="1:4">
      <c r="A414">
        <v>438</v>
      </c>
      <c r="B414" s="13">
        <v>45828</v>
      </c>
      <c r="C414" t="s">
        <v>2595</v>
      </c>
      <c r="D414" t="s">
        <v>2596</v>
      </c>
    </row>
    <row r="415" spans="1:4">
      <c r="A415">
        <v>439</v>
      </c>
      <c r="B415" s="13">
        <v>45828</v>
      </c>
      <c r="C415" t="s">
        <v>1579</v>
      </c>
      <c r="D415" t="s">
        <v>2597</v>
      </c>
    </row>
    <row r="416" spans="1:4">
      <c r="A416">
        <v>440</v>
      </c>
      <c r="B416" s="13">
        <v>45828</v>
      </c>
      <c r="C416" t="s">
        <v>1015</v>
      </c>
      <c r="D416" t="s">
        <v>2598</v>
      </c>
    </row>
    <row r="417" spans="1:4">
      <c r="A417">
        <v>441</v>
      </c>
      <c r="B417" s="13">
        <v>45828</v>
      </c>
      <c r="C417" t="s">
        <v>1540</v>
      </c>
      <c r="D417" t="s">
        <v>2599</v>
      </c>
    </row>
    <row r="418" spans="1:4">
      <c r="A418">
        <v>442</v>
      </c>
      <c r="B418" s="13">
        <v>45828</v>
      </c>
      <c r="C418" t="s">
        <v>2600</v>
      </c>
      <c r="D418" t="s">
        <v>2601</v>
      </c>
    </row>
    <row r="419" spans="1:4">
      <c r="A419">
        <v>443</v>
      </c>
      <c r="B419" s="13">
        <v>45828</v>
      </c>
      <c r="C419" t="s">
        <v>1579</v>
      </c>
      <c r="D419" t="s">
        <v>2602</v>
      </c>
    </row>
    <row r="420" spans="1:4">
      <c r="A420">
        <v>444</v>
      </c>
      <c r="B420" s="13">
        <v>45828</v>
      </c>
      <c r="C420" t="s">
        <v>2608</v>
      </c>
      <c r="D420" t="s">
        <v>2609</v>
      </c>
    </row>
    <row r="421" spans="1:4">
      <c r="A421">
        <v>445</v>
      </c>
      <c r="B421" s="13">
        <v>45829</v>
      </c>
      <c r="C421" t="s">
        <v>1585</v>
      </c>
      <c r="D421" t="s">
        <v>2611</v>
      </c>
    </row>
    <row r="422" spans="1:4">
      <c r="A422">
        <v>446</v>
      </c>
      <c r="B422" s="13">
        <v>45829</v>
      </c>
      <c r="C422" t="s">
        <v>2500</v>
      </c>
      <c r="D422" t="s">
        <v>2612</v>
      </c>
    </row>
    <row r="423" spans="1:4">
      <c r="A423">
        <v>447</v>
      </c>
      <c r="B423" s="13">
        <v>45829</v>
      </c>
      <c r="C423" t="s">
        <v>1721</v>
      </c>
      <c r="D423" t="s">
        <v>2615</v>
      </c>
    </row>
    <row r="424" spans="1:4">
      <c r="A424">
        <v>448</v>
      </c>
      <c r="B424" s="13">
        <v>45831</v>
      </c>
      <c r="C424" t="s">
        <v>2616</v>
      </c>
      <c r="D424" t="s">
        <v>2617</v>
      </c>
    </row>
    <row r="425" spans="1:4">
      <c r="A425">
        <v>449</v>
      </c>
      <c r="B425" s="13">
        <v>45831</v>
      </c>
      <c r="C425" t="s">
        <v>2621</v>
      </c>
      <c r="D425" t="s">
        <v>2622</v>
      </c>
    </row>
    <row r="426" spans="1:4">
      <c r="A426">
        <v>450</v>
      </c>
      <c r="B426" s="13">
        <v>45832</v>
      </c>
      <c r="C426" t="s">
        <v>1146</v>
      </c>
      <c r="D426" t="s">
        <v>2628</v>
      </c>
    </row>
    <row r="427" spans="1:4">
      <c r="A427">
        <v>451</v>
      </c>
      <c r="B427" s="13">
        <v>45832</v>
      </c>
      <c r="C427" t="s">
        <v>1579</v>
      </c>
      <c r="D427" t="s">
        <v>2629</v>
      </c>
    </row>
    <row r="428" spans="1:4">
      <c r="A428">
        <v>452</v>
      </c>
      <c r="B428" s="13">
        <v>45832</v>
      </c>
      <c r="C428" t="s">
        <v>2474</v>
      </c>
      <c r="D428" t="s">
        <v>2636</v>
      </c>
    </row>
    <row r="429" spans="1:4">
      <c r="A429">
        <v>453</v>
      </c>
      <c r="B429" s="13">
        <v>45832</v>
      </c>
      <c r="C429" t="s">
        <v>2630</v>
      </c>
      <c r="D429" t="s">
        <v>2637</v>
      </c>
    </row>
    <row r="430" spans="1:4">
      <c r="A430">
        <v>454</v>
      </c>
      <c r="B430" s="13">
        <v>45832</v>
      </c>
      <c r="C430" t="s">
        <v>1721</v>
      </c>
      <c r="D430" t="s">
        <v>2638</v>
      </c>
    </row>
    <row r="431" spans="1:4">
      <c r="A431">
        <v>455</v>
      </c>
      <c r="B431" s="13">
        <v>45832</v>
      </c>
      <c r="C431" t="s">
        <v>1540</v>
      </c>
      <c r="D431" t="s">
        <v>2639</v>
      </c>
    </row>
    <row r="432" spans="1:4">
      <c r="A432">
        <v>456</v>
      </c>
      <c r="B432" s="13">
        <v>45833</v>
      </c>
      <c r="C432" t="s">
        <v>1046</v>
      </c>
      <c r="D432" t="s">
        <v>2646</v>
      </c>
    </row>
    <row r="433" spans="1:4">
      <c r="A433">
        <v>457</v>
      </c>
      <c r="B433" s="13">
        <v>45833</v>
      </c>
      <c r="C433" t="s">
        <v>979</v>
      </c>
      <c r="D433" t="s">
        <v>2647</v>
      </c>
    </row>
    <row r="434" spans="1:4">
      <c r="A434">
        <v>458</v>
      </c>
      <c r="B434" s="13">
        <v>45833</v>
      </c>
      <c r="C434" t="s">
        <v>1893</v>
      </c>
      <c r="D434" t="s">
        <v>2648</v>
      </c>
    </row>
    <row r="435" spans="1:4">
      <c r="A435">
        <v>459</v>
      </c>
      <c r="B435" s="13">
        <v>45833</v>
      </c>
      <c r="C435" t="s">
        <v>1597</v>
      </c>
      <c r="D435" t="s">
        <v>2650</v>
      </c>
    </row>
    <row r="436" spans="1:4">
      <c r="A436">
        <v>460</v>
      </c>
      <c r="B436" s="13">
        <v>45833</v>
      </c>
      <c r="C436" t="s">
        <v>2641</v>
      </c>
      <c r="D436" t="s">
        <v>2651</v>
      </c>
    </row>
    <row r="437" spans="1:4">
      <c r="A437">
        <v>461</v>
      </c>
      <c r="B437" s="13">
        <v>45833</v>
      </c>
      <c r="C437" t="s">
        <v>1053</v>
      </c>
      <c r="D437" t="s">
        <v>2653</v>
      </c>
    </row>
    <row r="438" spans="1:4">
      <c r="A438">
        <v>462</v>
      </c>
      <c r="B438" s="13">
        <v>45833</v>
      </c>
      <c r="C438" t="s">
        <v>1585</v>
      </c>
      <c r="D438" t="s">
        <v>2654</v>
      </c>
    </row>
    <row r="439" spans="1:4">
      <c r="A439">
        <v>463</v>
      </c>
      <c r="B439" s="13">
        <v>45833</v>
      </c>
      <c r="C439" t="s">
        <v>1478</v>
      </c>
      <c r="D439" t="s">
        <v>2659</v>
      </c>
    </row>
    <row r="440" spans="1:4">
      <c r="A440">
        <v>464</v>
      </c>
      <c r="B440" s="13">
        <v>45834</v>
      </c>
      <c r="C440" t="s">
        <v>1468</v>
      </c>
      <c r="D440" t="s">
        <v>2660</v>
      </c>
    </row>
    <row r="441" spans="1:4">
      <c r="A441">
        <v>465</v>
      </c>
      <c r="B441" s="13">
        <v>45834</v>
      </c>
      <c r="C441" t="s">
        <v>1721</v>
      </c>
      <c r="D441" t="s">
        <v>2663</v>
      </c>
    </row>
    <row r="442" spans="1:4">
      <c r="A442">
        <v>466</v>
      </c>
      <c r="B442" s="13">
        <v>45834</v>
      </c>
      <c r="C442" t="s">
        <v>1398</v>
      </c>
      <c r="D442" t="s">
        <v>2664</v>
      </c>
    </row>
    <row r="443" spans="1:4">
      <c r="A443">
        <v>467</v>
      </c>
      <c r="B443" s="13">
        <v>45834</v>
      </c>
      <c r="C443" t="s">
        <v>1398</v>
      </c>
      <c r="D443" t="s">
        <v>2666</v>
      </c>
    </row>
    <row r="444" spans="1:4">
      <c r="A444">
        <v>468</v>
      </c>
      <c r="B444" s="13">
        <v>45834</v>
      </c>
      <c r="C444" t="s">
        <v>1398</v>
      </c>
      <c r="D444" t="s">
        <v>2676</v>
      </c>
    </row>
    <row r="445" spans="1:4">
      <c r="A445">
        <v>469</v>
      </c>
      <c r="B445" s="13">
        <v>45834</v>
      </c>
      <c r="C445" t="s">
        <v>1053</v>
      </c>
      <c r="D445" t="s">
        <v>2679</v>
      </c>
    </row>
    <row r="446" spans="1:4">
      <c r="A446">
        <v>470</v>
      </c>
      <c r="B446" s="13">
        <v>45835</v>
      </c>
      <c r="C446" t="s">
        <v>1377</v>
      </c>
      <c r="D446" t="s">
        <v>2690</v>
      </c>
    </row>
    <row r="447" spans="1:4">
      <c r="A447">
        <v>471</v>
      </c>
      <c r="B447" s="13">
        <v>45835</v>
      </c>
      <c r="C447" t="s">
        <v>1466</v>
      </c>
      <c r="D447" t="s">
        <v>2691</v>
      </c>
    </row>
    <row r="448" spans="1:4">
      <c r="A448">
        <v>472</v>
      </c>
      <c r="B448" s="13">
        <v>45835</v>
      </c>
      <c r="C448" t="s">
        <v>1053</v>
      </c>
      <c r="D448" t="s">
        <v>2693</v>
      </c>
    </row>
    <row r="449" spans="1:4">
      <c r="A449">
        <v>473</v>
      </c>
      <c r="B449" s="13">
        <v>45835</v>
      </c>
      <c r="C449" t="s">
        <v>1576</v>
      </c>
      <c r="D449" t="s">
        <v>2694</v>
      </c>
    </row>
    <row r="450" spans="1:4">
      <c r="A450">
        <v>474</v>
      </c>
      <c r="B450" s="13">
        <v>45835</v>
      </c>
      <c r="C450" t="s">
        <v>1721</v>
      </c>
      <c r="D450" t="s">
        <v>2696</v>
      </c>
    </row>
    <row r="451" spans="1:4">
      <c r="A451">
        <v>475</v>
      </c>
      <c r="B451" s="13">
        <v>45835</v>
      </c>
      <c r="C451" t="s">
        <v>1472</v>
      </c>
      <c r="D451" t="s">
        <v>2697</v>
      </c>
    </row>
    <row r="452" spans="1:4">
      <c r="A452">
        <v>476</v>
      </c>
      <c r="B452" s="13">
        <v>45838</v>
      </c>
      <c r="C452" t="s">
        <v>2291</v>
      </c>
      <c r="D452" t="s">
        <v>2701</v>
      </c>
    </row>
    <row r="453" spans="1:4">
      <c r="A453">
        <v>477</v>
      </c>
      <c r="B453" s="13">
        <v>45838</v>
      </c>
      <c r="C453" t="s">
        <v>1721</v>
      </c>
      <c r="D453" t="s">
        <v>2709</v>
      </c>
    </row>
    <row r="454" spans="1:4">
      <c r="A454">
        <v>478</v>
      </c>
      <c r="B454" s="13">
        <v>45838</v>
      </c>
      <c r="C454" t="s">
        <v>1082</v>
      </c>
      <c r="D454" t="s">
        <v>2712</v>
      </c>
    </row>
    <row r="455" spans="1:4">
      <c r="A455">
        <v>479</v>
      </c>
      <c r="B455" s="13">
        <v>45838</v>
      </c>
      <c r="C455" t="s">
        <v>2702</v>
      </c>
      <c r="D455" t="s">
        <v>2713</v>
      </c>
    </row>
    <row r="456" spans="1:4">
      <c r="A456">
        <v>480</v>
      </c>
      <c r="B456" s="13">
        <v>45838</v>
      </c>
      <c r="C456" t="s">
        <v>1443</v>
      </c>
      <c r="D456" t="s">
        <v>2714</v>
      </c>
    </row>
    <row r="457" spans="1:4">
      <c r="A457">
        <v>481</v>
      </c>
      <c r="B457" s="13">
        <v>45838</v>
      </c>
      <c r="C457" t="s">
        <v>1721</v>
      </c>
      <c r="D457" t="s">
        <v>2715</v>
      </c>
    </row>
    <row r="458" spans="1:4">
      <c r="A458">
        <v>482</v>
      </c>
      <c r="B458" s="13">
        <v>45838</v>
      </c>
      <c r="C458" t="s">
        <v>1979</v>
      </c>
      <c r="D458" t="s">
        <v>2716</v>
      </c>
    </row>
    <row r="459" spans="1:4">
      <c r="A459">
        <v>483</v>
      </c>
      <c r="B459" s="13">
        <v>45838</v>
      </c>
      <c r="C459" t="s">
        <v>1466</v>
      </c>
      <c r="D459" t="s">
        <v>2719</v>
      </c>
    </row>
    <row r="460" spans="1:4">
      <c r="A460">
        <v>484</v>
      </c>
      <c r="B460" s="13">
        <v>45839</v>
      </c>
      <c r="C460" t="s">
        <v>2723</v>
      </c>
      <c r="D460" t="s">
        <v>2724</v>
      </c>
    </row>
    <row r="461" spans="1:4">
      <c r="A461">
        <v>485</v>
      </c>
      <c r="B461" s="13">
        <v>45839</v>
      </c>
      <c r="C461" t="s">
        <v>1478</v>
      </c>
      <c r="D461" t="s">
        <v>2725</v>
      </c>
    </row>
    <row r="462" spans="1:4">
      <c r="A462">
        <v>486</v>
      </c>
      <c r="B462" s="13">
        <v>45839</v>
      </c>
      <c r="C462" t="s">
        <v>1579</v>
      </c>
      <c r="D462" t="s">
        <v>2727</v>
      </c>
    </row>
    <row r="463" spans="1:4">
      <c r="A463">
        <v>487</v>
      </c>
      <c r="B463" s="13">
        <v>45839</v>
      </c>
      <c r="C463" t="s">
        <v>2730</v>
      </c>
      <c r="D463" t="s">
        <v>2733</v>
      </c>
    </row>
    <row r="464" spans="1:4">
      <c r="A464">
        <v>488</v>
      </c>
      <c r="B464" s="13">
        <v>45839</v>
      </c>
      <c r="C464" t="s">
        <v>1443</v>
      </c>
      <c r="D464" t="s">
        <v>2734</v>
      </c>
    </row>
    <row r="465" spans="1:4">
      <c r="A465">
        <v>489</v>
      </c>
      <c r="B465" s="13">
        <v>45840</v>
      </c>
      <c r="C465" t="s">
        <v>2738</v>
      </c>
      <c r="D465" t="s">
        <v>2739</v>
      </c>
    </row>
    <row r="466" spans="1:4">
      <c r="A466">
        <v>490</v>
      </c>
      <c r="B466" s="13">
        <v>45840</v>
      </c>
      <c r="C466" t="s">
        <v>2740</v>
      </c>
      <c r="D466" t="s">
        <v>2744</v>
      </c>
    </row>
    <row r="467" spans="1:4">
      <c r="A467">
        <v>491</v>
      </c>
      <c r="B467" s="13">
        <v>45840</v>
      </c>
      <c r="C467" t="s">
        <v>1579</v>
      </c>
      <c r="D467" t="s">
        <v>2751</v>
      </c>
    </row>
    <row r="468" spans="1:4">
      <c r="A468">
        <v>492</v>
      </c>
      <c r="B468" s="13">
        <v>45840</v>
      </c>
      <c r="C468" t="s">
        <v>1960</v>
      </c>
      <c r="D468" t="s">
        <v>2752</v>
      </c>
    </row>
    <row r="469" spans="1:4">
      <c r="A469">
        <v>493</v>
      </c>
      <c r="B469" s="13">
        <v>45840</v>
      </c>
      <c r="C469" t="s">
        <v>2100</v>
      </c>
      <c r="D469" t="s">
        <v>2753</v>
      </c>
    </row>
    <row r="470" spans="1:4">
      <c r="A470">
        <v>494</v>
      </c>
      <c r="B470" s="13">
        <v>45841</v>
      </c>
      <c r="C470" t="s">
        <v>1046</v>
      </c>
      <c r="D470" t="s">
        <v>2754</v>
      </c>
    </row>
    <row r="471" spans="1:4">
      <c r="A471">
        <v>495</v>
      </c>
      <c r="B471" s="13">
        <v>45841</v>
      </c>
      <c r="C471" t="s">
        <v>2760</v>
      </c>
      <c r="D471" t="s">
        <v>2763</v>
      </c>
    </row>
    <row r="472" spans="1:4">
      <c r="A472">
        <v>496</v>
      </c>
      <c r="B472" s="13">
        <v>45841</v>
      </c>
      <c r="C472" t="s">
        <v>1808</v>
      </c>
      <c r="D472" t="s">
        <v>2764</v>
      </c>
    </row>
    <row r="473" spans="1:4">
      <c r="A473">
        <v>497</v>
      </c>
      <c r="B473" s="13">
        <v>45841</v>
      </c>
      <c r="C473" t="s">
        <v>2260</v>
      </c>
      <c r="D473" t="s">
        <v>2765</v>
      </c>
    </row>
    <row r="474" spans="1:4">
      <c r="A474">
        <v>498</v>
      </c>
      <c r="B474" s="13">
        <v>45841</v>
      </c>
      <c r="C474" t="s">
        <v>1579</v>
      </c>
      <c r="D474" t="s">
        <v>2766</v>
      </c>
    </row>
    <row r="475" spans="1:4">
      <c r="A475">
        <v>499</v>
      </c>
      <c r="B475" s="13">
        <v>45842</v>
      </c>
      <c r="C475" t="s">
        <v>1597</v>
      </c>
      <c r="D475" t="s">
        <v>2771</v>
      </c>
    </row>
    <row r="476" spans="1:4">
      <c r="A476">
        <v>500</v>
      </c>
      <c r="B476" s="13">
        <v>45842</v>
      </c>
      <c r="C476" t="s">
        <v>1579</v>
      </c>
      <c r="D476" t="s">
        <v>2772</v>
      </c>
    </row>
    <row r="477" spans="1:4">
      <c r="A477">
        <v>501</v>
      </c>
      <c r="B477" s="13">
        <v>45842</v>
      </c>
      <c r="C477" t="s">
        <v>1466</v>
      </c>
      <c r="D477" t="s">
        <v>2774</v>
      </c>
    </row>
    <row r="478" spans="1:4">
      <c r="A478">
        <v>502</v>
      </c>
      <c r="B478" s="13">
        <v>45842</v>
      </c>
      <c r="C478" t="s">
        <v>1146</v>
      </c>
      <c r="D478" t="s">
        <v>2775</v>
      </c>
    </row>
    <row r="479" spans="1:4">
      <c r="A479">
        <v>503</v>
      </c>
      <c r="B479" s="13">
        <v>45843</v>
      </c>
      <c r="C479" t="s">
        <v>1540</v>
      </c>
      <c r="D479" t="s">
        <v>2777</v>
      </c>
    </row>
    <row r="480" spans="1:4">
      <c r="A480">
        <v>504</v>
      </c>
      <c r="B480" s="13">
        <v>45845</v>
      </c>
      <c r="C480" t="s">
        <v>1540</v>
      </c>
      <c r="D480" t="s">
        <v>2778</v>
      </c>
    </row>
    <row r="481" spans="1:4">
      <c r="A481">
        <v>505</v>
      </c>
      <c r="B481" s="13">
        <v>45845</v>
      </c>
      <c r="C481" t="s">
        <v>1443</v>
      </c>
      <c r="D481" t="s">
        <v>2779</v>
      </c>
    </row>
    <row r="482" spans="1:4">
      <c r="A482">
        <v>506</v>
      </c>
      <c r="B482" s="13">
        <v>45845</v>
      </c>
      <c r="C482" t="s">
        <v>1478</v>
      </c>
      <c r="D482" t="s">
        <v>2780</v>
      </c>
    </row>
    <row r="483" spans="1:4">
      <c r="A483">
        <v>507</v>
      </c>
      <c r="B483" s="13">
        <v>45845</v>
      </c>
      <c r="C483" t="s">
        <v>2787</v>
      </c>
      <c r="D483" t="s">
        <v>2791</v>
      </c>
    </row>
    <row r="484" spans="1:4">
      <c r="A484">
        <v>508</v>
      </c>
      <c r="B484" s="13">
        <v>45845</v>
      </c>
      <c r="C484" t="s">
        <v>2595</v>
      </c>
      <c r="D484" t="s">
        <v>2792</v>
      </c>
    </row>
    <row r="485" spans="1:4">
      <c r="A485">
        <v>509</v>
      </c>
      <c r="B485" s="13">
        <v>45845</v>
      </c>
      <c r="C485" t="s">
        <v>2781</v>
      </c>
      <c r="D485" t="s">
        <v>2793</v>
      </c>
    </row>
    <row r="486" spans="1:4">
      <c r="A486">
        <v>510</v>
      </c>
      <c r="B486" s="13">
        <v>45845</v>
      </c>
      <c r="C486" t="s">
        <v>1146</v>
      </c>
      <c r="D486" t="s">
        <v>2794</v>
      </c>
    </row>
    <row r="487" spans="1:4">
      <c r="A487">
        <v>511</v>
      </c>
      <c r="B487" s="13">
        <v>45845</v>
      </c>
      <c r="C487" t="s">
        <v>1869</v>
      </c>
      <c r="D487" t="s">
        <v>2795</v>
      </c>
    </row>
    <row r="488" spans="1:4">
      <c r="A488">
        <v>512</v>
      </c>
      <c r="B488" s="13">
        <v>45845</v>
      </c>
      <c r="C488" t="s">
        <v>1443</v>
      </c>
      <c r="D488" t="s">
        <v>2796</v>
      </c>
    </row>
    <row r="489" spans="1:4">
      <c r="A489">
        <v>513</v>
      </c>
      <c r="B489" s="13">
        <v>45845</v>
      </c>
      <c r="C489" t="s">
        <v>1721</v>
      </c>
      <c r="D489" t="s">
        <v>2798</v>
      </c>
    </row>
    <row r="490" spans="1:4">
      <c r="A490">
        <v>514</v>
      </c>
      <c r="B490" s="13">
        <v>45846</v>
      </c>
      <c r="C490" t="s">
        <v>1398</v>
      </c>
      <c r="D490" t="s">
        <v>2801</v>
      </c>
    </row>
    <row r="491" spans="1:4">
      <c r="A491">
        <v>515</v>
      </c>
      <c r="B491" s="13">
        <v>45846</v>
      </c>
      <c r="C491" t="s">
        <v>2787</v>
      </c>
      <c r="D491" t="s">
        <v>2804</v>
      </c>
    </row>
    <row r="492" spans="1:4">
      <c r="A492">
        <v>516</v>
      </c>
      <c r="B492" s="13">
        <v>45846</v>
      </c>
      <c r="C492" t="s">
        <v>1540</v>
      </c>
      <c r="D492" t="s">
        <v>2805</v>
      </c>
    </row>
    <row r="493" spans="1:4">
      <c r="A493">
        <v>517</v>
      </c>
      <c r="B493" s="13">
        <v>45846</v>
      </c>
      <c r="C493" t="s">
        <v>1808</v>
      </c>
      <c r="D493" t="s">
        <v>2806</v>
      </c>
    </row>
    <row r="494" spans="1:4">
      <c r="A494">
        <v>518</v>
      </c>
      <c r="B494" s="13">
        <v>45846</v>
      </c>
      <c r="C494" t="s">
        <v>2807</v>
      </c>
      <c r="D494" t="s">
        <v>2811</v>
      </c>
    </row>
    <row r="495" spans="1:4">
      <c r="A495">
        <v>519</v>
      </c>
      <c r="B495" s="13">
        <v>45846</v>
      </c>
      <c r="C495" t="s">
        <v>1015</v>
      </c>
      <c r="D495" t="s">
        <v>2813</v>
      </c>
    </row>
    <row r="496" spans="1:4">
      <c r="A496">
        <v>520</v>
      </c>
      <c r="B496" s="13">
        <v>45846</v>
      </c>
      <c r="C496" t="s">
        <v>1585</v>
      </c>
      <c r="D496" t="s">
        <v>2814</v>
      </c>
    </row>
    <row r="497" spans="1:4">
      <c r="A497">
        <v>521</v>
      </c>
      <c r="B497" s="13">
        <v>45846</v>
      </c>
      <c r="C497" t="s">
        <v>1576</v>
      </c>
      <c r="D497" t="s">
        <v>2815</v>
      </c>
    </row>
    <row r="498" spans="1:4">
      <c r="A498">
        <v>522</v>
      </c>
      <c r="B498" s="13">
        <v>45846</v>
      </c>
      <c r="C498" t="s">
        <v>1146</v>
      </c>
      <c r="D498" t="s">
        <v>2816</v>
      </c>
    </row>
    <row r="499" spans="1:4">
      <c r="A499">
        <v>523</v>
      </c>
      <c r="B499" s="13">
        <v>45847</v>
      </c>
      <c r="C499" t="s">
        <v>1398</v>
      </c>
      <c r="D499" t="s">
        <v>2817</v>
      </c>
    </row>
    <row r="500" spans="1:4">
      <c r="A500">
        <v>524</v>
      </c>
      <c r="B500" s="13">
        <v>45847</v>
      </c>
      <c r="C500" t="s">
        <v>2408</v>
      </c>
      <c r="D500" t="s">
        <v>2819</v>
      </c>
    </row>
    <row r="501" spans="1:4">
      <c r="A501">
        <v>525</v>
      </c>
      <c r="B501" s="13">
        <v>45847</v>
      </c>
      <c r="C501" t="s">
        <v>2257</v>
      </c>
      <c r="D501" t="s">
        <v>2823</v>
      </c>
    </row>
    <row r="502" spans="1:4">
      <c r="A502">
        <v>526</v>
      </c>
      <c r="B502" s="13">
        <v>45847</v>
      </c>
      <c r="C502" t="s">
        <v>1443</v>
      </c>
      <c r="D502" t="s">
        <v>2824</v>
      </c>
    </row>
    <row r="503" spans="1:4">
      <c r="A503">
        <v>527</v>
      </c>
      <c r="B503" s="13">
        <v>45847</v>
      </c>
      <c r="C503" t="s">
        <v>1721</v>
      </c>
      <c r="D503" t="s">
        <v>2825</v>
      </c>
    </row>
    <row r="504" spans="1:4">
      <c r="A504">
        <v>528</v>
      </c>
      <c r="B504" s="13">
        <v>45847</v>
      </c>
      <c r="C504" t="s">
        <v>1398</v>
      </c>
      <c r="D504" t="s">
        <v>2826</v>
      </c>
    </row>
    <row r="505" spans="1:4">
      <c r="A505">
        <v>529</v>
      </c>
      <c r="B505" s="13">
        <v>45847</v>
      </c>
      <c r="C505" t="s">
        <v>1746</v>
      </c>
      <c r="D505" t="s">
        <v>2827</v>
      </c>
    </row>
    <row r="506" spans="1:4">
      <c r="A506">
        <v>530</v>
      </c>
      <c r="B506" s="13">
        <v>45847</v>
      </c>
      <c r="C506" t="s">
        <v>2408</v>
      </c>
      <c r="D506" t="s">
        <v>2828</v>
      </c>
    </row>
    <row r="507" spans="1:4">
      <c r="A507">
        <v>531</v>
      </c>
      <c r="B507" s="13">
        <v>45848</v>
      </c>
      <c r="C507" t="s">
        <v>2723</v>
      </c>
      <c r="D507" t="s">
        <v>2833</v>
      </c>
    </row>
    <row r="508" spans="1:4">
      <c r="A508">
        <v>532</v>
      </c>
      <c r="B508" s="13">
        <v>45848</v>
      </c>
      <c r="C508" t="s">
        <v>2318</v>
      </c>
      <c r="D508" t="s">
        <v>2835</v>
      </c>
    </row>
    <row r="509" spans="1:4">
      <c r="A509">
        <v>533</v>
      </c>
      <c r="B509" s="13">
        <v>45848</v>
      </c>
      <c r="C509" t="s">
        <v>1398</v>
      </c>
      <c r="D509" t="s">
        <v>2836</v>
      </c>
    </row>
    <row r="510" spans="1:4">
      <c r="A510">
        <v>534</v>
      </c>
      <c r="B510" s="13">
        <v>45848</v>
      </c>
      <c r="C510" t="s">
        <v>1026</v>
      </c>
      <c r="D510" t="s">
        <v>2837</v>
      </c>
    </row>
    <row r="511" spans="1:4">
      <c r="A511">
        <v>535</v>
      </c>
      <c r="B511" s="13">
        <v>45848</v>
      </c>
      <c r="C511" t="s">
        <v>1015</v>
      </c>
      <c r="D511" t="s">
        <v>2839</v>
      </c>
    </row>
    <row r="512" spans="1:4">
      <c r="A512">
        <v>536</v>
      </c>
      <c r="B512" s="13">
        <v>45849</v>
      </c>
      <c r="C512" t="s">
        <v>1576</v>
      </c>
      <c r="D512" t="s">
        <v>2849</v>
      </c>
    </row>
    <row r="513" spans="1:4">
      <c r="A513">
        <v>537</v>
      </c>
      <c r="B513" s="13">
        <v>45849</v>
      </c>
      <c r="C513" t="s">
        <v>1579</v>
      </c>
      <c r="D513" t="s">
        <v>2850</v>
      </c>
    </row>
    <row r="514" spans="1:4">
      <c r="A514">
        <v>538</v>
      </c>
      <c r="B514" s="13">
        <v>45849</v>
      </c>
      <c r="C514" t="s">
        <v>1398</v>
      </c>
      <c r="D514" t="s">
        <v>2851</v>
      </c>
    </row>
    <row r="515" spans="1:4">
      <c r="A515">
        <v>539</v>
      </c>
      <c r="B515" s="13">
        <v>45849</v>
      </c>
      <c r="C515" t="s">
        <v>1457</v>
      </c>
      <c r="D515" t="s">
        <v>2852</v>
      </c>
    </row>
    <row r="516" spans="1:4">
      <c r="A516">
        <v>540</v>
      </c>
      <c r="B516" s="13">
        <v>45849</v>
      </c>
      <c r="C516" t="s">
        <v>1448</v>
      </c>
      <c r="D516" t="s">
        <v>2853</v>
      </c>
    </row>
    <row r="517" spans="1:4">
      <c r="A517">
        <v>541</v>
      </c>
      <c r="B517" s="13">
        <v>45849</v>
      </c>
      <c r="C517" t="s">
        <v>1585</v>
      </c>
      <c r="D517" t="s">
        <v>2854</v>
      </c>
    </row>
    <row r="518" spans="1:4">
      <c r="A518">
        <v>542</v>
      </c>
      <c r="B518" s="13">
        <v>45849</v>
      </c>
      <c r="C518" t="s">
        <v>1585</v>
      </c>
      <c r="D518" t="s">
        <v>2855</v>
      </c>
    </row>
    <row r="519" spans="1:4">
      <c r="A519">
        <v>543</v>
      </c>
      <c r="B519" s="13">
        <v>45849</v>
      </c>
      <c r="C519" t="s">
        <v>2856</v>
      </c>
      <c r="D519" t="s">
        <v>2857</v>
      </c>
    </row>
    <row r="520" spans="1:4">
      <c r="A520">
        <v>544</v>
      </c>
      <c r="B520" s="13">
        <v>45850</v>
      </c>
      <c r="C520" t="s">
        <v>1597</v>
      </c>
      <c r="D520" t="s">
        <v>2860</v>
      </c>
    </row>
    <row r="521" spans="1:4">
      <c r="A521">
        <v>545</v>
      </c>
      <c r="B521" s="13">
        <v>45850</v>
      </c>
      <c r="C521" t="s">
        <v>2723</v>
      </c>
      <c r="D521" t="s">
        <v>2862</v>
      </c>
    </row>
    <row r="522" spans="1:4">
      <c r="A522">
        <v>546</v>
      </c>
      <c r="B522" s="13">
        <v>45852</v>
      </c>
      <c r="C522" t="s">
        <v>2867</v>
      </c>
      <c r="D522" t="s">
        <v>2870</v>
      </c>
    </row>
    <row r="523" spans="1:4">
      <c r="A523">
        <v>547</v>
      </c>
      <c r="B523" s="13">
        <v>45852</v>
      </c>
      <c r="C523" t="s">
        <v>2871</v>
      </c>
      <c r="D523" t="s">
        <v>2875</v>
      </c>
    </row>
    <row r="524" spans="1:4">
      <c r="A524">
        <v>548</v>
      </c>
      <c r="B524" s="13">
        <v>45852</v>
      </c>
      <c r="C524" t="s">
        <v>1398</v>
      </c>
      <c r="D524" t="s">
        <v>2876</v>
      </c>
    </row>
    <row r="525" spans="1:4">
      <c r="A525">
        <v>549</v>
      </c>
      <c r="B525" s="13">
        <v>45852</v>
      </c>
      <c r="C525" t="s">
        <v>2408</v>
      </c>
      <c r="D525" t="s">
        <v>2877</v>
      </c>
    </row>
    <row r="526" spans="1:4">
      <c r="A526">
        <v>550</v>
      </c>
      <c r="B526" s="13">
        <v>45852</v>
      </c>
      <c r="C526" t="s">
        <v>2318</v>
      </c>
      <c r="D526" t="s">
        <v>2879</v>
      </c>
    </row>
    <row r="527" spans="1:4">
      <c r="A527">
        <v>551</v>
      </c>
      <c r="B527" s="13">
        <v>45852</v>
      </c>
      <c r="C527" t="s">
        <v>1597</v>
      </c>
      <c r="D527" t="s">
        <v>2880</v>
      </c>
    </row>
    <row r="528" spans="1:4">
      <c r="A528">
        <v>552</v>
      </c>
      <c r="B528" s="13">
        <v>45852</v>
      </c>
      <c r="C528" t="s">
        <v>1443</v>
      </c>
      <c r="D528" t="s">
        <v>2881</v>
      </c>
    </row>
    <row r="529" spans="1:4">
      <c r="A529">
        <v>553</v>
      </c>
      <c r="B529" s="13">
        <v>45853</v>
      </c>
      <c r="C529" t="s">
        <v>2408</v>
      </c>
      <c r="D529" t="s">
        <v>2892</v>
      </c>
    </row>
    <row r="530" spans="1:4">
      <c r="A530">
        <v>554</v>
      </c>
      <c r="B530" s="13">
        <v>45853</v>
      </c>
      <c r="C530" t="s">
        <v>1015</v>
      </c>
      <c r="D530" t="s">
        <v>2893</v>
      </c>
    </row>
    <row r="531" spans="1:4">
      <c r="A531">
        <v>555</v>
      </c>
      <c r="B531" s="13">
        <v>45853</v>
      </c>
      <c r="C531" t="s">
        <v>2894</v>
      </c>
      <c r="D531" t="s">
        <v>2897</v>
      </c>
    </row>
    <row r="532" spans="1:4">
      <c r="A532">
        <v>556</v>
      </c>
      <c r="B532" s="13">
        <v>45853</v>
      </c>
      <c r="C532" t="s">
        <v>2318</v>
      </c>
      <c r="D532" t="s">
        <v>2898</v>
      </c>
    </row>
    <row r="533" spans="1:4">
      <c r="A533">
        <v>557</v>
      </c>
      <c r="B533" s="13">
        <v>45853</v>
      </c>
      <c r="C533" t="s">
        <v>1466</v>
      </c>
      <c r="D533" t="s">
        <v>2899</v>
      </c>
    </row>
    <row r="534" spans="1:4">
      <c r="A534">
        <v>558</v>
      </c>
      <c r="B534" s="13">
        <v>45853</v>
      </c>
      <c r="C534" t="s">
        <v>1146</v>
      </c>
      <c r="D534" t="s">
        <v>2900</v>
      </c>
    </row>
    <row r="535" spans="1:4">
      <c r="A535">
        <v>559</v>
      </c>
      <c r="B535" s="13">
        <v>45853</v>
      </c>
      <c r="C535" t="s">
        <v>1455</v>
      </c>
      <c r="D535" t="s">
        <v>2901</v>
      </c>
    </row>
    <row r="536" spans="1:4">
      <c r="A536">
        <v>560</v>
      </c>
      <c r="B536" s="13">
        <v>45853</v>
      </c>
      <c r="C536" t="s">
        <v>2888</v>
      </c>
      <c r="D536" t="s">
        <v>2903</v>
      </c>
    </row>
    <row r="537" spans="1:4">
      <c r="A537">
        <v>561</v>
      </c>
      <c r="B537" s="13">
        <v>45853</v>
      </c>
      <c r="C537" t="s">
        <v>1721</v>
      </c>
      <c r="D537" t="s">
        <v>2904</v>
      </c>
    </row>
    <row r="538" spans="1:4">
      <c r="A538">
        <v>562</v>
      </c>
      <c r="B538" s="13">
        <v>45854</v>
      </c>
      <c r="C538" t="s">
        <v>2291</v>
      </c>
      <c r="D538" t="s">
        <v>2910</v>
      </c>
    </row>
    <row r="539" spans="1:4">
      <c r="A539">
        <v>563</v>
      </c>
      <c r="B539" s="13">
        <v>45854</v>
      </c>
      <c r="C539" t="s">
        <v>1804</v>
      </c>
      <c r="D539" t="s">
        <v>2912</v>
      </c>
    </row>
    <row r="540" spans="1:4">
      <c r="A540">
        <v>564</v>
      </c>
      <c r="B540" s="13">
        <v>45854</v>
      </c>
      <c r="C540" t="s">
        <v>1670</v>
      </c>
      <c r="D540" t="s">
        <v>2913</v>
      </c>
    </row>
    <row r="541" spans="1:4">
      <c r="A541">
        <v>565</v>
      </c>
      <c r="B541" s="13">
        <v>45854</v>
      </c>
      <c r="C541" t="s">
        <v>2914</v>
      </c>
      <c r="D541" t="s">
        <v>2916</v>
      </c>
    </row>
    <row r="542" spans="1:4">
      <c r="A542">
        <v>566</v>
      </c>
      <c r="B542" s="13">
        <v>45855</v>
      </c>
      <c r="C542" t="s">
        <v>1018</v>
      </c>
      <c r="D542" t="s">
        <v>2923</v>
      </c>
    </row>
    <row r="543" spans="1:4">
      <c r="A543">
        <v>567</v>
      </c>
      <c r="B543" s="13">
        <v>45855</v>
      </c>
      <c r="C543" t="s">
        <v>1466</v>
      </c>
      <c r="D543" t="s">
        <v>2925</v>
      </c>
    </row>
    <row r="544" spans="1:4">
      <c r="A544">
        <v>568</v>
      </c>
      <c r="B544" s="13">
        <v>45855</v>
      </c>
      <c r="C544" t="s">
        <v>2621</v>
      </c>
      <c r="D544" t="s">
        <v>2926</v>
      </c>
    </row>
    <row r="545" spans="1:4">
      <c r="A545">
        <v>569</v>
      </c>
      <c r="B545" s="13">
        <v>45855</v>
      </c>
      <c r="C545" t="s">
        <v>1398</v>
      </c>
      <c r="D545" t="s">
        <v>2927</v>
      </c>
    </row>
    <row r="546" spans="1:4">
      <c r="A546">
        <v>570</v>
      </c>
      <c r="B546" s="13">
        <v>45856</v>
      </c>
      <c r="C546" t="s">
        <v>1448</v>
      </c>
      <c r="D546" t="s">
        <v>2932</v>
      </c>
    </row>
    <row r="547" spans="1:4">
      <c r="A547">
        <v>571</v>
      </c>
      <c r="B547" s="13">
        <v>45856</v>
      </c>
      <c r="C547" t="s">
        <v>2933</v>
      </c>
      <c r="D547" t="s">
        <v>2937</v>
      </c>
    </row>
    <row r="548" spans="1:4">
      <c r="A548">
        <v>572</v>
      </c>
      <c r="B548" s="13">
        <v>45856</v>
      </c>
      <c r="C548" t="s">
        <v>1478</v>
      </c>
      <c r="D548" t="s">
        <v>2939</v>
      </c>
    </row>
    <row r="549" spans="1:4">
      <c r="A549">
        <v>573</v>
      </c>
      <c r="B549" s="13">
        <v>45856</v>
      </c>
      <c r="C549" t="s">
        <v>2940</v>
      </c>
      <c r="D549" t="s">
        <v>2942</v>
      </c>
    </row>
    <row r="550" spans="1:4">
      <c r="A550">
        <v>574</v>
      </c>
      <c r="B550" s="13">
        <v>45856</v>
      </c>
      <c r="C550" t="s">
        <v>1846</v>
      </c>
      <c r="D550" t="s">
        <v>2943</v>
      </c>
    </row>
    <row r="551" spans="1:4">
      <c r="A551">
        <v>575</v>
      </c>
      <c r="B551" s="13">
        <v>45856</v>
      </c>
      <c r="C551" t="s">
        <v>1979</v>
      </c>
      <c r="D551" t="s">
        <v>2944</v>
      </c>
    </row>
    <row r="552" spans="1:4">
      <c r="A552">
        <v>576</v>
      </c>
      <c r="B552" s="13">
        <v>45857</v>
      </c>
      <c r="C552" t="s">
        <v>2318</v>
      </c>
      <c r="D552" t="s">
        <v>2949</v>
      </c>
    </row>
    <row r="553" spans="1:4">
      <c r="A553">
        <v>577</v>
      </c>
      <c r="B553" s="13">
        <v>45859</v>
      </c>
      <c r="C553" t="s">
        <v>2608</v>
      </c>
      <c r="D553" t="s">
        <v>2951</v>
      </c>
    </row>
    <row r="554" spans="1:4">
      <c r="A554">
        <v>578</v>
      </c>
      <c r="B554" s="13">
        <v>45859</v>
      </c>
      <c r="C554" t="s">
        <v>2257</v>
      </c>
      <c r="D554" t="s">
        <v>2954</v>
      </c>
    </row>
    <row r="555" spans="1:4">
      <c r="A555">
        <v>579</v>
      </c>
      <c r="B555" s="13">
        <v>45859</v>
      </c>
      <c r="C555" t="s">
        <v>1553</v>
      </c>
      <c r="D555" t="s">
        <v>2955</v>
      </c>
    </row>
    <row r="556" spans="1:4">
      <c r="A556">
        <v>580</v>
      </c>
      <c r="B556" s="13">
        <v>45859</v>
      </c>
      <c r="C556" t="s">
        <v>1146</v>
      </c>
      <c r="D556" t="s">
        <v>2957</v>
      </c>
    </row>
    <row r="557" spans="1:4">
      <c r="A557">
        <v>581</v>
      </c>
      <c r="B557" s="13">
        <v>45859</v>
      </c>
      <c r="C557" t="s">
        <v>1468</v>
      </c>
      <c r="D557" t="s">
        <v>2958</v>
      </c>
    </row>
    <row r="558" spans="1:4">
      <c r="A558">
        <v>582</v>
      </c>
      <c r="B558" s="13">
        <v>45860</v>
      </c>
      <c r="C558" t="s">
        <v>1540</v>
      </c>
      <c r="D558" t="s">
        <v>2959</v>
      </c>
    </row>
    <row r="559" spans="1:4">
      <c r="A559">
        <v>583</v>
      </c>
      <c r="B559" s="13">
        <v>45860</v>
      </c>
      <c r="C559" t="s">
        <v>1811</v>
      </c>
      <c r="D559" t="s">
        <v>2960</v>
      </c>
    </row>
    <row r="560" spans="1:4">
      <c r="A560">
        <v>584</v>
      </c>
      <c r="B560" s="13">
        <v>45860</v>
      </c>
      <c r="C560" t="s">
        <v>1018</v>
      </c>
      <c r="D560" t="s">
        <v>2961</v>
      </c>
    </row>
    <row r="561" spans="1:4">
      <c r="A561">
        <v>585</v>
      </c>
      <c r="B561" s="13">
        <v>45860</v>
      </c>
      <c r="C561" t="s">
        <v>2962</v>
      </c>
      <c r="D561" t="s">
        <v>2966</v>
      </c>
    </row>
    <row r="562" spans="1:4">
      <c r="A562">
        <v>586</v>
      </c>
      <c r="B562" s="13">
        <v>45860</v>
      </c>
      <c r="C562" t="s">
        <v>1721</v>
      </c>
      <c r="D562" t="s">
        <v>2967</v>
      </c>
    </row>
    <row r="563" spans="1:4">
      <c r="A563">
        <v>587</v>
      </c>
      <c r="B563" s="13">
        <v>45860</v>
      </c>
      <c r="C563" t="s">
        <v>2888</v>
      </c>
      <c r="D563" t="s">
        <v>2968</v>
      </c>
    </row>
    <row r="564" spans="1:4">
      <c r="A564">
        <v>588</v>
      </c>
      <c r="B564" s="13">
        <v>45861</v>
      </c>
      <c r="C564" t="s">
        <v>1398</v>
      </c>
      <c r="D564" t="s">
        <v>2974</v>
      </c>
    </row>
    <row r="565" spans="1:4">
      <c r="A565">
        <v>589</v>
      </c>
      <c r="B565" s="13">
        <v>45861</v>
      </c>
      <c r="C565" t="s">
        <v>1746</v>
      </c>
      <c r="D565" t="s">
        <v>2975</v>
      </c>
    </row>
    <row r="566" spans="1:4">
      <c r="A566">
        <v>590</v>
      </c>
      <c r="B566" s="13">
        <v>45861</v>
      </c>
      <c r="C566" t="s">
        <v>1808</v>
      </c>
      <c r="D566" t="s">
        <v>2976</v>
      </c>
    </row>
    <row r="567" spans="1:4">
      <c r="A567">
        <v>591</v>
      </c>
      <c r="B567" s="13">
        <v>45861</v>
      </c>
      <c r="C567" t="s">
        <v>1846</v>
      </c>
      <c r="D567" t="s">
        <v>2977</v>
      </c>
    </row>
    <row r="568" spans="1:4">
      <c r="A568">
        <v>592</v>
      </c>
      <c r="B568" s="13">
        <v>45861</v>
      </c>
      <c r="C568" t="s">
        <v>1466</v>
      </c>
      <c r="D568" t="s">
        <v>2978</v>
      </c>
    </row>
    <row r="569" spans="1:4">
      <c r="A569">
        <v>593</v>
      </c>
      <c r="B569" s="13">
        <v>45861</v>
      </c>
      <c r="C569" t="s">
        <v>1053</v>
      </c>
      <c r="D569" t="s">
        <v>2979</v>
      </c>
    </row>
    <row r="570" spans="1:4">
      <c r="A570">
        <v>594</v>
      </c>
      <c r="B570" s="13">
        <v>45861</v>
      </c>
      <c r="C570" t="s">
        <v>2318</v>
      </c>
      <c r="D570" t="s">
        <v>2980</v>
      </c>
    </row>
    <row r="571" spans="1:4">
      <c r="A571">
        <v>595</v>
      </c>
      <c r="B571" s="13">
        <v>45862</v>
      </c>
      <c r="C571" t="s">
        <v>1398</v>
      </c>
      <c r="D571" t="s">
        <v>2987</v>
      </c>
    </row>
    <row r="572" spans="1:4">
      <c r="A572">
        <v>596</v>
      </c>
      <c r="B572" s="13">
        <v>45862</v>
      </c>
      <c r="C572" t="s">
        <v>1869</v>
      </c>
      <c r="D572" t="s">
        <v>2988</v>
      </c>
    </row>
    <row r="573" spans="1:4">
      <c r="A573">
        <v>597</v>
      </c>
      <c r="B573" s="13">
        <v>45862</v>
      </c>
      <c r="C573" t="s">
        <v>1457</v>
      </c>
      <c r="D573" t="s">
        <v>2989</v>
      </c>
    </row>
    <row r="574" spans="1:4">
      <c r="A574">
        <v>598</v>
      </c>
      <c r="B574" s="13">
        <v>45862</v>
      </c>
      <c r="C574" t="s">
        <v>1448</v>
      </c>
      <c r="D574" t="s">
        <v>2990</v>
      </c>
    </row>
    <row r="575" spans="1:4">
      <c r="A575">
        <v>599</v>
      </c>
      <c r="B575" s="13">
        <v>45862</v>
      </c>
      <c r="C575" t="s">
        <v>1579</v>
      </c>
      <c r="D575" t="s">
        <v>2991</v>
      </c>
    </row>
    <row r="576" spans="1:4">
      <c r="A576">
        <v>600</v>
      </c>
      <c r="B576" s="13">
        <v>45862</v>
      </c>
      <c r="C576" t="s">
        <v>1443</v>
      </c>
      <c r="D576" t="s">
        <v>2994</v>
      </c>
    </row>
    <row r="577" spans="1:4">
      <c r="A577">
        <v>601</v>
      </c>
      <c r="B577" s="13">
        <v>45862</v>
      </c>
      <c r="C577" t="s">
        <v>1451</v>
      </c>
      <c r="D577" t="s">
        <v>2995</v>
      </c>
    </row>
    <row r="578" spans="1:4">
      <c r="A578">
        <v>602</v>
      </c>
      <c r="B578" s="13">
        <v>45862</v>
      </c>
      <c r="C578" t="s">
        <v>2996</v>
      </c>
      <c r="D578" t="s">
        <v>2997</v>
      </c>
    </row>
    <row r="579" spans="1:4">
      <c r="A579">
        <v>603</v>
      </c>
      <c r="B579" s="13">
        <v>45862</v>
      </c>
      <c r="C579" t="s">
        <v>1457</v>
      </c>
      <c r="D579" t="s">
        <v>3000</v>
      </c>
    </row>
    <row r="580" spans="1:4">
      <c r="A580">
        <v>604</v>
      </c>
      <c r="B580" s="13">
        <v>45863</v>
      </c>
      <c r="C580" t="s">
        <v>2384</v>
      </c>
      <c r="D580" t="s">
        <v>3004</v>
      </c>
    </row>
    <row r="581" spans="1:4">
      <c r="A581">
        <v>605</v>
      </c>
      <c r="B581" s="13">
        <v>45863</v>
      </c>
      <c r="C581" t="s">
        <v>1979</v>
      </c>
      <c r="D581" t="s">
        <v>3005</v>
      </c>
    </row>
    <row r="582" spans="1:4">
      <c r="A582">
        <v>606</v>
      </c>
      <c r="B582" s="13">
        <v>45863</v>
      </c>
      <c r="C582" t="s">
        <v>1979</v>
      </c>
      <c r="D582" t="s">
        <v>3006</v>
      </c>
    </row>
    <row r="583" spans="1:4">
      <c r="A583">
        <v>607</v>
      </c>
      <c r="B583" s="13">
        <v>45863</v>
      </c>
      <c r="C583" t="s">
        <v>1597</v>
      </c>
      <c r="D583" t="s">
        <v>3007</v>
      </c>
    </row>
    <row r="584" spans="1:4">
      <c r="A584">
        <v>608</v>
      </c>
      <c r="B584" s="13">
        <v>45863</v>
      </c>
      <c r="C584" t="s">
        <v>979</v>
      </c>
      <c r="D584" t="s">
        <v>3009</v>
      </c>
    </row>
    <row r="585" spans="1:4">
      <c r="A585">
        <v>609</v>
      </c>
      <c r="B585" s="13">
        <v>45863</v>
      </c>
      <c r="C585" t="s">
        <v>1082</v>
      </c>
      <c r="D585" t="s">
        <v>3010</v>
      </c>
    </row>
    <row r="586" spans="1:4">
      <c r="A586">
        <v>610</v>
      </c>
      <c r="B586" s="13">
        <v>45863</v>
      </c>
      <c r="C586" t="s">
        <v>1478</v>
      </c>
      <c r="D586" t="s">
        <v>3011</v>
      </c>
    </row>
    <row r="587" spans="1:4">
      <c r="A587">
        <v>611</v>
      </c>
      <c r="B587" s="13">
        <v>45863</v>
      </c>
      <c r="C587" t="s">
        <v>1468</v>
      </c>
      <c r="D587" t="s">
        <v>3012</v>
      </c>
    </row>
    <row r="588" spans="1:4">
      <c r="A588">
        <v>612</v>
      </c>
      <c r="B588" s="13">
        <v>45864</v>
      </c>
      <c r="C588" t="s">
        <v>1443</v>
      </c>
      <c r="D588" t="s">
        <v>3013</v>
      </c>
    </row>
    <row r="589" spans="1:4">
      <c r="A589">
        <v>613</v>
      </c>
      <c r="B589" s="13">
        <v>45866</v>
      </c>
      <c r="C589" t="s">
        <v>1053</v>
      </c>
      <c r="D589" t="s">
        <v>3014</v>
      </c>
    </row>
    <row r="590" spans="1:4">
      <c r="A590">
        <v>614</v>
      </c>
      <c r="B590" s="13">
        <v>45866</v>
      </c>
      <c r="C590" t="s">
        <v>1398</v>
      </c>
      <c r="D590" t="s">
        <v>3015</v>
      </c>
    </row>
    <row r="591" spans="1:4">
      <c r="A591">
        <v>615</v>
      </c>
      <c r="B591" s="13">
        <v>45866</v>
      </c>
      <c r="C591" t="s">
        <v>1746</v>
      </c>
      <c r="D591" t="s">
        <v>3016</v>
      </c>
    </row>
    <row r="592" spans="1:4">
      <c r="A592">
        <v>616</v>
      </c>
      <c r="B592" s="13">
        <v>45866</v>
      </c>
      <c r="C592" t="s">
        <v>1846</v>
      </c>
      <c r="D592" t="s">
        <v>3017</v>
      </c>
    </row>
    <row r="593" spans="1:4">
      <c r="A593">
        <v>617</v>
      </c>
      <c r="B593" s="13">
        <v>45866</v>
      </c>
      <c r="C593" t="s">
        <v>1670</v>
      </c>
      <c r="D593" t="s">
        <v>3018</v>
      </c>
    </row>
    <row r="594" spans="1:4">
      <c r="A594">
        <v>618</v>
      </c>
      <c r="B594" s="13">
        <v>45866</v>
      </c>
      <c r="C594" t="s">
        <v>1472</v>
      </c>
      <c r="D594" t="s">
        <v>3019</v>
      </c>
    </row>
    <row r="595" spans="1:4">
      <c r="A595">
        <v>619</v>
      </c>
      <c r="B595" s="13">
        <v>45866</v>
      </c>
      <c r="C595" t="s">
        <v>3020</v>
      </c>
      <c r="D595" t="s">
        <v>3023</v>
      </c>
    </row>
    <row r="596" spans="1:4">
      <c r="A596">
        <v>620</v>
      </c>
      <c r="B596" s="13">
        <v>45866</v>
      </c>
      <c r="C596" t="s">
        <v>1543</v>
      </c>
      <c r="D596" t="s">
        <v>3024</v>
      </c>
    </row>
    <row r="597" spans="1:4">
      <c r="A597">
        <v>621</v>
      </c>
      <c r="B597" s="13">
        <v>45866</v>
      </c>
      <c r="C597" t="s">
        <v>1860</v>
      </c>
      <c r="D597" t="s">
        <v>3025</v>
      </c>
    </row>
    <row r="598" spans="1:4">
      <c r="A598">
        <v>622</v>
      </c>
      <c r="B598" s="13">
        <v>45866</v>
      </c>
      <c r="C598" t="s">
        <v>1746</v>
      </c>
      <c r="D598" t="s">
        <v>3026</v>
      </c>
    </row>
    <row r="599" spans="1:4">
      <c r="A599">
        <v>623</v>
      </c>
      <c r="B599" s="13">
        <v>45866</v>
      </c>
      <c r="C599" t="s">
        <v>1448</v>
      </c>
      <c r="D599" t="s">
        <v>3027</v>
      </c>
    </row>
    <row r="600" spans="1:4">
      <c r="A600">
        <v>624</v>
      </c>
      <c r="B600" s="13">
        <v>45866</v>
      </c>
      <c r="C600" t="s">
        <v>3028</v>
      </c>
      <c r="D600" t="s">
        <v>3033</v>
      </c>
    </row>
    <row r="601" spans="1:4">
      <c r="A601">
        <v>625</v>
      </c>
      <c r="B601" s="13">
        <v>45867</v>
      </c>
      <c r="C601" t="s">
        <v>1443</v>
      </c>
      <c r="D601" t="s">
        <v>3060</v>
      </c>
    </row>
    <row r="602" spans="1:4">
      <c r="A602">
        <v>626</v>
      </c>
      <c r="B602" s="13">
        <v>45867</v>
      </c>
      <c r="C602" t="s">
        <v>1789</v>
      </c>
      <c r="D602" t="s">
        <v>3061</v>
      </c>
    </row>
    <row r="603" spans="1:4">
      <c r="A603">
        <v>627</v>
      </c>
      <c r="B603" s="13">
        <v>45867</v>
      </c>
      <c r="C603" t="s">
        <v>1082</v>
      </c>
      <c r="D603" t="s">
        <v>3062</v>
      </c>
    </row>
    <row r="604" spans="1:4">
      <c r="A604">
        <v>628</v>
      </c>
      <c r="B604" s="13">
        <v>45867</v>
      </c>
      <c r="C604" t="s">
        <v>1305</v>
      </c>
      <c r="D604" t="s">
        <v>3063</v>
      </c>
    </row>
    <row r="605" spans="1:4">
      <c r="A605">
        <v>629</v>
      </c>
      <c r="B605" s="13">
        <v>45867</v>
      </c>
      <c r="C605" t="s">
        <v>1804</v>
      </c>
      <c r="D605" t="s">
        <v>3064</v>
      </c>
    </row>
    <row r="606" spans="1:4">
      <c r="A606">
        <v>630</v>
      </c>
      <c r="B606" s="13">
        <v>45867</v>
      </c>
      <c r="C606" t="s">
        <v>2914</v>
      </c>
      <c r="D606" t="s">
        <v>3065</v>
      </c>
    </row>
    <row r="607" spans="1:4">
      <c r="A607">
        <v>631</v>
      </c>
      <c r="B607" s="13">
        <v>45867</v>
      </c>
      <c r="C607" t="s">
        <v>1721</v>
      </c>
      <c r="D607" t="s">
        <v>3066</v>
      </c>
    </row>
    <row r="608" spans="1:4">
      <c r="A608">
        <v>632</v>
      </c>
      <c r="B608" s="13">
        <v>45867</v>
      </c>
      <c r="C608" t="s">
        <v>1443</v>
      </c>
      <c r="D608" t="s">
        <v>3067</v>
      </c>
    </row>
    <row r="609" spans="1:4">
      <c r="A609">
        <v>633</v>
      </c>
      <c r="B609" s="13">
        <v>45868</v>
      </c>
      <c r="C609" t="s">
        <v>1976</v>
      </c>
      <c r="D609" t="s">
        <v>3070</v>
      </c>
    </row>
    <row r="610" spans="1:4">
      <c r="A610">
        <v>634</v>
      </c>
      <c r="B610" s="13">
        <v>45868</v>
      </c>
      <c r="C610" t="s">
        <v>1808</v>
      </c>
      <c r="D610" t="s">
        <v>3071</v>
      </c>
    </row>
    <row r="611" spans="1:4">
      <c r="A611">
        <v>635</v>
      </c>
      <c r="B611" s="13">
        <v>45868</v>
      </c>
      <c r="C611" t="s">
        <v>2787</v>
      </c>
      <c r="D611" t="s">
        <v>3072</v>
      </c>
    </row>
    <row r="612" spans="1:4">
      <c r="A612">
        <v>636</v>
      </c>
      <c r="B612" s="13">
        <v>45868</v>
      </c>
      <c r="C612" t="s">
        <v>1804</v>
      </c>
      <c r="D612" t="s">
        <v>3074</v>
      </c>
    </row>
    <row r="613" spans="1:4">
      <c r="A613">
        <v>637</v>
      </c>
      <c r="B613" s="13">
        <v>45868</v>
      </c>
      <c r="C613" t="s">
        <v>1576</v>
      </c>
      <c r="D613" t="s">
        <v>3075</v>
      </c>
    </row>
    <row r="614" spans="1:4">
      <c r="A614">
        <v>638</v>
      </c>
      <c r="B614" s="13">
        <v>45868</v>
      </c>
      <c r="C614" t="s">
        <v>3076</v>
      </c>
      <c r="D614" t="s">
        <v>3080</v>
      </c>
    </row>
    <row r="615" spans="1:4">
      <c r="A615">
        <v>639</v>
      </c>
      <c r="B615" s="13">
        <v>45868</v>
      </c>
      <c r="C615" t="s">
        <v>2318</v>
      </c>
      <c r="D615" t="s">
        <v>3081</v>
      </c>
    </row>
    <row r="616" spans="1:4">
      <c r="A616">
        <v>640</v>
      </c>
      <c r="B616" s="13">
        <v>45869</v>
      </c>
      <c r="C616" t="s">
        <v>1472</v>
      </c>
      <c r="D616" t="s">
        <v>3084</v>
      </c>
    </row>
    <row r="617" spans="1:4">
      <c r="A617">
        <v>641</v>
      </c>
      <c r="B617" s="13">
        <v>45869</v>
      </c>
      <c r="C617" t="s">
        <v>1789</v>
      </c>
      <c r="D617" t="s">
        <v>3085</v>
      </c>
    </row>
    <row r="618" spans="1:4">
      <c r="A618">
        <v>642</v>
      </c>
      <c r="B618" s="13">
        <v>45869</v>
      </c>
      <c r="C618" t="s">
        <v>1497</v>
      </c>
      <c r="D618" t="s">
        <v>3086</v>
      </c>
    </row>
    <row r="619" spans="1:4">
      <c r="A619">
        <v>643</v>
      </c>
      <c r="B619" s="13">
        <v>45869</v>
      </c>
      <c r="C619" t="s">
        <v>1670</v>
      </c>
      <c r="D619" t="s">
        <v>3087</v>
      </c>
    </row>
    <row r="620" spans="1:4">
      <c r="A620">
        <v>644</v>
      </c>
      <c r="B620" s="13">
        <v>45869</v>
      </c>
      <c r="C620" t="s">
        <v>1579</v>
      </c>
      <c r="D620" t="s">
        <v>3088</v>
      </c>
    </row>
    <row r="621" spans="1:4">
      <c r="A621">
        <v>645</v>
      </c>
      <c r="B621" s="13">
        <v>45870</v>
      </c>
      <c r="C621" t="s">
        <v>1472</v>
      </c>
      <c r="D621" t="s">
        <v>3091</v>
      </c>
    </row>
    <row r="622" spans="1:4">
      <c r="A622">
        <v>646</v>
      </c>
      <c r="B622" s="13">
        <v>45870</v>
      </c>
      <c r="C622" t="s">
        <v>3092</v>
      </c>
      <c r="D622" t="s">
        <v>3093</v>
      </c>
    </row>
    <row r="623" spans="1:4">
      <c r="A623">
        <v>647</v>
      </c>
      <c r="B623" s="13">
        <v>45870</v>
      </c>
      <c r="C623" t="s">
        <v>1941</v>
      </c>
      <c r="D623" t="s">
        <v>3094</v>
      </c>
    </row>
    <row r="624" spans="1:4">
      <c r="A624">
        <v>648</v>
      </c>
      <c r="B624" s="13">
        <v>45870</v>
      </c>
      <c r="C624" t="s">
        <v>1398</v>
      </c>
      <c r="D624" t="s">
        <v>3095</v>
      </c>
    </row>
    <row r="625" spans="1:4">
      <c r="A625">
        <v>649</v>
      </c>
      <c r="B625" s="13">
        <v>45868</v>
      </c>
      <c r="C625" t="s">
        <v>1721</v>
      </c>
      <c r="D625" t="s">
        <v>3099</v>
      </c>
    </row>
    <row r="626" spans="1:4">
      <c r="A626">
        <v>650</v>
      </c>
      <c r="B626" s="13">
        <v>45873</v>
      </c>
      <c r="C626" t="s">
        <v>1576</v>
      </c>
      <c r="D626" t="s">
        <v>3100</v>
      </c>
    </row>
    <row r="627" spans="1:4">
      <c r="A627">
        <v>651</v>
      </c>
      <c r="B627" s="13">
        <v>45873</v>
      </c>
      <c r="C627" t="s">
        <v>2871</v>
      </c>
      <c r="D627" t="s">
        <v>3101</v>
      </c>
    </row>
    <row r="628" spans="1:4">
      <c r="A628">
        <v>652</v>
      </c>
      <c r="B628" s="13">
        <v>45873</v>
      </c>
      <c r="C628" t="s">
        <v>1441</v>
      </c>
      <c r="D628" t="s">
        <v>3102</v>
      </c>
    </row>
    <row r="629" spans="1:4">
      <c r="A629">
        <v>653</v>
      </c>
      <c r="B629" s="13">
        <v>45873</v>
      </c>
      <c r="C629" t="s">
        <v>2871</v>
      </c>
      <c r="D629" t="s">
        <v>3103</v>
      </c>
    </row>
    <row r="630" spans="1:4">
      <c r="A630">
        <v>654</v>
      </c>
      <c r="B630" s="13">
        <v>45873</v>
      </c>
      <c r="C630" t="s">
        <v>1398</v>
      </c>
      <c r="D630" t="s">
        <v>3104</v>
      </c>
    </row>
    <row r="631" spans="1:4">
      <c r="A631">
        <v>655</v>
      </c>
      <c r="B631" s="13">
        <v>45873</v>
      </c>
      <c r="C631" t="s">
        <v>1015</v>
      </c>
      <c r="D631" t="s">
        <v>3105</v>
      </c>
    </row>
    <row r="632" spans="1:4">
      <c r="A632">
        <v>656</v>
      </c>
      <c r="B632" s="13">
        <v>45873</v>
      </c>
      <c r="C632" t="s">
        <v>2147</v>
      </c>
      <c r="D632" t="s">
        <v>3106</v>
      </c>
    </row>
    <row r="633" spans="1:4">
      <c r="A633">
        <v>657</v>
      </c>
      <c r="B633" s="13">
        <v>45873</v>
      </c>
      <c r="C633" t="s">
        <v>1472</v>
      </c>
      <c r="D633" t="s">
        <v>3107</v>
      </c>
    </row>
    <row r="634" spans="1:4">
      <c r="A634">
        <v>658</v>
      </c>
      <c r="B634" s="13">
        <v>45873</v>
      </c>
      <c r="C634" t="s">
        <v>1472</v>
      </c>
      <c r="D634" t="s">
        <v>3108</v>
      </c>
    </row>
    <row r="635" spans="1:4">
      <c r="A635">
        <v>659</v>
      </c>
      <c r="B635" s="13">
        <v>45873</v>
      </c>
      <c r="C635" t="s">
        <v>1472</v>
      </c>
      <c r="D635" t="s">
        <v>3110</v>
      </c>
    </row>
    <row r="636" spans="1:4">
      <c r="A636">
        <v>660</v>
      </c>
      <c r="B636" s="13">
        <v>45873</v>
      </c>
      <c r="C636" t="s">
        <v>1472</v>
      </c>
      <c r="D636" t="s">
        <v>3111</v>
      </c>
    </row>
    <row r="637" spans="1:4">
      <c r="A637">
        <v>661</v>
      </c>
      <c r="B637" s="13">
        <v>45873</v>
      </c>
      <c r="C637" t="s">
        <v>2147</v>
      </c>
      <c r="D637" t="s">
        <v>3112</v>
      </c>
    </row>
    <row r="638" spans="1:4">
      <c r="A638">
        <v>662</v>
      </c>
      <c r="B638" s="13">
        <v>45873</v>
      </c>
      <c r="C638" t="s">
        <v>1015</v>
      </c>
      <c r="D638" t="s">
        <v>3113</v>
      </c>
    </row>
    <row r="639" spans="1:4">
      <c r="A639">
        <v>663</v>
      </c>
      <c r="B639" s="13">
        <v>45875</v>
      </c>
      <c r="C639" t="s">
        <v>1493</v>
      </c>
      <c r="D639" t="s">
        <v>3125</v>
      </c>
    </row>
    <row r="640" spans="1:4">
      <c r="A640">
        <v>664</v>
      </c>
      <c r="B640" s="13">
        <v>45875</v>
      </c>
      <c r="C640" t="s">
        <v>1026</v>
      </c>
      <c r="D640" t="s">
        <v>3126</v>
      </c>
    </row>
    <row r="641" spans="1:4">
      <c r="A641">
        <v>665</v>
      </c>
      <c r="B641" s="13">
        <v>45875</v>
      </c>
      <c r="C641" t="s">
        <v>3119</v>
      </c>
      <c r="D641" t="s">
        <v>3131</v>
      </c>
    </row>
    <row r="642" spans="1:4">
      <c r="A642">
        <v>666</v>
      </c>
      <c r="B642" s="13">
        <v>45875</v>
      </c>
      <c r="C642" t="s">
        <v>1146</v>
      </c>
      <c r="D642" t="s">
        <v>3133</v>
      </c>
    </row>
    <row r="643" spans="1:4">
      <c r="A643">
        <v>667</v>
      </c>
      <c r="B643" s="13">
        <v>45875</v>
      </c>
      <c r="C643" t="s">
        <v>1808</v>
      </c>
      <c r="D643" t="s">
        <v>3134</v>
      </c>
    </row>
    <row r="644" spans="1:4">
      <c r="A644">
        <v>668</v>
      </c>
      <c r="B644" s="13">
        <v>45875</v>
      </c>
      <c r="C644" t="s">
        <v>3135</v>
      </c>
      <c r="D644" t="s">
        <v>3136</v>
      </c>
    </row>
    <row r="645" spans="1:4">
      <c r="A645">
        <v>669</v>
      </c>
      <c r="B645" s="13">
        <v>45875</v>
      </c>
      <c r="C645" t="s">
        <v>2144</v>
      </c>
      <c r="D645" t="s">
        <v>3137</v>
      </c>
    </row>
    <row r="646" spans="1:4">
      <c r="A646">
        <v>670</v>
      </c>
      <c r="B646" s="13">
        <v>45875</v>
      </c>
      <c r="C646" t="s">
        <v>1576</v>
      </c>
      <c r="D646" t="s">
        <v>3139</v>
      </c>
    </row>
    <row r="647" spans="1:4">
      <c r="A647">
        <v>671</v>
      </c>
      <c r="B647" s="13">
        <v>45875</v>
      </c>
      <c r="C647" t="s">
        <v>1746</v>
      </c>
      <c r="D647" t="s">
        <v>3140</v>
      </c>
    </row>
    <row r="648" spans="1:4">
      <c r="A648">
        <v>672</v>
      </c>
      <c r="B648" s="13">
        <v>45876</v>
      </c>
      <c r="C648" t="s">
        <v>1443</v>
      </c>
      <c r="D648" t="s">
        <v>3144</v>
      </c>
    </row>
    <row r="649" spans="1:4">
      <c r="A649">
        <v>673</v>
      </c>
      <c r="B649" s="13">
        <v>45876</v>
      </c>
      <c r="C649" t="s">
        <v>2781</v>
      </c>
      <c r="D649" t="s">
        <v>3145</v>
      </c>
    </row>
    <row r="650" spans="1:4">
      <c r="A650">
        <v>674</v>
      </c>
      <c r="B650" s="13">
        <v>45876</v>
      </c>
      <c r="C650" t="s">
        <v>2408</v>
      </c>
      <c r="D650" t="s">
        <v>3146</v>
      </c>
    </row>
    <row r="651" spans="1:4">
      <c r="A651">
        <v>675</v>
      </c>
      <c r="B651" s="13">
        <v>45877</v>
      </c>
      <c r="C651" t="s">
        <v>3148</v>
      </c>
      <c r="D651" t="s">
        <v>3149</v>
      </c>
    </row>
    <row r="652" spans="1:4">
      <c r="A652">
        <v>676</v>
      </c>
      <c r="B652" s="13">
        <v>45877</v>
      </c>
      <c r="C652" t="s">
        <v>3150</v>
      </c>
      <c r="D652" t="s">
        <v>3154</v>
      </c>
    </row>
    <row r="653" spans="1:4">
      <c r="A653">
        <v>677</v>
      </c>
      <c r="B653" s="13">
        <v>45877</v>
      </c>
      <c r="C653" t="s">
        <v>3148</v>
      </c>
      <c r="D653" t="s">
        <v>3155</v>
      </c>
    </row>
    <row r="654" spans="1:4">
      <c r="A654">
        <v>678</v>
      </c>
      <c r="B654" s="13">
        <v>45877</v>
      </c>
      <c r="C654" t="s">
        <v>3150</v>
      </c>
      <c r="D654" t="s">
        <v>3156</v>
      </c>
    </row>
    <row r="655" spans="1:4">
      <c r="A655">
        <v>679</v>
      </c>
      <c r="B655" s="13">
        <v>45877</v>
      </c>
      <c r="C655" t="s">
        <v>3148</v>
      </c>
      <c r="D655" t="s">
        <v>3157</v>
      </c>
    </row>
    <row r="656" spans="1:4">
      <c r="A656">
        <v>680</v>
      </c>
      <c r="B656" s="13">
        <v>45878</v>
      </c>
      <c r="C656" t="s">
        <v>1018</v>
      </c>
      <c r="D656" t="s">
        <v>3159</v>
      </c>
    </row>
    <row r="657" spans="1:4">
      <c r="A657">
        <v>681</v>
      </c>
      <c r="B657" s="13">
        <v>45878</v>
      </c>
      <c r="C657" t="s">
        <v>3160</v>
      </c>
      <c r="D657" t="s">
        <v>3161</v>
      </c>
    </row>
    <row r="658" spans="1:4">
      <c r="A658">
        <v>682</v>
      </c>
      <c r="B658" s="13">
        <v>45880</v>
      </c>
      <c r="C658" t="s">
        <v>2318</v>
      </c>
      <c r="D658" t="s">
        <v>3162</v>
      </c>
    </row>
    <row r="659" spans="1:4">
      <c r="A659">
        <v>683</v>
      </c>
      <c r="B659" s="13">
        <v>45880</v>
      </c>
      <c r="C659" t="s">
        <v>1746</v>
      </c>
      <c r="D659" t="s">
        <v>3163</v>
      </c>
    </row>
    <row r="660" spans="1:4">
      <c r="A660">
        <v>684</v>
      </c>
      <c r="B660" s="13">
        <v>45880</v>
      </c>
      <c r="C660" t="s">
        <v>1579</v>
      </c>
      <c r="D660" t="s">
        <v>3164</v>
      </c>
    </row>
    <row r="661" spans="1:4">
      <c r="A661">
        <v>685</v>
      </c>
      <c r="B661" t="s">
        <v>3166</v>
      </c>
      <c r="C661" t="s">
        <v>1493</v>
      </c>
      <c r="D661" t="s">
        <v>3167</v>
      </c>
    </row>
    <row r="662" spans="1:4">
      <c r="A662">
        <v>686</v>
      </c>
      <c r="B662" s="13">
        <v>45880</v>
      </c>
      <c r="C662" t="s">
        <v>1398</v>
      </c>
      <c r="D662" t="s">
        <v>3168</v>
      </c>
    </row>
    <row r="663" spans="1:4">
      <c r="A663">
        <v>687</v>
      </c>
      <c r="B663" s="13">
        <v>45880</v>
      </c>
      <c r="C663" t="s">
        <v>1893</v>
      </c>
      <c r="D663" t="s">
        <v>3169</v>
      </c>
    </row>
    <row r="664" spans="1:4">
      <c r="A664">
        <v>688</v>
      </c>
      <c r="B664" s="13">
        <v>45880</v>
      </c>
      <c r="C664" t="s">
        <v>2914</v>
      </c>
      <c r="D664" t="s">
        <v>3170</v>
      </c>
    </row>
    <row r="665" spans="1:4">
      <c r="A665">
        <v>689</v>
      </c>
      <c r="B665" s="13">
        <v>45881</v>
      </c>
      <c r="C665" t="s">
        <v>1466</v>
      </c>
      <c r="D665" t="s">
        <v>3171</v>
      </c>
    </row>
    <row r="666" spans="1:4">
      <c r="A666">
        <v>690</v>
      </c>
      <c r="B666" s="13">
        <v>45881</v>
      </c>
      <c r="C666" t="s">
        <v>1472</v>
      </c>
      <c r="D666" t="s">
        <v>3172</v>
      </c>
    </row>
    <row r="667" spans="1:4">
      <c r="A667">
        <v>691</v>
      </c>
      <c r="B667" s="13">
        <v>45881</v>
      </c>
      <c r="C667" t="s">
        <v>2318</v>
      </c>
      <c r="D667" t="s">
        <v>3173</v>
      </c>
    </row>
    <row r="668" spans="1:4">
      <c r="A668">
        <v>692</v>
      </c>
      <c r="B668" s="13">
        <v>45881</v>
      </c>
      <c r="C668" t="s">
        <v>2996</v>
      </c>
      <c r="D668" t="s">
        <v>3175</v>
      </c>
    </row>
    <row r="669" spans="1:4">
      <c r="A669">
        <v>693</v>
      </c>
      <c r="B669" s="13">
        <v>45882</v>
      </c>
      <c r="C669" t="s">
        <v>1804</v>
      </c>
      <c r="D669" t="s">
        <v>3177</v>
      </c>
    </row>
    <row r="670" spans="1:4">
      <c r="A670">
        <v>694</v>
      </c>
      <c r="B670" s="13">
        <v>45882</v>
      </c>
      <c r="C670" t="s">
        <v>1579</v>
      </c>
      <c r="D670" t="s">
        <v>3178</v>
      </c>
    </row>
    <row r="671" spans="1:4">
      <c r="A671">
        <v>695</v>
      </c>
      <c r="B671" s="13">
        <v>45882</v>
      </c>
      <c r="C671" t="s">
        <v>1398</v>
      </c>
      <c r="D671" t="s">
        <v>3179</v>
      </c>
    </row>
    <row r="672" spans="1:4">
      <c r="A672">
        <v>696</v>
      </c>
      <c r="B672" s="13">
        <v>45882</v>
      </c>
      <c r="C672" t="s">
        <v>1576</v>
      </c>
      <c r="D672" t="s">
        <v>3180</v>
      </c>
    </row>
    <row r="673" spans="1:4">
      <c r="A673">
        <v>697</v>
      </c>
      <c r="B673" s="13">
        <v>45882</v>
      </c>
      <c r="C673" t="s">
        <v>1018</v>
      </c>
      <c r="D673" t="s">
        <v>3181</v>
      </c>
    </row>
    <row r="674" spans="1:4">
      <c r="A674">
        <v>698</v>
      </c>
      <c r="B674" s="13">
        <v>45882</v>
      </c>
      <c r="C674" t="s">
        <v>3185</v>
      </c>
      <c r="D674" t="s">
        <v>3189</v>
      </c>
    </row>
    <row r="675" spans="1:4">
      <c r="A675">
        <v>699</v>
      </c>
      <c r="B675" s="13">
        <v>45882</v>
      </c>
      <c r="C675" t="s">
        <v>3182</v>
      </c>
      <c r="D675" t="s">
        <v>3191</v>
      </c>
    </row>
    <row r="676" spans="1:4">
      <c r="A676">
        <v>700</v>
      </c>
      <c r="B676" s="13">
        <v>45883</v>
      </c>
      <c r="C676" t="s">
        <v>1466</v>
      </c>
      <c r="D676" t="s">
        <v>3192</v>
      </c>
    </row>
    <row r="677" spans="1:4">
      <c r="A677">
        <v>701</v>
      </c>
      <c r="B677" s="13">
        <v>45883</v>
      </c>
      <c r="C677" t="s">
        <v>1478</v>
      </c>
      <c r="D677" t="s">
        <v>3194</v>
      </c>
    </row>
    <row r="678" spans="1:4">
      <c r="A678">
        <v>702</v>
      </c>
      <c r="B678" s="13">
        <v>45883</v>
      </c>
      <c r="C678" t="s">
        <v>987</v>
      </c>
      <c r="D678" t="s">
        <v>3196</v>
      </c>
    </row>
    <row r="679" spans="1:4">
      <c r="A679">
        <v>703</v>
      </c>
      <c r="B679" s="13">
        <v>45883</v>
      </c>
      <c r="C679" t="s">
        <v>1026</v>
      </c>
      <c r="D679" t="s">
        <v>3197</v>
      </c>
    </row>
    <row r="680" spans="1:4">
      <c r="A680">
        <v>704</v>
      </c>
      <c r="B680" s="13">
        <v>45883</v>
      </c>
      <c r="C680" t="s">
        <v>1227</v>
      </c>
      <c r="D680" t="s">
        <v>3199</v>
      </c>
    </row>
    <row r="681" spans="1:4">
      <c r="A681">
        <v>705</v>
      </c>
      <c r="B681" s="13">
        <v>45883</v>
      </c>
      <c r="C681" t="s">
        <v>3200</v>
      </c>
      <c r="D681" t="s">
        <v>3202</v>
      </c>
    </row>
    <row r="682" spans="1:4">
      <c r="A682">
        <v>706</v>
      </c>
      <c r="B682" s="13">
        <v>45883</v>
      </c>
      <c r="C682" t="s">
        <v>2595</v>
      </c>
      <c r="D682" t="s">
        <v>3203</v>
      </c>
    </row>
    <row r="683" spans="1:4">
      <c r="A683">
        <v>707</v>
      </c>
      <c r="B683" s="13">
        <v>45883</v>
      </c>
      <c r="C683" t="s">
        <v>2408</v>
      </c>
      <c r="D683" t="s">
        <v>3204</v>
      </c>
    </row>
    <row r="684" spans="1:4">
      <c r="A684">
        <v>708</v>
      </c>
      <c r="B684" s="13">
        <v>45884</v>
      </c>
      <c r="C684" t="s">
        <v>1448</v>
      </c>
      <c r="D684" t="s">
        <v>3207</v>
      </c>
    </row>
    <row r="685" spans="1:4">
      <c r="A685">
        <v>709</v>
      </c>
      <c r="B685" s="13">
        <v>45884</v>
      </c>
      <c r="C685" t="s">
        <v>1398</v>
      </c>
      <c r="D685" t="s">
        <v>3208</v>
      </c>
    </row>
    <row r="686" spans="1:4">
      <c r="A686">
        <v>710</v>
      </c>
      <c r="B686" s="13">
        <v>45884</v>
      </c>
      <c r="C686" t="s">
        <v>3209</v>
      </c>
      <c r="D686" t="s">
        <v>3212</v>
      </c>
    </row>
    <row r="687" spans="1:4">
      <c r="A687">
        <v>711</v>
      </c>
      <c r="B687" s="13">
        <v>45885</v>
      </c>
      <c r="C687" t="s">
        <v>1721</v>
      </c>
      <c r="D687" t="s">
        <v>3213</v>
      </c>
    </row>
    <row r="688" spans="1:4">
      <c r="A688">
        <v>712</v>
      </c>
      <c r="B688" s="13">
        <v>45885</v>
      </c>
      <c r="C688" t="s">
        <v>1721</v>
      </c>
      <c r="D688" t="s">
        <v>3214</v>
      </c>
    </row>
    <row r="689" spans="1:4">
      <c r="A689">
        <v>713</v>
      </c>
      <c r="B689" s="13">
        <v>45887</v>
      </c>
      <c r="C689" t="s">
        <v>1398</v>
      </c>
      <c r="D689" t="s">
        <v>3218</v>
      </c>
    </row>
    <row r="690" spans="1:4">
      <c r="A690">
        <v>714</v>
      </c>
      <c r="B690" s="13">
        <v>45887</v>
      </c>
      <c r="C690" t="s">
        <v>1478</v>
      </c>
      <c r="D690" t="s">
        <v>3219</v>
      </c>
    </row>
    <row r="691" spans="1:4">
      <c r="A691">
        <v>715</v>
      </c>
      <c r="B691" s="13">
        <v>45887</v>
      </c>
      <c r="C691" t="s">
        <v>1443</v>
      </c>
      <c r="D691" t="s">
        <v>3220</v>
      </c>
    </row>
    <row r="692" spans="1:4">
      <c r="A692">
        <v>716</v>
      </c>
      <c r="B692" s="13">
        <v>45887</v>
      </c>
      <c r="C692" t="s">
        <v>1466</v>
      </c>
      <c r="D692" t="s">
        <v>3223</v>
      </c>
    </row>
    <row r="693" spans="1:4">
      <c r="A693">
        <v>717</v>
      </c>
      <c r="B693" s="13">
        <v>45887</v>
      </c>
      <c r="C693" t="s">
        <v>1448</v>
      </c>
      <c r="D693" t="s">
        <v>3224</v>
      </c>
    </row>
    <row r="694" spans="1:4">
      <c r="A694">
        <v>718</v>
      </c>
      <c r="B694" s="13">
        <v>45887</v>
      </c>
      <c r="C694" t="s">
        <v>1976</v>
      </c>
      <c r="D694" t="s">
        <v>3225</v>
      </c>
    </row>
    <row r="695" spans="1:4">
      <c r="A695">
        <v>719</v>
      </c>
      <c r="B695" s="13">
        <v>45887</v>
      </c>
      <c r="C695" t="s">
        <v>2608</v>
      </c>
      <c r="D695" t="s">
        <v>3227</v>
      </c>
    </row>
    <row r="696" spans="1:4">
      <c r="A696">
        <v>720</v>
      </c>
      <c r="B696" s="13">
        <v>45887</v>
      </c>
      <c r="C696" t="s">
        <v>1597</v>
      </c>
      <c r="D696" t="s">
        <v>3229</v>
      </c>
    </row>
    <row r="697" spans="1:4">
      <c r="A697">
        <v>721</v>
      </c>
      <c r="B697" s="13">
        <v>45887</v>
      </c>
      <c r="C697" t="s">
        <v>1453</v>
      </c>
      <c r="D697" t="s">
        <v>3231</v>
      </c>
    </row>
    <row r="698" spans="1:4">
      <c r="A698">
        <v>722</v>
      </c>
      <c r="B698" s="13">
        <v>45888</v>
      </c>
      <c r="C698" t="s">
        <v>1576</v>
      </c>
      <c r="D698" t="s">
        <v>3233</v>
      </c>
    </row>
    <row r="699" spans="1:4">
      <c r="A699">
        <v>723</v>
      </c>
      <c r="B699" s="13">
        <v>45888</v>
      </c>
      <c r="C699" t="s">
        <v>1398</v>
      </c>
      <c r="D699" t="s">
        <v>3234</v>
      </c>
    </row>
    <row r="700" spans="1:4">
      <c r="A700">
        <v>724</v>
      </c>
      <c r="B700" s="13">
        <v>45888</v>
      </c>
      <c r="C700" t="s">
        <v>1472</v>
      </c>
      <c r="D700" t="s">
        <v>3235</v>
      </c>
    </row>
    <row r="701" spans="1:4">
      <c r="A701">
        <v>725</v>
      </c>
      <c r="B701" s="13">
        <v>45888</v>
      </c>
      <c r="C701" t="s">
        <v>1597</v>
      </c>
      <c r="D701" t="s">
        <v>3236</v>
      </c>
    </row>
    <row r="702" spans="1:4">
      <c r="A702">
        <v>726</v>
      </c>
      <c r="B702" s="13">
        <v>45888</v>
      </c>
      <c r="C702" t="s">
        <v>1398</v>
      </c>
      <c r="D702" t="s">
        <v>3238</v>
      </c>
    </row>
    <row r="703" spans="1:4">
      <c r="A703">
        <v>727</v>
      </c>
      <c r="B703" s="13">
        <v>45889</v>
      </c>
      <c r="C703" t="s">
        <v>1026</v>
      </c>
      <c r="D703" t="s">
        <v>3240</v>
      </c>
    </row>
    <row r="704" spans="1:4">
      <c r="A704">
        <v>728</v>
      </c>
      <c r="B704" s="13">
        <v>45889</v>
      </c>
      <c r="C704" t="s">
        <v>1540</v>
      </c>
      <c r="D704" t="s">
        <v>3241</v>
      </c>
    </row>
    <row r="705" spans="1:4">
      <c r="A705">
        <v>729</v>
      </c>
      <c r="B705" s="13">
        <v>45889</v>
      </c>
      <c r="C705" t="s">
        <v>1046</v>
      </c>
      <c r="D705" t="s">
        <v>3242</v>
      </c>
    </row>
    <row r="706" spans="1:4">
      <c r="A706">
        <v>730</v>
      </c>
      <c r="B706" s="13">
        <v>45889</v>
      </c>
      <c r="C706" t="s">
        <v>2556</v>
      </c>
      <c r="D706" t="s">
        <v>3244</v>
      </c>
    </row>
    <row r="707" spans="1:4">
      <c r="A707">
        <v>731</v>
      </c>
      <c r="B707" s="13">
        <v>45889</v>
      </c>
      <c r="C707" t="s">
        <v>2260</v>
      </c>
      <c r="D707" t="s">
        <v>3245</v>
      </c>
    </row>
    <row r="708" spans="1:4">
      <c r="A708">
        <v>732</v>
      </c>
      <c r="B708" s="13">
        <v>45889</v>
      </c>
      <c r="C708" t="s">
        <v>2365</v>
      </c>
      <c r="D708" t="s">
        <v>3247</v>
      </c>
    </row>
    <row r="709" spans="1:4">
      <c r="A709">
        <v>733</v>
      </c>
      <c r="B709" s="13">
        <v>45890</v>
      </c>
      <c r="C709" t="s">
        <v>1377</v>
      </c>
      <c r="D709" t="s">
        <v>3248</v>
      </c>
    </row>
    <row r="710" spans="1:4">
      <c r="A710">
        <v>734</v>
      </c>
      <c r="B710" s="13">
        <v>45890</v>
      </c>
      <c r="C710" t="s">
        <v>2914</v>
      </c>
      <c r="D710" t="s">
        <v>3249</v>
      </c>
    </row>
    <row r="711" spans="1:4">
      <c r="A711">
        <v>735</v>
      </c>
      <c r="B711" s="13">
        <v>45890</v>
      </c>
      <c r="C711" t="s">
        <v>1579</v>
      </c>
      <c r="D711" t="s">
        <v>3250</v>
      </c>
    </row>
    <row r="712" spans="1:4">
      <c r="A712">
        <v>736</v>
      </c>
      <c r="B712" s="13">
        <v>45890</v>
      </c>
      <c r="C712" t="s">
        <v>2556</v>
      </c>
      <c r="D712" t="s">
        <v>3251</v>
      </c>
    </row>
    <row r="713" spans="1:4">
      <c r="A713">
        <v>737</v>
      </c>
      <c r="B713" s="13">
        <v>45890</v>
      </c>
      <c r="C713" t="s">
        <v>1721</v>
      </c>
      <c r="D713" t="s">
        <v>3253</v>
      </c>
    </row>
    <row r="714" spans="1:4">
      <c r="A714">
        <v>738</v>
      </c>
      <c r="B714" s="13">
        <v>45890</v>
      </c>
      <c r="C714" t="s">
        <v>1398</v>
      </c>
      <c r="D714" t="s">
        <v>3256</v>
      </c>
    </row>
    <row r="715" spans="1:4">
      <c r="A715">
        <v>739</v>
      </c>
      <c r="B715" s="13">
        <v>45890</v>
      </c>
      <c r="C715" t="s">
        <v>3119</v>
      </c>
      <c r="D715" t="s">
        <v>3257</v>
      </c>
    </row>
    <row r="716" spans="1:4">
      <c r="A716">
        <v>740</v>
      </c>
      <c r="B716" s="13">
        <v>45891</v>
      </c>
      <c r="C716" t="s">
        <v>2856</v>
      </c>
      <c r="D716" t="s">
        <v>3259</v>
      </c>
    </row>
    <row r="717" spans="1:4">
      <c r="A717">
        <v>741</v>
      </c>
      <c r="B717" s="13">
        <v>45891</v>
      </c>
      <c r="C717" t="s">
        <v>1811</v>
      </c>
      <c r="D717" t="s">
        <v>3261</v>
      </c>
    </row>
    <row r="718" spans="1:4">
      <c r="A718">
        <v>742</v>
      </c>
      <c r="B718" s="13">
        <v>45891</v>
      </c>
      <c r="C718" t="s">
        <v>3262</v>
      </c>
      <c r="D718" t="s">
        <v>3266</v>
      </c>
    </row>
    <row r="719" spans="1:4">
      <c r="A719">
        <v>743</v>
      </c>
      <c r="B719" s="13">
        <v>45891</v>
      </c>
      <c r="C719" t="s">
        <v>2608</v>
      </c>
      <c r="D719" t="s">
        <v>3267</v>
      </c>
    </row>
    <row r="720" spans="1:4">
      <c r="A720">
        <v>744</v>
      </c>
      <c r="B720" s="13">
        <v>45891</v>
      </c>
      <c r="C720" t="s">
        <v>3268</v>
      </c>
      <c r="D720" t="s">
        <v>3271</v>
      </c>
    </row>
    <row r="721" spans="1:4">
      <c r="A721">
        <v>745</v>
      </c>
      <c r="B721" s="13">
        <v>45892</v>
      </c>
      <c r="C721" t="s">
        <v>1007</v>
      </c>
      <c r="D721" t="s">
        <v>3273</v>
      </c>
    </row>
    <row r="722" spans="1:4">
      <c r="A722">
        <v>746</v>
      </c>
      <c r="B722" s="13">
        <v>45894</v>
      </c>
      <c r="C722" t="s">
        <v>1398</v>
      </c>
      <c r="D722" t="s">
        <v>3278</v>
      </c>
    </row>
    <row r="723" spans="1:4">
      <c r="A723">
        <v>747</v>
      </c>
      <c r="B723" s="13">
        <v>45894</v>
      </c>
      <c r="C723" t="s">
        <v>1398</v>
      </c>
      <c r="D723" t="s">
        <v>3279</v>
      </c>
    </row>
    <row r="724" spans="1:4">
      <c r="A724">
        <v>748</v>
      </c>
      <c r="B724" s="13">
        <v>45894</v>
      </c>
      <c r="C724" t="s">
        <v>1398</v>
      </c>
      <c r="D724" t="s">
        <v>3280</v>
      </c>
    </row>
    <row r="725" spans="1:4">
      <c r="A725">
        <v>749</v>
      </c>
      <c r="B725" s="13">
        <v>45894</v>
      </c>
      <c r="C725" t="s">
        <v>1804</v>
      </c>
      <c r="D725" t="s">
        <v>3281</v>
      </c>
    </row>
    <row r="726" spans="1:4">
      <c r="A726">
        <v>750</v>
      </c>
      <c r="B726" s="13">
        <v>45894</v>
      </c>
      <c r="C726" t="s">
        <v>3119</v>
      </c>
      <c r="D726" t="s">
        <v>3285</v>
      </c>
    </row>
    <row r="727" spans="1:4">
      <c r="A727">
        <v>751</v>
      </c>
      <c r="B727" s="13">
        <v>45894</v>
      </c>
      <c r="C727" t="s">
        <v>2914</v>
      </c>
      <c r="D727" t="s">
        <v>3286</v>
      </c>
    </row>
    <row r="728" spans="1:4">
      <c r="A728">
        <v>752</v>
      </c>
      <c r="B728" s="13">
        <v>45894</v>
      </c>
      <c r="C728" t="s">
        <v>1576</v>
      </c>
      <c r="D728" t="s">
        <v>3287</v>
      </c>
    </row>
    <row r="729" spans="1:4">
      <c r="A729">
        <v>753</v>
      </c>
      <c r="B729" s="13">
        <v>45894</v>
      </c>
      <c r="C729" t="s">
        <v>2291</v>
      </c>
      <c r="D729" t="s">
        <v>3288</v>
      </c>
    </row>
    <row r="730" spans="1:4">
      <c r="A730">
        <v>754</v>
      </c>
      <c r="B730" s="13">
        <v>45894</v>
      </c>
      <c r="C730" t="s">
        <v>2556</v>
      </c>
      <c r="D730" t="s">
        <v>3289</v>
      </c>
    </row>
    <row r="731" spans="1:4">
      <c r="A731">
        <v>755</v>
      </c>
      <c r="B731" s="13">
        <v>45894</v>
      </c>
      <c r="C731" t="s">
        <v>3290</v>
      </c>
      <c r="D731" t="s">
        <v>3294</v>
      </c>
    </row>
    <row r="732" spans="1:4">
      <c r="A732">
        <v>756</v>
      </c>
      <c r="B732" s="13">
        <v>45894</v>
      </c>
      <c r="C732" t="s">
        <v>3290</v>
      </c>
      <c r="D732" t="s">
        <v>3295</v>
      </c>
    </row>
    <row r="733" spans="1:4">
      <c r="A733">
        <v>757</v>
      </c>
      <c r="B733" s="13">
        <v>45894</v>
      </c>
      <c r="C733" t="s">
        <v>987</v>
      </c>
      <c r="D733" t="s">
        <v>3296</v>
      </c>
    </row>
    <row r="734" spans="1:4">
      <c r="A734">
        <v>758</v>
      </c>
      <c r="B734" s="13">
        <v>45894</v>
      </c>
      <c r="C734" t="s">
        <v>2408</v>
      </c>
      <c r="D734" t="s">
        <v>3298</v>
      </c>
    </row>
    <row r="735" spans="1:4">
      <c r="A735">
        <v>759</v>
      </c>
      <c r="B735" s="13">
        <v>45894</v>
      </c>
      <c r="C735" t="s">
        <v>2305</v>
      </c>
      <c r="D735" t="s">
        <v>3299</v>
      </c>
    </row>
    <row r="736" spans="1:4">
      <c r="A736">
        <v>760</v>
      </c>
      <c r="B736" s="13">
        <v>45894</v>
      </c>
      <c r="C736" t="s">
        <v>1576</v>
      </c>
      <c r="D736" t="s">
        <v>3300</v>
      </c>
    </row>
    <row r="737" spans="1:4">
      <c r="A737">
        <v>761</v>
      </c>
      <c r="B737" s="13">
        <v>45894</v>
      </c>
      <c r="C737" t="s">
        <v>1576</v>
      </c>
      <c r="D737" t="s">
        <v>3301</v>
      </c>
    </row>
    <row r="738" spans="1:4">
      <c r="A738">
        <v>762</v>
      </c>
      <c r="B738" s="13">
        <v>45894</v>
      </c>
      <c r="C738" t="s">
        <v>1015</v>
      </c>
      <c r="D738" t="s">
        <v>3302</v>
      </c>
    </row>
    <row r="739" spans="1:4">
      <c r="A739">
        <v>763</v>
      </c>
      <c r="B739" s="13">
        <v>45895</v>
      </c>
      <c r="C739" t="s">
        <v>1540</v>
      </c>
      <c r="D739" t="s">
        <v>3306</v>
      </c>
    </row>
    <row r="740" spans="1:4">
      <c r="A740">
        <v>764</v>
      </c>
      <c r="B740" s="13">
        <v>45895</v>
      </c>
      <c r="C740" t="s">
        <v>1468</v>
      </c>
      <c r="D740" t="s">
        <v>3307</v>
      </c>
    </row>
    <row r="741" spans="1:4">
      <c r="A741">
        <v>765</v>
      </c>
      <c r="B741" s="13">
        <v>45895</v>
      </c>
      <c r="C741" t="s">
        <v>1015</v>
      </c>
      <c r="D741" t="s">
        <v>3308</v>
      </c>
    </row>
    <row r="742" spans="1:4">
      <c r="A742">
        <v>766</v>
      </c>
      <c r="B742" s="13">
        <v>45895</v>
      </c>
      <c r="C742" t="s">
        <v>1579</v>
      </c>
      <c r="D742" t="s">
        <v>3310</v>
      </c>
    </row>
    <row r="743" spans="1:4">
      <c r="A743">
        <v>767</v>
      </c>
      <c r="B743" s="13">
        <v>45895</v>
      </c>
      <c r="C743" t="s">
        <v>1443</v>
      </c>
      <c r="D743" t="s">
        <v>3311</v>
      </c>
    </row>
    <row r="744" spans="1:4">
      <c r="A744">
        <v>768</v>
      </c>
      <c r="B744" s="13">
        <v>45895</v>
      </c>
      <c r="C744" t="s">
        <v>2856</v>
      </c>
      <c r="D744" t="s">
        <v>3314</v>
      </c>
    </row>
    <row r="745" spans="1:4">
      <c r="A745">
        <v>769</v>
      </c>
      <c r="B745" s="13">
        <v>45895</v>
      </c>
      <c r="C745" t="s">
        <v>2856</v>
      </c>
      <c r="D745" t="s">
        <v>3315</v>
      </c>
    </row>
    <row r="746" spans="1:4">
      <c r="A746">
        <v>770</v>
      </c>
      <c r="B746" s="13">
        <v>45896</v>
      </c>
      <c r="C746" t="s">
        <v>1472</v>
      </c>
      <c r="D746" t="s">
        <v>3319</v>
      </c>
    </row>
    <row r="747" spans="1:4">
      <c r="A747">
        <v>771</v>
      </c>
      <c r="B747" s="13">
        <v>45896</v>
      </c>
      <c r="C747" t="s">
        <v>3114</v>
      </c>
      <c r="D747" t="s">
        <v>3321</v>
      </c>
    </row>
    <row r="748" spans="1:4">
      <c r="A748">
        <v>772</v>
      </c>
      <c r="B748" s="13">
        <v>45896</v>
      </c>
      <c r="C748" t="s">
        <v>1746</v>
      </c>
      <c r="D748" t="s">
        <v>3322</v>
      </c>
    </row>
    <row r="749" spans="1:4">
      <c r="A749">
        <v>773</v>
      </c>
      <c r="B749" s="13">
        <v>45896</v>
      </c>
      <c r="C749" t="s">
        <v>1082</v>
      </c>
      <c r="D749" t="s">
        <v>3323</v>
      </c>
    </row>
    <row r="750" spans="1:4">
      <c r="A750">
        <v>774</v>
      </c>
      <c r="B750" s="13">
        <v>45896</v>
      </c>
      <c r="C750" t="s">
        <v>2465</v>
      </c>
      <c r="D750" t="s">
        <v>3324</v>
      </c>
    </row>
    <row r="751" spans="1:4">
      <c r="A751">
        <v>775</v>
      </c>
      <c r="B751" s="13">
        <v>45897</v>
      </c>
      <c r="C751" t="s">
        <v>1579</v>
      </c>
      <c r="D751" t="s">
        <v>3332</v>
      </c>
    </row>
    <row r="752" spans="1:4">
      <c r="A752">
        <v>776</v>
      </c>
      <c r="B752" s="13">
        <v>45897</v>
      </c>
      <c r="C752" t="s">
        <v>1789</v>
      </c>
      <c r="D752" t="s">
        <v>3333</v>
      </c>
    </row>
    <row r="753" spans="1:4">
      <c r="A753">
        <v>777</v>
      </c>
      <c r="B753" s="13">
        <v>45897</v>
      </c>
      <c r="C753" t="s">
        <v>1146</v>
      </c>
      <c r="D753" t="s">
        <v>3334</v>
      </c>
    </row>
    <row r="754" spans="1:4">
      <c r="A754">
        <v>778</v>
      </c>
      <c r="B754" s="13">
        <v>45897</v>
      </c>
      <c r="C754" t="s">
        <v>1046</v>
      </c>
      <c r="D754" t="s">
        <v>3335</v>
      </c>
    </row>
    <row r="755" spans="1:4">
      <c r="A755">
        <v>779</v>
      </c>
      <c r="B755" s="13">
        <v>45897</v>
      </c>
      <c r="C755" t="s">
        <v>1172</v>
      </c>
      <c r="D755" t="s">
        <v>3336</v>
      </c>
    </row>
    <row r="756" spans="1:4">
      <c r="A756">
        <v>780</v>
      </c>
      <c r="B756" s="13">
        <v>45897</v>
      </c>
      <c r="C756" t="s">
        <v>1576</v>
      </c>
      <c r="D756" t="s">
        <v>3337</v>
      </c>
    </row>
    <row r="757" spans="1:4">
      <c r="A757">
        <v>781</v>
      </c>
      <c r="B757" s="13">
        <v>45897</v>
      </c>
      <c r="C757" t="s">
        <v>1721</v>
      </c>
      <c r="D757" t="s">
        <v>3338</v>
      </c>
    </row>
    <row r="758" spans="1:4">
      <c r="A758">
        <v>782</v>
      </c>
      <c r="B758" s="13">
        <v>45898</v>
      </c>
      <c r="C758" t="s">
        <v>2996</v>
      </c>
      <c r="D758" t="s">
        <v>3343</v>
      </c>
    </row>
    <row r="759" spans="1:4">
      <c r="A759">
        <v>783</v>
      </c>
      <c r="B759" s="13">
        <v>45898</v>
      </c>
      <c r="C759" t="s">
        <v>1553</v>
      </c>
      <c r="D759" t="s">
        <v>3344</v>
      </c>
    </row>
    <row r="760" spans="1:4">
      <c r="A760">
        <v>784</v>
      </c>
      <c r="B760" s="13">
        <v>45898</v>
      </c>
      <c r="C760" t="s">
        <v>1721</v>
      </c>
      <c r="D760" t="s">
        <v>3345</v>
      </c>
    </row>
    <row r="761" spans="1:4">
      <c r="A761">
        <v>785</v>
      </c>
      <c r="B761" s="13">
        <v>45898</v>
      </c>
      <c r="C761" t="s">
        <v>3200</v>
      </c>
      <c r="D761" t="s">
        <v>3346</v>
      </c>
    </row>
    <row r="762" spans="1:4">
      <c r="A762">
        <v>786</v>
      </c>
      <c r="B762" s="13">
        <v>45899</v>
      </c>
      <c r="C762" t="s">
        <v>2867</v>
      </c>
      <c r="D762" t="s">
        <v>3347</v>
      </c>
    </row>
    <row r="763" spans="1:4">
      <c r="A763">
        <v>787</v>
      </c>
      <c r="B763" s="13">
        <v>45899</v>
      </c>
      <c r="C763" t="s">
        <v>1746</v>
      </c>
      <c r="D763" t="s">
        <v>3348</v>
      </c>
    </row>
    <row r="764" spans="1:4">
      <c r="A764">
        <v>788</v>
      </c>
      <c r="B764" s="13">
        <v>45901</v>
      </c>
      <c r="C764" t="s">
        <v>1398</v>
      </c>
      <c r="D764" t="s">
        <v>3355</v>
      </c>
    </row>
    <row r="765" spans="1:4">
      <c r="A765">
        <v>789</v>
      </c>
      <c r="B765" s="13">
        <v>45901</v>
      </c>
      <c r="C765" t="s">
        <v>1398</v>
      </c>
      <c r="D765" t="s">
        <v>3356</v>
      </c>
    </row>
    <row r="766" spans="1:4">
      <c r="A766">
        <v>790</v>
      </c>
      <c r="B766" s="13">
        <v>45901</v>
      </c>
      <c r="C766" t="s">
        <v>1553</v>
      </c>
      <c r="D766" t="s">
        <v>3357</v>
      </c>
    </row>
    <row r="767" spans="1:4">
      <c r="A767">
        <v>791</v>
      </c>
      <c r="B767" s="13">
        <v>45901</v>
      </c>
      <c r="C767" t="s">
        <v>1472</v>
      </c>
      <c r="D767" t="s">
        <v>3358</v>
      </c>
    </row>
    <row r="768" spans="1:4">
      <c r="A768">
        <v>792</v>
      </c>
      <c r="B768" s="13">
        <v>45901</v>
      </c>
      <c r="C768" t="s">
        <v>1811</v>
      </c>
      <c r="D768" t="s">
        <v>3359</v>
      </c>
    </row>
    <row r="769" spans="1:4">
      <c r="A769">
        <v>793</v>
      </c>
      <c r="B769" s="13">
        <v>45901</v>
      </c>
      <c r="C769" t="s">
        <v>1443</v>
      </c>
      <c r="D769" t="s">
        <v>3360</v>
      </c>
    </row>
    <row r="770" spans="1:4">
      <c r="A770">
        <v>794</v>
      </c>
      <c r="B770" s="13">
        <v>45901</v>
      </c>
      <c r="C770" t="s">
        <v>2760</v>
      </c>
      <c r="D770" t="s">
        <v>3361</v>
      </c>
    </row>
    <row r="771" spans="1:4">
      <c r="A771">
        <v>795</v>
      </c>
      <c r="B771" s="13">
        <v>45901</v>
      </c>
      <c r="C771" t="s">
        <v>3349</v>
      </c>
      <c r="D771" t="s">
        <v>3362</v>
      </c>
    </row>
    <row r="772" spans="1:4">
      <c r="A772">
        <v>796</v>
      </c>
      <c r="B772" s="13">
        <v>45901</v>
      </c>
      <c r="C772" t="s">
        <v>1443</v>
      </c>
      <c r="D772" t="s">
        <v>3363</v>
      </c>
    </row>
    <row r="773" spans="1:4">
      <c r="A773">
        <v>797</v>
      </c>
      <c r="B773" s="13">
        <v>45902</v>
      </c>
      <c r="C773" t="s">
        <v>1172</v>
      </c>
      <c r="D773" t="s">
        <v>3367</v>
      </c>
    </row>
    <row r="774" spans="1:4">
      <c r="A774">
        <v>798</v>
      </c>
      <c r="B774" s="13">
        <v>45902</v>
      </c>
      <c r="C774" t="s">
        <v>1976</v>
      </c>
      <c r="D774" t="s">
        <v>3368</v>
      </c>
    </row>
    <row r="775" spans="1:4">
      <c r="A775">
        <v>799</v>
      </c>
      <c r="B775" s="13">
        <v>45902</v>
      </c>
      <c r="C775" t="s">
        <v>2996</v>
      </c>
      <c r="D775" t="s">
        <v>3369</v>
      </c>
    </row>
    <row r="776" spans="1:4">
      <c r="A776">
        <v>800</v>
      </c>
      <c r="B776" s="13">
        <v>45902</v>
      </c>
      <c r="C776" t="s">
        <v>1146</v>
      </c>
      <c r="D776" t="s">
        <v>3370</v>
      </c>
    </row>
    <row r="777" spans="1:4">
      <c r="A777">
        <v>801</v>
      </c>
      <c r="B777" s="13">
        <v>45902</v>
      </c>
      <c r="C777" t="s">
        <v>1576</v>
      </c>
      <c r="D777" t="s">
        <v>3371</v>
      </c>
    </row>
    <row r="778" spans="1:4">
      <c r="A778">
        <v>802</v>
      </c>
      <c r="B778" s="13">
        <v>45902</v>
      </c>
      <c r="C778" t="s">
        <v>1493</v>
      </c>
      <c r="D778" t="s">
        <v>3373</v>
      </c>
    </row>
    <row r="779" spans="1:4">
      <c r="A779">
        <v>803</v>
      </c>
      <c r="B779" s="13">
        <v>45902</v>
      </c>
      <c r="C779" t="s">
        <v>1007</v>
      </c>
      <c r="D779" t="s">
        <v>3374</v>
      </c>
    </row>
    <row r="780" spans="1:4">
      <c r="A780">
        <v>804</v>
      </c>
      <c r="B780" s="13">
        <v>45903</v>
      </c>
      <c r="C780" t="s">
        <v>1789</v>
      </c>
      <c r="D780" t="s">
        <v>3375</v>
      </c>
    </row>
    <row r="781" spans="1:4">
      <c r="A781">
        <v>805</v>
      </c>
      <c r="B781" s="13">
        <v>45903</v>
      </c>
      <c r="C781" t="s">
        <v>1466</v>
      </c>
      <c r="D781" t="s">
        <v>3376</v>
      </c>
    </row>
    <row r="782" spans="1:4">
      <c r="A782">
        <v>806</v>
      </c>
      <c r="B782" s="13">
        <v>45903</v>
      </c>
      <c r="C782" t="s">
        <v>1443</v>
      </c>
      <c r="D782" t="s">
        <v>3377</v>
      </c>
    </row>
    <row r="783" spans="1:4">
      <c r="A783">
        <v>807</v>
      </c>
      <c r="B783" s="13">
        <v>45903</v>
      </c>
      <c r="C783" t="s">
        <v>1172</v>
      </c>
      <c r="D783" t="s">
        <v>3379</v>
      </c>
    </row>
    <row r="784" spans="1:4">
      <c r="A784">
        <v>808</v>
      </c>
      <c r="B784" s="13">
        <v>45903</v>
      </c>
      <c r="C784" t="s">
        <v>1497</v>
      </c>
      <c r="D784" t="s">
        <v>3381</v>
      </c>
    </row>
    <row r="785" spans="1:4">
      <c r="A785">
        <v>809</v>
      </c>
      <c r="B785" s="13">
        <v>45903</v>
      </c>
      <c r="C785" t="s">
        <v>1579</v>
      </c>
      <c r="D785" t="s">
        <v>3384</v>
      </c>
    </row>
    <row r="786" spans="1:4">
      <c r="A786">
        <v>810</v>
      </c>
      <c r="B786" s="13">
        <v>45903</v>
      </c>
      <c r="C786" t="s">
        <v>3290</v>
      </c>
      <c r="D786" t="s">
        <v>3385</v>
      </c>
    </row>
    <row r="787" spans="1:4">
      <c r="A787">
        <v>811</v>
      </c>
      <c r="B787" s="13">
        <v>45903</v>
      </c>
      <c r="C787" t="s">
        <v>1448</v>
      </c>
      <c r="D787" t="s">
        <v>3389</v>
      </c>
    </row>
    <row r="788" spans="1:4">
      <c r="A788">
        <v>812</v>
      </c>
      <c r="B788" s="13">
        <v>45903</v>
      </c>
      <c r="C788" t="s">
        <v>1448</v>
      </c>
      <c r="D788" t="s">
        <v>3390</v>
      </c>
    </row>
    <row r="789" spans="1:4">
      <c r="A789">
        <v>813</v>
      </c>
      <c r="B789" s="13">
        <v>45903</v>
      </c>
      <c r="C789" t="s">
        <v>2318</v>
      </c>
      <c r="D789" t="s">
        <v>3394</v>
      </c>
    </row>
    <row r="790" spans="1:4">
      <c r="A790">
        <v>814</v>
      </c>
      <c r="B790" s="13">
        <v>45903</v>
      </c>
      <c r="C790" t="s">
        <v>3391</v>
      </c>
      <c r="D790" t="s">
        <v>3395</v>
      </c>
    </row>
    <row r="791" spans="1:4">
      <c r="A791">
        <v>815</v>
      </c>
      <c r="B791" s="13">
        <v>45903</v>
      </c>
      <c r="C791" t="s">
        <v>1746</v>
      </c>
      <c r="D791" t="s">
        <v>3396</v>
      </c>
    </row>
    <row r="792" spans="1:4">
      <c r="A792">
        <v>816</v>
      </c>
      <c r="B792" s="13">
        <v>45903</v>
      </c>
      <c r="C792" t="s">
        <v>2318</v>
      </c>
      <c r="D792" t="s">
        <v>3397</v>
      </c>
    </row>
    <row r="793" spans="1:4">
      <c r="A793">
        <v>817</v>
      </c>
      <c r="B793" s="13">
        <v>45903</v>
      </c>
      <c r="C793" t="s">
        <v>1846</v>
      </c>
      <c r="D793" t="s">
        <v>3399</v>
      </c>
    </row>
    <row r="794" spans="1:4">
      <c r="A794">
        <v>818</v>
      </c>
      <c r="B794" s="13">
        <v>45903</v>
      </c>
      <c r="C794" t="s">
        <v>1746</v>
      </c>
      <c r="D794" t="s">
        <v>3401</v>
      </c>
    </row>
    <row r="795" spans="1:4">
      <c r="A795">
        <v>819</v>
      </c>
      <c r="B795" s="13">
        <v>45899</v>
      </c>
      <c r="C795" t="s">
        <v>1746</v>
      </c>
      <c r="D795" t="s">
        <v>3402</v>
      </c>
    </row>
    <row r="796" spans="1:4">
      <c r="A796">
        <v>820</v>
      </c>
      <c r="B796" s="13">
        <v>45904</v>
      </c>
      <c r="C796" t="s">
        <v>1721</v>
      </c>
      <c r="D796" t="s">
        <v>3411</v>
      </c>
    </row>
    <row r="797" spans="1:4">
      <c r="A797">
        <v>821</v>
      </c>
      <c r="B797" s="13">
        <v>45904</v>
      </c>
      <c r="C797" t="s">
        <v>1472</v>
      </c>
      <c r="D797" t="s">
        <v>3412</v>
      </c>
    </row>
    <row r="798" spans="1:4">
      <c r="A798">
        <v>822</v>
      </c>
      <c r="B798" s="13">
        <v>45904</v>
      </c>
      <c r="C798" t="s">
        <v>2914</v>
      </c>
      <c r="D798" t="s">
        <v>3413</v>
      </c>
    </row>
    <row r="799" spans="1:4">
      <c r="A799">
        <v>823</v>
      </c>
      <c r="B799" s="13">
        <v>45904</v>
      </c>
      <c r="C799" t="s">
        <v>1478</v>
      </c>
      <c r="D799" t="s">
        <v>3414</v>
      </c>
    </row>
    <row r="800" spans="1:4">
      <c r="A800">
        <v>824</v>
      </c>
      <c r="B800" s="13">
        <v>45904</v>
      </c>
      <c r="C800" t="s">
        <v>3407</v>
      </c>
      <c r="D800" t="s">
        <v>3415</v>
      </c>
    </row>
    <row r="801" spans="1:4">
      <c r="A801">
        <v>825</v>
      </c>
      <c r="B801" s="13">
        <v>45904</v>
      </c>
      <c r="C801" t="s">
        <v>1493</v>
      </c>
      <c r="D801" t="s">
        <v>3418</v>
      </c>
    </row>
    <row r="802" spans="1:4">
      <c r="A802">
        <v>826</v>
      </c>
      <c r="B802" s="13">
        <v>45904</v>
      </c>
      <c r="C802" t="s">
        <v>1493</v>
      </c>
      <c r="D802" t="s">
        <v>3419</v>
      </c>
    </row>
    <row r="803" spans="1:4">
      <c r="A803">
        <v>827</v>
      </c>
      <c r="B803" s="13">
        <v>45904</v>
      </c>
      <c r="C803" t="s">
        <v>1472</v>
      </c>
      <c r="D803" t="s">
        <v>3420</v>
      </c>
    </row>
    <row r="804" spans="1:4">
      <c r="A804">
        <v>828</v>
      </c>
      <c r="B804" s="13">
        <v>45904</v>
      </c>
      <c r="C804" t="s">
        <v>3400</v>
      </c>
      <c r="D804" t="s">
        <v>3421</v>
      </c>
    </row>
    <row r="805" spans="1:4">
      <c r="A805">
        <v>829</v>
      </c>
      <c r="B805" s="13">
        <v>45904</v>
      </c>
      <c r="C805" t="s">
        <v>3400</v>
      </c>
      <c r="D805" t="s">
        <v>3422</v>
      </c>
    </row>
    <row r="806" spans="1:4">
      <c r="A806">
        <v>830</v>
      </c>
      <c r="B806" s="13">
        <v>45904</v>
      </c>
      <c r="C806" t="s">
        <v>1472</v>
      </c>
      <c r="D806" t="s">
        <v>3423</v>
      </c>
    </row>
    <row r="807" spans="1:4">
      <c r="A807">
        <v>831</v>
      </c>
      <c r="B807" s="13">
        <v>45904</v>
      </c>
      <c r="C807" t="s">
        <v>1493</v>
      </c>
      <c r="D807" t="s">
        <v>3424</v>
      </c>
    </row>
    <row r="808" spans="1:4">
      <c r="A808">
        <v>832</v>
      </c>
      <c r="B808" s="13">
        <v>45904</v>
      </c>
      <c r="C808" t="s">
        <v>1493</v>
      </c>
      <c r="D808" t="s">
        <v>3425</v>
      </c>
    </row>
    <row r="809" spans="1:4">
      <c r="A809">
        <v>833</v>
      </c>
      <c r="B809" s="13">
        <v>45904</v>
      </c>
      <c r="C809" t="s">
        <v>3407</v>
      </c>
      <c r="D809" t="s">
        <v>3426</v>
      </c>
    </row>
    <row r="810" spans="1:4">
      <c r="A810">
        <v>834</v>
      </c>
      <c r="B810" s="13">
        <v>45904</v>
      </c>
      <c r="C810" t="s">
        <v>1478</v>
      </c>
      <c r="D810" t="s">
        <v>3427</v>
      </c>
    </row>
    <row r="811" spans="1:4">
      <c r="A811">
        <v>835</v>
      </c>
      <c r="B811" s="13">
        <v>45904</v>
      </c>
      <c r="C811" t="s">
        <v>2914</v>
      </c>
      <c r="D811" t="s">
        <v>3428</v>
      </c>
    </row>
    <row r="812" spans="1:4">
      <c r="A812">
        <v>836</v>
      </c>
      <c r="B812" s="13">
        <v>45904</v>
      </c>
      <c r="C812" t="s">
        <v>1472</v>
      </c>
      <c r="D812" t="s">
        <v>3429</v>
      </c>
    </row>
    <row r="813" spans="1:4">
      <c r="A813">
        <v>837</v>
      </c>
      <c r="B813" s="13">
        <v>45904</v>
      </c>
      <c r="C813" t="s">
        <v>1721</v>
      </c>
      <c r="D813" t="s">
        <v>3430</v>
      </c>
    </row>
    <row r="814" spans="1:4">
      <c r="A814">
        <v>838</v>
      </c>
      <c r="B814" s="13">
        <v>45905</v>
      </c>
      <c r="C814" t="s">
        <v>1466</v>
      </c>
      <c r="D814" t="s">
        <v>3437</v>
      </c>
    </row>
    <row r="815" spans="1:4">
      <c r="A815">
        <v>839</v>
      </c>
      <c r="B815" s="13">
        <v>45905</v>
      </c>
      <c r="C815" t="s">
        <v>1018</v>
      </c>
      <c r="D815" t="s">
        <v>3438</v>
      </c>
    </row>
    <row r="816" spans="1:4">
      <c r="A816">
        <v>840</v>
      </c>
      <c r="B816" s="13">
        <v>45905</v>
      </c>
      <c r="C816" t="s">
        <v>1443</v>
      </c>
      <c r="D816" t="s">
        <v>3440</v>
      </c>
    </row>
    <row r="817" spans="1:4">
      <c r="A817">
        <v>841</v>
      </c>
      <c r="B817" s="13">
        <v>45905</v>
      </c>
      <c r="C817" t="s">
        <v>1305</v>
      </c>
      <c r="D817" t="s">
        <v>3441</v>
      </c>
    </row>
    <row r="818" spans="1:4">
      <c r="A818">
        <v>842</v>
      </c>
      <c r="B818" s="13">
        <v>45905</v>
      </c>
      <c r="C818" t="s">
        <v>1721</v>
      </c>
      <c r="D818" t="s">
        <v>3443</v>
      </c>
    </row>
    <row r="819" spans="1:4">
      <c r="A819">
        <v>843</v>
      </c>
      <c r="B819" s="13">
        <v>45905</v>
      </c>
      <c r="C819" t="s">
        <v>3148</v>
      </c>
      <c r="D819" t="s">
        <v>3444</v>
      </c>
    </row>
    <row r="820" spans="1:4">
      <c r="A820">
        <v>844</v>
      </c>
      <c r="B820" s="13">
        <v>45905</v>
      </c>
      <c r="C820" t="s">
        <v>3445</v>
      </c>
      <c r="D820" t="s">
        <v>3446</v>
      </c>
    </row>
    <row r="821" spans="1:4">
      <c r="A821">
        <v>845</v>
      </c>
      <c r="B821" s="13">
        <v>45905</v>
      </c>
      <c r="C821" t="s">
        <v>1398</v>
      </c>
      <c r="D821" t="s">
        <v>3447</v>
      </c>
    </row>
    <row r="822" spans="1:4">
      <c r="A822">
        <v>846</v>
      </c>
      <c r="B822" s="13">
        <v>45905</v>
      </c>
      <c r="C822" t="s">
        <v>1472</v>
      </c>
      <c r="D822" t="s">
        <v>3459</v>
      </c>
    </row>
    <row r="823" spans="1:4">
      <c r="A823">
        <v>847</v>
      </c>
      <c r="B823" s="13">
        <v>45906</v>
      </c>
      <c r="C823" t="s">
        <v>3460</v>
      </c>
      <c r="D823" t="s">
        <v>3469</v>
      </c>
    </row>
    <row r="824" spans="1:4">
      <c r="A824">
        <v>848</v>
      </c>
      <c r="B824" s="13">
        <v>45906</v>
      </c>
      <c r="C824" t="s">
        <v>2996</v>
      </c>
      <c r="D824" t="s">
        <v>3471</v>
      </c>
    </row>
    <row r="825" spans="1:4">
      <c r="A825">
        <v>849</v>
      </c>
      <c r="B825" s="13">
        <v>45906</v>
      </c>
      <c r="C825" t="s">
        <v>3463</v>
      </c>
      <c r="D825" t="s">
        <v>3473</v>
      </c>
    </row>
    <row r="826" spans="1:4">
      <c r="A826">
        <v>850</v>
      </c>
      <c r="B826" s="13">
        <v>45908</v>
      </c>
      <c r="C826" t="s">
        <v>1493</v>
      </c>
      <c r="D826" t="s">
        <v>3475</v>
      </c>
    </row>
    <row r="827" spans="1:4">
      <c r="A827">
        <v>851</v>
      </c>
      <c r="B827" s="13">
        <v>45908</v>
      </c>
      <c r="C827" t="s">
        <v>1585</v>
      </c>
      <c r="D827" t="s">
        <v>3476</v>
      </c>
    </row>
    <row r="828" spans="1:4">
      <c r="A828">
        <v>852</v>
      </c>
      <c r="B828" s="13">
        <v>45908</v>
      </c>
      <c r="C828" t="s">
        <v>1305</v>
      </c>
      <c r="D828" t="s">
        <v>3477</v>
      </c>
    </row>
    <row r="829" spans="1:4">
      <c r="A829">
        <v>853</v>
      </c>
      <c r="B829" s="13">
        <v>45908</v>
      </c>
      <c r="C829" t="s">
        <v>1579</v>
      </c>
      <c r="D829" t="s">
        <v>3478</v>
      </c>
    </row>
    <row r="830" spans="1:4">
      <c r="A830">
        <v>854</v>
      </c>
      <c r="B830" s="13">
        <v>45908</v>
      </c>
      <c r="C830" t="s">
        <v>1670</v>
      </c>
      <c r="D830" t="s">
        <v>3481</v>
      </c>
    </row>
    <row r="831" spans="1:4">
      <c r="A831">
        <v>855</v>
      </c>
      <c r="B831" s="13">
        <v>45908</v>
      </c>
      <c r="C831" t="s">
        <v>1053</v>
      </c>
      <c r="D831" t="s">
        <v>3482</v>
      </c>
    </row>
    <row r="832" spans="1:4">
      <c r="A832">
        <v>856</v>
      </c>
      <c r="B832" s="13">
        <v>45908</v>
      </c>
      <c r="C832" t="s">
        <v>1478</v>
      </c>
      <c r="D832" t="s">
        <v>3483</v>
      </c>
    </row>
    <row r="833" spans="1:4">
      <c r="A833">
        <v>857</v>
      </c>
      <c r="B833" s="13">
        <v>45908</v>
      </c>
      <c r="C833" t="s">
        <v>1398</v>
      </c>
      <c r="D833" t="s">
        <v>3484</v>
      </c>
    </row>
    <row r="834" spans="1:4">
      <c r="A834">
        <v>858</v>
      </c>
      <c r="B834" s="13">
        <v>45909</v>
      </c>
      <c r="C834" t="s">
        <v>2621</v>
      </c>
      <c r="D834" t="s">
        <v>3498</v>
      </c>
    </row>
    <row r="835" spans="1:4">
      <c r="A835">
        <v>859</v>
      </c>
      <c r="B835" s="13">
        <v>45909</v>
      </c>
      <c r="C835" t="s">
        <v>2408</v>
      </c>
      <c r="D835" t="s">
        <v>3499</v>
      </c>
    </row>
    <row r="836" spans="1:4">
      <c r="A836">
        <v>860</v>
      </c>
      <c r="B836" s="13">
        <v>45909</v>
      </c>
      <c r="C836" t="s">
        <v>987</v>
      </c>
      <c r="D836" t="s">
        <v>3500</v>
      </c>
    </row>
    <row r="837" spans="1:4">
      <c r="A837">
        <v>861</v>
      </c>
      <c r="B837" s="13">
        <v>45909</v>
      </c>
      <c r="C837" t="s">
        <v>2465</v>
      </c>
      <c r="D837" t="s">
        <v>3501</v>
      </c>
    </row>
    <row r="838" spans="1:4">
      <c r="A838">
        <v>862</v>
      </c>
      <c r="B838" s="13">
        <v>45909</v>
      </c>
      <c r="C838" t="s">
        <v>1866</v>
      </c>
      <c r="D838" t="s">
        <v>3502</v>
      </c>
    </row>
    <row r="839" spans="1:4">
      <c r="A839">
        <v>863</v>
      </c>
      <c r="B839" s="13">
        <v>45910</v>
      </c>
      <c r="C839" t="s">
        <v>1448</v>
      </c>
      <c r="D839" t="s">
        <v>3503</v>
      </c>
    </row>
    <row r="840" spans="1:4">
      <c r="A840">
        <v>864</v>
      </c>
      <c r="B840" s="13">
        <v>45910</v>
      </c>
      <c r="C840" t="s">
        <v>1670</v>
      </c>
      <c r="D840" t="s">
        <v>3504</v>
      </c>
    </row>
    <row r="841" spans="1:4">
      <c r="A841">
        <v>865</v>
      </c>
      <c r="B841" s="13">
        <v>45910</v>
      </c>
      <c r="C841" t="s">
        <v>1869</v>
      </c>
      <c r="D841" t="s">
        <v>3505</v>
      </c>
    </row>
    <row r="842" spans="1:4">
      <c r="A842">
        <v>866</v>
      </c>
      <c r="B842" s="13">
        <v>45910</v>
      </c>
      <c r="C842" t="s">
        <v>1540</v>
      </c>
      <c r="D842" t="s">
        <v>3508</v>
      </c>
    </row>
    <row r="843" spans="1:4">
      <c r="A843">
        <v>867</v>
      </c>
      <c r="B843" s="13">
        <v>45910</v>
      </c>
      <c r="C843" t="s">
        <v>3506</v>
      </c>
      <c r="D843" t="s">
        <v>3512</v>
      </c>
    </row>
    <row r="844" spans="1:4">
      <c r="A844">
        <v>868</v>
      </c>
      <c r="B844" s="13">
        <v>45910</v>
      </c>
      <c r="C844" t="s">
        <v>1443</v>
      </c>
      <c r="D844" t="s">
        <v>3513</v>
      </c>
    </row>
    <row r="845" spans="1:4">
      <c r="A845">
        <v>869</v>
      </c>
      <c r="B845" s="13">
        <v>45910</v>
      </c>
      <c r="C845" t="s">
        <v>3391</v>
      </c>
      <c r="D845" t="s">
        <v>3514</v>
      </c>
    </row>
    <row r="846" spans="1:4">
      <c r="A846">
        <v>870</v>
      </c>
      <c r="B846" s="13">
        <v>45910</v>
      </c>
      <c r="C846" t="s">
        <v>1443</v>
      </c>
      <c r="D846" t="s">
        <v>3515</v>
      </c>
    </row>
    <row r="847" spans="1:4">
      <c r="A847">
        <v>871</v>
      </c>
      <c r="B847" s="13">
        <v>45910</v>
      </c>
      <c r="C847" t="s">
        <v>1305</v>
      </c>
      <c r="D847" t="s">
        <v>3516</v>
      </c>
    </row>
    <row r="848" spans="1:4">
      <c r="A848">
        <v>872</v>
      </c>
      <c r="B848" s="13">
        <v>45910</v>
      </c>
      <c r="C848" t="s">
        <v>2781</v>
      </c>
      <c r="D848" t="s">
        <v>3517</v>
      </c>
    </row>
    <row r="849" spans="1:4">
      <c r="A849">
        <v>873</v>
      </c>
      <c r="B849" s="13">
        <v>45910</v>
      </c>
      <c r="C849" t="s">
        <v>2781</v>
      </c>
      <c r="D849" t="s">
        <v>3518</v>
      </c>
    </row>
    <row r="850" spans="1:4">
      <c r="A850">
        <v>874</v>
      </c>
      <c r="B850" s="13">
        <v>45910</v>
      </c>
      <c r="C850" t="s">
        <v>1448</v>
      </c>
      <c r="D850" t="s">
        <v>3519</v>
      </c>
    </row>
    <row r="851" spans="1:4">
      <c r="A851">
        <v>875</v>
      </c>
      <c r="B851" s="13">
        <v>45910</v>
      </c>
      <c r="C851" t="s">
        <v>1448</v>
      </c>
      <c r="D851" t="s">
        <v>3520</v>
      </c>
    </row>
    <row r="852" spans="1:4">
      <c r="A852">
        <v>876</v>
      </c>
      <c r="B852" s="13">
        <v>45910</v>
      </c>
      <c r="C852" t="s">
        <v>1789</v>
      </c>
      <c r="D852" t="s">
        <v>3521</v>
      </c>
    </row>
    <row r="853" spans="1:4">
      <c r="A853">
        <v>877</v>
      </c>
      <c r="B853" s="13">
        <v>45911</v>
      </c>
      <c r="C853" t="s">
        <v>1466</v>
      </c>
      <c r="D853" t="s">
        <v>3528</v>
      </c>
    </row>
    <row r="854" spans="1:4">
      <c r="A854">
        <v>878</v>
      </c>
      <c r="B854" s="13">
        <v>45911</v>
      </c>
      <c r="C854" t="s">
        <v>1082</v>
      </c>
      <c r="D854" t="s">
        <v>3529</v>
      </c>
    </row>
    <row r="855" spans="1:4">
      <c r="A855">
        <v>879</v>
      </c>
      <c r="B855" s="13">
        <v>45911</v>
      </c>
      <c r="C855" t="s">
        <v>1082</v>
      </c>
      <c r="D855" t="s">
        <v>3530</v>
      </c>
    </row>
    <row r="856" spans="1:4">
      <c r="A856">
        <v>880</v>
      </c>
      <c r="B856" s="13">
        <v>45911</v>
      </c>
      <c r="C856" t="s">
        <v>1811</v>
      </c>
      <c r="D856" t="s">
        <v>3531</v>
      </c>
    </row>
    <row r="857" spans="1:4">
      <c r="A857">
        <v>881</v>
      </c>
      <c r="B857" s="13">
        <v>45911</v>
      </c>
      <c r="C857" t="s">
        <v>987</v>
      </c>
      <c r="D857" t="s">
        <v>3532</v>
      </c>
    </row>
    <row r="858" spans="1:4">
      <c r="A858">
        <v>882</v>
      </c>
      <c r="B858" s="13">
        <v>45911</v>
      </c>
      <c r="C858" t="s">
        <v>1448</v>
      </c>
      <c r="D858" t="s">
        <v>3535</v>
      </c>
    </row>
    <row r="859" spans="1:4">
      <c r="A859">
        <v>883</v>
      </c>
      <c r="B859" s="13">
        <v>45911</v>
      </c>
      <c r="C859" t="s">
        <v>1398</v>
      </c>
      <c r="D859" t="s">
        <v>3536</v>
      </c>
    </row>
    <row r="860" spans="1:4">
      <c r="A860">
        <v>884</v>
      </c>
      <c r="B860" s="13">
        <v>45911</v>
      </c>
      <c r="C860" t="s">
        <v>1398</v>
      </c>
      <c r="D860" t="s">
        <v>3537</v>
      </c>
    </row>
    <row r="861" spans="1:4">
      <c r="A861">
        <v>885</v>
      </c>
      <c r="B861" s="13">
        <v>45911</v>
      </c>
      <c r="C861" t="s">
        <v>1789</v>
      </c>
      <c r="D861" t="s">
        <v>3538</v>
      </c>
    </row>
    <row r="862" spans="1:4">
      <c r="A862">
        <v>886</v>
      </c>
      <c r="B862" s="13">
        <v>45911</v>
      </c>
      <c r="C862" t="s">
        <v>3114</v>
      </c>
      <c r="D862" t="s">
        <v>3539</v>
      </c>
    </row>
    <row r="863" spans="1:4">
      <c r="A863">
        <v>887</v>
      </c>
      <c r="B863" s="13">
        <v>45912</v>
      </c>
      <c r="C863" t="s">
        <v>1472</v>
      </c>
      <c r="D863" t="s">
        <v>3541</v>
      </c>
    </row>
    <row r="864" spans="1:4">
      <c r="A864">
        <v>888</v>
      </c>
      <c r="B864" s="13">
        <v>45912</v>
      </c>
      <c r="C864" t="s">
        <v>1670</v>
      </c>
      <c r="D864" t="s">
        <v>3542</v>
      </c>
    </row>
    <row r="865" spans="1:4">
      <c r="A865">
        <v>889</v>
      </c>
      <c r="B865" s="13">
        <v>45912</v>
      </c>
      <c r="C865" t="s">
        <v>1721</v>
      </c>
      <c r="D865" t="s">
        <v>3543</v>
      </c>
    </row>
    <row r="866" spans="1:4">
      <c r="A866">
        <v>890</v>
      </c>
      <c r="B866" s="13">
        <v>45912</v>
      </c>
      <c r="C866" t="s">
        <v>2914</v>
      </c>
      <c r="D866" t="s">
        <v>3544</v>
      </c>
    </row>
    <row r="867" spans="1:4">
      <c r="A867">
        <v>891</v>
      </c>
      <c r="B867" s="13">
        <v>45912</v>
      </c>
      <c r="C867" t="s">
        <v>1721</v>
      </c>
      <c r="D867" t="s">
        <v>3546</v>
      </c>
    </row>
    <row r="868" spans="1:4">
      <c r="A868">
        <v>892</v>
      </c>
      <c r="B868" s="13">
        <v>45912</v>
      </c>
      <c r="C868" t="s">
        <v>1468</v>
      </c>
      <c r="D868" t="s">
        <v>3547</v>
      </c>
    </row>
    <row r="869" spans="1:4">
      <c r="A869">
        <v>893</v>
      </c>
      <c r="B869" s="13">
        <v>45912</v>
      </c>
      <c r="C869" t="s">
        <v>3548</v>
      </c>
      <c r="D869" t="s">
        <v>3549</v>
      </c>
    </row>
    <row r="870" spans="1:4">
      <c r="A870">
        <v>894</v>
      </c>
      <c r="B870" s="13">
        <v>45913</v>
      </c>
      <c r="C870" t="s">
        <v>1721</v>
      </c>
      <c r="D870" t="s">
        <v>3552</v>
      </c>
    </row>
    <row r="871" spans="1:4">
      <c r="A871">
        <v>895</v>
      </c>
      <c r="B871" s="13">
        <v>45915</v>
      </c>
      <c r="C871" t="s">
        <v>1448</v>
      </c>
      <c r="D871" t="s">
        <v>3555</v>
      </c>
    </row>
    <row r="872" spans="1:4">
      <c r="A872">
        <v>896</v>
      </c>
      <c r="B872" s="13">
        <v>45915</v>
      </c>
      <c r="C872" t="s">
        <v>1979</v>
      </c>
      <c r="D872" t="s">
        <v>3556</v>
      </c>
    </row>
    <row r="873" spans="1:4">
      <c r="A873">
        <v>897</v>
      </c>
      <c r="B873" s="13">
        <v>45915</v>
      </c>
      <c r="C873" t="s">
        <v>1053</v>
      </c>
      <c r="D873" t="s">
        <v>3557</v>
      </c>
    </row>
    <row r="874" spans="1:4">
      <c r="A874">
        <v>898</v>
      </c>
      <c r="B874" s="13">
        <v>45915</v>
      </c>
      <c r="C874" t="s">
        <v>1860</v>
      </c>
      <c r="D874" t="s">
        <v>3558</v>
      </c>
    </row>
    <row r="875" spans="1:4">
      <c r="A875">
        <v>899</v>
      </c>
      <c r="B875" s="13">
        <v>45915</v>
      </c>
      <c r="C875" t="s">
        <v>1398</v>
      </c>
      <c r="D875" t="s">
        <v>3559</v>
      </c>
    </row>
    <row r="876" spans="1:4">
      <c r="A876">
        <v>900</v>
      </c>
      <c r="B876" s="13">
        <v>45915</v>
      </c>
      <c r="C876" t="s">
        <v>1146</v>
      </c>
      <c r="D876" t="s">
        <v>3560</v>
      </c>
    </row>
    <row r="877" spans="1:4">
      <c r="A877">
        <v>901</v>
      </c>
      <c r="B877" s="13">
        <v>45915</v>
      </c>
      <c r="C877" t="s">
        <v>1443</v>
      </c>
      <c r="D877" t="s">
        <v>3562</v>
      </c>
    </row>
    <row r="878" spans="1:4">
      <c r="A878">
        <v>902</v>
      </c>
      <c r="B878" s="13">
        <v>45916</v>
      </c>
      <c r="C878" t="s">
        <v>1579</v>
      </c>
      <c r="D878" t="s">
        <v>3564</v>
      </c>
    </row>
    <row r="879" spans="1:4">
      <c r="A879">
        <v>903</v>
      </c>
      <c r="B879" s="13">
        <v>45916</v>
      </c>
      <c r="C879" t="s">
        <v>2291</v>
      </c>
      <c r="D879" t="s">
        <v>3565</v>
      </c>
    </row>
    <row r="880" spans="1:4">
      <c r="A880">
        <v>904</v>
      </c>
      <c r="B880" s="13">
        <v>45916</v>
      </c>
      <c r="C880" t="s">
        <v>1979</v>
      </c>
      <c r="D880" t="s">
        <v>3567</v>
      </c>
    </row>
    <row r="881" spans="1:4">
      <c r="A881">
        <v>905</v>
      </c>
      <c r="B881" s="13">
        <v>45916</v>
      </c>
      <c r="C881" t="s">
        <v>1443</v>
      </c>
      <c r="D881" t="s">
        <v>3568</v>
      </c>
    </row>
    <row r="882" spans="1:4">
      <c r="A882">
        <v>906</v>
      </c>
      <c r="B882" s="13">
        <v>45916</v>
      </c>
      <c r="C882" t="s">
        <v>1453</v>
      </c>
      <c r="D882" t="s">
        <v>3569</v>
      </c>
    </row>
    <row r="883" spans="1:4">
      <c r="A883">
        <v>907</v>
      </c>
      <c r="B883" s="13">
        <v>45916</v>
      </c>
      <c r="C883" t="s">
        <v>1015</v>
      </c>
      <c r="D883" t="s">
        <v>3570</v>
      </c>
    </row>
    <row r="884" spans="1:4">
      <c r="A884">
        <v>908</v>
      </c>
      <c r="B884" s="13">
        <v>45916</v>
      </c>
      <c r="C884" t="s">
        <v>1721</v>
      </c>
      <c r="D884" t="s">
        <v>3571</v>
      </c>
    </row>
    <row r="885" spans="1:4">
      <c r="A885">
        <v>909</v>
      </c>
      <c r="B885" s="13">
        <v>45916</v>
      </c>
      <c r="C885" t="s">
        <v>987</v>
      </c>
      <c r="D885" t="s">
        <v>3572</v>
      </c>
    </row>
    <row r="886" spans="1:4">
      <c r="A886">
        <v>910</v>
      </c>
      <c r="B886" s="13">
        <v>45916</v>
      </c>
      <c r="C886" t="s">
        <v>1493</v>
      </c>
      <c r="D886" t="s">
        <v>3573</v>
      </c>
    </row>
    <row r="887" spans="1:4">
      <c r="A887">
        <v>911</v>
      </c>
      <c r="B887" s="13">
        <v>45917</v>
      </c>
      <c r="C887" t="s">
        <v>3579</v>
      </c>
      <c r="D887" t="s">
        <v>3586</v>
      </c>
    </row>
    <row r="888" spans="1:4">
      <c r="A888">
        <v>912</v>
      </c>
      <c r="B888" s="13">
        <v>45917</v>
      </c>
      <c r="C888" t="s">
        <v>1804</v>
      </c>
      <c r="D888" t="s">
        <v>3587</v>
      </c>
    </row>
    <row r="889" spans="1:4">
      <c r="A889">
        <v>913</v>
      </c>
      <c r="B889" s="13">
        <v>45917</v>
      </c>
      <c r="C889" t="s">
        <v>1746</v>
      </c>
      <c r="D889" t="s">
        <v>3588</v>
      </c>
    </row>
    <row r="890" spans="1:4">
      <c r="A890">
        <v>914</v>
      </c>
      <c r="B890" s="13">
        <v>45917</v>
      </c>
      <c r="C890" t="s">
        <v>1721</v>
      </c>
      <c r="D890" t="s">
        <v>3590</v>
      </c>
    </row>
    <row r="891" spans="1:4">
      <c r="A891">
        <v>915</v>
      </c>
      <c r="B891" s="13">
        <v>45917</v>
      </c>
      <c r="C891" t="s">
        <v>2144</v>
      </c>
      <c r="D891" t="s">
        <v>3591</v>
      </c>
    </row>
    <row r="892" spans="1:4">
      <c r="A892">
        <v>916</v>
      </c>
      <c r="B892" s="13">
        <v>45917</v>
      </c>
      <c r="C892" t="s">
        <v>2147</v>
      </c>
      <c r="D892" t="s">
        <v>3592</v>
      </c>
    </row>
    <row r="893" spans="1:4">
      <c r="A893">
        <v>917</v>
      </c>
      <c r="B893" s="13">
        <v>45917</v>
      </c>
      <c r="C893" t="s">
        <v>1670</v>
      </c>
      <c r="D893" t="s">
        <v>3593</v>
      </c>
    </row>
    <row r="894" spans="1:4">
      <c r="A894">
        <v>918</v>
      </c>
      <c r="B894" s="13">
        <v>45918</v>
      </c>
      <c r="C894" t="s">
        <v>1398</v>
      </c>
      <c r="D894" t="s">
        <v>3605</v>
      </c>
    </row>
    <row r="895" spans="1:4">
      <c r="A895">
        <v>919</v>
      </c>
      <c r="B895" s="13">
        <v>45918</v>
      </c>
      <c r="C895" t="s">
        <v>1026</v>
      </c>
      <c r="D895" t="s">
        <v>3606</v>
      </c>
    </row>
    <row r="896" spans="1:4">
      <c r="A896">
        <v>920</v>
      </c>
      <c r="B896" s="13">
        <v>45918</v>
      </c>
      <c r="C896" t="s">
        <v>1466</v>
      </c>
      <c r="D896" t="s">
        <v>3607</v>
      </c>
    </row>
    <row r="897" spans="1:4">
      <c r="A897">
        <v>921</v>
      </c>
      <c r="B897" s="13">
        <v>45918</v>
      </c>
      <c r="C897" t="s">
        <v>1472</v>
      </c>
      <c r="D897" t="s">
        <v>3608</v>
      </c>
    </row>
    <row r="898" spans="1:4">
      <c r="A898">
        <v>922</v>
      </c>
      <c r="B898" s="13">
        <v>45918</v>
      </c>
      <c r="C898" t="s">
        <v>3119</v>
      </c>
      <c r="D898" t="s">
        <v>3610</v>
      </c>
    </row>
    <row r="899" spans="1:4">
      <c r="A899">
        <v>923</v>
      </c>
      <c r="B899" s="13">
        <v>45918</v>
      </c>
      <c r="C899" t="s">
        <v>1930</v>
      </c>
      <c r="D899" t="s">
        <v>3611</v>
      </c>
    </row>
    <row r="900" spans="1:4">
      <c r="A900">
        <v>924</v>
      </c>
      <c r="B900" s="13">
        <v>45918</v>
      </c>
      <c r="C900" t="s">
        <v>3452</v>
      </c>
      <c r="D900" t="s">
        <v>3612</v>
      </c>
    </row>
    <row r="901" spans="1:4">
      <c r="A901">
        <v>925</v>
      </c>
      <c r="B901" s="13">
        <v>45918</v>
      </c>
      <c r="C901" t="s">
        <v>1443</v>
      </c>
      <c r="D901" t="s">
        <v>3613</v>
      </c>
    </row>
    <row r="902" spans="1:4">
      <c r="A902">
        <v>926</v>
      </c>
      <c r="B902" s="13">
        <v>45918</v>
      </c>
      <c r="C902" t="s">
        <v>1746</v>
      </c>
      <c r="D902" t="s">
        <v>3614</v>
      </c>
    </row>
    <row r="903" spans="1:4">
      <c r="A903">
        <v>927</v>
      </c>
      <c r="B903" s="13">
        <v>45918</v>
      </c>
      <c r="C903" t="s">
        <v>2807</v>
      </c>
      <c r="D903" t="s">
        <v>3615</v>
      </c>
    </row>
    <row r="904" spans="1:4">
      <c r="A904">
        <v>928</v>
      </c>
      <c r="B904" s="13">
        <v>45918</v>
      </c>
      <c r="C904" t="s">
        <v>3114</v>
      </c>
      <c r="D904" t="s">
        <v>3616</v>
      </c>
    </row>
    <row r="905" spans="1:4">
      <c r="A905">
        <v>929</v>
      </c>
      <c r="B905" s="13">
        <v>45918</v>
      </c>
      <c r="C905" t="s">
        <v>2702</v>
      </c>
      <c r="D905" t="s">
        <v>3617</v>
      </c>
    </row>
    <row r="906" spans="1:4">
      <c r="A906">
        <v>930</v>
      </c>
      <c r="B906" s="13">
        <v>45918</v>
      </c>
      <c r="C906" t="s">
        <v>2318</v>
      </c>
      <c r="D906" t="s">
        <v>3618</v>
      </c>
    </row>
    <row r="907" spans="1:4">
      <c r="A907">
        <v>931</v>
      </c>
      <c r="B907" s="13">
        <v>45919</v>
      </c>
      <c r="C907" t="s">
        <v>1082</v>
      </c>
      <c r="D907" t="s">
        <v>3625</v>
      </c>
    </row>
    <row r="908" spans="1:4">
      <c r="A908">
        <v>932</v>
      </c>
      <c r="B908" s="13">
        <v>45919</v>
      </c>
      <c r="C908" t="s">
        <v>1398</v>
      </c>
      <c r="D908" t="s">
        <v>3626</v>
      </c>
    </row>
    <row r="909" spans="1:4">
      <c r="A909">
        <v>933</v>
      </c>
      <c r="B909" s="13">
        <v>45919</v>
      </c>
      <c r="C909" t="s">
        <v>1018</v>
      </c>
      <c r="D909" t="s">
        <v>3627</v>
      </c>
    </row>
    <row r="910" spans="1:4">
      <c r="A910">
        <v>934</v>
      </c>
      <c r="B910" s="13">
        <v>45919</v>
      </c>
      <c r="C910" t="s">
        <v>2740</v>
      </c>
      <c r="D910" t="s">
        <v>3629</v>
      </c>
    </row>
    <row r="911" spans="1:4">
      <c r="A911">
        <v>935</v>
      </c>
      <c r="B911" s="13">
        <v>45920</v>
      </c>
      <c r="C911" t="s">
        <v>1808</v>
      </c>
      <c r="D911" t="s">
        <v>3637</v>
      </c>
    </row>
    <row r="912" spans="1:4">
      <c r="A912">
        <v>936</v>
      </c>
      <c r="B912" s="13">
        <v>45922</v>
      </c>
      <c r="C912" t="s">
        <v>1436</v>
      </c>
      <c r="D912" t="s">
        <v>3642</v>
      </c>
    </row>
    <row r="913" spans="1:4">
      <c r="A913">
        <v>937</v>
      </c>
      <c r="B913" s="13">
        <v>45922</v>
      </c>
      <c r="C913" t="s">
        <v>1976</v>
      </c>
      <c r="D913" t="s">
        <v>3643</v>
      </c>
    </row>
    <row r="914" spans="1:4">
      <c r="A914">
        <v>938</v>
      </c>
      <c r="B914" s="13">
        <v>45922</v>
      </c>
      <c r="C914" t="s">
        <v>1579</v>
      </c>
      <c r="D914" t="s">
        <v>3644</v>
      </c>
    </row>
    <row r="915" spans="1:4">
      <c r="A915">
        <v>939</v>
      </c>
      <c r="B915" s="13">
        <v>45922</v>
      </c>
      <c r="C915" t="s">
        <v>1466</v>
      </c>
      <c r="D915" t="s">
        <v>3645</v>
      </c>
    </row>
    <row r="916" spans="1:4">
      <c r="A916">
        <v>940</v>
      </c>
      <c r="B916" s="13">
        <v>45922</v>
      </c>
      <c r="C916" t="s">
        <v>1441</v>
      </c>
      <c r="D916" t="s">
        <v>3646</v>
      </c>
    </row>
    <row r="917" spans="1:4">
      <c r="A917">
        <v>941</v>
      </c>
      <c r="B917" s="13">
        <v>45922</v>
      </c>
      <c r="C917" t="s">
        <v>2408</v>
      </c>
      <c r="D917" t="s">
        <v>3647</v>
      </c>
    </row>
    <row r="918" spans="1:4">
      <c r="A918">
        <v>942</v>
      </c>
      <c r="B918" s="13">
        <v>45922</v>
      </c>
      <c r="C918" t="s">
        <v>1026</v>
      </c>
      <c r="D918" t="s">
        <v>3648</v>
      </c>
    </row>
    <row r="919" spans="1:4">
      <c r="A919">
        <v>943</v>
      </c>
      <c r="B919" s="13">
        <v>45923</v>
      </c>
      <c r="C919" t="s">
        <v>1053</v>
      </c>
      <c r="D919" t="s">
        <v>3653</v>
      </c>
    </row>
    <row r="920" spans="1:4">
      <c r="A920">
        <v>944</v>
      </c>
      <c r="B920" s="13">
        <v>45923</v>
      </c>
      <c r="C920" t="s">
        <v>1018</v>
      </c>
      <c r="D920" t="s">
        <v>3655</v>
      </c>
    </row>
    <row r="921" spans="1:4">
      <c r="A921">
        <v>945</v>
      </c>
      <c r="B921" s="13">
        <v>45923</v>
      </c>
      <c r="C921" t="s">
        <v>1007</v>
      </c>
      <c r="D921" t="s">
        <v>3656</v>
      </c>
    </row>
    <row r="922" spans="1:4">
      <c r="A922">
        <v>946</v>
      </c>
      <c r="B922" s="13">
        <v>45923</v>
      </c>
      <c r="C922" t="s">
        <v>1860</v>
      </c>
      <c r="D922" t="s">
        <v>3657</v>
      </c>
    </row>
    <row r="923" spans="1:4">
      <c r="A923">
        <v>947</v>
      </c>
      <c r="B923" s="13">
        <v>45923</v>
      </c>
      <c r="C923" t="s">
        <v>1451</v>
      </c>
      <c r="D923" t="s">
        <v>3658</v>
      </c>
    </row>
    <row r="924" spans="1:4">
      <c r="A924">
        <v>948</v>
      </c>
      <c r="B924" s="13">
        <v>45923</v>
      </c>
      <c r="C924" t="s">
        <v>1657</v>
      </c>
      <c r="D924" t="s">
        <v>3659</v>
      </c>
    </row>
    <row r="925" spans="1:4">
      <c r="A925">
        <v>949</v>
      </c>
      <c r="B925" s="13">
        <v>45923</v>
      </c>
      <c r="C925" t="s">
        <v>1015</v>
      </c>
      <c r="D925" t="s">
        <v>3660</v>
      </c>
    </row>
    <row r="926" spans="1:4">
      <c r="A926">
        <v>950</v>
      </c>
      <c r="B926" s="13">
        <v>45923</v>
      </c>
      <c r="C926" t="s">
        <v>1053</v>
      </c>
      <c r="D926" t="s">
        <v>3662</v>
      </c>
    </row>
    <row r="927" spans="1:4">
      <c r="A927">
        <v>951</v>
      </c>
      <c r="B927" s="13">
        <v>45923</v>
      </c>
      <c r="C927" t="s">
        <v>1540</v>
      </c>
      <c r="D927" t="s">
        <v>3664</v>
      </c>
    </row>
    <row r="928" spans="1:4">
      <c r="A928">
        <v>952</v>
      </c>
      <c r="B928" s="13">
        <v>45924</v>
      </c>
      <c r="C928" t="s">
        <v>1390</v>
      </c>
      <c r="D928" t="s">
        <v>3671</v>
      </c>
    </row>
    <row r="929" spans="1:4">
      <c r="A929">
        <v>953</v>
      </c>
      <c r="B929" s="13">
        <v>45924</v>
      </c>
      <c r="C929" t="s">
        <v>987</v>
      </c>
      <c r="D929" t="s">
        <v>3673</v>
      </c>
    </row>
    <row r="930" spans="1:4">
      <c r="A930">
        <v>954</v>
      </c>
      <c r="B930" s="13">
        <v>45924</v>
      </c>
      <c r="C930" t="s">
        <v>1398</v>
      </c>
      <c r="D930" t="s">
        <v>3674</v>
      </c>
    </row>
    <row r="931" spans="1:4">
      <c r="A931">
        <v>955</v>
      </c>
      <c r="B931" s="13">
        <v>45924</v>
      </c>
      <c r="C931" t="s">
        <v>2740</v>
      </c>
      <c r="D931" t="s">
        <v>3675</v>
      </c>
    </row>
    <row r="932" spans="1:4">
      <c r="A932">
        <v>956</v>
      </c>
      <c r="B932" s="13">
        <v>45924</v>
      </c>
      <c r="C932" t="s">
        <v>1448</v>
      </c>
      <c r="D932" t="s">
        <v>3676</v>
      </c>
    </row>
    <row r="933" spans="1:4">
      <c r="A933">
        <v>957</v>
      </c>
      <c r="B933" s="13">
        <v>45926</v>
      </c>
      <c r="C933" t="s">
        <v>1804</v>
      </c>
      <c r="D933" t="s">
        <v>3724</v>
      </c>
    </row>
    <row r="934" spans="1:4">
      <c r="A934">
        <v>958</v>
      </c>
      <c r="B934" s="13">
        <v>45926</v>
      </c>
      <c r="C934" t="s">
        <v>1172</v>
      </c>
      <c r="D934" t="s">
        <v>3725</v>
      </c>
    </row>
    <row r="935" spans="1:4">
      <c r="A935">
        <v>959</v>
      </c>
      <c r="B935" s="13">
        <v>45926</v>
      </c>
      <c r="C935" t="s">
        <v>1398</v>
      </c>
      <c r="D935" t="s">
        <v>3726</v>
      </c>
    </row>
    <row r="936" spans="1:4">
      <c r="A936">
        <v>960</v>
      </c>
      <c r="B936" s="13">
        <v>45926</v>
      </c>
      <c r="C936" t="s">
        <v>1540</v>
      </c>
      <c r="D936" t="s">
        <v>3727</v>
      </c>
    </row>
    <row r="937" spans="1:4">
      <c r="A937">
        <v>961</v>
      </c>
      <c r="B937" s="13">
        <v>45926</v>
      </c>
      <c r="C937" t="s">
        <v>3728</v>
      </c>
      <c r="D937" t="s">
        <v>3730</v>
      </c>
    </row>
    <row r="938" spans="1:4">
      <c r="A938">
        <v>962</v>
      </c>
      <c r="B938" s="13">
        <v>45927</v>
      </c>
      <c r="C938" t="s">
        <v>3731</v>
      </c>
      <c r="D938" t="s">
        <v>3735</v>
      </c>
    </row>
    <row r="939" spans="1:4">
      <c r="A939">
        <v>963</v>
      </c>
      <c r="B939" s="13">
        <v>45927</v>
      </c>
      <c r="C939" t="s">
        <v>1960</v>
      </c>
      <c r="D939" t="s">
        <v>3738</v>
      </c>
    </row>
    <row r="940" spans="1:4">
      <c r="A940">
        <v>964</v>
      </c>
      <c r="B940" s="13">
        <v>45929</v>
      </c>
      <c r="C940" t="s">
        <v>2257</v>
      </c>
      <c r="D940" t="s">
        <v>3743</v>
      </c>
    </row>
    <row r="941" spans="1:4">
      <c r="A941">
        <v>965</v>
      </c>
      <c r="B941" s="13">
        <v>45925</v>
      </c>
      <c r="C941" t="s">
        <v>1466</v>
      </c>
      <c r="D941" t="s">
        <v>3749</v>
      </c>
    </row>
    <row r="942" spans="1:4">
      <c r="A942">
        <v>966</v>
      </c>
      <c r="B942" s="13">
        <v>45929</v>
      </c>
      <c r="C942" t="s">
        <v>1466</v>
      </c>
      <c r="D942" t="s">
        <v>3751</v>
      </c>
    </row>
    <row r="943" spans="1:4">
      <c r="A943">
        <v>967</v>
      </c>
      <c r="B943" s="13">
        <v>45929</v>
      </c>
      <c r="C943" t="s">
        <v>1746</v>
      </c>
      <c r="D943" t="s">
        <v>3752</v>
      </c>
    </row>
    <row r="944" spans="1:4">
      <c r="A944">
        <v>968</v>
      </c>
      <c r="B944" s="13">
        <v>45929</v>
      </c>
      <c r="C944" t="s">
        <v>2856</v>
      </c>
      <c r="D944" t="s">
        <v>3753</v>
      </c>
    </row>
    <row r="945" spans="1:4">
      <c r="A945">
        <v>969</v>
      </c>
      <c r="B945" s="13">
        <v>45929</v>
      </c>
      <c r="C945" t="s">
        <v>1390</v>
      </c>
      <c r="D945" t="s">
        <v>3754</v>
      </c>
    </row>
    <row r="946" spans="1:4">
      <c r="A946">
        <v>970</v>
      </c>
      <c r="B946" s="13">
        <v>45929</v>
      </c>
      <c r="C946" t="s">
        <v>1960</v>
      </c>
      <c r="D946" t="s">
        <v>3756</v>
      </c>
    </row>
    <row r="947" spans="1:4">
      <c r="A947">
        <v>971</v>
      </c>
      <c r="B947" s="13">
        <v>45929</v>
      </c>
      <c r="C947" t="s">
        <v>3268</v>
      </c>
      <c r="D947" t="s">
        <v>3758</v>
      </c>
    </row>
    <row r="948" spans="1:4">
      <c r="A948">
        <v>972</v>
      </c>
      <c r="B948" s="13">
        <v>45929</v>
      </c>
      <c r="C948" t="s">
        <v>3463</v>
      </c>
      <c r="D948" t="s">
        <v>3760</v>
      </c>
    </row>
    <row r="949" spans="1:4">
      <c r="A949">
        <v>973</v>
      </c>
      <c r="B949" s="13">
        <v>45929</v>
      </c>
      <c r="C949" t="s">
        <v>1721</v>
      </c>
      <c r="D949" t="s">
        <v>3761</v>
      </c>
    </row>
    <row r="950" spans="1:4">
      <c r="A950">
        <v>974</v>
      </c>
      <c r="B950" s="13">
        <v>45925</v>
      </c>
      <c r="C950" t="s">
        <v>1398</v>
      </c>
      <c r="D950" t="s">
        <v>3762</v>
      </c>
    </row>
    <row r="951" spans="1:4">
      <c r="A951">
        <v>975</v>
      </c>
      <c r="B951" s="13">
        <v>45925</v>
      </c>
      <c r="C951" t="s">
        <v>1540</v>
      </c>
      <c r="D951" t="s">
        <v>3763</v>
      </c>
    </row>
    <row r="952" spans="1:4">
      <c r="A952">
        <v>976</v>
      </c>
      <c r="B952" s="13">
        <v>45925</v>
      </c>
      <c r="C952" t="s">
        <v>1377</v>
      </c>
      <c r="D952" t="s">
        <v>3764</v>
      </c>
    </row>
    <row r="953" spans="1:4">
      <c r="A953">
        <v>977</v>
      </c>
      <c r="B953" s="13">
        <v>45929</v>
      </c>
      <c r="C953" t="s">
        <v>1540</v>
      </c>
      <c r="D953" t="s">
        <v>3765</v>
      </c>
    </row>
    <row r="954" spans="1:4">
      <c r="A954">
        <v>978</v>
      </c>
      <c r="B954" s="13">
        <v>45930</v>
      </c>
      <c r="C954" t="s">
        <v>2147</v>
      </c>
      <c r="D954" t="s">
        <v>3776</v>
      </c>
    </row>
    <row r="955" spans="1:4">
      <c r="A955">
        <v>979</v>
      </c>
      <c r="B955" s="13">
        <v>45930</v>
      </c>
      <c r="C955" t="s">
        <v>1540</v>
      </c>
      <c r="D955" t="s">
        <v>3777</v>
      </c>
    </row>
    <row r="956" spans="1:4">
      <c r="A956">
        <v>980</v>
      </c>
      <c r="B956" s="13">
        <v>45930</v>
      </c>
      <c r="C956" t="s">
        <v>2621</v>
      </c>
      <c r="D956" t="s">
        <v>3779</v>
      </c>
    </row>
    <row r="957" spans="1:4">
      <c r="A957">
        <v>981</v>
      </c>
      <c r="B957" s="13">
        <v>45930</v>
      </c>
      <c r="C957" t="s">
        <v>1398</v>
      </c>
      <c r="D957" t="s">
        <v>3780</v>
      </c>
    </row>
    <row r="958" spans="1:4">
      <c r="A958">
        <v>982</v>
      </c>
      <c r="B958" s="13">
        <v>45930</v>
      </c>
      <c r="C958" t="s">
        <v>1466</v>
      </c>
      <c r="D958" t="s">
        <v>3781</v>
      </c>
    </row>
    <row r="959" spans="1:4">
      <c r="A959">
        <v>983</v>
      </c>
      <c r="B959" s="13">
        <v>45930</v>
      </c>
      <c r="C959" t="s">
        <v>1721</v>
      </c>
      <c r="D959" t="s">
        <v>3782</v>
      </c>
    </row>
    <row r="960" spans="1:4">
      <c r="A960">
        <v>984</v>
      </c>
      <c r="B960" s="13">
        <v>45930</v>
      </c>
      <c r="C960" t="s">
        <v>1746</v>
      </c>
      <c r="D960" t="s">
        <v>3783</v>
      </c>
    </row>
    <row r="961" spans="1:4">
      <c r="A961">
        <v>985</v>
      </c>
      <c r="B961" s="13">
        <v>45930</v>
      </c>
      <c r="C961" t="s">
        <v>3768</v>
      </c>
      <c r="D961" t="s">
        <v>3784</v>
      </c>
    </row>
    <row r="962" spans="1:4">
      <c r="A962">
        <v>986</v>
      </c>
      <c r="B962" s="13">
        <v>45931</v>
      </c>
      <c r="C962" t="s">
        <v>1846</v>
      </c>
      <c r="D962" t="s">
        <v>3819</v>
      </c>
    </row>
    <row r="963" spans="1:4">
      <c r="A963">
        <v>987</v>
      </c>
      <c r="B963" s="13">
        <v>45931</v>
      </c>
      <c r="C963" t="s">
        <v>1746</v>
      </c>
      <c r="D963" t="s">
        <v>3820</v>
      </c>
    </row>
    <row r="964" spans="1:4">
      <c r="A964">
        <v>988</v>
      </c>
      <c r="B964" s="13">
        <v>45931</v>
      </c>
      <c r="C964" t="s">
        <v>1889</v>
      </c>
      <c r="D964" t="s">
        <v>3821</v>
      </c>
    </row>
    <row r="965" spans="1:4">
      <c r="A965">
        <v>989</v>
      </c>
      <c r="B965" s="13">
        <v>45931</v>
      </c>
      <c r="C965" t="s">
        <v>1015</v>
      </c>
      <c r="D965" t="s">
        <v>3822</v>
      </c>
    </row>
    <row r="966" spans="1:4">
      <c r="A966">
        <v>990</v>
      </c>
      <c r="B966" s="13">
        <v>45931</v>
      </c>
      <c r="C966" t="s">
        <v>1869</v>
      </c>
      <c r="D966" t="s">
        <v>3824</v>
      </c>
    </row>
    <row r="967" spans="1:4">
      <c r="A967">
        <v>991</v>
      </c>
      <c r="B967" s="13">
        <v>45931</v>
      </c>
      <c r="C967" t="s">
        <v>3825</v>
      </c>
      <c r="D967" t="s">
        <v>3826</v>
      </c>
    </row>
    <row r="968" spans="1:4">
      <c r="A968">
        <v>992</v>
      </c>
      <c r="B968" s="13">
        <v>45932</v>
      </c>
      <c r="C968" t="s">
        <v>1721</v>
      </c>
      <c r="D968" t="s">
        <v>3831</v>
      </c>
    </row>
    <row r="969" spans="1:4">
      <c r="A969">
        <v>993</v>
      </c>
      <c r="B969" s="13">
        <v>45932</v>
      </c>
      <c r="C969" t="s">
        <v>1789</v>
      </c>
      <c r="D969" t="s">
        <v>3832</v>
      </c>
    </row>
    <row r="970" spans="1:4">
      <c r="A970">
        <v>994</v>
      </c>
      <c r="B970" s="13">
        <v>45932</v>
      </c>
      <c r="C970" t="s">
        <v>1398</v>
      </c>
      <c r="D970" t="s">
        <v>3837</v>
      </c>
    </row>
    <row r="971" spans="1:4">
      <c r="A971">
        <v>995</v>
      </c>
      <c r="B971" s="13">
        <v>45932</v>
      </c>
      <c r="C971" t="s">
        <v>3828</v>
      </c>
      <c r="D971" t="s">
        <v>3839</v>
      </c>
    </row>
    <row r="972" spans="1:4">
      <c r="A972">
        <v>996</v>
      </c>
      <c r="B972" s="13">
        <v>45932</v>
      </c>
      <c r="C972" t="s">
        <v>2144</v>
      </c>
      <c r="D972" t="s">
        <v>3840</v>
      </c>
    </row>
    <row r="973" spans="1:4">
      <c r="A973">
        <v>997</v>
      </c>
      <c r="B973" s="13">
        <v>45933</v>
      </c>
      <c r="C973" t="s">
        <v>2144</v>
      </c>
      <c r="D973" t="s">
        <v>3846</v>
      </c>
    </row>
    <row r="974" spans="1:4">
      <c r="A974">
        <v>998</v>
      </c>
      <c r="B974" s="13">
        <v>45933</v>
      </c>
      <c r="C974" t="s">
        <v>1930</v>
      </c>
      <c r="D974" t="s">
        <v>3849</v>
      </c>
    </row>
    <row r="975" spans="1:4">
      <c r="A975">
        <v>999</v>
      </c>
      <c r="B975" s="13">
        <v>45933</v>
      </c>
      <c r="C975" t="s">
        <v>1930</v>
      </c>
      <c r="D975" t="s">
        <v>3850</v>
      </c>
    </row>
    <row r="976" spans="1:4">
      <c r="A976">
        <v>1000</v>
      </c>
      <c r="B976" s="13">
        <v>45939</v>
      </c>
      <c r="C976" t="s">
        <v>1579</v>
      </c>
      <c r="D976" t="s">
        <v>3852</v>
      </c>
    </row>
    <row r="977" spans="1:4">
      <c r="A977">
        <v>1001</v>
      </c>
      <c r="B977" s="13">
        <v>45939</v>
      </c>
      <c r="C977" t="s">
        <v>1443</v>
      </c>
      <c r="D977" t="s">
        <v>3853</v>
      </c>
    </row>
    <row r="978" spans="1:4">
      <c r="A978">
        <v>1002</v>
      </c>
      <c r="B978" s="13">
        <v>45940</v>
      </c>
      <c r="C978" t="s">
        <v>1305</v>
      </c>
      <c r="D978" t="s">
        <v>3857</v>
      </c>
    </row>
    <row r="979" spans="1:4">
      <c r="A979">
        <v>1003</v>
      </c>
      <c r="B979" s="13">
        <v>45940</v>
      </c>
      <c r="C979" t="s">
        <v>1746</v>
      </c>
      <c r="D979" t="s">
        <v>3863</v>
      </c>
    </row>
    <row r="980" spans="1:4">
      <c r="A980">
        <v>1004</v>
      </c>
      <c r="B980" s="13">
        <v>45940</v>
      </c>
      <c r="C980" t="s">
        <v>1576</v>
      </c>
      <c r="D980" t="s">
        <v>3864</v>
      </c>
    </row>
    <row r="981" spans="1:4">
      <c r="A981">
        <v>1005</v>
      </c>
      <c r="B981" s="13">
        <v>45940</v>
      </c>
      <c r="C981" t="s">
        <v>1377</v>
      </c>
      <c r="D981" t="s">
        <v>3865</v>
      </c>
    </row>
    <row r="982" spans="1:4">
      <c r="A982">
        <v>1006</v>
      </c>
      <c r="B982" s="13">
        <v>45940</v>
      </c>
      <c r="C982" t="s">
        <v>1372</v>
      </c>
      <c r="D982" t="s">
        <v>3867</v>
      </c>
    </row>
    <row r="983" spans="1:4">
      <c r="A983">
        <v>1007</v>
      </c>
      <c r="B983" s="13">
        <v>45940</v>
      </c>
      <c r="C983" t="s">
        <v>1015</v>
      </c>
      <c r="D983" t="s">
        <v>3868</v>
      </c>
    </row>
    <row r="984" spans="1:4">
      <c r="A984">
        <v>1008</v>
      </c>
      <c r="B984" s="13">
        <v>45940</v>
      </c>
      <c r="C984" t="s">
        <v>3400</v>
      </c>
      <c r="D984" t="s">
        <v>3869</v>
      </c>
    </row>
    <row r="985" spans="1:4">
      <c r="A985">
        <v>1009</v>
      </c>
      <c r="B985" s="13">
        <v>45940</v>
      </c>
      <c r="C985" t="s">
        <v>1172</v>
      </c>
      <c r="D985" t="s">
        <v>3870</v>
      </c>
    </row>
    <row r="986" spans="1:4">
      <c r="A986">
        <v>1010</v>
      </c>
      <c r="B986" s="13">
        <v>45940</v>
      </c>
      <c r="C986" t="s">
        <v>2484</v>
      </c>
      <c r="D986" t="s">
        <v>3871</v>
      </c>
    </row>
    <row r="987" spans="1:4">
      <c r="A987">
        <v>1011</v>
      </c>
      <c r="B987" s="13">
        <v>45940</v>
      </c>
      <c r="C987" t="s">
        <v>3825</v>
      </c>
      <c r="D987" t="s">
        <v>3872</v>
      </c>
    </row>
    <row r="988" spans="1:4">
      <c r="A988">
        <v>1012</v>
      </c>
      <c r="B988" s="13">
        <v>45940</v>
      </c>
      <c r="C988" t="s">
        <v>1597</v>
      </c>
      <c r="D988" t="s">
        <v>3873</v>
      </c>
    </row>
    <row r="989" spans="1:4">
      <c r="A989">
        <v>1013</v>
      </c>
      <c r="B989" s="13">
        <v>45940</v>
      </c>
      <c r="C989" t="s">
        <v>1531</v>
      </c>
      <c r="D989" t="s">
        <v>3874</v>
      </c>
    </row>
    <row r="990" spans="1:4">
      <c r="A990">
        <v>1014</v>
      </c>
      <c r="B990" s="13">
        <v>45932</v>
      </c>
      <c r="C990" t="s">
        <v>1789</v>
      </c>
      <c r="D990" t="s">
        <v>3883</v>
      </c>
    </row>
    <row r="991" spans="1:4">
      <c r="A991">
        <v>1015</v>
      </c>
      <c r="B991" s="13">
        <v>45940</v>
      </c>
      <c r="C991" t="s">
        <v>2484</v>
      </c>
      <c r="D991" t="s">
        <v>3884</v>
      </c>
    </row>
    <row r="992" spans="1:4">
      <c r="A992">
        <v>1016</v>
      </c>
      <c r="B992" s="13">
        <v>45941</v>
      </c>
      <c r="C992" t="s">
        <v>2996</v>
      </c>
      <c r="D992" t="s">
        <v>3885</v>
      </c>
    </row>
    <row r="993" spans="1:4">
      <c r="A993">
        <v>1017</v>
      </c>
      <c r="B993" s="13">
        <v>45941</v>
      </c>
      <c r="C993" t="s">
        <v>1721</v>
      </c>
      <c r="D993" t="s">
        <v>3886</v>
      </c>
    </row>
    <row r="994" spans="1:4">
      <c r="A994">
        <v>1018</v>
      </c>
      <c r="B994" s="13">
        <v>45943</v>
      </c>
      <c r="C994" t="s">
        <v>1377</v>
      </c>
      <c r="D994" t="s">
        <v>3890</v>
      </c>
    </row>
    <row r="995" spans="1:4">
      <c r="A995">
        <v>1019</v>
      </c>
      <c r="B995" s="13">
        <v>45943</v>
      </c>
      <c r="C995" t="s">
        <v>1398</v>
      </c>
      <c r="D995" t="s">
        <v>3892</v>
      </c>
    </row>
    <row r="996" spans="1:4">
      <c r="A996">
        <v>1020</v>
      </c>
      <c r="B996" s="13">
        <v>45943</v>
      </c>
      <c r="C996" t="s">
        <v>1377</v>
      </c>
      <c r="D996" t="s">
        <v>3894</v>
      </c>
    </row>
    <row r="997" spans="1:4">
      <c r="A997">
        <v>1021</v>
      </c>
      <c r="B997" s="13">
        <v>45943</v>
      </c>
      <c r="C997" t="s">
        <v>3895</v>
      </c>
      <c r="D997" t="s">
        <v>3898</v>
      </c>
    </row>
    <row r="998" spans="1:4">
      <c r="A998">
        <v>1022</v>
      </c>
      <c r="B998" s="13">
        <v>45943</v>
      </c>
      <c r="C998" t="s">
        <v>1579</v>
      </c>
      <c r="D998" t="s">
        <v>3899</v>
      </c>
    </row>
    <row r="999" spans="1:4">
      <c r="A999">
        <v>1023</v>
      </c>
      <c r="B999" s="13">
        <v>45943</v>
      </c>
      <c r="C999" t="s">
        <v>2616</v>
      </c>
      <c r="D999" t="s">
        <v>3900</v>
      </c>
    </row>
    <row r="1000" spans="1:4">
      <c r="A1000">
        <v>1024</v>
      </c>
      <c r="B1000" s="13">
        <v>45943</v>
      </c>
      <c r="C1000" t="s">
        <v>3901</v>
      </c>
      <c r="D1000" t="s">
        <v>3902</v>
      </c>
    </row>
    <row r="1001" spans="1:4">
      <c r="A1001">
        <v>1025</v>
      </c>
      <c r="B1001" s="13">
        <v>45943</v>
      </c>
      <c r="C1001" t="s">
        <v>3268</v>
      </c>
      <c r="D1001" t="s">
        <v>3903</v>
      </c>
    </row>
    <row r="1002" spans="1:4">
      <c r="A1002">
        <v>1026</v>
      </c>
      <c r="B1002" s="13">
        <v>45943</v>
      </c>
      <c r="C1002" t="s">
        <v>1866</v>
      </c>
      <c r="D1002" t="s">
        <v>3917</v>
      </c>
    </row>
    <row r="1003" spans="1:4">
      <c r="A1003">
        <v>1027</v>
      </c>
      <c r="B1003" s="13">
        <v>45943</v>
      </c>
      <c r="C1003" t="s">
        <v>1553</v>
      </c>
      <c r="D1003" t="s">
        <v>3918</v>
      </c>
    </row>
    <row r="1004" spans="1:4">
      <c r="A1004">
        <v>1028</v>
      </c>
      <c r="B1004" s="13">
        <v>45972</v>
      </c>
      <c r="C1004" t="s">
        <v>1576</v>
      </c>
      <c r="D1004" t="s">
        <v>3960</v>
      </c>
    </row>
    <row r="1005" spans="1:4">
      <c r="A1005">
        <v>1029</v>
      </c>
      <c r="B1005" s="13">
        <v>45972</v>
      </c>
      <c r="C1005" t="s">
        <v>2760</v>
      </c>
      <c r="D1005" t="s">
        <v>3961</v>
      </c>
    </row>
    <row r="1006" spans="1:4">
      <c r="A1006">
        <v>1030</v>
      </c>
      <c r="B1006" s="13">
        <v>45972</v>
      </c>
      <c r="C1006" t="s">
        <v>1576</v>
      </c>
      <c r="D1006" t="s">
        <v>3962</v>
      </c>
    </row>
    <row r="1007" spans="1:4">
      <c r="A1007">
        <v>1031</v>
      </c>
      <c r="B1007" s="13">
        <v>45972</v>
      </c>
      <c r="C1007" t="s">
        <v>1576</v>
      </c>
      <c r="D1007" t="s">
        <v>3963</v>
      </c>
    </row>
    <row r="1008" spans="1:4">
      <c r="A1008">
        <v>1032</v>
      </c>
      <c r="B1008" s="13">
        <v>45972</v>
      </c>
      <c r="C1008" t="s">
        <v>1576</v>
      </c>
      <c r="D1008" t="s">
        <v>3964</v>
      </c>
    </row>
    <row r="1009" spans="1:4">
      <c r="A1009">
        <v>1033</v>
      </c>
      <c r="B1009" s="13">
        <v>45972</v>
      </c>
      <c r="C1009" t="s">
        <v>1436</v>
      </c>
      <c r="D1009" t="s">
        <v>3965</v>
      </c>
    </row>
    <row r="1010" spans="1:4">
      <c r="A1010">
        <v>1034</v>
      </c>
      <c r="B1010" s="13">
        <v>45972</v>
      </c>
      <c r="C1010" t="s">
        <v>2871</v>
      </c>
      <c r="D1010" t="s">
        <v>3966</v>
      </c>
    </row>
    <row r="1011" spans="1:4">
      <c r="A1011">
        <v>1035</v>
      </c>
      <c r="B1011" s="13">
        <v>45972</v>
      </c>
      <c r="C1011" t="s">
        <v>978</v>
      </c>
      <c r="D1011" t="s">
        <v>3972</v>
      </c>
    </row>
    <row r="1012" spans="1:4">
      <c r="A1012">
        <v>1036</v>
      </c>
      <c r="B1012" s="13">
        <v>45975</v>
      </c>
      <c r="C1012" t="s">
        <v>2369</v>
      </c>
      <c r="D1012" t="s">
        <v>3974</v>
      </c>
    </row>
    <row r="1013" spans="1:4">
      <c r="A1013">
        <v>1037</v>
      </c>
      <c r="B1013" s="13">
        <v>45975</v>
      </c>
      <c r="C1013" t="s">
        <v>2369</v>
      </c>
      <c r="D1013" t="s">
        <v>3975</v>
      </c>
    </row>
    <row r="1014" spans="1:4">
      <c r="A1014">
        <v>1038</v>
      </c>
      <c r="B1014" s="13">
        <v>45975</v>
      </c>
      <c r="C1014" t="s">
        <v>2871</v>
      </c>
      <c r="D1014" t="s">
        <v>3976</v>
      </c>
    </row>
    <row r="1015" spans="1:4">
      <c r="A1015">
        <v>1039</v>
      </c>
      <c r="B1015" s="13">
        <v>45975</v>
      </c>
      <c r="C1015" t="s">
        <v>1436</v>
      </c>
      <c r="D1015" t="s">
        <v>3977</v>
      </c>
    </row>
    <row r="1016" spans="1:4">
      <c r="A1016">
        <v>1040</v>
      </c>
      <c r="B1016" s="13">
        <v>45975</v>
      </c>
      <c r="C1016" t="s">
        <v>1436</v>
      </c>
      <c r="D1016" t="s">
        <v>3980</v>
      </c>
    </row>
    <row r="1017" spans="1:4">
      <c r="A1017">
        <v>1041</v>
      </c>
      <c r="B1017" s="13">
        <v>45975</v>
      </c>
      <c r="C1017" t="s">
        <v>1576</v>
      </c>
      <c r="D1017" t="s">
        <v>3982</v>
      </c>
    </row>
    <row r="1018" spans="1:4">
      <c r="A1018">
        <v>1042</v>
      </c>
      <c r="B1018" s="13">
        <v>45975</v>
      </c>
      <c r="C1018" t="s">
        <v>2369</v>
      </c>
      <c r="D1018" t="s">
        <v>3984</v>
      </c>
    </row>
    <row r="1019" spans="1:4">
      <c r="A1019">
        <v>1043</v>
      </c>
      <c r="B1019" s="13">
        <v>45975</v>
      </c>
      <c r="C1019" t="s">
        <v>1436</v>
      </c>
      <c r="D1019" t="s">
        <v>3985</v>
      </c>
    </row>
    <row r="1020" spans="1:4">
      <c r="A1020">
        <v>1044</v>
      </c>
      <c r="B1020" s="13">
        <v>45975</v>
      </c>
      <c r="C1020" t="s">
        <v>2871</v>
      </c>
      <c r="D1020" t="s">
        <v>3986</v>
      </c>
    </row>
    <row r="1021" spans="1:4">
      <c r="A1021">
        <v>1045</v>
      </c>
      <c r="B1021" s="13">
        <v>45976</v>
      </c>
      <c r="C1021" t="s">
        <v>1436</v>
      </c>
      <c r="D1021" t="s">
        <v>3988</v>
      </c>
    </row>
    <row r="1022" spans="1:4">
      <c r="A1022">
        <v>1046</v>
      </c>
      <c r="B1022" s="13">
        <v>45976</v>
      </c>
      <c r="C1022" t="s">
        <v>2760</v>
      </c>
      <c r="D1022" t="s">
        <v>3990</v>
      </c>
    </row>
    <row r="1023" spans="1:4">
      <c r="A1023">
        <v>1047</v>
      </c>
      <c r="B1023" s="13">
        <v>46013</v>
      </c>
      <c r="C1023" t="s">
        <v>1398</v>
      </c>
      <c r="D1023" t="s">
        <v>3991</v>
      </c>
    </row>
    <row r="1024" spans="1:4">
      <c r="A1024">
        <v>1048</v>
      </c>
      <c r="B1024" s="13">
        <v>46013</v>
      </c>
      <c r="C1024" t="s">
        <v>2384</v>
      </c>
      <c r="D1024" t="s">
        <v>3994</v>
      </c>
    </row>
    <row r="1025" spans="1:4">
      <c r="A1025">
        <v>1049</v>
      </c>
      <c r="B1025" s="13">
        <v>46013</v>
      </c>
      <c r="C1025" t="s">
        <v>2384</v>
      </c>
      <c r="D1025" t="s">
        <v>3995</v>
      </c>
    </row>
    <row r="1026" spans="1:4">
      <c r="A1026">
        <v>1050</v>
      </c>
      <c r="B1026" s="13">
        <v>46013</v>
      </c>
      <c r="C1026" t="s">
        <v>2871</v>
      </c>
      <c r="D1026" t="s">
        <v>3997</v>
      </c>
    </row>
    <row r="1027" spans="1:4">
      <c r="A1027">
        <v>1051</v>
      </c>
      <c r="B1027" s="13">
        <v>46030</v>
      </c>
      <c r="C1027" t="s">
        <v>2871</v>
      </c>
      <c r="D1027" t="s">
        <v>3999</v>
      </c>
    </row>
    <row r="1028" spans="1:4">
      <c r="A1028">
        <v>1052</v>
      </c>
      <c r="B1028" s="13">
        <v>46030</v>
      </c>
      <c r="C1028" t="s">
        <v>1436</v>
      </c>
      <c r="D1028" t="s">
        <v>4000</v>
      </c>
    </row>
    <row r="1029" spans="1:4">
      <c r="A1029">
        <v>1053</v>
      </c>
      <c r="B1029" s="13">
        <v>46030</v>
      </c>
      <c r="C1029" t="s">
        <v>2760</v>
      </c>
      <c r="D1029" t="s">
        <v>4003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4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E34" sqref="E34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79</v>
      </c>
      <c r="I1" s="226">
        <v>190</v>
      </c>
      <c r="J1" s="276"/>
      <c r="K1" s="275"/>
    </row>
    <row r="2" spans="1:11">
      <c r="A2" s="47">
        <v>1</v>
      </c>
      <c r="B2" t="s">
        <v>1273</v>
      </c>
      <c r="C2" t="s">
        <v>1630</v>
      </c>
      <c r="E2" t="s">
        <v>1631</v>
      </c>
      <c r="F2" t="s">
        <v>1632</v>
      </c>
      <c r="G2" t="s">
        <v>1633</v>
      </c>
      <c r="H2" s="192">
        <f>SUMIF(주문_리스트!C:C,거래처!$B2,주문_리스트!L:L)+SUMIF(주문_리스트!C:C,거래처!B2,주문_리스트!M:M)-1543201</f>
        <v>7737999.6000000015</v>
      </c>
      <c r="I2" s="192" t="s">
        <v>3904</v>
      </c>
    </row>
    <row r="3" spans="1:11">
      <c r="A3" s="47">
        <v>2</v>
      </c>
      <c r="B3" t="s">
        <v>2590</v>
      </c>
      <c r="C3" t="s">
        <v>2591</v>
      </c>
      <c r="E3" t="s">
        <v>2592</v>
      </c>
      <c r="H3" s="192">
        <f>SUMIF(주문_리스트!C:C,거래처!B3,주문_리스트!L:L)+SUMIF(주문_리스트!C:C,거래처!B3,주문_리스트!M:M)</f>
        <v>0</v>
      </c>
    </row>
    <row r="4" spans="1:11">
      <c r="A4" s="47">
        <v>3</v>
      </c>
      <c r="B4" t="s">
        <v>1274</v>
      </c>
      <c r="C4" t="s">
        <v>3649</v>
      </c>
      <c r="E4" t="s">
        <v>3650</v>
      </c>
      <c r="F4" t="s">
        <v>963</v>
      </c>
      <c r="G4" t="s">
        <v>3651</v>
      </c>
      <c r="H4" s="192">
        <f>SUMIF(주문_리스트!C:C,거래처!B4,주문_리스트!L:L)+SUMIF(주문_리스트!C:C,거래처!B4,주문_리스트!M:M)-2000000</f>
        <v>0</v>
      </c>
    </row>
    <row r="5" spans="1:11">
      <c r="A5" s="47">
        <v>4</v>
      </c>
      <c r="B5" t="s">
        <v>1158</v>
      </c>
      <c r="C5" t="s">
        <v>1159</v>
      </c>
      <c r="E5" t="s">
        <v>1160</v>
      </c>
      <c r="F5" t="s">
        <v>1161</v>
      </c>
      <c r="H5" s="192">
        <f>SUMIF(주문_리스트!C:C,거래처!B5,주문_리스트!L:L)+SUMIF(주문_리스트!C:C,거래처!B5,주문_리스트!M:M)</f>
        <v>0</v>
      </c>
    </row>
    <row r="6" spans="1:11">
      <c r="A6" s="47">
        <v>5</v>
      </c>
      <c r="B6" t="s">
        <v>1275</v>
      </c>
      <c r="C6" t="s">
        <v>2593</v>
      </c>
      <c r="E6" t="s">
        <v>2594</v>
      </c>
      <c r="F6" t="s">
        <v>1180</v>
      </c>
      <c r="H6" s="192">
        <f>SUMIF(주문_리스트!C:C,거래처!B6,주문_리스트!L:L)+SUMIF(주문_리스트!C:C,거래처!B6,주문_리스트!M:M)</f>
        <v>0</v>
      </c>
    </row>
    <row r="7" spans="1:11">
      <c r="A7" s="47">
        <v>6</v>
      </c>
      <c r="B7" t="s">
        <v>1276</v>
      </c>
      <c r="C7" t="s">
        <v>1065</v>
      </c>
      <c r="E7" t="s">
        <v>1066</v>
      </c>
      <c r="F7" t="s">
        <v>973</v>
      </c>
      <c r="H7" s="192">
        <f>SUMIF(주문_리스트!C:C,거래처!B7,주문_리스트!L:L)+SUMIF(주문_리스트!C:C,거래처!B7,주문_리스트!M:M)</f>
        <v>0</v>
      </c>
    </row>
    <row r="8" spans="1:11">
      <c r="A8" s="47">
        <v>7</v>
      </c>
      <c r="B8" t="s">
        <v>1290</v>
      </c>
      <c r="C8" t="s">
        <v>1087</v>
      </c>
      <c r="E8" t="s">
        <v>1088</v>
      </c>
      <c r="H8" s="192">
        <f>SUMIF(주문_리스트!C:C,거래처!B8,주문_리스트!L:L)+SUMIF(주문_리스트!C:C,거래처!B8,주문_리스트!M:M)</f>
        <v>0</v>
      </c>
    </row>
    <row r="9" spans="1:11">
      <c r="A9" s="47">
        <v>8</v>
      </c>
      <c r="B9" t="s">
        <v>1277</v>
      </c>
      <c r="C9" t="s">
        <v>1105</v>
      </c>
      <c r="E9" t="s">
        <v>1106</v>
      </c>
      <c r="H9" s="192">
        <f>SUMIF(주문_리스트!C:C,거래처!B9,주문_리스트!L:L)+SUMIF(주문_리스트!C:C,거래처!B9,주문_리스트!M:M)</f>
        <v>0</v>
      </c>
    </row>
    <row r="10" spans="1:11">
      <c r="A10" s="47">
        <v>9</v>
      </c>
      <c r="B10" t="s">
        <v>1278</v>
      </c>
      <c r="C10" t="s">
        <v>1790</v>
      </c>
      <c r="E10" t="s">
        <v>1279</v>
      </c>
      <c r="F10" t="s">
        <v>1786</v>
      </c>
      <c r="G10" t="s">
        <v>1791</v>
      </c>
      <c r="H10" s="192">
        <f>SUMIF(주문_리스트!C:C,거래처!B10,주문_리스트!L:L)+SUMIF(주문_리스트!C:C,거래처!B10,주문_리스트!M:M)</f>
        <v>1220000</v>
      </c>
      <c r="I10" s="52" t="s">
        <v>3904</v>
      </c>
    </row>
    <row r="11" spans="1:11">
      <c r="A11" s="47">
        <v>10</v>
      </c>
      <c r="B11" t="s">
        <v>1280</v>
      </c>
      <c r="C11" t="s">
        <v>1614</v>
      </c>
      <c r="E11" t="s">
        <v>1615</v>
      </c>
      <c r="F11" t="s">
        <v>963</v>
      </c>
      <c r="G11" t="s">
        <v>3001</v>
      </c>
      <c r="H11" s="192">
        <f>SUMIF(주문_리스트!C:C,거래처!B11,주문_리스트!L:L)+SUMIF(주문_리스트!C:C,거래처!B11,주문_리스트!M:M)+60000</f>
        <v>0</v>
      </c>
    </row>
    <row r="12" spans="1:11">
      <c r="A12" s="47">
        <v>11</v>
      </c>
      <c r="B12" t="s">
        <v>1281</v>
      </c>
      <c r="C12" t="s">
        <v>2130</v>
      </c>
      <c r="E12" t="s">
        <v>2131</v>
      </c>
      <c r="H12" s="192">
        <f>SUMIF(주문_리스트!C:C,거래처!B12,주문_리스트!L:L)+SUMIF(주문_리스트!C:C,거래처!B12,주문_리스트!M:M)</f>
        <v>0</v>
      </c>
    </row>
    <row r="13" spans="1:11">
      <c r="A13" s="47">
        <v>12</v>
      </c>
      <c r="B13" t="s">
        <v>1282</v>
      </c>
      <c r="C13" t="s">
        <v>1210</v>
      </c>
      <c r="E13" t="s">
        <v>3326</v>
      </c>
      <c r="F13" t="s">
        <v>32</v>
      </c>
      <c r="G13" t="s">
        <v>3316</v>
      </c>
      <c r="H13" s="192">
        <f>SUMIF(주문_리스트!C:C,거래처!B13,주문_리스트!L:L)+SUMIF(주문_리스트!C:C,거래처!B13,주문_리스트!M:M)-1320000</f>
        <v>0</v>
      </c>
    </row>
    <row r="14" spans="1:11">
      <c r="A14" s="47">
        <v>13</v>
      </c>
      <c r="B14" t="s">
        <v>1283</v>
      </c>
      <c r="C14" t="s">
        <v>2501</v>
      </c>
      <c r="E14" t="s">
        <v>3806</v>
      </c>
      <c r="F14" t="s">
        <v>3801</v>
      </c>
      <c r="G14" t="s">
        <v>3807</v>
      </c>
      <c r="H14" s="192">
        <f>SUMIF(주문_리스트!C:C,거래처!B14,주문_리스트!L:L)+SUMIF(주문_리스트!C:C,거래처!B14,주문_리스트!M:M)-1280000</f>
        <v>0</v>
      </c>
    </row>
    <row r="15" spans="1:11">
      <c r="A15" s="47">
        <v>14</v>
      </c>
      <c r="B15" t="s">
        <v>1284</v>
      </c>
      <c r="C15" t="s">
        <v>1083</v>
      </c>
      <c r="E15" t="s">
        <v>1084</v>
      </c>
      <c r="F15" t="s">
        <v>973</v>
      </c>
      <c r="H15" s="192">
        <f>SUMIF(주문_리스트!C:C,거래처!B15,주문_리스트!L:L)+SUMIF(주문_리스트!C:C,거래처!B15,주문_리스트!M:M)</f>
        <v>0</v>
      </c>
    </row>
    <row r="16" spans="1:11">
      <c r="A16" s="47">
        <v>15</v>
      </c>
      <c r="B16" t="s">
        <v>1285</v>
      </c>
      <c r="C16" t="s">
        <v>1075</v>
      </c>
      <c r="E16" t="s">
        <v>1076</v>
      </c>
      <c r="F16" t="s">
        <v>973</v>
      </c>
      <c r="H16" s="192">
        <f>SUMIF(주문_리스트!C:C,거래처!B16,주문_리스트!L:L)+SUMIF(주문_리스트!C:C,거래처!B16,주문_리스트!M:M)</f>
        <v>0</v>
      </c>
    </row>
    <row r="17" spans="1:13">
      <c r="A17" s="47">
        <v>16</v>
      </c>
      <c r="B17" t="s">
        <v>1286</v>
      </c>
      <c r="C17" t="s">
        <v>1021</v>
      </c>
      <c r="E17" t="s">
        <v>1022</v>
      </c>
      <c r="F17" t="s">
        <v>973</v>
      </c>
      <c r="H17" s="192">
        <f>SUMIF(주문_리스트!C:C,거래처!B17,주문_리스트!L:L)+SUMIF(주문_리스트!C:C,거래처!B17,주문_리스트!M:M)+13873000</f>
        <v>15546000.199999999</v>
      </c>
      <c r="I17" s="52" t="s">
        <v>3904</v>
      </c>
    </row>
    <row r="18" spans="1:13">
      <c r="A18" s="47">
        <v>17</v>
      </c>
      <c r="B18" t="s">
        <v>1287</v>
      </c>
      <c r="C18" t="s">
        <v>1176</v>
      </c>
      <c r="E18" t="s">
        <v>1177</v>
      </c>
      <c r="F18" t="s">
        <v>1178</v>
      </c>
      <c r="G18" t="s">
        <v>1179</v>
      </c>
      <c r="H18" s="192">
        <f>SUMIF(주문_리스트!C:C,거래처!B18,주문_리스트!L:L)+SUMIF(주문_리스트!C:C,거래처!B18,주문_리스트!M:M)-2524500</f>
        <v>0</v>
      </c>
    </row>
    <row r="19" spans="1:13">
      <c r="A19" s="47">
        <v>18</v>
      </c>
      <c r="B19" t="s">
        <v>1288</v>
      </c>
      <c r="C19" t="s">
        <v>1001</v>
      </c>
      <c r="E19" t="s">
        <v>1002</v>
      </c>
      <c r="F19" t="s">
        <v>973</v>
      </c>
      <c r="H19" s="192">
        <f>SUMIF(주문_리스트!C:C,거래처!B19,주문_리스트!L:L)+SUMIF(주문_리스트!C:C,거래처!B19,주문_리스트!M:M)+9970000</f>
        <v>11195000</v>
      </c>
      <c r="I19" s="52" t="s">
        <v>3904</v>
      </c>
      <c r="M19" s="275"/>
    </row>
    <row r="20" spans="1:13">
      <c r="A20" s="47">
        <v>19</v>
      </c>
      <c r="B20" t="s">
        <v>1289</v>
      </c>
      <c r="C20" t="s">
        <v>1231</v>
      </c>
      <c r="E20" t="s">
        <v>1232</v>
      </c>
      <c r="F20" t="s">
        <v>1225</v>
      </c>
      <c r="G20" t="s">
        <v>1121</v>
      </c>
      <c r="H20" s="192">
        <f>SUMIF(주문_리스트!C:C,거래처!B20,주문_리스트!L:L)+SUMIF(주문_리스트!C:C,거래처!B20,주문_리스트!M:M)-10000</f>
        <v>8799999.6999999993</v>
      </c>
      <c r="I20" s="52" t="s">
        <v>3904</v>
      </c>
    </row>
    <row r="21" spans="1:13">
      <c r="A21" s="47">
        <v>20</v>
      </c>
      <c r="B21" t="s">
        <v>1233</v>
      </c>
      <c r="C21" t="s">
        <v>1234</v>
      </c>
      <c r="E21" t="s">
        <v>1235</v>
      </c>
      <c r="F21" t="s">
        <v>1236</v>
      </c>
      <c r="H21" s="192">
        <f>SUMIF(주문_리스트!C:C,거래처!B21,주문_리스트!L:L)+SUMIF(주문_리스트!C:C,거래처!B21,주문_리스트!M:M)</f>
        <v>0</v>
      </c>
      <c r="I21" s="52" t="s">
        <v>3205</v>
      </c>
    </row>
    <row r="22" spans="1:13">
      <c r="A22" s="47">
        <v>21</v>
      </c>
      <c r="B22" t="s">
        <v>1291</v>
      </c>
      <c r="C22" t="s">
        <v>1063</v>
      </c>
      <c r="E22" t="s">
        <v>1064</v>
      </c>
      <c r="F22" t="s">
        <v>973</v>
      </c>
      <c r="H22" s="192">
        <f>SUMIF(주문_리스트!C:C,거래처!B22,주문_리스트!L:L)+SUMIF(주문_리스트!C:C,거래처!B22,주문_리스트!M:M)</f>
        <v>0</v>
      </c>
    </row>
    <row r="23" spans="1:13">
      <c r="A23" s="47">
        <v>22</v>
      </c>
      <c r="B23" t="s">
        <v>1292</v>
      </c>
      <c r="C23" t="s">
        <v>992</v>
      </c>
      <c r="E23" t="s">
        <v>993</v>
      </c>
      <c r="H23" s="192">
        <f>SUMIF(주문_리스트!C:C,거래처!B23,주문_리스트!L:L)+SUMIF(주문_리스트!C:C,거래처!B23,주문_리스트!M:M)</f>
        <v>0</v>
      </c>
    </row>
    <row r="24" spans="1:13">
      <c r="A24" s="47">
        <v>23</v>
      </c>
      <c r="B24" t="s">
        <v>1293</v>
      </c>
      <c r="C24" t="s">
        <v>3392</v>
      </c>
      <c r="E24" t="s">
        <v>3393</v>
      </c>
      <c r="F24" t="s">
        <v>1180</v>
      </c>
      <c r="H24" s="192">
        <f>SUMIF(주문_리스트!C:C,거래처!B24,주문_리스트!L:L)+SUMIF(주문_리스트!C:C,거래처!B24,주문_리스트!M:M)</f>
        <v>0</v>
      </c>
      <c r="I24" s="52" t="s">
        <v>3526</v>
      </c>
    </row>
    <row r="25" spans="1:13">
      <c r="A25" s="47">
        <v>24</v>
      </c>
      <c r="B25" t="s">
        <v>1294</v>
      </c>
      <c r="C25" t="s">
        <v>1016</v>
      </c>
      <c r="E25" t="s">
        <v>1017</v>
      </c>
      <c r="F25" t="s">
        <v>973</v>
      </c>
      <c r="H25" s="192">
        <f>SUMIF(주문_리스트!C:C,거래처!B25,주문_리스트!L:L)+SUMIF(주문_리스트!C:C,거래처!B25,주문_리스트!M:M)-210000</f>
        <v>0</v>
      </c>
    </row>
    <row r="26" spans="1:13">
      <c r="A26" s="47">
        <v>25</v>
      </c>
      <c r="B26" t="s">
        <v>1295</v>
      </c>
      <c r="C26" t="s">
        <v>1044</v>
      </c>
      <c r="E26" t="s">
        <v>1045</v>
      </c>
      <c r="H26" s="192">
        <f>SUMIF(주문_리스트!C:C,거래처!B26,주문_리스트!L:L)+SUMIF(주문_리스트!C:C,거래처!B26,주문_리스트!M:M)-1200000</f>
        <v>0</v>
      </c>
    </row>
    <row r="27" spans="1:13">
      <c r="A27" s="47">
        <v>26</v>
      </c>
      <c r="B27" t="s">
        <v>1296</v>
      </c>
      <c r="C27" t="s">
        <v>988</v>
      </c>
      <c r="E27" t="s">
        <v>989</v>
      </c>
      <c r="F27" t="s">
        <v>963</v>
      </c>
      <c r="G27" t="s">
        <v>3458</v>
      </c>
      <c r="H27" s="192">
        <f>SUMIF(주문_리스트!C:C,거래처!B27,주문_리스트!L:L)+SUMIF(주문_리스트!C:C,거래처!B27,주문_리스트!M:M)</f>
        <v>0</v>
      </c>
    </row>
    <row r="28" spans="1:13">
      <c r="A28" s="47">
        <v>27</v>
      </c>
      <c r="B28" t="s">
        <v>1610</v>
      </c>
      <c r="C28" t="s">
        <v>1611</v>
      </c>
      <c r="E28" t="s">
        <v>1612</v>
      </c>
      <c r="F28" t="s">
        <v>1613</v>
      </c>
      <c r="G28" t="s">
        <v>227</v>
      </c>
      <c r="H28" s="192">
        <f>SUMIF(주문_리스트!C:C,거래처!B28,주문_리스트!L:L)+SUMIF(주문_리스트!C:C,거래처!B28,주문_리스트!M:M)-1683000</f>
        <v>0</v>
      </c>
    </row>
    <row r="29" spans="1:13">
      <c r="A29" s="47">
        <v>28</v>
      </c>
      <c r="B29" t="s">
        <v>1903</v>
      </c>
      <c r="C29" t="s">
        <v>1904</v>
      </c>
      <c r="E29" t="s">
        <v>1905</v>
      </c>
      <c r="F29" t="s">
        <v>1898</v>
      </c>
      <c r="G29" t="s">
        <v>1906</v>
      </c>
      <c r="H29" s="192">
        <f>SUMIF(주문_리스트!C:C,거래처!B29,주문_리스트!L:L)+SUMIF(주문_리스트!C:C,거래처!B29,주문_리스트!M:M)-3710000</f>
        <v>2400000</v>
      </c>
    </row>
    <row r="30" spans="1:1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2">
        <f>SUMIF(주문_리스트!C:C,거래처!B30,주문_리스트!L:L)+SUMIF(주문_리스트!C:C,거래처!B30,주문_리스트!M:M)</f>
        <v>0</v>
      </c>
    </row>
    <row r="31" spans="1:13">
      <c r="A31" s="47">
        <v>30</v>
      </c>
      <c r="B31" t="s">
        <v>1297</v>
      </c>
      <c r="C31" t="s">
        <v>1711</v>
      </c>
      <c r="E31" t="s">
        <v>1712</v>
      </c>
      <c r="F31" t="s">
        <v>963</v>
      </c>
      <c r="G31" t="s">
        <v>1713</v>
      </c>
      <c r="H31" s="192">
        <f>SUMIF(주문_리스트!C:C,거래처!B31,주문_리스트!L:L)+SUMIF(주문_리스트!C:C,거래처!B31,주문_리스트!M:M)-1200000</f>
        <v>2400000</v>
      </c>
      <c r="I31" s="52" t="s">
        <v>3904</v>
      </c>
    </row>
    <row r="32" spans="1:1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2">
        <f>SUMIF(주문_리스트!C:C,거래처!B32,주문_리스트!L:L)+SUMIF(주문_리스트!C:C,거래처!B32,주문_리스트!M:M)</f>
        <v>0</v>
      </c>
    </row>
    <row r="33" spans="1:10">
      <c r="A33" s="47">
        <v>32</v>
      </c>
      <c r="B33" t="s">
        <v>1298</v>
      </c>
      <c r="C33" t="s">
        <v>3327</v>
      </c>
      <c r="E33" t="s">
        <v>3328</v>
      </c>
      <c r="F33" t="s">
        <v>3329</v>
      </c>
      <c r="G33" t="s">
        <v>1057</v>
      </c>
      <c r="H33" s="192">
        <f>SUMIF(주문_리스트!C:C,거래처!B33,주문_리스트!L:L)+SUMIF(주문_리스트!C:C,거래처!B33,주문_리스트!M:M)</f>
        <v>0</v>
      </c>
      <c r="I33" s="52" t="s">
        <v>3624</v>
      </c>
      <c r="J33" t="s">
        <v>3624</v>
      </c>
    </row>
    <row r="34" spans="1:10">
      <c r="A34" s="47">
        <v>33</v>
      </c>
      <c r="B34" t="s">
        <v>1299</v>
      </c>
      <c r="C34" t="s">
        <v>1103</v>
      </c>
      <c r="E34" t="s">
        <v>1104</v>
      </c>
      <c r="F34" t="s">
        <v>973</v>
      </c>
      <c r="H34" s="192">
        <f>SUMIF(주문_리스트!C:C,거래처!B34,주문_리스트!L:L)+SUMIF(주문_리스트!C:C,거래처!B34,주문_리스트!M:M)</f>
        <v>0</v>
      </c>
    </row>
    <row r="35" spans="1:10">
      <c r="A35" s="47">
        <v>34</v>
      </c>
      <c r="B35" t="s">
        <v>1300</v>
      </c>
      <c r="C35" t="s">
        <v>971</v>
      </c>
      <c r="E35" t="s">
        <v>972</v>
      </c>
      <c r="F35" t="s">
        <v>973</v>
      </c>
      <c r="H35" s="192">
        <f>SUMIF(주문_리스트!C:C,거래처!B35,주문_리스트!L:L)+SUMIF(주문_리스트!C:C,거래처!B35,주문_리스트!M:M)</f>
        <v>0</v>
      </c>
    </row>
    <row r="36" spans="1:10">
      <c r="A36" s="47">
        <v>35</v>
      </c>
      <c r="B36" t="s">
        <v>1570</v>
      </c>
      <c r="C36" t="s">
        <v>1551</v>
      </c>
      <c r="E36" t="s">
        <v>1552</v>
      </c>
      <c r="F36" t="s">
        <v>32</v>
      </c>
      <c r="G36" t="s">
        <v>3090</v>
      </c>
      <c r="H36" s="192">
        <f>SUMIF(주문_리스트!C:C,거래처!B36,주문_리스트!L:L)+SUMIF(주문_리스트!C:C,거래처!B36,주문_리스트!M:M)-2200000</f>
        <v>0</v>
      </c>
    </row>
    <row r="37" spans="1:10">
      <c r="A37" s="47">
        <v>36</v>
      </c>
      <c r="B37" t="s">
        <v>1301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2">
        <f>SUMIF(주문_리스트!C:C,거래처!B37,주문_리스트!L:L)+SUMIF(주문_리스트!C:C,거래처!B37,주문_리스트!M:M)-6136000</f>
        <v>3950000</v>
      </c>
      <c r="I37" s="52" t="s">
        <v>3904</v>
      </c>
    </row>
    <row r="38" spans="1:10">
      <c r="A38" s="47">
        <v>37</v>
      </c>
      <c r="B38" t="s">
        <v>1035</v>
      </c>
      <c r="C38" t="s">
        <v>966</v>
      </c>
      <c r="E38" t="s">
        <v>3815</v>
      </c>
      <c r="F38" t="s">
        <v>32</v>
      </c>
      <c r="G38" t="s">
        <v>1563</v>
      </c>
      <c r="H38" s="192">
        <f>SUMIF(주문_리스트!C:C,거래처!B38,주문_리스트!L:L)+SUMIF(주문_리스트!C:C,거래처!B38,주문_리스트!M:M)</f>
        <v>1704999.9000000004</v>
      </c>
      <c r="I38" s="52" t="s">
        <v>3485</v>
      </c>
    </row>
    <row r="39" spans="1:10">
      <c r="A39" s="47">
        <v>38</v>
      </c>
      <c r="B39" t="s">
        <v>1302</v>
      </c>
      <c r="C39" t="s">
        <v>1391</v>
      </c>
      <c r="E39" t="s">
        <v>1392</v>
      </c>
      <c r="F39" t="s">
        <v>963</v>
      </c>
      <c r="G39" t="s">
        <v>1393</v>
      </c>
      <c r="H39" s="192">
        <f>SUMIF(주문_리스트!C:C,거래처!B39,주문_리스트!L:L)+SUMIF(주문_리스트!C:C,거래처!B39,주문_리스트!M:M)-2200000</f>
        <v>0</v>
      </c>
      <c r="I39" s="52" t="s">
        <v>3767</v>
      </c>
    </row>
    <row r="40" spans="1:10">
      <c r="A40" s="47">
        <v>39</v>
      </c>
      <c r="B40" t="s">
        <v>1303</v>
      </c>
      <c r="C40" t="s">
        <v>995</v>
      </c>
      <c r="E40" t="s">
        <v>996</v>
      </c>
      <c r="H40" s="192">
        <f>SUMIF(주문_리스트!C:C,거래처!B40,주문_리스트!L:L)+SUMIF(주문_리스트!C:C,거래처!B40,주문_리스트!M:M)</f>
        <v>0</v>
      </c>
    </row>
    <row r="41" spans="1:10">
      <c r="A41" s="47">
        <v>40</v>
      </c>
      <c r="B41" t="s">
        <v>1304</v>
      </c>
      <c r="C41" t="s">
        <v>1047</v>
      </c>
      <c r="E41" t="s">
        <v>1048</v>
      </c>
      <c r="F41" t="s">
        <v>973</v>
      </c>
      <c r="H41" s="192">
        <f>SUMIF(주문_리스트!C:C,거래처!B41,주문_리스트!L:L)+SUMIF(주문_리스트!C:C,거래처!B41,주문_리스트!M:M)+1210000</f>
        <v>0</v>
      </c>
    </row>
    <row r="42" spans="1:10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2">
        <f>SUMIF(주문_리스트!C:C,거래처!B42,주문_리스트!L:L)+SUMIF(주문_리스트!C:C,거래처!B42,주문_리스트!M:M)</f>
        <v>0</v>
      </c>
    </row>
    <row r="43" spans="1:10">
      <c r="A43" s="47">
        <v>42</v>
      </c>
      <c r="B43" t="s">
        <v>1306</v>
      </c>
      <c r="C43" t="s">
        <v>1363</v>
      </c>
      <c r="E43" t="s">
        <v>1364</v>
      </c>
      <c r="F43" t="s">
        <v>2347</v>
      </c>
      <c r="G43" t="s">
        <v>2348</v>
      </c>
      <c r="H43" s="192">
        <f>SUMIF(주문_리스트!C:C,거래처!B43,주문_리스트!L:L)+SUMIF(주문_리스트!C:C,거래처!B43,주문_리스트!M:M)-1600000</f>
        <v>0</v>
      </c>
      <c r="I43" s="52" t="s">
        <v>3526</v>
      </c>
    </row>
    <row r="44" spans="1:10">
      <c r="A44" s="47">
        <v>43</v>
      </c>
      <c r="B44" t="s">
        <v>1307</v>
      </c>
      <c r="C44" t="s">
        <v>2642</v>
      </c>
      <c r="E44" t="s">
        <v>2643</v>
      </c>
      <c r="F44" t="s">
        <v>963</v>
      </c>
      <c r="G44" t="s">
        <v>2644</v>
      </c>
      <c r="H44" s="192">
        <f>SUMIF(주문_리스트!C:C,거래처!B44,주문_리스트!L:L)+SUMIF(주문_리스트!C:C,거래처!B44,주문_리스트!M:M)</f>
        <v>0</v>
      </c>
    </row>
    <row r="45" spans="1:10">
      <c r="A45" s="47">
        <v>44</v>
      </c>
      <c r="B45" t="s">
        <v>1308</v>
      </c>
      <c r="C45" t="s">
        <v>1080</v>
      </c>
      <c r="E45" t="s">
        <v>1081</v>
      </c>
      <c r="F45" t="s">
        <v>973</v>
      </c>
      <c r="H45" s="192">
        <f>SUMIF(주문_리스트!C:C,거래처!B45,주문_리스트!L:L)+SUMIF(주문_리스트!C:C,거래처!B45,주문_리스트!M:M)</f>
        <v>0</v>
      </c>
    </row>
    <row r="46" spans="1:10">
      <c r="A46" s="47">
        <v>45</v>
      </c>
      <c r="B46" t="s">
        <v>1309</v>
      </c>
      <c r="C46" t="s">
        <v>2440</v>
      </c>
      <c r="E46" t="s">
        <v>2442</v>
      </c>
      <c r="F46" t="s">
        <v>1180</v>
      </c>
      <c r="G46" t="s">
        <v>2441</v>
      </c>
      <c r="H46" s="192">
        <f>SUMIF(주문_리스트!C:C,거래처!B46,주문_리스트!L:L)+SUMIF(주문_리스트!C:C,거래처!B46,주문_리스트!M:M)-200000</f>
        <v>0</v>
      </c>
    </row>
    <row r="47" spans="1:10">
      <c r="A47" s="47">
        <v>46</v>
      </c>
      <c r="B47" t="s">
        <v>1310</v>
      </c>
      <c r="C47" t="s">
        <v>1073</v>
      </c>
      <c r="E47" t="s">
        <v>1074</v>
      </c>
      <c r="F47" t="s">
        <v>973</v>
      </c>
      <c r="H47" s="192">
        <f>SUMIF(주문_리스트!C:C,거래처!B47,주문_리스트!L:L)+SUMIF(주문_리스트!C:C,거래처!B47,주문_리스트!M:M)</f>
        <v>0</v>
      </c>
    </row>
    <row r="48" spans="1:10">
      <c r="A48" s="47">
        <v>47</v>
      </c>
      <c r="B48" t="s">
        <v>1311</v>
      </c>
      <c r="C48" t="s">
        <v>967</v>
      </c>
      <c r="E48" t="s">
        <v>968</v>
      </c>
      <c r="F48" t="s">
        <v>969</v>
      </c>
      <c r="G48" t="s">
        <v>970</v>
      </c>
      <c r="H48" s="192">
        <f>SUMIF(주문_리스트!C:C,거래처!B48,주문_리스트!L:L)+SUMIF(주문_리스트!C:C,거래처!B48,주문_리스트!M:M)</f>
        <v>0</v>
      </c>
    </row>
    <row r="49" spans="1:9">
      <c r="A49" s="47">
        <v>48</v>
      </c>
      <c r="B49" t="s">
        <v>1312</v>
      </c>
      <c r="C49" t="s">
        <v>1223</v>
      </c>
      <c r="E49" t="s">
        <v>1224</v>
      </c>
      <c r="F49" t="s">
        <v>1225</v>
      </c>
      <c r="G49" t="s">
        <v>1226</v>
      </c>
      <c r="H49" s="192">
        <f>SUMIF(주문_리스트!C:C,거래처!B49,주문_리스트!L:L)+SUMIF(주문_리스트!C:C,거래처!B49,주문_리스트!M:M)-5199000</f>
        <v>0.10000000149011612</v>
      </c>
    </row>
    <row r="50" spans="1:9">
      <c r="A50" s="47">
        <v>49</v>
      </c>
      <c r="B50" t="s">
        <v>1267</v>
      </c>
      <c r="C50" t="s">
        <v>1268</v>
      </c>
      <c r="E50" t="s">
        <v>1269</v>
      </c>
      <c r="H50" s="192">
        <f>SUMIF(주문_리스트!C:C,거래처!B50,주문_리스트!L:L)+SUMIF(주문_리스트!C:C,거래처!B50,주문_리스트!M:M)-1500000</f>
        <v>0</v>
      </c>
      <c r="I50" s="52" t="s">
        <v>3875</v>
      </c>
    </row>
    <row r="51" spans="1:9">
      <c r="A51" s="47">
        <v>50</v>
      </c>
      <c r="B51" t="s">
        <v>1270</v>
      </c>
      <c r="C51" t="s">
        <v>1271</v>
      </c>
      <c r="E51" t="s">
        <v>1272</v>
      </c>
      <c r="F51" t="s">
        <v>963</v>
      </c>
      <c r="G51" t="s">
        <v>1863</v>
      </c>
      <c r="H51" s="192">
        <f>SUMIF(주문_리스트!C:C,거래처!B51,주문_리스트!L:L)+SUMIF(주문_리스트!C:C,거래처!B51,주문_리스트!M:M)-3500000</f>
        <v>0</v>
      </c>
    </row>
    <row r="52" spans="1:9">
      <c r="A52" s="47">
        <v>51</v>
      </c>
      <c r="B52" t="s">
        <v>1313</v>
      </c>
      <c r="C52" t="s">
        <v>1395</v>
      </c>
      <c r="E52" t="s">
        <v>1396</v>
      </c>
      <c r="F52" t="s">
        <v>963</v>
      </c>
      <c r="G52" t="s">
        <v>1397</v>
      </c>
      <c r="H52" s="192">
        <f>SUMIF(주문_리스트!C:C,거래처!B52,주문_리스트!L:L)+SUMIF(주문_리스트!C:C,거래처!B52,주문_리스트!M:M)-650000</f>
        <v>0</v>
      </c>
    </row>
    <row r="53" spans="1:9">
      <c r="A53" s="47">
        <v>52</v>
      </c>
      <c r="B53" t="s">
        <v>1314</v>
      </c>
      <c r="C53" t="s">
        <v>1036</v>
      </c>
      <c r="E53" t="s">
        <v>1037</v>
      </c>
      <c r="F53" t="s">
        <v>973</v>
      </c>
      <c r="H53" s="192">
        <f>SUMIF(주문_리스트!C:C,거래처!B53,주문_리스트!L:L)+SUMIF(주문_리스트!C:C,거래처!B53,주문_리스트!M:M)</f>
        <v>1100000</v>
      </c>
    </row>
    <row r="54" spans="1:9">
      <c r="A54" s="47">
        <v>53</v>
      </c>
      <c r="B54" t="s">
        <v>1147</v>
      </c>
      <c r="C54" t="s">
        <v>1788</v>
      </c>
      <c r="E54" t="s">
        <v>2624</v>
      </c>
      <c r="F54" t="s">
        <v>32</v>
      </c>
      <c r="G54" t="s">
        <v>2625</v>
      </c>
      <c r="H54" s="192">
        <f>SUMIF(주문_리스트!C:C,거래처!B54,주문_리스트!L:L)+SUMIF(주문_리스트!C:C,거래처!B54,주문_리스트!M:M)-4015000</f>
        <v>0</v>
      </c>
      <c r="I54" s="52" t="s">
        <v>3767</v>
      </c>
    </row>
    <row r="55" spans="1:9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2">
        <f>SUMIF(주문_리스트!C:C,거래처!B55,주문_리스트!L:L)+SUMIF(주문_리스트!C:C,거래처!B55,주문_리스트!M:M)</f>
        <v>0</v>
      </c>
    </row>
    <row r="56" spans="1:9">
      <c r="A56" s="47">
        <v>55</v>
      </c>
      <c r="B56" t="s">
        <v>1315</v>
      </c>
      <c r="C56" t="s">
        <v>1033</v>
      </c>
      <c r="E56" t="s">
        <v>1034</v>
      </c>
      <c r="F56" t="s">
        <v>973</v>
      </c>
      <c r="H56" s="192">
        <f>SUMIF(주문_리스트!C:C,거래처!B56,주문_리스트!L:L)+SUMIF(주문_리스트!C:C,거래처!B56,주문_리스트!M:M)</f>
        <v>0</v>
      </c>
    </row>
    <row r="57" spans="1:9">
      <c r="A57" s="47">
        <v>56</v>
      </c>
      <c r="B57" t="s">
        <v>1316</v>
      </c>
      <c r="C57" t="s">
        <v>26</v>
      </c>
      <c r="E57" t="s">
        <v>27</v>
      </c>
      <c r="H57" s="192">
        <f>SUMIF(주문_리스트!C:C,거래처!B57,주문_리스트!L:L)+SUMIF(주문_리스트!C:C,거래처!B57,주문_리스트!M:M)+3478000</f>
        <v>0</v>
      </c>
    </row>
    <row r="58" spans="1:9">
      <c r="A58" s="47">
        <v>57</v>
      </c>
      <c r="B58" t="s">
        <v>1317</v>
      </c>
      <c r="C58" t="s">
        <v>1241</v>
      </c>
      <c r="E58" t="s">
        <v>1242</v>
      </c>
      <c r="F58" t="s">
        <v>963</v>
      </c>
      <c r="G58" t="s">
        <v>1243</v>
      </c>
      <c r="H58" s="192">
        <f>SUMIF(주문_리스트!C:C,거래처!B58,주문_리스트!L:L)+SUMIF(주문_리스트!C:C,거래처!B58,주문_리스트!M:M)-650000</f>
        <v>0</v>
      </c>
    </row>
    <row r="59" spans="1:9">
      <c r="A59" s="47">
        <v>58</v>
      </c>
      <c r="B59" t="s">
        <v>1318</v>
      </c>
      <c r="C59" t="s">
        <v>1005</v>
      </c>
      <c r="E59" t="s">
        <v>1006</v>
      </c>
      <c r="F59" t="s">
        <v>973</v>
      </c>
      <c r="H59" s="192">
        <f>SUMIF(주문_리스트!C:C,거래처!B59,주문_리스트!L:L)+SUMIF(주문_리스트!C:C,거래처!B59,주문_리스트!M:M)</f>
        <v>0</v>
      </c>
      <c r="I59" s="52" t="s">
        <v>3272</v>
      </c>
    </row>
    <row r="60" spans="1:9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2">
        <f>SUMIF(주문_리스트!C:C,거래처!B60,주문_리스트!L:L)+SUMIF(주문_리스트!C:C,거래처!B60,주문_리스트!M:M)</f>
        <v>0</v>
      </c>
    </row>
    <row r="61" spans="1:9">
      <c r="A61" s="47">
        <v>60</v>
      </c>
      <c r="B61" t="s">
        <v>1319</v>
      </c>
      <c r="C61" t="s">
        <v>1043</v>
      </c>
      <c r="E61" t="s">
        <v>1621</v>
      </c>
      <c r="F61" t="s">
        <v>973</v>
      </c>
      <c r="H61" s="192">
        <f>SUMIF(주문_리스트!C:C,거래처!B61,주문_리스트!L:L)+SUMIF(주문_리스트!C:C,거래처!B61,주문_리스트!M:M)</f>
        <v>0</v>
      </c>
    </row>
    <row r="62" spans="1:9">
      <c r="A62" s="47">
        <v>61</v>
      </c>
      <c r="B62" t="s">
        <v>1320</v>
      </c>
      <c r="C62" t="s">
        <v>2603</v>
      </c>
      <c r="E62" t="s">
        <v>2604</v>
      </c>
      <c r="F62" t="s">
        <v>2605</v>
      </c>
      <c r="G62" t="s">
        <v>2606</v>
      </c>
      <c r="H62" s="192">
        <f>SUMIF(주문_리스트!C:C,거래처!B62,주문_리스트!L:L)+SUMIF(주문_리스트!C:C,거래처!B62,주문_리스트!M:M)</f>
        <v>0</v>
      </c>
    </row>
    <row r="63" spans="1:9">
      <c r="A63" s="47">
        <v>62</v>
      </c>
      <c r="B63" t="s">
        <v>1321</v>
      </c>
      <c r="C63" t="s">
        <v>1041</v>
      </c>
      <c r="E63" t="s">
        <v>1042</v>
      </c>
      <c r="F63" t="s">
        <v>973</v>
      </c>
      <c r="H63" s="192">
        <f>SUMIF(주문_리스트!C:C,거래처!B63,주문_리스트!L:L)+SUMIF(주문_리스트!C:C,거래처!B63,주문_리스트!M:M)</f>
        <v>0</v>
      </c>
    </row>
    <row r="64" spans="1:9">
      <c r="A64" s="47">
        <v>63</v>
      </c>
      <c r="B64" t="s">
        <v>1322</v>
      </c>
      <c r="C64" t="s">
        <v>1061</v>
      </c>
      <c r="E64" t="s">
        <v>1062</v>
      </c>
      <c r="F64" t="s">
        <v>973</v>
      </c>
      <c r="H64" s="192">
        <f>SUMIF(주문_리스트!C:C,거래처!B64,주문_리스트!L:L)+SUMIF(주문_리스트!C:C,거래처!B64,주문_리스트!M:M)</f>
        <v>0</v>
      </c>
    </row>
    <row r="65" spans="1:10">
      <c r="A65" s="47">
        <v>64</v>
      </c>
      <c r="B65" t="s">
        <v>1323</v>
      </c>
      <c r="C65" t="s">
        <v>2618</v>
      </c>
      <c r="E65" t="s">
        <v>2619</v>
      </c>
      <c r="F65" t="s">
        <v>33</v>
      </c>
      <c r="G65" t="s">
        <v>3887</v>
      </c>
      <c r="H65" s="192">
        <f>SUMIF(주문_리스트!C:C,거래처!B65,주문_리스트!L:L)+SUMIF(주문_리스트!C:C,거래처!B65,주문_리스트!M:M)</f>
        <v>0</v>
      </c>
      <c r="J65" t="s">
        <v>3906</v>
      </c>
    </row>
    <row r="66" spans="1:10">
      <c r="A66" s="47">
        <v>65</v>
      </c>
      <c r="B66" t="s">
        <v>1187</v>
      </c>
      <c r="C66" t="s">
        <v>1188</v>
      </c>
      <c r="E66" t="s">
        <v>1189</v>
      </c>
      <c r="F66" t="s">
        <v>2046</v>
      </c>
      <c r="G66" t="s">
        <v>2047</v>
      </c>
      <c r="H66" s="192">
        <f>SUMIF(주문_리스트!C:C,거래처!B66,주문_리스트!L:L)+SUMIF(주문_리스트!C:C,거래처!B66,주문_리스트!M:M)</f>
        <v>0</v>
      </c>
    </row>
    <row r="67" spans="1:10">
      <c r="A67" s="47">
        <v>66</v>
      </c>
      <c r="B67" t="s">
        <v>1324</v>
      </c>
      <c r="C67" t="s">
        <v>1067</v>
      </c>
      <c r="E67" t="s">
        <v>1068</v>
      </c>
      <c r="F67" t="s">
        <v>973</v>
      </c>
      <c r="H67" s="192">
        <f>SUMIF(주문_리스트!C:C,거래처!B67,주문_리스트!L:L)+SUMIF(주문_리스트!C:C,거래처!B67,주문_리스트!M:M)</f>
        <v>0</v>
      </c>
    </row>
    <row r="68" spans="1:10">
      <c r="A68" s="47">
        <v>67</v>
      </c>
      <c r="B68" t="s">
        <v>1325</v>
      </c>
      <c r="C68" t="s">
        <v>1027</v>
      </c>
      <c r="E68" t="s">
        <v>1028</v>
      </c>
      <c r="F68" t="s">
        <v>973</v>
      </c>
      <c r="H68" s="192">
        <f>SUMIF(주문_리스트!C:C,거래처!B68,주문_리스트!L:L)+SUMIF(주문_리스트!C:C,거래처!B68,주문_리스트!M:M)-1000000</f>
        <v>0</v>
      </c>
      <c r="I68" s="52" t="s">
        <v>3574</v>
      </c>
    </row>
    <row r="69" spans="1:10">
      <c r="A69" s="47">
        <v>68</v>
      </c>
      <c r="B69" t="s">
        <v>1326</v>
      </c>
      <c r="C69" t="s">
        <v>1071</v>
      </c>
      <c r="E69" t="s">
        <v>1072</v>
      </c>
      <c r="H69" s="192">
        <f>SUMIF(주문_리스트!C:C,거래처!B69,주문_리스트!L:L)+SUMIF(주문_리스트!C:C,거래처!B69,주문_리스트!M:M)</f>
        <v>0</v>
      </c>
    </row>
    <row r="70" spans="1:10">
      <c r="A70" s="47">
        <v>69</v>
      </c>
      <c r="B70" t="s">
        <v>1327</v>
      </c>
      <c r="C70" t="s">
        <v>2101</v>
      </c>
      <c r="E70" t="s">
        <v>2102</v>
      </c>
      <c r="F70" t="s">
        <v>32</v>
      </c>
      <c r="G70" t="s">
        <v>2443</v>
      </c>
      <c r="H70" s="192">
        <f>SUMIF(주문_리스트!C:C,거래처!B70,주문_리스트!L:L)+SUMIF(주문_리스트!C:C,거래처!B70,주문_리스트!M:M)</f>
        <v>0</v>
      </c>
    </row>
    <row r="71" spans="1:10">
      <c r="A71" s="47">
        <v>70</v>
      </c>
      <c r="B71" t="s">
        <v>1328</v>
      </c>
      <c r="C71" t="s">
        <v>2502</v>
      </c>
      <c r="E71" t="s">
        <v>2503</v>
      </c>
      <c r="F71" t="s">
        <v>1180</v>
      </c>
      <c r="G71" t="s">
        <v>618</v>
      </c>
      <c r="H71" s="192">
        <f>SUMIF(주문_리스트!C:C,거래처!B71,주문_리스트!L:L)+SUMIF(주문_리스트!C:C,거래처!B71,주문_리스트!M:M)</f>
        <v>0</v>
      </c>
    </row>
    <row r="72" spans="1:10">
      <c r="A72" s="47">
        <v>71</v>
      </c>
      <c r="B72" t="s">
        <v>1329</v>
      </c>
      <c r="C72" t="s">
        <v>1039</v>
      </c>
      <c r="E72" t="s">
        <v>1040</v>
      </c>
      <c r="F72" t="s">
        <v>973</v>
      </c>
      <c r="H72" s="192">
        <f>SUMIF(주문_리스트!C:C,거래처!B72,주문_리스트!L:L)+SUMIF(주문_리스트!C:C,거래처!B72,주문_리스트!M:M)-1890000</f>
        <v>0</v>
      </c>
      <c r="I72" s="52" t="s">
        <v>3574</v>
      </c>
    </row>
    <row r="73" spans="1:10">
      <c r="A73" s="47">
        <v>72</v>
      </c>
      <c r="B73" t="s">
        <v>1487</v>
      </c>
      <c r="C73" t="s">
        <v>1488</v>
      </c>
      <c r="E73" t="s">
        <v>3800</v>
      </c>
      <c r="F73" t="s">
        <v>3801</v>
      </c>
      <c r="G73" t="s">
        <v>3802</v>
      </c>
      <c r="H73" s="192">
        <f>SUMIF(주문_리스트!C:C,거래처!B73,주문_리스트!L:L)+SUMIF(주문_리스트!C:C,거래처!B73,주문_리스트!M:M)-3100000+1500000</f>
        <v>0</v>
      </c>
      <c r="I73" s="52" t="s">
        <v>3341</v>
      </c>
      <c r="J73" t="s">
        <v>3366</v>
      </c>
    </row>
    <row r="74" spans="1:10">
      <c r="A74" s="47">
        <v>73</v>
      </c>
      <c r="B74" t="s">
        <v>1373</v>
      </c>
      <c r="C74" t="s">
        <v>1374</v>
      </c>
      <c r="E74" t="s">
        <v>1375</v>
      </c>
      <c r="F74" t="s">
        <v>32</v>
      </c>
      <c r="G74" t="s">
        <v>3860</v>
      </c>
      <c r="H74" s="192">
        <f>SUMIF(주문_리스트!C:C,거래처!B74,주문_리스트!L:L)+SUMIF(주문_리스트!C:C,거래처!B74,주문_리스트!M:M)-1500000</f>
        <v>1550000</v>
      </c>
      <c r="I74" s="52" t="s">
        <v>3904</v>
      </c>
    </row>
    <row r="75" spans="1:10">
      <c r="A75" s="47">
        <v>74</v>
      </c>
      <c r="B75" t="s">
        <v>1330</v>
      </c>
      <c r="C75" t="s">
        <v>994</v>
      </c>
      <c r="E75" t="s">
        <v>1331</v>
      </c>
      <c r="H75" s="192">
        <f>SUMIF(주문_리스트!C:C,거래처!B75,주문_리스트!L:L)+SUMIF(주문_리스트!C:C,거래처!B75,주문_리스트!M:M)</f>
        <v>0</v>
      </c>
    </row>
    <row r="76" spans="1:10">
      <c r="A76" s="47">
        <v>75</v>
      </c>
      <c r="B76" t="s">
        <v>1332</v>
      </c>
      <c r="C76" t="s">
        <v>1092</v>
      </c>
      <c r="E76" t="s">
        <v>1093</v>
      </c>
      <c r="F76" t="s">
        <v>973</v>
      </c>
      <c r="H76" s="192">
        <f>SUMIF(주문_리스트!C:C,거래처!B76,주문_리스트!L:L)+SUMIF(주문_리스트!C:C,거래처!B76,주문_리스트!M:M)-8677000</f>
        <v>0</v>
      </c>
    </row>
    <row r="77" spans="1:10">
      <c r="A77" s="47">
        <v>76</v>
      </c>
      <c r="B77" t="s">
        <v>1333</v>
      </c>
      <c r="C77" t="s">
        <v>1010</v>
      </c>
      <c r="E77" t="s">
        <v>1011</v>
      </c>
      <c r="F77" t="s">
        <v>973</v>
      </c>
      <c r="H77" s="192">
        <f>SUMIF(주문_리스트!C:C,거래처!B77,주문_리스트!L:L)+SUMIF(주문_리스트!C:C,거래처!B77,주문_리스트!M:M)-5800000</f>
        <v>0</v>
      </c>
    </row>
    <row r="78" spans="1:10">
      <c r="A78" s="47">
        <v>77</v>
      </c>
      <c r="B78" t="s">
        <v>1334</v>
      </c>
      <c r="C78" t="s">
        <v>3408</v>
      </c>
      <c r="E78" t="s">
        <v>3409</v>
      </c>
      <c r="F78" t="s">
        <v>963</v>
      </c>
      <c r="G78" t="s">
        <v>3410</v>
      </c>
      <c r="H78" s="192">
        <f>SUMIF(주문_리스트!C:C,거래처!B78,주문_리스트!L:L)+SUMIF(주문_리스트!C:C,거래처!B78,주문_리스트!M:M)</f>
        <v>0</v>
      </c>
    </row>
    <row r="79" spans="1:10">
      <c r="A79" s="47">
        <v>78</v>
      </c>
      <c r="B79" t="s">
        <v>1335</v>
      </c>
      <c r="C79" t="s">
        <v>56</v>
      </c>
      <c r="E79" t="s">
        <v>57</v>
      </c>
      <c r="F79" t="s">
        <v>973</v>
      </c>
      <c r="H79" s="192">
        <f>SUMIF(주문_리스트!C:C,거래처!B79,주문_리스트!L:L)+SUMIF(주문_리스트!C:C,거래처!B79,주문_리스트!M:M)+84700</f>
        <v>2305000</v>
      </c>
      <c r="I79" s="52" t="s">
        <v>3904</v>
      </c>
    </row>
    <row r="80" spans="1:10">
      <c r="A80" s="47">
        <v>79</v>
      </c>
      <c r="B80" t="s">
        <v>1336</v>
      </c>
      <c r="C80" t="s">
        <v>1097</v>
      </c>
      <c r="E80" t="s">
        <v>1098</v>
      </c>
      <c r="H80" s="192">
        <f>SUMIF(주문_리스트!C:C,거래처!B80,주문_리스트!L:L)+SUMIF(주문_리스트!C:C,거래처!B80,주문_리스트!M:M)</f>
        <v>0</v>
      </c>
    </row>
    <row r="81" spans="1:11">
      <c r="A81" s="47">
        <v>80</v>
      </c>
      <c r="B81" t="s">
        <v>1337</v>
      </c>
      <c r="C81" t="s">
        <v>1069</v>
      </c>
      <c r="E81" t="s">
        <v>1070</v>
      </c>
      <c r="H81" s="192">
        <f>SUMIF(주문_리스트!C:C,거래처!B81,주문_리스트!L:L)+SUMIF(주문_리스트!C:C,거래처!B81,주문_리스트!M:M)</f>
        <v>0</v>
      </c>
    </row>
    <row r="82" spans="1:11">
      <c r="A82" s="47">
        <v>81</v>
      </c>
      <c r="B82" t="s">
        <v>1338</v>
      </c>
      <c r="C82" t="s">
        <v>3382</v>
      </c>
      <c r="E82" t="s">
        <v>3383</v>
      </c>
      <c r="F82" t="s">
        <v>1180</v>
      </c>
      <c r="H82" s="192">
        <f>SUMIF(주문_리스트!C:C,거래처!B82,주문_리스트!L:L)+SUMIF(주문_리스트!C:C,거래처!B82,주문_리스트!M:M)-1200000</f>
        <v>0</v>
      </c>
      <c r="I82" s="52" t="s">
        <v>3089</v>
      </c>
      <c r="K82" t="s">
        <v>3403</v>
      </c>
    </row>
    <row r="83" spans="1:11">
      <c r="A83" s="47">
        <v>82</v>
      </c>
      <c r="B83" t="s">
        <v>1339</v>
      </c>
      <c r="C83" t="s">
        <v>1031</v>
      </c>
      <c r="E83" t="s">
        <v>1032</v>
      </c>
      <c r="F83" t="s">
        <v>963</v>
      </c>
      <c r="H83" s="192">
        <f>SUMIF(주문_리스트!C:C,거래처!B83,주문_리스트!L:L)+SUMIF(주문_리스트!C:C,거래처!B83,주문_리스트!M:M)</f>
        <v>0</v>
      </c>
    </row>
    <row r="84" spans="1:11">
      <c r="A84" s="47">
        <v>83</v>
      </c>
      <c r="B84" t="s">
        <v>1340</v>
      </c>
      <c r="C84" t="s">
        <v>1171</v>
      </c>
      <c r="E84" t="s">
        <v>3813</v>
      </c>
      <c r="F84" t="s">
        <v>3801</v>
      </c>
      <c r="G84" t="s">
        <v>3814</v>
      </c>
      <c r="H84" s="192">
        <f>SUMIF(주문_리스트!C:C,거래처!B84,주문_리스트!L:L)+SUMIF(주문_리스트!C:C,거래처!B84,주문_리스트!M:M)-1100000</f>
        <v>0</v>
      </c>
    </row>
    <row r="85" spans="1:11">
      <c r="A85" s="47">
        <v>84</v>
      </c>
      <c r="B85" t="s">
        <v>1341</v>
      </c>
      <c r="C85" t="s">
        <v>1029</v>
      </c>
      <c r="E85" t="s">
        <v>1030</v>
      </c>
      <c r="F85" t="s">
        <v>973</v>
      </c>
      <c r="H85" s="192">
        <f>SUMIF(주문_리스트!C:C,거래처!B85,주문_리스트!L:L)+SUMIF(주문_리스트!C:C,거래처!B85,주문_리스트!M:M)</f>
        <v>1575000</v>
      </c>
      <c r="I85" s="52" t="s">
        <v>3904</v>
      </c>
    </row>
    <row r="86" spans="1:11">
      <c r="A86" s="47">
        <v>85</v>
      </c>
      <c r="B86" t="s">
        <v>1342</v>
      </c>
      <c r="C86" t="s">
        <v>990</v>
      </c>
      <c r="E86" t="s">
        <v>991</v>
      </c>
      <c r="H86" s="192">
        <f>SUMIF(주문_리스트!C:C,거래처!B86,주문_리스트!L:L)+SUMIF(주문_리스트!C:C,거래처!B86,주문_리스트!M:M)</f>
        <v>0</v>
      </c>
    </row>
    <row r="87" spans="1:11">
      <c r="A87" s="47">
        <v>86</v>
      </c>
      <c r="B87" t="s">
        <v>1343</v>
      </c>
      <c r="C87" t="s">
        <v>1049</v>
      </c>
      <c r="E87" t="s">
        <v>1050</v>
      </c>
      <c r="F87" t="s">
        <v>976</v>
      </c>
      <c r="H87" s="192">
        <f>SUMIF(주문_리스트!C:C,거래처!B87,주문_리스트!L:L)+SUMIF(주문_리스트!C:C,거래처!B87,주문_리스트!M:M)-650000</f>
        <v>0</v>
      </c>
    </row>
    <row r="88" spans="1:11">
      <c r="A88" s="47">
        <v>87</v>
      </c>
      <c r="B88" t="s">
        <v>1344</v>
      </c>
      <c r="C88" t="s">
        <v>1962</v>
      </c>
      <c r="E88" t="s">
        <v>1961</v>
      </c>
      <c r="F88" t="s">
        <v>963</v>
      </c>
      <c r="G88" t="s">
        <v>1967</v>
      </c>
      <c r="H88" s="192">
        <f>SUMIF(주문_리스트!C:C,거래처!B88,주문_리스트!L:L)+SUMIF(주문_리스트!C:C,거래처!B88,주문_리스트!M:M)-3130000</f>
        <v>0</v>
      </c>
      <c r="I88" s="52" t="s">
        <v>3767</v>
      </c>
    </row>
    <row r="89" spans="1:11">
      <c r="A89" s="47">
        <v>88</v>
      </c>
      <c r="B89" t="s">
        <v>1345</v>
      </c>
      <c r="C89" t="s">
        <v>1907</v>
      </c>
      <c r="E89" t="s">
        <v>1908</v>
      </c>
      <c r="F89" t="s">
        <v>963</v>
      </c>
      <c r="G89" t="s">
        <v>1909</v>
      </c>
      <c r="H89" s="192">
        <f>SUMIF(주문_리스트!C:C,거래처!B89,주문_리스트!L:L)+SUMIF(주문_리스트!C:C,거래처!B89,주문_리스트!M:M)</f>
        <v>0</v>
      </c>
    </row>
    <row r="90" spans="1:11">
      <c r="A90" s="47">
        <v>89</v>
      </c>
      <c r="B90" t="s">
        <v>1346</v>
      </c>
      <c r="C90" t="s">
        <v>1099</v>
      </c>
      <c r="E90" t="s">
        <v>1100</v>
      </c>
      <c r="H90" s="192">
        <f>SUMIF(주문_리스트!C:C,거래처!B90,주문_리스트!L:L)+SUMIF(주문_리스트!C:C,거래처!B90,주문_리스트!M:M)</f>
        <v>0</v>
      </c>
    </row>
    <row r="91" spans="1:11">
      <c r="A91" s="47">
        <v>90</v>
      </c>
      <c r="B91" t="s">
        <v>1347</v>
      </c>
      <c r="C91" t="s">
        <v>2388</v>
      </c>
      <c r="E91" t="s">
        <v>2389</v>
      </c>
      <c r="F91" t="s">
        <v>2390</v>
      </c>
      <c r="H91" s="192">
        <f>SUMIF(주문_리스트!C:C,거래처!B91,주문_리스트!L:L)+SUMIF(주문_리스트!C:C,거래처!B91,주문_리스트!M:M)-700000</f>
        <v>0</v>
      </c>
      <c r="I91" s="52" t="s">
        <v>2945</v>
      </c>
    </row>
    <row r="92" spans="1:11">
      <c r="A92" s="47">
        <v>91</v>
      </c>
      <c r="B92" t="s">
        <v>1348</v>
      </c>
      <c r="C92" t="s">
        <v>1833</v>
      </c>
      <c r="E92" t="s">
        <v>1834</v>
      </c>
      <c r="F92" t="s">
        <v>1835</v>
      </c>
      <c r="G92" t="s">
        <v>1836</v>
      </c>
      <c r="H92" s="192">
        <f>SUMIF(주문_리스트!C:C,거래처!B92,주문_리스트!L:L)+SUMIF(주문_리스트!C:C,거래처!B92,주문_리스트!M:M)-2089000</f>
        <v>9.999999962747097E-2</v>
      </c>
    </row>
    <row r="93" spans="1:11">
      <c r="A93" s="47">
        <v>92</v>
      </c>
      <c r="B93" t="s">
        <v>1349</v>
      </c>
      <c r="C93" t="s">
        <v>1051</v>
      </c>
      <c r="E93" t="s">
        <v>1052</v>
      </c>
      <c r="H93" s="192">
        <f>SUMIF(주문_리스트!C:C,거래처!B93,주문_리스트!L:L)+SUMIF(주문_리스트!C:C,거래처!B93,주문_리스트!M:M)</f>
        <v>0</v>
      </c>
    </row>
    <row r="94" spans="1:11">
      <c r="A94" s="47">
        <v>93</v>
      </c>
      <c r="B94" t="s">
        <v>2218</v>
      </c>
      <c r="C94" t="s">
        <v>2219</v>
      </c>
      <c r="E94" t="s">
        <v>2220</v>
      </c>
      <c r="F94" t="s">
        <v>2221</v>
      </c>
      <c r="H94" s="192">
        <f>SUMIF(주문_리스트!C:C,거래처!B94,주문_리스트!L:L)+SUMIF(주문_리스트!C:C,거래처!B94,주문_리스트!M:M)-1320000</f>
        <v>1650000</v>
      </c>
      <c r="I94" s="52" t="s">
        <v>3904</v>
      </c>
    </row>
    <row r="95" spans="1:11">
      <c r="A95" s="47">
        <v>94</v>
      </c>
      <c r="B95" t="s">
        <v>1350</v>
      </c>
      <c r="C95" t="s">
        <v>1812</v>
      </c>
      <c r="E95" t="s">
        <v>3808</v>
      </c>
      <c r="F95" t="s">
        <v>3801</v>
      </c>
      <c r="G95" t="s">
        <v>3809</v>
      </c>
      <c r="H95" s="192">
        <f>SUMIF(주문_리스트!C:C,거래처!B95,주문_리스트!L:L)+SUMIF(주문_리스트!C:C,거래처!B95,주문_리스트!M:M)-715000</f>
        <v>0</v>
      </c>
      <c r="I95" s="52" t="s">
        <v>3574</v>
      </c>
    </row>
    <row r="96" spans="1:11">
      <c r="A96" s="47">
        <v>95</v>
      </c>
      <c r="B96" t="s">
        <v>1351</v>
      </c>
      <c r="C96" t="s">
        <v>3602</v>
      </c>
      <c r="E96" t="s">
        <v>3603</v>
      </c>
      <c r="F96" t="s">
        <v>963</v>
      </c>
      <c r="G96" t="s">
        <v>3604</v>
      </c>
      <c r="H96" s="192">
        <f>SUMIF(주문_리스트!C:C,거래처!B96,주문_리스트!L:L)+SUMIF(주문_리스트!C:C,거래처!B96,주문_리스트!M:M)</f>
        <v>3600000</v>
      </c>
      <c r="I96" s="52" t="s">
        <v>3904</v>
      </c>
    </row>
    <row r="97" spans="1:10">
      <c r="A97" s="47">
        <v>96</v>
      </c>
      <c r="B97" t="s">
        <v>1352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2">
        <f>SUMIF(주문_리스트!C:C,거래처!B97,주문_리스트!L:L)+SUMIF(주문_리스트!C:C,거래처!B97,주문_리스트!M:M)-650000</f>
        <v>987000</v>
      </c>
      <c r="I97" s="52" t="s">
        <v>3904</v>
      </c>
    </row>
    <row r="98" spans="1:10">
      <c r="A98" s="47">
        <v>97</v>
      </c>
      <c r="B98" t="s">
        <v>1353</v>
      </c>
      <c r="C98" t="s">
        <v>1882</v>
      </c>
      <c r="E98" t="s">
        <v>1883</v>
      </c>
      <c r="F98" t="s">
        <v>963</v>
      </c>
      <c r="G98" t="s">
        <v>1884</v>
      </c>
      <c r="H98" s="192">
        <f>SUMIF(주문_리스트!C:C,거래처!B98,주문_리스트!L:L)+SUMIF(주문_리스트!C:C,거래처!B98,주문_리스트!M:M)-650000</f>
        <v>0</v>
      </c>
    </row>
    <row r="99" spans="1:10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3497</v>
      </c>
      <c r="H99" s="192">
        <f>SUMIF(주문_리스트!C:C,거래처!B99,주문_리스트!L:L)+SUMIF(주문_리스트!C:C,거래처!B99,주문_리스트!M:M)</f>
        <v>0</v>
      </c>
      <c r="I99" s="52" t="s">
        <v>3652</v>
      </c>
    </row>
    <row r="100" spans="1:10">
      <c r="A100" s="47">
        <v>99</v>
      </c>
      <c r="B100" t="s">
        <v>2436</v>
      </c>
      <c r="C100" t="s">
        <v>2437</v>
      </c>
      <c r="E100" t="s">
        <v>2438</v>
      </c>
      <c r="F100" t="s">
        <v>2439</v>
      </c>
      <c r="G100" t="s">
        <v>215</v>
      </c>
      <c r="H100" s="192">
        <f>SUMIF(주문_리스트!C:C,거래처!B100,주문_리스트!L:L)+SUMIF(주문_리스트!C:C,거래처!B100,주문_리스트!M:M)-2286900</f>
        <v>0</v>
      </c>
      <c r="I100" s="52" t="s">
        <v>3574</v>
      </c>
    </row>
    <row r="101" spans="1:10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2">
        <f>SUMIF(주문_리스트!C:C,거래처!B101,주문_리스트!L:L)+SUMIF(주문_리스트!C:C,거래처!B101,주문_리스트!M:M)-2824500</f>
        <v>-0.30000000074505806</v>
      </c>
      <c r="I101" s="52" t="s">
        <v>3526</v>
      </c>
    </row>
    <row r="102" spans="1:10">
      <c r="A102" s="47">
        <v>101</v>
      </c>
      <c r="B102" t="s">
        <v>1354</v>
      </c>
      <c r="C102" t="s">
        <v>974</v>
      </c>
      <c r="E102" t="s">
        <v>975</v>
      </c>
      <c r="F102" t="s">
        <v>963</v>
      </c>
      <c r="H102" s="192">
        <f>SUMIF(주문_리스트!C:C,거래처!B102,주문_리스트!L:L)+SUMIF(주문_리스트!C:C,거래처!B102,주문_리스트!M:M)</f>
        <v>0</v>
      </c>
      <c r="J102" t="s">
        <v>3908</v>
      </c>
    </row>
    <row r="103" spans="1:10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2">
        <f>SUMIF(주문_리스트!C:C,거래처!B103,주문_리스트!L:L)+SUMIF(주문_리스트!C:C,거래처!B103,주문_리스트!M:M)</f>
        <v>0</v>
      </c>
    </row>
    <row r="104" spans="1:10">
      <c r="A104" s="47">
        <v>103</v>
      </c>
      <c r="B104" t="s">
        <v>1355</v>
      </c>
      <c r="C104" t="s">
        <v>1003</v>
      </c>
      <c r="E104" t="s">
        <v>1004</v>
      </c>
      <c r="F104" t="s">
        <v>973</v>
      </c>
      <c r="H104" s="192">
        <f>SUMIF(주문_리스트!C:C,거래처!B104,주문_리스트!L:L)+SUMIF(주문_리스트!C:C,거래처!B104,주문_리스트!M:M)-3050000</f>
        <v>0</v>
      </c>
    </row>
    <row r="105" spans="1:10">
      <c r="A105" s="47">
        <v>104</v>
      </c>
      <c r="B105" t="s">
        <v>1356</v>
      </c>
      <c r="C105" t="s">
        <v>2292</v>
      </c>
      <c r="E105" t="s">
        <v>2293</v>
      </c>
      <c r="F105" t="s">
        <v>2294</v>
      </c>
      <c r="H105" s="192">
        <f>SUMIF(주문_리스트!C:C,거래처!B105,주문_리스트!L:L)+SUMIF(주문_리스트!C:C,거래처!B105,주문_리스트!M:M)</f>
        <v>0</v>
      </c>
    </row>
    <row r="106" spans="1:10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3856</v>
      </c>
      <c r="H106" s="192">
        <f>SUMIF(주문_리스트!C:C,거래처!B106,주문_리스트!L:L)+SUMIF(주문_리스트!C:C,거래처!B106,주문_리스트!M:M)</f>
        <v>0</v>
      </c>
      <c r="J106" t="s">
        <v>3879</v>
      </c>
    </row>
    <row r="107" spans="1:10">
      <c r="A107" s="47">
        <v>106</v>
      </c>
      <c r="B107" t="s">
        <v>3127</v>
      </c>
      <c r="C107" t="s">
        <v>3128</v>
      </c>
      <c r="E107" t="s">
        <v>3129</v>
      </c>
      <c r="F107" t="s">
        <v>963</v>
      </c>
      <c r="G107" t="s">
        <v>3130</v>
      </c>
      <c r="H107" s="192">
        <f>SUMIF(주문_리스트!C:C,거래처!B107,주문_리스트!L:L)+SUMIF(주문_리스트!C:C,거래처!B107,주문_리스트!M:M)-450000</f>
        <v>0</v>
      </c>
    </row>
    <row r="108" spans="1:10">
      <c r="A108" s="47">
        <v>107</v>
      </c>
      <c r="B108" t="s">
        <v>1023</v>
      </c>
      <c r="C108" t="s">
        <v>1024</v>
      </c>
      <c r="E108" t="s">
        <v>1025</v>
      </c>
      <c r="H108" s="192">
        <f>SUMIF(주문_리스트!C:C,거래처!B108,주문_리스트!L:L)+SUMIF(주문_리스트!C:C,거래처!B108,주문_리스트!M:M)</f>
        <v>1200000</v>
      </c>
      <c r="I108" s="52" t="s">
        <v>3904</v>
      </c>
    </row>
    <row r="109" spans="1:10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2">
        <f>SUMIF(주문_리스트!C:C,거래처!B109,주문_리스트!L:L)+SUMIF(주문_리스트!C:C,거래처!B109,주문_리스트!M:M)-3550000</f>
        <v>0</v>
      </c>
      <c r="J109" t="s">
        <v>3910</v>
      </c>
    </row>
    <row r="110" spans="1:10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2">
        <f>SUMIF(주문_리스트!C:C,거래처!B110,주문_리스트!L:L)+SUMIF(주문_리스트!C:C,거래처!B110,주문_리스트!M:M)-1200000</f>
        <v>0</v>
      </c>
      <c r="I110" s="52" t="s">
        <v>3652</v>
      </c>
    </row>
    <row r="111" spans="1:10">
      <c r="A111" s="47">
        <v>110</v>
      </c>
      <c r="B111" t="s">
        <v>1357</v>
      </c>
      <c r="C111" t="s">
        <v>1085</v>
      </c>
      <c r="E111" t="s">
        <v>1086</v>
      </c>
      <c r="F111" t="s">
        <v>973</v>
      </c>
      <c r="H111" s="192">
        <f>SUMIF(주문_리스트!C:C,거래처!B111,주문_리스트!L:L)+SUMIF(주문_리스트!C:C,거래처!B111,주문_리스트!M:M)</f>
        <v>0</v>
      </c>
    </row>
    <row r="112" spans="1:10">
      <c r="A112" s="47">
        <v>111</v>
      </c>
      <c r="B112" t="s">
        <v>1616</v>
      </c>
      <c r="C112" t="s">
        <v>1617</v>
      </c>
      <c r="E112" t="s">
        <v>1618</v>
      </c>
      <c r="F112" t="s">
        <v>1613</v>
      </c>
      <c r="G112" t="s">
        <v>1619</v>
      </c>
      <c r="H112" s="192">
        <f>SUMIF(주문_리스트!C:C,거래처!B112,주문_리스트!L:L)+SUMIF(주문_리스트!C:C,거래처!B112,주문_리스트!M:M)</f>
        <v>-1500000</v>
      </c>
    </row>
    <row r="113" spans="1:10">
      <c r="A113" s="47">
        <v>112</v>
      </c>
      <c r="B113" t="s">
        <v>1783</v>
      </c>
      <c r="C113" t="s">
        <v>1784</v>
      </c>
      <c r="E113" t="s">
        <v>1785</v>
      </c>
      <c r="F113" t="s">
        <v>32</v>
      </c>
      <c r="G113" t="s">
        <v>1787</v>
      </c>
      <c r="H113" s="192">
        <f>SUMIF(주문_리스트!C:C,거래처!B113,주문_리스트!L:L)+SUMIF(주문_리스트!C:C,거래처!B113,주문_리스트!M:M)-5100000</f>
        <v>0</v>
      </c>
    </row>
    <row r="114" spans="1:10">
      <c r="A114" s="47">
        <v>113</v>
      </c>
      <c r="B114" t="s">
        <v>1358</v>
      </c>
      <c r="C114" t="s">
        <v>1151</v>
      </c>
      <c r="E114" t="s">
        <v>1152</v>
      </c>
      <c r="H114" s="192">
        <f>SUMIF(주문_리스트!C:C,거래처!B114,주문_리스트!L:L)+SUMIF(주문_리스트!C:C,거래처!B114,주문_리스트!M:M)-650000</f>
        <v>0</v>
      </c>
      <c r="J114" t="s">
        <v>3624</v>
      </c>
    </row>
    <row r="115" spans="1:10">
      <c r="A115" s="47">
        <v>114</v>
      </c>
      <c r="B115" t="s">
        <v>1155</v>
      </c>
      <c r="C115" t="s">
        <v>1156</v>
      </c>
      <c r="E115" t="s">
        <v>1157</v>
      </c>
      <c r="F115" t="s">
        <v>963</v>
      </c>
      <c r="H115" s="192">
        <f>SUMIF(주문_리스트!C:C,거래처!B115,주문_리스트!L:L)+SUMIF(주문_리스트!C:C,거래처!B115,주문_리스트!M:M)-1200000</f>
        <v>0</v>
      </c>
    </row>
    <row r="116" spans="1:10">
      <c r="A116" s="47">
        <v>115</v>
      </c>
      <c r="B116" t="s">
        <v>1172</v>
      </c>
      <c r="C116" t="s">
        <v>1173</v>
      </c>
      <c r="E116" t="s">
        <v>1174</v>
      </c>
      <c r="F116" t="s">
        <v>963</v>
      </c>
      <c r="G116" t="s">
        <v>1175</v>
      </c>
      <c r="H116" s="192">
        <f>SUMIF(주문_리스트!C:C,거래처!B116,주문_리스트!L:L)+SUMIF(주문_리스트!C:C,거래처!B116,주문_리스트!M:M)-2300000</f>
        <v>0</v>
      </c>
      <c r="J116" t="s">
        <v>3912</v>
      </c>
    </row>
    <row r="117" spans="1:10">
      <c r="A117" s="47">
        <v>116</v>
      </c>
      <c r="B117" t="s">
        <v>1359</v>
      </c>
      <c r="C117" t="s">
        <v>1101</v>
      </c>
      <c r="E117" t="s">
        <v>1102</v>
      </c>
      <c r="F117" t="s">
        <v>1180</v>
      </c>
      <c r="G117" t="s">
        <v>1102</v>
      </c>
      <c r="H117" s="192">
        <f>SUMIF(주문_리스트!C:C,거래처!B117,주문_리스트!L:L)+SUMIF(주문_리스트!C:C,거래처!B117,주문_리스트!M:M)</f>
        <v>0</v>
      </c>
      <c r="I117" s="52" t="s">
        <v>2861</v>
      </c>
    </row>
    <row r="118" spans="1:10">
      <c r="A118" s="47">
        <v>117</v>
      </c>
      <c r="B118" t="s">
        <v>1190</v>
      </c>
      <c r="C118" t="s">
        <v>1191</v>
      </c>
      <c r="E118" t="s">
        <v>1192</v>
      </c>
      <c r="F118" t="s">
        <v>1193</v>
      </c>
      <c r="G118" t="s">
        <v>1194</v>
      </c>
      <c r="H118" s="192">
        <f>SUMIF(주문_리스트!C:C,거래처!B118,주문_리스트!L:L)+SUMIF(주문_리스트!C:C,거래처!B118,주문_리스트!M:M)-1600000</f>
        <v>0</v>
      </c>
    </row>
    <row r="119" spans="1:10">
      <c r="A119" s="47">
        <v>118</v>
      </c>
      <c r="B119" t="s">
        <v>1227</v>
      </c>
      <c r="C119" t="s">
        <v>1228</v>
      </c>
      <c r="E119" t="s">
        <v>1229</v>
      </c>
      <c r="F119" t="s">
        <v>963</v>
      </c>
      <c r="G119" t="s">
        <v>1230</v>
      </c>
      <c r="H119" s="192">
        <f>SUMIF(주문_리스트!C:C,거래처!B119,주문_리스트!L:L)+SUMIF(주문_리스트!C:C,거래처!B119,주문_리스트!M:M)-1600000</f>
        <v>0</v>
      </c>
    </row>
    <row r="120" spans="1:10">
      <c r="A120" s="47">
        <v>119</v>
      </c>
      <c r="B120" t="s">
        <v>1237</v>
      </c>
      <c r="C120" t="s">
        <v>1238</v>
      </c>
      <c r="E120" t="s">
        <v>1239</v>
      </c>
      <c r="F120" t="s">
        <v>973</v>
      </c>
      <c r="H120" s="192">
        <f>SUMIF(주문_리스트!C:C,거래처!B120,주문_리스트!L:L)+SUMIF(주문_리스트!C:C,거래처!B120,주문_리스트!M:M)-1600000</f>
        <v>0</v>
      </c>
    </row>
    <row r="121" spans="1:10">
      <c r="A121" s="47">
        <v>120</v>
      </c>
      <c r="B121" t="s">
        <v>2489</v>
      </c>
      <c r="C121" t="s">
        <v>1521</v>
      </c>
      <c r="E121" t="s">
        <v>1522</v>
      </c>
      <c r="H121" s="192">
        <f>SUMIF(주문_리스트!C:C,거래처!B146,주문_리스트!L:L)+SUMIF(주문_리스트!C:C,거래처!B146,주문_리스트!M:M)</f>
        <v>0</v>
      </c>
    </row>
    <row r="122" spans="1:10">
      <c r="A122" s="47">
        <v>121</v>
      </c>
      <c r="B122" t="s">
        <v>2282</v>
      </c>
      <c r="C122" t="s">
        <v>2283</v>
      </c>
      <c r="E122" t="s">
        <v>2284</v>
      </c>
      <c r="F122" t="s">
        <v>2285</v>
      </c>
      <c r="G122" t="s">
        <v>2286</v>
      </c>
      <c r="H122" s="192">
        <f>SUMIF(주문_리스트!C:C,거래처!B122,주문_리스트!L:L)+SUMIF(주문_리스트!C:C,거래처!B122,주문_리스트!M:M)-1500000</f>
        <v>0</v>
      </c>
    </row>
    <row r="123" spans="1:10">
      <c r="A123" s="47">
        <v>122</v>
      </c>
      <c r="B123" t="s">
        <v>1564</v>
      </c>
      <c r="C123" t="s">
        <v>1565</v>
      </c>
      <c r="E123" t="s">
        <v>1566</v>
      </c>
      <c r="F123" t="s">
        <v>963</v>
      </c>
      <c r="G123" t="s">
        <v>1226</v>
      </c>
      <c r="H123" s="192">
        <f>SUMIF(주문_리스트!C:C,거래처!B123,주문_리스트!L:L)+SUMIF(주문_리스트!C:C,거래처!B123,주문_리스트!M:M)</f>
        <v>0</v>
      </c>
    </row>
    <row r="124" spans="1:10">
      <c r="A124" s="47">
        <v>123</v>
      </c>
      <c r="B124" t="s">
        <v>1657</v>
      </c>
      <c r="C124" t="s">
        <v>1658</v>
      </c>
      <c r="E124" t="s">
        <v>1659</v>
      </c>
      <c r="F124" t="s">
        <v>1180</v>
      </c>
      <c r="G124" t="s">
        <v>1659</v>
      </c>
      <c r="H124" s="192">
        <f>SUMIF(주문_리스트!C:C,거래처!B124,주문_리스트!L:L)+SUMIF(주문_리스트!C:C,거래처!B124,주문_리스트!M:M)-250000</f>
        <v>0</v>
      </c>
    </row>
    <row r="125" spans="1:10">
      <c r="A125" s="47">
        <v>124</v>
      </c>
      <c r="B125" t="s">
        <v>1670</v>
      </c>
      <c r="C125" t="s">
        <v>1671</v>
      </c>
      <c r="E125" t="s">
        <v>1672</v>
      </c>
      <c r="H125" s="192">
        <f>SUMIF(주문_리스트!C:C,거래처!B125,주문_리스트!L:L)+SUMIF(주문_리스트!C:C,거래처!B125,주문_리스트!M:M)-4755000</f>
        <v>0</v>
      </c>
    </row>
    <row r="126" spans="1:10">
      <c r="A126" s="47">
        <v>125</v>
      </c>
      <c r="B126" t="s">
        <v>1837</v>
      </c>
      <c r="C126" t="s">
        <v>3096</v>
      </c>
      <c r="E126" t="s">
        <v>3097</v>
      </c>
      <c r="F126" t="s">
        <v>963</v>
      </c>
      <c r="G126" t="s">
        <v>3098</v>
      </c>
      <c r="H126" s="192">
        <v>0</v>
      </c>
    </row>
    <row r="127" spans="1:10">
      <c r="A127" s="47">
        <v>126</v>
      </c>
      <c r="B127" t="s">
        <v>1889</v>
      </c>
      <c r="C127" t="s">
        <v>1890</v>
      </c>
      <c r="E127" t="s">
        <v>1891</v>
      </c>
      <c r="F127" t="s">
        <v>973</v>
      </c>
      <c r="H127" s="192">
        <f>SUMIF(주문_리스트!C:C,거래처!B127,주문_리스트!L:L)+SUMIF(주문_리스트!C:C,거래처!B127,주문_리스트!M:M)-250000</f>
        <v>0</v>
      </c>
    </row>
    <row r="128" spans="1:10">
      <c r="A128" s="47">
        <v>127</v>
      </c>
      <c r="B128" t="s">
        <v>2016</v>
      </c>
      <c r="C128" t="s">
        <v>2017</v>
      </c>
      <c r="E128" t="s">
        <v>2018</v>
      </c>
      <c r="F128" t="s">
        <v>963</v>
      </c>
      <c r="G128" t="s">
        <v>2019</v>
      </c>
      <c r="H128" s="192">
        <f>SUMIF(주문_리스트!C:C,거래처!B128,주문_리스트!L:L)+SUMIF(주문_리스트!C:C,거래처!B128,주문_리스트!M:M)</f>
        <v>0</v>
      </c>
    </row>
    <row r="129" spans="1:10">
      <c r="A129" s="47">
        <v>128</v>
      </c>
      <c r="B129" t="s">
        <v>2067</v>
      </c>
      <c r="C129" t="s">
        <v>2068</v>
      </c>
      <c r="E129" t="s">
        <v>2069</v>
      </c>
      <c r="F129" t="s">
        <v>963</v>
      </c>
      <c r="G129" t="s">
        <v>1909</v>
      </c>
      <c r="H129" s="192">
        <f>SUMIF(주문_리스트!C:C,거래처!B129,주문_리스트!L:L)+SUMIF(주문_리스트!C:C,거래처!B129,주문_리스트!M:M)</f>
        <v>0</v>
      </c>
    </row>
    <row r="130" spans="1:10">
      <c r="A130" s="47">
        <v>129</v>
      </c>
      <c r="B130" t="s">
        <v>2033</v>
      </c>
      <c r="C130" t="s">
        <v>2034</v>
      </c>
      <c r="E130" t="s">
        <v>2035</v>
      </c>
      <c r="H130" s="192">
        <f>SUMIF(주문_리스트!C:C,거래처!B130,주문_리스트!L:L)+SUMIF(주문_리스트!C:C,거래처!B130,주문_리스트!M:M)</f>
        <v>0</v>
      </c>
    </row>
    <row r="131" spans="1:10">
      <c r="A131" s="47">
        <v>130</v>
      </c>
      <c r="B131" t="s">
        <v>2038</v>
      </c>
      <c r="C131" t="s">
        <v>2039</v>
      </c>
      <c r="E131" t="s">
        <v>2040</v>
      </c>
      <c r="H131" s="192">
        <f>SUMIF(주문_리스트!C:C,거래처!B131,주문_리스트!L:L)+SUMIF(주문_리스트!C:C,거래처!B131,주문_리스트!M:M)</f>
        <v>0</v>
      </c>
    </row>
    <row r="132" spans="1:10">
      <c r="A132" s="47">
        <v>131</v>
      </c>
      <c r="B132" t="s">
        <v>2782</v>
      </c>
      <c r="C132" t="s">
        <v>2783</v>
      </c>
      <c r="E132" t="s">
        <v>2784</v>
      </c>
      <c r="F132" t="s">
        <v>2785</v>
      </c>
      <c r="G132" t="s">
        <v>2786</v>
      </c>
      <c r="H132" s="192">
        <f>SUMIF(주문_리스트!C:C,거래처!B132,주문_리스트!L:L)+SUMIF(주문_리스트!C:C,거래처!B132,주문_리스트!M:M)</f>
        <v>0</v>
      </c>
      <c r="I132" s="52" t="s">
        <v>3526</v>
      </c>
    </row>
    <row r="133" spans="1:10">
      <c r="A133" s="47">
        <v>132</v>
      </c>
      <c r="B133" t="s">
        <v>2094</v>
      </c>
      <c r="C133" t="s">
        <v>2095</v>
      </c>
      <c r="E133" t="s">
        <v>2096</v>
      </c>
      <c r="F133" t="s">
        <v>976</v>
      </c>
      <c r="G133" t="s">
        <v>2097</v>
      </c>
      <c r="H133" s="192">
        <f>SUMIF(주문_리스트!C:C,거래처!B133,주문_리스트!L:L)+SUMIF(주문_리스트!C:C,거래처!B133,주문_리스트!M:M)</f>
        <v>0</v>
      </c>
    </row>
    <row r="134" spans="1:10">
      <c r="A134" s="47">
        <v>133</v>
      </c>
      <c r="B134" t="s">
        <v>2306</v>
      </c>
      <c r="C134" t="s">
        <v>2119</v>
      </c>
      <c r="E134" t="s">
        <v>2120</v>
      </c>
      <c r="F134" t="s">
        <v>973</v>
      </c>
      <c r="H134" s="192">
        <f>SUMIF(주문_리스트!C:C,거래처!B134,주문_리스트!L:L)+SUMIF(주문_리스트!C:C,거래처!B134,주문_리스트!M:M)</f>
        <v>0</v>
      </c>
      <c r="I134" s="52" t="s">
        <v>3305</v>
      </c>
    </row>
    <row r="135" spans="1:10">
      <c r="A135" s="47">
        <v>134</v>
      </c>
      <c r="B135" t="s">
        <v>2132</v>
      </c>
      <c r="C135" t="s">
        <v>2133</v>
      </c>
      <c r="E135" t="s">
        <v>2134</v>
      </c>
      <c r="H135" s="192">
        <f>SUMIF(주문_리스트!C:C,거래처!B135,주문_리스트!L:L)+SUMIF(주문_리스트!C:C,거래처!B135,주문_리스트!M:M)</f>
        <v>0</v>
      </c>
    </row>
    <row r="136" spans="1:10">
      <c r="A136" s="47">
        <v>135</v>
      </c>
      <c r="B136" t="s">
        <v>2147</v>
      </c>
      <c r="C136" t="s">
        <v>2149</v>
      </c>
      <c r="E136" t="s">
        <v>2150</v>
      </c>
      <c r="H136" s="192">
        <f>SUMIF(주문_리스트!C:C,거래처!B136,주문_리스트!L:L)+SUMIF(주문_리스트!C:C,거래처!B136,주문_리스트!M:M)</f>
        <v>0</v>
      </c>
      <c r="I136" s="52" t="s">
        <v>3624</v>
      </c>
      <c r="J136">
        <v>45</v>
      </c>
    </row>
    <row r="137" spans="1:10">
      <c r="A137" s="47">
        <v>136</v>
      </c>
      <c r="B137" t="s">
        <v>2276</v>
      </c>
      <c r="C137" t="s">
        <v>2277</v>
      </c>
      <c r="E137" t="s">
        <v>2278</v>
      </c>
      <c r="F137" t="s">
        <v>25</v>
      </c>
      <c r="H137" s="192">
        <f>SUMIF(주문_리스트!C:C,거래처!B137,주문_리스트!L:L)+SUMIF(주문_리스트!C:C,거래처!B137,주문_리스트!M:M)</f>
        <v>0</v>
      </c>
    </row>
    <row r="138" spans="1:10">
      <c r="A138" s="47">
        <v>137</v>
      </c>
      <c r="B138" t="s">
        <v>2755</v>
      </c>
      <c r="C138" t="s">
        <v>2756</v>
      </c>
      <c r="E138" t="s">
        <v>2757</v>
      </c>
      <c r="F138" t="s">
        <v>2758</v>
      </c>
      <c r="G138" t="s">
        <v>2759</v>
      </c>
      <c r="H138" s="192">
        <f>SUMIF(주문_리스트!C:C,거래처!B138,주문_리스트!L:L)+SUMIF(주문_리스트!C:C,거래처!B138,주문_리스트!M:M)</f>
        <v>0</v>
      </c>
    </row>
    <row r="139" spans="1:10">
      <c r="A139" s="47">
        <v>138</v>
      </c>
      <c r="B139" t="s">
        <v>2373</v>
      </c>
      <c r="C139" t="s">
        <v>2374</v>
      </c>
      <c r="E139" t="s">
        <v>2375</v>
      </c>
      <c r="H139" s="192">
        <f>SUMIF(주문_리스트!C:C,거래처!B139,주문_리스트!L:L)+SUMIF(주문_리스트!C:C,거래처!B139,주문_리스트!M:M)</f>
        <v>2300000</v>
      </c>
    </row>
    <row r="140" spans="1:10">
      <c r="A140" s="47">
        <v>139</v>
      </c>
      <c r="B140" t="s">
        <v>2257</v>
      </c>
      <c r="C140" t="s">
        <v>2356</v>
      </c>
      <c r="E140" t="s">
        <v>2357</v>
      </c>
      <c r="F140" t="s">
        <v>963</v>
      </c>
      <c r="H140" s="192">
        <f>SUMIF(주문_리스트!C:C,거래처!B140,주문_리스트!L:L)+SUMIF(주문_리스트!C:C,거래처!B140,주문_리스트!M:M)</f>
        <v>0</v>
      </c>
    </row>
    <row r="141" spans="1:10">
      <c r="A141" s="47">
        <v>140</v>
      </c>
      <c r="B141" t="s">
        <v>2363</v>
      </c>
      <c r="C141" t="s">
        <v>2364</v>
      </c>
      <c r="E141" t="s">
        <v>2365</v>
      </c>
      <c r="H141" s="192">
        <f>SUMIF(주문_리스트!C:C,거래처!B141,주문_리스트!L:L)+SUMIF(주문_리스트!C:C,거래처!B141,주문_리스트!M:M)</f>
        <v>0</v>
      </c>
    </row>
    <row r="142" spans="1:10">
      <c r="A142" s="47">
        <v>141</v>
      </c>
      <c r="B142" t="s">
        <v>2369</v>
      </c>
      <c r="C142" t="s">
        <v>2370</v>
      </c>
      <c r="E142" t="s">
        <v>2371</v>
      </c>
      <c r="H142" s="192">
        <f>SUMIF(주문_리스트!C:C,거래처!B142,주문_리스트!L:L)+SUMIF(주문_리스트!C:C,거래처!B142,주문_리스트!M:M)</f>
        <v>1100000</v>
      </c>
    </row>
    <row r="143" spans="1:10">
      <c r="A143" s="47">
        <v>142</v>
      </c>
      <c r="B143" t="s">
        <v>2379</v>
      </c>
      <c r="C143" t="s">
        <v>2380</v>
      </c>
      <c r="E143" t="s">
        <v>2381</v>
      </c>
      <c r="H143" s="192">
        <f>SUMIF(주문_리스트!C:C,거래처!B143,주문_리스트!L:L)+SUMIF(주문_리스트!C:C,거래처!B143,주문_리스트!M:M)</f>
        <v>0</v>
      </c>
    </row>
    <row r="144" spans="1:10">
      <c r="A144" s="47">
        <v>143</v>
      </c>
      <c r="B144" t="s">
        <v>2466</v>
      </c>
      <c r="C144" t="s">
        <v>2467</v>
      </c>
      <c r="E144" t="s">
        <v>2469</v>
      </c>
      <c r="F144" t="s">
        <v>2468</v>
      </c>
      <c r="H144" s="192">
        <f>SUMIF(주문_리스트!C:C,거래처!B144,주문_리스트!L:L)+SUMIF(주문_리스트!C:C,거래처!B144,주문_리스트!M:M)</f>
        <v>0</v>
      </c>
    </row>
    <row r="145" spans="1:9">
      <c r="A145" s="47">
        <v>144</v>
      </c>
      <c r="B145" t="s">
        <v>2470</v>
      </c>
      <c r="C145" t="s">
        <v>2946</v>
      </c>
      <c r="E145" t="s">
        <v>2947</v>
      </c>
      <c r="F145" t="s">
        <v>963</v>
      </c>
      <c r="G145" t="s">
        <v>2948</v>
      </c>
      <c r="H145" s="192">
        <f>SUMIF(주문_리스트!C:C,거래처!B145,주문_리스트!L:L)+SUMIF(주문_리스트!C:C,거래처!B145,주문_리스트!M:M)</f>
        <v>0</v>
      </c>
    </row>
    <row r="146" spans="1:9">
      <c r="A146" s="47">
        <v>145</v>
      </c>
      <c r="B146" t="s">
        <v>2485</v>
      </c>
      <c r="C146" t="s">
        <v>2486</v>
      </c>
      <c r="E146" t="s">
        <v>2487</v>
      </c>
      <c r="F146" t="s">
        <v>963</v>
      </c>
      <c r="G146" t="s">
        <v>2488</v>
      </c>
      <c r="H146" s="192">
        <f>SUMIF(주문_리스트!C:C,거래처!B146,주문_리스트!L:L)+SUMIF(주문_리스트!C:C,거래처!B146,주문_리스트!M:M)</f>
        <v>0</v>
      </c>
    </row>
    <row r="147" spans="1:9">
      <c r="A147" s="47">
        <v>146</v>
      </c>
      <c r="B147" t="s">
        <v>2675</v>
      </c>
      <c r="C147" t="s">
        <v>2673</v>
      </c>
      <c r="E147" t="s">
        <v>2674</v>
      </c>
      <c r="H147" s="192">
        <f>SUMIF(주문_리스트!C:C,거래처!B147,주문_리스트!L:L)+SUMIF(주문_리스트!C:C,거래처!B147,주문_리스트!M:M)</f>
        <v>0</v>
      </c>
    </row>
    <row r="148" spans="1:9">
      <c r="A148" s="47">
        <v>147</v>
      </c>
      <c r="B148" t="s">
        <v>2559</v>
      </c>
      <c r="C148" t="s">
        <v>2560</v>
      </c>
      <c r="E148" t="s">
        <v>3803</v>
      </c>
      <c r="F148" t="s">
        <v>3804</v>
      </c>
      <c r="G148" t="s">
        <v>3805</v>
      </c>
      <c r="H148" s="192">
        <f>SUMIF(주문_리스트!C:C,거래처!B148,주문_리스트!L:L)+SUMIF(주문_리스트!C:C,거래처!B148,주문_리스트!M:M)</f>
        <v>0</v>
      </c>
    </row>
    <row r="149" spans="1:9">
      <c r="A149" s="47">
        <v>148</v>
      </c>
      <c r="B149" t="s">
        <v>2631</v>
      </c>
      <c r="C149" t="s">
        <v>2632</v>
      </c>
      <c r="D149" t="s">
        <v>2633</v>
      </c>
      <c r="E149" t="s">
        <v>2634</v>
      </c>
      <c r="F149" t="s">
        <v>32</v>
      </c>
      <c r="G149" t="s">
        <v>2635</v>
      </c>
      <c r="H149" s="192">
        <f>SUMIF(주문_리스트!C:C,거래처!B149,주문_리스트!L:L)+SUMIF(주문_리스트!C:C,거래처!B149,주문_리스트!M:M)</f>
        <v>0</v>
      </c>
    </row>
    <row r="150" spans="1:9">
      <c r="A150" s="47">
        <v>149</v>
      </c>
      <c r="B150" t="s">
        <v>2702</v>
      </c>
      <c r="C150" t="s">
        <v>2703</v>
      </c>
      <c r="E150" t="s">
        <v>2704</v>
      </c>
      <c r="F150" t="s">
        <v>963</v>
      </c>
      <c r="G150" t="s">
        <v>2705</v>
      </c>
      <c r="H150" s="192">
        <f>SUMIF(주문_리스트!C:C,거래처!B150,주문_리스트!L:L)+SUMIF(주문_리스트!C:C,거래처!B150,주문_리스트!M:M)</f>
        <v>0</v>
      </c>
    </row>
    <row r="151" spans="1:9">
      <c r="A151" s="47">
        <v>150</v>
      </c>
      <c r="B151" t="s">
        <v>2730</v>
      </c>
      <c r="C151" t="s">
        <v>2731</v>
      </c>
      <c r="E151" t="s">
        <v>2732</v>
      </c>
      <c r="F151" t="s">
        <v>1180</v>
      </c>
      <c r="H151" s="192">
        <f>SUMIF(주문_리스트!C:C,거래처!B151,주문_리스트!L:L)+SUMIF(주문_리스트!C:C,거래처!B151,주문_리스트!M:M)</f>
        <v>0</v>
      </c>
    </row>
    <row r="152" spans="1:9">
      <c r="A152" s="47">
        <v>151</v>
      </c>
      <c r="B152" t="s">
        <v>2740</v>
      </c>
      <c r="C152" t="s">
        <v>2741</v>
      </c>
      <c r="E152" t="s">
        <v>2742</v>
      </c>
      <c r="F152" t="s">
        <v>963</v>
      </c>
      <c r="G152" t="s">
        <v>2743</v>
      </c>
      <c r="H152" s="192">
        <f>SUMIF(주문_리스트!C:C,거래처!B152,주문_리스트!L:L)+SUMIF(주문_리스트!C:C,거래처!B152,주문_리스트!M:M)</f>
        <v>0</v>
      </c>
    </row>
    <row r="153" spans="1:9">
      <c r="A153" s="47">
        <v>152</v>
      </c>
      <c r="B153" t="s">
        <v>2760</v>
      </c>
      <c r="C153" t="s">
        <v>2761</v>
      </c>
      <c r="E153" t="s">
        <v>2762</v>
      </c>
      <c r="F153" t="s">
        <v>1180</v>
      </c>
      <c r="H153" s="192">
        <f>SUMIF(주문_리스트!C:C,거래처!B153,주문_리스트!L:L)+SUMIF(주문_리스트!C:C,거래처!B153,주문_리스트!M:M)</f>
        <v>3730000</v>
      </c>
    </row>
    <row r="154" spans="1:9">
      <c r="A154" s="47">
        <v>153</v>
      </c>
      <c r="B154" t="s">
        <v>2767</v>
      </c>
      <c r="C154" t="s">
        <v>2768</v>
      </c>
      <c r="E154" t="s">
        <v>2769</v>
      </c>
      <c r="F154" t="s">
        <v>1180</v>
      </c>
      <c r="H154" s="192">
        <f>SUMIF(주문_리스트!C:C,거래처!B154,주문_리스트!L:L)+SUMIF(주문_리스트!C:C,거래처!B154,주문_리스트!M:M)</f>
        <v>0</v>
      </c>
    </row>
    <row r="155" spans="1:9">
      <c r="A155" s="47">
        <v>154</v>
      </c>
      <c r="B155" t="s">
        <v>2787</v>
      </c>
      <c r="C155" t="s">
        <v>2788</v>
      </c>
      <c r="E155" t="s">
        <v>2789</v>
      </c>
      <c r="F155" t="s">
        <v>1180</v>
      </c>
      <c r="G155" t="s">
        <v>2790</v>
      </c>
      <c r="H155" s="192">
        <f>SUMIF(주문_리스트!C:C,거래처!B155,주문_리스트!L:L)+SUMIF(주문_리스트!C:C,거래처!B155,주문_리스트!M:M)</f>
        <v>0</v>
      </c>
      <c r="I155" s="52" t="s">
        <v>3082</v>
      </c>
    </row>
    <row r="156" spans="1:9">
      <c r="A156" s="47">
        <v>155</v>
      </c>
      <c r="B156" t="s">
        <v>2807</v>
      </c>
      <c r="C156" t="s">
        <v>2808</v>
      </c>
      <c r="E156" t="s">
        <v>2809</v>
      </c>
      <c r="F156" t="s">
        <v>976</v>
      </c>
      <c r="G156" t="s">
        <v>2810</v>
      </c>
      <c r="H156" s="192">
        <f>SUMIF(주문_리스트!C:C,거래처!B156,주문_리스트!L:L)+SUMIF(주문_리스트!C:C,거래처!B156,주문_리스트!M:M)</f>
        <v>0</v>
      </c>
    </row>
    <row r="157" spans="1:9">
      <c r="A157" s="47">
        <v>156</v>
      </c>
      <c r="B157" t="s">
        <v>2858</v>
      </c>
      <c r="C157" t="s">
        <v>2864</v>
      </c>
      <c r="E157" t="s">
        <v>2865</v>
      </c>
      <c r="F157" t="s">
        <v>976</v>
      </c>
      <c r="G157" t="s">
        <v>3258</v>
      </c>
      <c r="H157" s="192">
        <f>SUMIF(주문_리스트!C:C,거래처!B157,주문_리스트!L:L)+SUMIF(주문_리스트!C:C,거래처!B157,주문_리스트!M:M)</f>
        <v>0</v>
      </c>
      <c r="I157" s="52" t="s">
        <v>3767</v>
      </c>
    </row>
    <row r="158" spans="1:9">
      <c r="A158" s="47">
        <v>157</v>
      </c>
      <c r="B158" t="s">
        <v>2867</v>
      </c>
      <c r="C158" t="s">
        <v>2868</v>
      </c>
      <c r="E158" t="s">
        <v>2869</v>
      </c>
      <c r="F158" t="s">
        <v>1180</v>
      </c>
      <c r="G158" t="s">
        <v>2878</v>
      </c>
      <c r="H158" s="192">
        <f>SUMIF(주문_리스트!C:C,거래처!B158,주문_리스트!L:L)+SUMIF(주문_리스트!C:C,거래처!B158,주문_리스트!M:M)</f>
        <v>0</v>
      </c>
    </row>
    <row r="159" spans="1:9">
      <c r="A159" s="47">
        <v>158</v>
      </c>
      <c r="B159" t="s">
        <v>2871</v>
      </c>
      <c r="C159" t="s">
        <v>2872</v>
      </c>
      <c r="E159" t="s">
        <v>2873</v>
      </c>
      <c r="F159" t="s">
        <v>973</v>
      </c>
      <c r="H159" s="192">
        <f>SUMIF(주문_리스트!C:C,거래처!B159,주문_리스트!L:L)+SUMIF(주문_리스트!C:C,거래처!B159,주문_리스트!M:M)</f>
        <v>4610000</v>
      </c>
    </row>
    <row r="160" spans="1:9">
      <c r="A160" s="47">
        <v>159</v>
      </c>
      <c r="B160" t="s">
        <v>2888</v>
      </c>
      <c r="C160" t="s">
        <v>2889</v>
      </c>
      <c r="E160" t="s">
        <v>2890</v>
      </c>
      <c r="F160" t="s">
        <v>963</v>
      </c>
      <c r="G160" t="s">
        <v>2891</v>
      </c>
      <c r="H160" s="192">
        <f>SUMIF(주문_리스트!C:C,거래처!B160,주문_리스트!L:L)+SUMIF(주문_리스트!C:C,거래처!B160,주문_리스트!M:M)</f>
        <v>0</v>
      </c>
    </row>
    <row r="161" spans="1:10">
      <c r="A161" s="47">
        <v>160</v>
      </c>
      <c r="B161" t="s">
        <v>2894</v>
      </c>
      <c r="C161" t="s">
        <v>2895</v>
      </c>
      <c r="E161" t="s">
        <v>2896</v>
      </c>
      <c r="F161" t="s">
        <v>1180</v>
      </c>
      <c r="H161" s="192">
        <f>SUMIF(주문_리스트!C:C,거래처!B161,주문_리스트!L:L)+SUMIF(주문_리스트!C:C,거래처!B161,주문_리스트!M:M)</f>
        <v>0</v>
      </c>
    </row>
    <row r="162" spans="1:10">
      <c r="A162" s="47">
        <v>161</v>
      </c>
      <c r="B162" t="s">
        <v>2914</v>
      </c>
      <c r="C162" t="s">
        <v>2915</v>
      </c>
      <c r="E162" t="s">
        <v>655</v>
      </c>
      <c r="F162" t="s">
        <v>1180</v>
      </c>
      <c r="H162" s="192">
        <f>SUMIF(주문_리스트!C:C,거래처!B162,주문_리스트!L:L)+SUMIF(주문_리스트!C:C,거래처!B162,주문_리스트!M:M)</f>
        <v>0</v>
      </c>
    </row>
    <row r="163" spans="1:10">
      <c r="A163" s="47">
        <v>162</v>
      </c>
      <c r="B163" t="s">
        <v>2928</v>
      </c>
      <c r="C163" t="s">
        <v>2929</v>
      </c>
      <c r="E163" t="s">
        <v>2930</v>
      </c>
      <c r="F163" t="s">
        <v>976</v>
      </c>
      <c r="G163" t="s">
        <v>2931</v>
      </c>
      <c r="H163" s="192">
        <f>SUMIF(주문_리스트!C:C,거래처!B163,주문_리스트!L:L)+SUMIF(주문_리스트!C:C,거래처!B163,주문_리스트!M:M)</f>
        <v>0</v>
      </c>
    </row>
    <row r="164" spans="1:10">
      <c r="A164" s="47">
        <v>163</v>
      </c>
      <c r="B164" t="s">
        <v>2933</v>
      </c>
      <c r="C164" t="s">
        <v>2934</v>
      </c>
      <c r="E164" t="s">
        <v>2935</v>
      </c>
      <c r="F164" t="s">
        <v>973</v>
      </c>
      <c r="H164" s="192">
        <f>SUMIF(주문_리스트!C:C,거래처!B164,주문_리스트!L:L)+SUMIF(주문_리스트!C:C,거래처!B164,주문_리스트!M:M)</f>
        <v>0</v>
      </c>
      <c r="I164" s="52" t="s">
        <v>2945</v>
      </c>
    </row>
    <row r="165" spans="1:10">
      <c r="A165" s="47">
        <v>164</v>
      </c>
      <c r="B165" t="s">
        <v>2940</v>
      </c>
      <c r="C165" t="s">
        <v>2929</v>
      </c>
      <c r="E165" t="s">
        <v>2930</v>
      </c>
      <c r="F165" t="s">
        <v>976</v>
      </c>
      <c r="G165" t="s">
        <v>2931</v>
      </c>
      <c r="H165" s="192">
        <f>SUMIF(주문_리스트!C:C,거래처!B165,주문_리스트!L:L)+SUMIF(주문_리스트!C:C,거래처!B165,주문_리스트!M:M)</f>
        <v>0</v>
      </c>
    </row>
    <row r="166" spans="1:10">
      <c r="A166" s="47">
        <v>165</v>
      </c>
      <c r="B166" t="s">
        <v>2962</v>
      </c>
      <c r="C166" t="s">
        <v>2963</v>
      </c>
      <c r="E166" t="s">
        <v>2964</v>
      </c>
      <c r="F166" t="s">
        <v>963</v>
      </c>
      <c r="G166" t="s">
        <v>2965</v>
      </c>
      <c r="H166" s="192">
        <f>SUMIF(주문_리스트!C:C,거래처!B166,주문_리스트!L:L)+SUMIF(주문_리스트!C:C,거래처!B166,주문_리스트!M:M)</f>
        <v>0</v>
      </c>
    </row>
    <row r="167" spans="1:10">
      <c r="A167" s="47">
        <v>166</v>
      </c>
      <c r="B167" t="s">
        <v>3020</v>
      </c>
      <c r="C167" t="s">
        <v>3021</v>
      </c>
      <c r="E167" t="s">
        <v>3022</v>
      </c>
      <c r="F167" t="s">
        <v>973</v>
      </c>
      <c r="H167" s="192">
        <f>SUMIF(주문_리스트!C:C,거래처!B167,주문_리스트!L:L)+SUMIF(주문_리스트!C:C,거래처!B167,주문_리스트!M:M)</f>
        <v>0</v>
      </c>
    </row>
    <row r="168" spans="1:10">
      <c r="A168" s="47">
        <v>167</v>
      </c>
      <c r="B168" t="s">
        <v>3028</v>
      </c>
      <c r="C168" t="s">
        <v>3029</v>
      </c>
      <c r="D168" t="s">
        <v>3030</v>
      </c>
      <c r="E168" t="s">
        <v>3031</v>
      </c>
      <c r="F168" t="s">
        <v>976</v>
      </c>
      <c r="G168" t="s">
        <v>3032</v>
      </c>
      <c r="H168" s="192">
        <f>SUMIF(주문_리스트!C:C,거래처!B168,주문_리스트!L:L)+SUMIF(주문_리스트!C:C,거래처!B168,주문_리스트!M:M)</f>
        <v>0</v>
      </c>
    </row>
    <row r="169" spans="1:10">
      <c r="A169" s="47">
        <v>168</v>
      </c>
      <c r="B169" t="s">
        <v>3076</v>
      </c>
      <c r="C169" t="s">
        <v>3077</v>
      </c>
      <c r="E169" t="s">
        <v>3078</v>
      </c>
      <c r="F169" t="s">
        <v>976</v>
      </c>
      <c r="G169" t="s">
        <v>3079</v>
      </c>
      <c r="H169" s="192">
        <f>SUMIF(주문_리스트!C:C,거래처!B169,주문_리스트!L:L)+SUMIF(주문_리스트!C:C,거래처!B169,주문_리스트!M:M)</f>
        <v>0</v>
      </c>
      <c r="I169" s="52" t="s">
        <v>3082</v>
      </c>
    </row>
    <row r="170" spans="1:10">
      <c r="A170" s="47">
        <v>169</v>
      </c>
      <c r="B170" t="s">
        <v>3119</v>
      </c>
      <c r="C170" t="s">
        <v>3120</v>
      </c>
      <c r="E170" t="s">
        <v>3121</v>
      </c>
      <c r="F170" t="s">
        <v>963</v>
      </c>
      <c r="G170" t="s">
        <v>3122</v>
      </c>
      <c r="H170" s="192">
        <f>SUMIF(주문_리스트!C:C,거래처!B170,주문_리스트!L:L)+SUMIF(주문_리스트!C:C,거래처!B170,주문_리스트!M:M)</f>
        <v>0</v>
      </c>
    </row>
    <row r="171" spans="1:10">
      <c r="A171" s="47">
        <v>170</v>
      </c>
      <c r="B171" t="s">
        <v>3150</v>
      </c>
      <c r="C171" t="s">
        <v>3151</v>
      </c>
      <c r="E171" t="s">
        <v>3152</v>
      </c>
      <c r="F171" t="s">
        <v>976</v>
      </c>
      <c r="G171" t="s">
        <v>3153</v>
      </c>
      <c r="H171" s="192">
        <f>SUMIF(주문_리스트!C:C,거래처!B171,주문_리스트!L:L)+SUMIF(주문_리스트!C:C,거래처!B171,주문_리스트!M:M)</f>
        <v>0</v>
      </c>
    </row>
    <row r="172" spans="1:10">
      <c r="A172" s="47">
        <v>171</v>
      </c>
      <c r="B172" t="s">
        <v>3182</v>
      </c>
      <c r="C172" t="s">
        <v>3183</v>
      </c>
      <c r="E172" t="s">
        <v>3184</v>
      </c>
      <c r="F172" t="s">
        <v>963</v>
      </c>
      <c r="H172" s="192">
        <f>SUMIF(주문_리스트!C:C,거래처!B172,주문_리스트!L:L)+SUMIF(주문_리스트!C:C,거래처!B172,주문_리스트!M:M)</f>
        <v>0</v>
      </c>
    </row>
    <row r="173" spans="1:10">
      <c r="A173" s="47">
        <v>172</v>
      </c>
      <c r="B173" t="s">
        <v>3186</v>
      </c>
      <c r="C173" t="s">
        <v>3187</v>
      </c>
      <c r="E173" t="s">
        <v>3188</v>
      </c>
      <c r="F173" t="s">
        <v>32</v>
      </c>
      <c r="G173" t="s">
        <v>3193</v>
      </c>
      <c r="H173" s="192">
        <f>SUMIF(주문_리스트!C:C,거래처!B173,주문_리스트!L:L)+SUMIF(주문_리스트!C:C,거래처!B173,주문_리스트!M:M)</f>
        <v>0</v>
      </c>
    </row>
    <row r="174" spans="1:10">
      <c r="A174" s="47">
        <v>173</v>
      </c>
      <c r="B174" t="s">
        <v>3209</v>
      </c>
      <c r="C174" t="s">
        <v>3210</v>
      </c>
      <c r="E174" t="s">
        <v>3211</v>
      </c>
      <c r="F174" t="s">
        <v>963</v>
      </c>
      <c r="G174" t="s">
        <v>130</v>
      </c>
      <c r="H174" s="192">
        <f>SUMIF(주문_리스트!C:C,거래처!B174,주문_리스트!L:L)+SUMIF(주문_리스트!C:C,거래처!B174,주문_리스트!M:M)</f>
        <v>0</v>
      </c>
    </row>
    <row r="175" spans="1:10">
      <c r="A175" s="47">
        <v>174</v>
      </c>
      <c r="B175" t="s">
        <v>3262</v>
      </c>
      <c r="C175" t="s">
        <v>3263</v>
      </c>
      <c r="E175" t="s">
        <v>3264</v>
      </c>
      <c r="F175" t="s">
        <v>1180</v>
      </c>
      <c r="G175" t="s">
        <v>2790</v>
      </c>
      <c r="H175" s="192">
        <f>SUMIF(주문_리스트!C:C,거래처!B175,주문_리스트!L:L)+SUMIF(주문_리스트!C:C,거래처!B175,주문_리스트!M:M)</f>
        <v>0</v>
      </c>
    </row>
    <row r="176" spans="1:10">
      <c r="A176" s="47">
        <v>175</v>
      </c>
      <c r="B176" t="s">
        <v>3744</v>
      </c>
      <c r="C176" t="s">
        <v>3745</v>
      </c>
      <c r="E176" t="s">
        <v>3746</v>
      </c>
      <c r="F176" t="s">
        <v>3747</v>
      </c>
      <c r="G176" t="s">
        <v>3746</v>
      </c>
      <c r="H176" s="192">
        <f>SUMIF(주문_리스트!C:C,거래처!B176,주문_리스트!L:L)+SUMIF(주문_리스트!C:C,거래처!B176,주문_리스트!M:M)</f>
        <v>0</v>
      </c>
      <c r="J176" t="s">
        <v>3914</v>
      </c>
    </row>
    <row r="177" spans="1:11">
      <c r="A177" s="47">
        <v>176</v>
      </c>
      <c r="B177" t="s">
        <v>3290</v>
      </c>
      <c r="C177" t="s">
        <v>3291</v>
      </c>
      <c r="E177" t="s">
        <v>3292</v>
      </c>
      <c r="F177" t="s">
        <v>976</v>
      </c>
      <c r="G177" t="s">
        <v>3293</v>
      </c>
      <c r="H177" s="192">
        <f>SUMIF(주문_리스트!C:C,거래처!B177,주문_리스트!L:L)+SUMIF(주문_리스트!C:C,거래처!B177,주문_리스트!M:M)</f>
        <v>0</v>
      </c>
      <c r="K177" t="s">
        <v>3403</v>
      </c>
    </row>
    <row r="178" spans="1:11">
      <c r="A178" s="47">
        <v>177</v>
      </c>
      <c r="B178" t="s">
        <v>3350</v>
      </c>
      <c r="C178" t="s">
        <v>3351</v>
      </c>
      <c r="E178" t="s">
        <v>3352</v>
      </c>
      <c r="F178" t="s">
        <v>3353</v>
      </c>
      <c r="G178" t="s">
        <v>3354</v>
      </c>
      <c r="H178" s="192">
        <f>SUMIF(주문_리스트!C:C,거래처!B178,주문_리스트!L:L)+SUMIF(주문_리스트!C:C,거래처!B178,주문_리스트!M:M)</f>
        <v>0</v>
      </c>
    </row>
    <row r="179" spans="1:11">
      <c r="A179" s="47">
        <v>178</v>
      </c>
      <c r="B179" t="s">
        <v>3404</v>
      </c>
      <c r="C179" t="s">
        <v>3405</v>
      </c>
      <c r="E179" t="s">
        <v>3406</v>
      </c>
      <c r="F179" t="s">
        <v>963</v>
      </c>
      <c r="G179" t="s">
        <v>181</v>
      </c>
      <c r="H179" s="192">
        <f>SUMIF(주문_리스트!C:C,거래처!B179,주문_리스트!L:L)+SUMIF(주문_리스트!C:C,거래처!B179,주문_리스트!M:M)</f>
        <v>0</v>
      </c>
      <c r="J179" t="s">
        <v>3882</v>
      </c>
    </row>
    <row r="180" spans="1:11">
      <c r="A180" s="47">
        <v>179</v>
      </c>
      <c r="B180" t="s">
        <v>3453</v>
      </c>
      <c r="C180" t="s">
        <v>3454</v>
      </c>
      <c r="E180" t="s">
        <v>3455</v>
      </c>
      <c r="F180" t="s">
        <v>3456</v>
      </c>
      <c r="G180" t="s">
        <v>3457</v>
      </c>
      <c r="H180" s="192">
        <f>SUMIF(주문_리스트!C:C,거래처!B180,주문_리스트!L:L)+SUMIF(주문_리스트!C:C,거래처!B180,주문_리스트!M:M)</f>
        <v>0</v>
      </c>
      <c r="J180" t="s">
        <v>3624</v>
      </c>
    </row>
    <row r="181" spans="1:11">
      <c r="A181" s="47">
        <v>180</v>
      </c>
      <c r="B181" t="s">
        <v>3460</v>
      </c>
      <c r="C181" t="s">
        <v>3461</v>
      </c>
      <c r="E181" t="s">
        <v>3462</v>
      </c>
      <c r="F181" t="s">
        <v>973</v>
      </c>
      <c r="H181" s="192">
        <f>SUMIF(주문_리스트!C:C,거래처!B181,주문_리스트!L:L)+SUMIF(주문_리스트!C:C,거래처!B181,주문_리스트!M:M)</f>
        <v>0</v>
      </c>
    </row>
    <row r="182" spans="1:11">
      <c r="A182" s="47">
        <v>181</v>
      </c>
      <c r="B182" t="s">
        <v>3464</v>
      </c>
      <c r="C182" t="s">
        <v>3465</v>
      </c>
      <c r="E182" t="s">
        <v>3466</v>
      </c>
      <c r="F182" t="s">
        <v>1180</v>
      </c>
      <c r="G182" t="s">
        <v>2790</v>
      </c>
      <c r="H182" s="192">
        <f>SUMIF(주문_리스트!C:C,거래처!B182,주문_리스트!L:L)+SUMIF(주문_리스트!C:C,거래처!B182,주문_리스트!M:M)</f>
        <v>0</v>
      </c>
      <c r="J182" t="s">
        <v>3767</v>
      </c>
    </row>
    <row r="183" spans="1:11">
      <c r="A183" s="47">
        <v>182</v>
      </c>
      <c r="B183" t="s">
        <v>3769</v>
      </c>
      <c r="C183" t="s">
        <v>3770</v>
      </c>
      <c r="E183" t="s">
        <v>3771</v>
      </c>
      <c r="F183" t="s">
        <v>3772</v>
      </c>
      <c r="G183" t="s">
        <v>3773</v>
      </c>
      <c r="H183" s="192">
        <f>SUMIF(주문_리스트!C:C,거래처!B183,주문_리스트!L:L)+SUMIF(주문_리스트!C:C,거래처!B183,주문_리스트!M:M)</f>
        <v>0</v>
      </c>
      <c r="I183" s="52" t="s">
        <v>3526</v>
      </c>
    </row>
    <row r="184" spans="1:11">
      <c r="A184" s="47">
        <v>183</v>
      </c>
      <c r="B184" t="s">
        <v>3506</v>
      </c>
      <c r="C184" t="s">
        <v>3507</v>
      </c>
      <c r="E184" t="s">
        <v>3511</v>
      </c>
      <c r="F184" t="s">
        <v>973</v>
      </c>
      <c r="H184" s="192">
        <v>0</v>
      </c>
      <c r="I184" s="52" t="s">
        <v>3526</v>
      </c>
    </row>
    <row r="185" spans="1:11">
      <c r="A185" s="47">
        <v>184</v>
      </c>
      <c r="B185" t="s">
        <v>3580</v>
      </c>
      <c r="C185" t="s">
        <v>3581</v>
      </c>
      <c r="E185" t="s">
        <v>3582</v>
      </c>
      <c r="F185" t="s">
        <v>963</v>
      </c>
      <c r="G185" t="s">
        <v>3583</v>
      </c>
      <c r="H185" s="192">
        <f>SUMIF(주문_리스트!C:C,거래처!B185,주문_리스트!L:L)+SUMIF(주문_리스트!C:C,거래처!B185,주문_리스트!M:M)</f>
        <v>0</v>
      </c>
      <c r="J185" t="s">
        <v>3624</v>
      </c>
    </row>
    <row r="186" spans="1:11">
      <c r="A186" s="47">
        <v>185</v>
      </c>
      <c r="B186" t="s">
        <v>3639</v>
      </c>
      <c r="C186" t="s">
        <v>3640</v>
      </c>
      <c r="E186" t="s">
        <v>3641</v>
      </c>
      <c r="F186" t="s">
        <v>1180</v>
      </c>
      <c r="G186" t="s">
        <v>3638</v>
      </c>
      <c r="H186" s="192">
        <f>SUMIF(주문_리스트!C:C,거래처!B186,주문_리스트!L:L)+SUMIF(주문_리스트!C:C,거래처!B186,주문_리스트!M:M)-2100000</f>
        <v>8410000</v>
      </c>
    </row>
    <row r="187" spans="1:11">
      <c r="A187" s="47">
        <v>186</v>
      </c>
      <c r="B187" t="s">
        <v>3731</v>
      </c>
      <c r="C187" t="s">
        <v>3732</v>
      </c>
      <c r="E187" t="s">
        <v>3733</v>
      </c>
      <c r="F187" t="s">
        <v>1180</v>
      </c>
      <c r="G187" t="s">
        <v>3734</v>
      </c>
      <c r="H187" s="192">
        <f>SUMIF(주문_리스트!C:C,거래처!B187,주문_리스트!L:L)+SUMIF(주문_리스트!C:C,거래처!B187,주문_리스트!M:M)</f>
        <v>0</v>
      </c>
    </row>
    <row r="188" spans="1:11">
      <c r="A188" s="47">
        <v>188</v>
      </c>
      <c r="B188" t="s">
        <v>3828</v>
      </c>
      <c r="C188" t="s">
        <v>3829</v>
      </c>
      <c r="E188" t="s">
        <v>3830</v>
      </c>
      <c r="F188" t="s">
        <v>1180</v>
      </c>
      <c r="G188" t="s">
        <v>3830</v>
      </c>
      <c r="H188" s="192">
        <f>SUMIF(주문_리스트!C:C,거래처!B188,주문_리스트!L:L)+SUMIF(주문_리스트!C:C,거래처!B188,주문_리스트!M:M)</f>
        <v>0</v>
      </c>
    </row>
    <row r="189" spans="1:11">
      <c r="A189" s="47">
        <v>189</v>
      </c>
      <c r="B189" t="s">
        <v>3895</v>
      </c>
      <c r="C189" t="s">
        <v>3896</v>
      </c>
      <c r="E189" t="s">
        <v>3897</v>
      </c>
      <c r="F189" t="s">
        <v>973</v>
      </c>
      <c r="H189" s="192">
        <f>SUMIF(주문_리스트!C:C,거래처!B189,주문_리스트!L:L)+SUMIF(주문_리스트!C:C,거래처!B189,주문_리스트!M:M)</f>
        <v>0</v>
      </c>
      <c r="J189" t="s">
        <v>3916</v>
      </c>
    </row>
    <row r="190" spans="1:11">
      <c r="H190" s="192">
        <f>SUMIF(주문_리스트!C:C,거래처!B190,주문_리스트!L:L)+SUMIF(주문_리스트!C:C,거래처!B190,주문_리스트!M:M)</f>
        <v>0</v>
      </c>
    </row>
    <row r="191" spans="1:11">
      <c r="H191" s="192">
        <f>SUMIF(주문_리스트!C:C,거래처!B191,주문_리스트!L:L)+SUMIF(주문_리스트!C:C,거래처!B191,주문_리스트!M:M)</f>
        <v>0</v>
      </c>
    </row>
    <row r="192" spans="1:11">
      <c r="H192" s="192">
        <f>SUMIF(주문_리스트!C:C,거래처!B192,주문_리스트!L:L)+SUMIF(주문_리스트!C:C,거래처!B192,주문_리스트!M:M)</f>
        <v>0</v>
      </c>
    </row>
    <row r="193" spans="8:8">
      <c r="H193" s="192">
        <f>SUMIF(주문_리스트!C:C,거래처!B193,주문_리스트!L:L)+SUMIF(주문_리스트!C:C,거래처!B193,주문_리스트!M:M)</f>
        <v>0</v>
      </c>
    </row>
    <row r="194" spans="8:8">
      <c r="H194" s="192">
        <f>SUMIF(주문_리스트!C:C,거래처!B194,주문_리스트!L:L)+SUMIF(주문_리스트!C:C,거래처!B194,주문_리스트!M:M)</f>
        <v>0</v>
      </c>
    </row>
    <row r="195" spans="8:8">
      <c r="H195" s="192">
        <f>SUMIF(주문_리스트!C:C,거래처!B195,주문_리스트!L:L)+SUMIF(주문_리스트!C:C,거래처!B195,주문_리스트!M:M)</f>
        <v>0</v>
      </c>
    </row>
    <row r="196" spans="8:8">
      <c r="H196" s="192">
        <f>SUMIF(주문_리스트!C:C,거래처!B196,주문_리스트!L:L)+SUMIF(주문_리스트!C:C,거래처!B196,주문_리스트!M:M)</f>
        <v>0</v>
      </c>
    </row>
    <row r="197" spans="8:8">
      <c r="H197" s="192">
        <f>SUMIF(주문_리스트!C:C,거래처!B197,주문_리스트!L:L)+SUMIF(주문_리스트!C:C,거래처!B197,주문_리스트!M:M)</f>
        <v>0</v>
      </c>
    </row>
    <row r="198" spans="8:8">
      <c r="H198" s="192">
        <f>SUMIF(주문_리스트!C:C,거래처!B198,주문_리스트!L:L)+SUMIF(주문_리스트!C:C,거래처!B198,주문_리스트!M:M)</f>
        <v>0</v>
      </c>
    </row>
    <row r="199" spans="8:8">
      <c r="H199" s="192">
        <f>SUMIF(주문_리스트!C:C,거래처!B199,주문_리스트!L:L)+SUMIF(주문_리스트!C:C,거래처!B199,주문_리스트!M:M)</f>
        <v>0</v>
      </c>
    </row>
    <row r="200" spans="8:8">
      <c r="H200" s="192">
        <f>SUMIF(주문_리스트!C:C,거래처!B200,주문_리스트!L:L)+SUMIF(주문_리스트!C:C,거래처!B200,주문_리스트!M:M)</f>
        <v>0</v>
      </c>
    </row>
    <row r="201" spans="8:8">
      <c r="H201" s="192">
        <f>SUMIF(주문_리스트!C:C,거래처!B201,주문_리스트!L:L)+SUMIF(주문_리스트!C:C,거래처!B201,주문_리스트!M:M)</f>
        <v>0</v>
      </c>
    </row>
    <row r="202" spans="8:8">
      <c r="H202" s="192">
        <f>SUMIF(주문_리스트!C:C,거래처!B202,주문_리스트!L:L)+SUMIF(주문_리스트!C:C,거래처!B202,주문_리스트!M:M)</f>
        <v>0</v>
      </c>
    </row>
    <row r="203" spans="8:8">
      <c r="H203" s="192">
        <f>SUMIF(주문_리스트!C:C,거래처!B203,주문_리스트!L:L)+SUMIF(주문_리스트!C:C,거래처!B203,주문_리스트!M:M)</f>
        <v>0</v>
      </c>
    </row>
    <row r="204" spans="8:8">
      <c r="H204" s="192">
        <f>SUMIF(주문_리스트!C:C,거래처!B204,주문_리스트!L:L)+SUMIF(주문_리스트!C:C,거래처!B204,주문_리스트!M:M)</f>
        <v>0</v>
      </c>
    </row>
    <row r="205" spans="8:8">
      <c r="H205" s="192">
        <f>SUMIF(주문_리스트!C:C,거래처!B205,주문_리스트!L:L)+SUMIF(주문_리스트!C:C,거래처!B205,주문_리스트!M:M)</f>
        <v>0</v>
      </c>
    </row>
    <row r="206" spans="8:8">
      <c r="H206" s="192">
        <f>SUMIF(주문_리스트!C:C,거래처!B206,주문_리스트!L:L)+SUMIF(주문_리스트!C:C,거래처!B206,주문_리스트!M:M)</f>
        <v>0</v>
      </c>
    </row>
    <row r="207" spans="8:8">
      <c r="H207" s="192">
        <f>SUMIF(주문_리스트!C:C,거래처!B207,주문_리스트!L:L)+SUMIF(주문_리스트!C:C,거래처!B207,주문_리스트!M:M)</f>
        <v>0</v>
      </c>
    </row>
    <row r="208" spans="8:8">
      <c r="H208" s="192">
        <f>SUMIF(주문_리스트!C:C,거래처!B208,주문_리스트!L:L)+SUMIF(주문_리스트!C:C,거래처!B208,주문_리스트!M:M)</f>
        <v>0</v>
      </c>
    </row>
    <row r="209" spans="8:8">
      <c r="H209" s="192">
        <f>SUMIF(주문_리스트!C:C,거래처!B209,주문_리스트!L:L)+SUMIF(주문_리스트!C:C,거래처!B209,주문_리스트!M:M)</f>
        <v>0</v>
      </c>
    </row>
    <row r="210" spans="8:8">
      <c r="H210" s="192">
        <f>SUMIF(주문_리스트!C:C,거래처!B210,주문_리스트!L:L)+SUMIF(주문_리스트!C:C,거래처!B210,주문_리스트!M:M)</f>
        <v>0</v>
      </c>
    </row>
    <row r="211" spans="8:8">
      <c r="H211" s="192">
        <f>SUMIF(주문_리스트!C:C,거래처!B211,주문_리스트!L:L)+SUMIF(주문_리스트!C:C,거래처!B211,주문_리스트!M:M)</f>
        <v>0</v>
      </c>
    </row>
    <row r="212" spans="8:8">
      <c r="H212" s="192">
        <f>SUMIF(주문_리스트!C:C,거래처!B212,주문_리스트!L:L)+SUMIF(주문_리스트!C:C,거래처!B212,주문_리스트!M:M)</f>
        <v>0</v>
      </c>
    </row>
    <row r="213" spans="8:8">
      <c r="H213" s="192">
        <f>SUMIF(주문_리스트!C:C,거래처!B213,주문_리스트!L:L)+SUMIF(주문_리스트!C:C,거래처!B213,주문_리스트!M:M)</f>
        <v>0</v>
      </c>
    </row>
    <row r="214" spans="8:8">
      <c r="H214" s="192">
        <f>SUMIF(주문_리스트!C:C,거래처!B214,주문_리스트!L:L)+SUMIF(주문_리스트!C:C,거래처!B214,주문_리스트!M:M)</f>
        <v>0</v>
      </c>
    </row>
    <row r="215" spans="8:8">
      <c r="H215" s="192">
        <f>SUMIF(주문_리스트!C:C,거래처!B215,주문_리스트!L:L)+SUMIF(주문_리스트!C:C,거래처!B215,주문_리스트!M:M)</f>
        <v>0</v>
      </c>
    </row>
    <row r="216" spans="8:8">
      <c r="H216" s="192">
        <f>SUMIF(주문_리스트!C:C,거래처!B216,주문_리스트!L:L)+SUMIF(주문_리스트!C:C,거래처!B216,주문_리스트!M:M)</f>
        <v>0</v>
      </c>
    </row>
    <row r="217" spans="8:8">
      <c r="H217" s="192">
        <f>SUMIF(주문_리스트!C:C,거래처!B217,주문_리스트!L:L)+SUMIF(주문_리스트!C:C,거래처!B217,주문_리스트!M:M)</f>
        <v>0</v>
      </c>
    </row>
    <row r="218" spans="8:8">
      <c r="H218" s="192">
        <f>SUMIF(주문_리스트!C:C,거래처!B218,주문_리스트!L:L)+SUMIF(주문_리스트!C:C,거래처!B218,주문_리스트!M:M)</f>
        <v>0</v>
      </c>
    </row>
    <row r="219" spans="8:8">
      <c r="H219" s="192">
        <f>SUMIF(주문_리스트!C:C,거래처!B219,주문_리스트!L:L)+SUMIF(주문_리스트!C:C,거래처!B219,주문_리스트!M:M)</f>
        <v>0</v>
      </c>
    </row>
    <row r="220" spans="8:8">
      <c r="H220" s="192">
        <f>SUMIF(주문_리스트!C:C,거래처!B220,주문_리스트!L:L)+SUMIF(주문_리스트!C:C,거래처!B220,주문_리스트!M:M)</f>
        <v>0</v>
      </c>
    </row>
    <row r="221" spans="8:8">
      <c r="H221" s="192">
        <f>SUMIF(주문_리스트!C:C,거래처!B221,주문_리스트!L:L)+SUMIF(주문_리스트!C:C,거래처!B221,주문_리스트!M:M)</f>
        <v>0</v>
      </c>
    </row>
    <row r="222" spans="8:8">
      <c r="H222" s="192">
        <f>SUMIF(주문_리스트!C:C,거래처!B222,주문_리스트!L:L)+SUMIF(주문_리스트!C:C,거래처!B222,주문_리스트!M:M)</f>
        <v>0</v>
      </c>
    </row>
    <row r="223" spans="8:8">
      <c r="H223" s="192">
        <f>SUMIF(주문_리스트!C:C,거래처!B223,주문_리스트!L:L)+SUMIF(주문_리스트!C:C,거래처!B223,주문_리스트!M:M)</f>
        <v>0</v>
      </c>
    </row>
    <row r="224" spans="8:8">
      <c r="H224" s="192">
        <f>SUMIF(주문_리스트!C:C,거래처!B224,주문_리스트!L:L)+SUMIF(주문_리스트!C:C,거래처!B224,주문_리스트!M:M)</f>
        <v>0</v>
      </c>
    </row>
  </sheetData>
  <autoFilter ref="A1:I22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242"/>
  <sheetViews>
    <sheetView zoomScale="115" zoomScaleNormal="115" workbookViewId="0">
      <pane xSplit="1" ySplit="1" topLeftCell="B117" activePane="bottomRight" state="frozen"/>
      <selection activeCell="N26" sqref="N26"/>
      <selection pane="topRight" activeCell="N26" sqref="N26"/>
      <selection pane="bottomLeft" activeCell="N26" sqref="N26"/>
      <selection pane="bottomRight" activeCell="H125" sqref="H125"/>
    </sheetView>
  </sheetViews>
  <sheetFormatPr defaultColWidth="9" defaultRowHeight="16.5"/>
  <cols>
    <col min="1" max="1" width="11.75" customWidth="1"/>
    <col min="2" max="2" width="20.375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44</v>
      </c>
      <c r="E1" s="51" t="s">
        <v>42</v>
      </c>
      <c r="F1" s="51" t="s">
        <v>1607</v>
      </c>
      <c r="G1" s="51" t="s">
        <v>1829</v>
      </c>
      <c r="H1" s="51" t="s">
        <v>4</v>
      </c>
      <c r="I1" s="97">
        <v>247</v>
      </c>
    </row>
    <row r="2" spans="1:10">
      <c r="A2">
        <v>1</v>
      </c>
      <c r="B2" s="281">
        <v>28120504</v>
      </c>
      <c r="C2" s="281" t="s">
        <v>2517</v>
      </c>
      <c r="D2" s="281">
        <v>28120504</v>
      </c>
      <c r="E2" s="52">
        <v>1000000</v>
      </c>
      <c r="G2">
        <f>SUMIF(재고!E:E,제품!C2,재고!G:G)-SUMIF(주문_리스트!F:F,제품!C2,주문_리스트!I:I)</f>
        <v>-3</v>
      </c>
      <c r="H2"/>
    </row>
    <row r="3" spans="1:10">
      <c r="A3">
        <v>2</v>
      </c>
      <c r="C3" s="281" t="s">
        <v>2194</v>
      </c>
      <c r="E3" s="52">
        <v>300000</v>
      </c>
      <c r="G3">
        <f>SUMIF(재고!E:E,제품!C3,재고!G:G)-SUMIF(주문_리스트!F:F,제품!C3,주문_리스트!I:I)</f>
        <v>-3</v>
      </c>
      <c r="H3"/>
    </row>
    <row r="4" spans="1:10">
      <c r="A4">
        <v>3</v>
      </c>
      <c r="C4" s="281" t="s">
        <v>1140</v>
      </c>
      <c r="E4" s="52">
        <v>700000</v>
      </c>
      <c r="G4">
        <f>SUMIF(재고!E:E,제품!C4,재고!G:G)-SUMIF(주문_리스트!F:F,제품!C4,주문_리스트!I:I)</f>
        <v>-1</v>
      </c>
      <c r="H4"/>
    </row>
    <row r="5" spans="1:10">
      <c r="A5">
        <v>4</v>
      </c>
      <c r="B5" s="281" t="s">
        <v>1951</v>
      </c>
      <c r="C5" s="281" t="s">
        <v>1950</v>
      </c>
      <c r="D5" s="281" t="s">
        <v>1951</v>
      </c>
      <c r="E5" s="52">
        <v>1000000</v>
      </c>
      <c r="F5" s="52">
        <v>550000</v>
      </c>
      <c r="G5">
        <f>SUMIF(재고!E:E,제품!C5,재고!G:G)-SUMIF(주문_리스트!F:F,제품!C5,주문_리스트!I:I)</f>
        <v>-4</v>
      </c>
      <c r="H5"/>
    </row>
    <row r="6" spans="1:10">
      <c r="A6">
        <v>5</v>
      </c>
      <c r="C6" s="281" t="s">
        <v>1639</v>
      </c>
      <c r="E6" s="52">
        <v>198000</v>
      </c>
      <c r="G6">
        <f>SUMIF(재고!E:E,제품!C6,재고!G:G)-SUMIF(주문_리스트!F:F,제품!C6,주문_리스트!I:I)</f>
        <v>-3</v>
      </c>
      <c r="H6"/>
    </row>
    <row r="7" spans="1:10">
      <c r="A7">
        <v>6</v>
      </c>
      <c r="C7" s="281" t="s">
        <v>1608</v>
      </c>
      <c r="E7" s="52">
        <v>12000</v>
      </c>
      <c r="G7">
        <f>SUMIF(재고!E:E,제품!C7,재고!G:G)-SUMIF(주문_리스트!F:F,제품!C7,주문_리스트!I:I)</f>
        <v>-1</v>
      </c>
      <c r="H7"/>
    </row>
    <row r="8" spans="1:10">
      <c r="A8">
        <v>7</v>
      </c>
      <c r="C8" s="281" t="s">
        <v>1742</v>
      </c>
      <c r="E8" s="52">
        <v>650000</v>
      </c>
      <c r="G8">
        <f>SUMIF(재고!E:E,제품!C8,재고!G:G)-SUMIF(주문_리스트!F:F,제품!C8,주문_리스트!I:I)</f>
        <v>-43</v>
      </c>
      <c r="H8"/>
    </row>
    <row r="9" spans="1:10">
      <c r="A9">
        <v>8</v>
      </c>
      <c r="B9" s="281" t="s">
        <v>3854</v>
      </c>
      <c r="C9" s="281" t="s">
        <v>1139</v>
      </c>
      <c r="D9" s="281" t="s">
        <v>3854</v>
      </c>
      <c r="E9" s="52">
        <v>1000000</v>
      </c>
      <c r="G9">
        <f>SUMIF(재고!E:E,제품!C9,재고!G:G)-SUMIF(주문_리스트!F:F,제품!C9,주문_리스트!I:I)</f>
        <v>-5</v>
      </c>
    </row>
    <row r="10" spans="1:10">
      <c r="A10">
        <v>9</v>
      </c>
      <c r="B10" s="281">
        <v>602000700</v>
      </c>
      <c r="C10" s="281" t="s">
        <v>2919</v>
      </c>
      <c r="D10" s="281">
        <v>602000700</v>
      </c>
      <c r="E10" s="52">
        <v>350000</v>
      </c>
      <c r="F10" s="52">
        <v>340000</v>
      </c>
      <c r="G10">
        <f>SUMIF(재고!E:E,제품!C10,재고!G:G)-SUMIF(주문_리스트!F:F,제품!C10,주문_리스트!I:I)</f>
        <v>-2</v>
      </c>
    </row>
    <row r="11" spans="1:10">
      <c r="A11">
        <v>10</v>
      </c>
      <c r="C11" s="281" t="s">
        <v>1142</v>
      </c>
      <c r="E11" s="52">
        <v>600000</v>
      </c>
      <c r="G11">
        <f>SUMIF(재고!E:E,제품!C11,재고!G:G)-SUMIF(주문_리스트!F:F,제품!C11,주문_리스트!I:I)</f>
        <v>-1</v>
      </c>
    </row>
    <row r="12" spans="1:10">
      <c r="A12">
        <v>11</v>
      </c>
      <c r="C12" s="281" t="s">
        <v>1143</v>
      </c>
      <c r="E12" s="52">
        <v>25000</v>
      </c>
      <c r="G12">
        <f>SUMIF(재고!E:E,제품!C12,재고!G:G)-SUMIF(주문_리스트!F:F,제품!C12,주문_리스트!I:I)</f>
        <v>-1</v>
      </c>
    </row>
    <row r="13" spans="1:10">
      <c r="A13">
        <v>12</v>
      </c>
      <c r="C13" s="281" t="s">
        <v>1144</v>
      </c>
      <c r="E13" s="52">
        <v>800000</v>
      </c>
      <c r="G13">
        <f>SUMIF(재고!E:E,제품!C13,재고!G:G)-SUMIF(주문_리스트!F:F,제품!C13,주문_리스트!I:I)</f>
        <v>-1</v>
      </c>
    </row>
    <row r="14" spans="1:10">
      <c r="A14">
        <v>13</v>
      </c>
      <c r="B14" s="281">
        <v>415054509</v>
      </c>
      <c r="C14" s="281" t="s">
        <v>2520</v>
      </c>
      <c r="D14" s="281">
        <v>415054509</v>
      </c>
      <c r="E14" s="52">
        <v>330000</v>
      </c>
      <c r="F14" s="52">
        <v>330000</v>
      </c>
      <c r="G14">
        <f>SUMIF(재고!E:E,제품!C14,재고!G:G)-SUMIF(주문_리스트!F:F,제품!C14,주문_리스트!I:I)</f>
        <v>-20</v>
      </c>
      <c r="I14" t="s">
        <v>1640</v>
      </c>
      <c r="J14">
        <v>75000</v>
      </c>
    </row>
    <row r="15" spans="1:10">
      <c r="A15">
        <v>14</v>
      </c>
      <c r="B15" s="281" t="s">
        <v>3855</v>
      </c>
      <c r="C15" s="281" t="s">
        <v>1653</v>
      </c>
      <c r="D15" s="281" t="s">
        <v>3672</v>
      </c>
      <c r="E15" s="52">
        <v>1100000</v>
      </c>
      <c r="G15">
        <f>SUMIF(재고!E:E,제품!C15,재고!G:G)-SUMIF(주문_리스트!F:F,제품!C15,주문_리스트!I:I)</f>
        <v>-5</v>
      </c>
    </row>
    <row r="16" spans="1:10">
      <c r="A16">
        <v>15</v>
      </c>
      <c r="B16" s="281">
        <v>2830506</v>
      </c>
      <c r="C16" s="281" t="s">
        <v>2680</v>
      </c>
      <c r="D16" s="281">
        <v>2830506</v>
      </c>
      <c r="E16" s="52">
        <v>1650000</v>
      </c>
      <c r="G16">
        <f>SUMIF(재고!E:E,제품!C16,재고!G:G)-SUMIF(주문_리스트!F:F,제품!C16,주문_리스트!I:I)</f>
        <v>-2</v>
      </c>
    </row>
    <row r="17" spans="1:8">
      <c r="A17">
        <v>16</v>
      </c>
      <c r="B17" s="281">
        <v>2820403</v>
      </c>
      <c r="C17" s="281" t="s">
        <v>2684</v>
      </c>
      <c r="D17" s="281">
        <v>2820403</v>
      </c>
      <c r="E17" s="52">
        <v>1500000</v>
      </c>
      <c r="G17">
        <f>SUMIF(재고!E:E,제품!C17,재고!G:G)-SUMIF(주문_리스트!F:F,제품!C17,주문_리스트!I:I)</f>
        <v>-22</v>
      </c>
    </row>
    <row r="18" spans="1:8">
      <c r="A18">
        <v>17</v>
      </c>
      <c r="C18" s="281" t="s">
        <v>1108</v>
      </c>
      <c r="E18" s="52">
        <v>198000</v>
      </c>
      <c r="G18">
        <f>SUMIF(재고!E:E,제품!C18,재고!G:G)-SUMIF(주문_리스트!F:F,제품!C18,주문_리스트!I:I)</f>
        <v>-1</v>
      </c>
    </row>
    <row r="19" spans="1:8">
      <c r="A19">
        <v>18</v>
      </c>
      <c r="C19" s="281" t="s">
        <v>2202</v>
      </c>
      <c r="E19" s="52">
        <v>150000</v>
      </c>
      <c r="G19">
        <f>SUMIF(재고!E:E,제품!C19,재고!G:G)-SUMIF(주문_리스트!F:F,제품!C19,주문_리스트!I:I)</f>
        <v>-2</v>
      </c>
    </row>
    <row r="20" spans="1:8">
      <c r="A20">
        <v>19</v>
      </c>
      <c r="C20" s="281" t="s">
        <v>2200</v>
      </c>
      <c r="E20" s="52">
        <v>100000</v>
      </c>
      <c r="G20">
        <f>SUMIF(재고!E:E,제품!C20,재고!G:G)-SUMIF(주문_리스트!F:F,제품!C20,주문_리스트!I:I)</f>
        <v>0</v>
      </c>
    </row>
    <row r="21" spans="1:8">
      <c r="A21">
        <v>20</v>
      </c>
      <c r="C21" s="281" t="s">
        <v>1651</v>
      </c>
      <c r="E21" s="52">
        <v>230000</v>
      </c>
      <c r="G21">
        <f>SUMIF(재고!E:E,제품!C21,재고!G:G)-SUMIF(주문_리스트!F:F,제품!C21,주문_리스트!I:I)</f>
        <v>-1</v>
      </c>
    </row>
    <row r="22" spans="1:8">
      <c r="A22">
        <v>21</v>
      </c>
      <c r="C22" s="281" t="s">
        <v>2184</v>
      </c>
      <c r="E22" s="52">
        <v>600000</v>
      </c>
      <c r="G22">
        <f>SUMIF(재고!E:E,제품!C22,재고!G:G)-SUMIF(주문_리스트!F:F,제품!C22,주문_리스트!I:I)</f>
        <v>0</v>
      </c>
    </row>
    <row r="23" spans="1:8">
      <c r="A23">
        <v>22</v>
      </c>
      <c r="B23" s="281" t="s">
        <v>1197</v>
      </c>
      <c r="C23" s="281" t="s">
        <v>2196</v>
      </c>
      <c r="D23" s="281" t="s">
        <v>1197</v>
      </c>
      <c r="E23" s="52">
        <v>1000000</v>
      </c>
      <c r="G23">
        <f>SUMIF(재고!E:E,제품!C23,재고!G:G)-SUMIF(주문_리스트!F:F,제품!C23,주문_리스트!I:I)</f>
        <v>-3</v>
      </c>
    </row>
    <row r="24" spans="1:8">
      <c r="A24">
        <v>23</v>
      </c>
      <c r="B24" s="281" t="s">
        <v>1198</v>
      </c>
      <c r="C24" s="281" t="s">
        <v>2196</v>
      </c>
      <c r="D24" s="281" t="s">
        <v>1198</v>
      </c>
      <c r="E24" s="52">
        <v>1000000</v>
      </c>
      <c r="G24">
        <f>SUMIF(재고!E:E,제품!C24,재고!G:G)-SUMIF(주문_리스트!F:F,제품!C24,주문_리스트!I:I)</f>
        <v>-3</v>
      </c>
    </row>
    <row r="25" spans="1:8">
      <c r="A25">
        <v>24</v>
      </c>
      <c r="B25" s="281" t="s">
        <v>1199</v>
      </c>
      <c r="C25" s="281" t="s">
        <v>2185</v>
      </c>
      <c r="D25" s="281" t="s">
        <v>1199</v>
      </c>
      <c r="E25" s="52">
        <v>1400000</v>
      </c>
      <c r="G25">
        <f>SUMIF(재고!E:E,제품!C25,재고!G:G)-SUMIF(주문_리스트!F:F,제품!C25,주문_리스트!I:I)</f>
        <v>-19</v>
      </c>
    </row>
    <row r="26" spans="1:8">
      <c r="A26">
        <v>25</v>
      </c>
      <c r="B26" s="281" t="s">
        <v>1200</v>
      </c>
      <c r="C26" s="281" t="s">
        <v>2179</v>
      </c>
      <c r="D26" s="281" t="s">
        <v>1200</v>
      </c>
      <c r="E26" s="52">
        <v>1500000</v>
      </c>
      <c r="G26">
        <f>SUMIF(재고!E:E,제품!C26,재고!G:G)-SUMIF(주문_리스트!F:F,제품!C26,주문_리스트!I:I)</f>
        <v>-4800083</v>
      </c>
    </row>
    <row r="27" spans="1:8">
      <c r="A27">
        <v>26</v>
      </c>
      <c r="B27" s="281" t="s">
        <v>1993</v>
      </c>
      <c r="C27" s="281" t="s">
        <v>1644</v>
      </c>
      <c r="D27" s="281" t="s">
        <v>1993</v>
      </c>
      <c r="E27" s="52">
        <v>1500000</v>
      </c>
      <c r="G27">
        <f>SUMIF(재고!E:E,제품!C27,재고!G:G)-SUMIF(주문_리스트!F:F,제품!C27,주문_리스트!I:I)</f>
        <v>-1</v>
      </c>
    </row>
    <row r="28" spans="1:8">
      <c r="A28">
        <v>27</v>
      </c>
      <c r="B28" s="281" t="s">
        <v>1220</v>
      </c>
      <c r="C28" s="281" t="s">
        <v>1218</v>
      </c>
      <c r="D28" s="281" t="s">
        <v>1220</v>
      </c>
      <c r="E28" s="52">
        <v>1400000</v>
      </c>
      <c r="G28">
        <f>SUMIF(재고!E:E,제품!C28,재고!G:G)-SUMIF(주문_리스트!F:F,제품!C28,주문_리스트!I:I)</f>
        <v>-3600103</v>
      </c>
      <c r="H28" s="52">
        <v>5000</v>
      </c>
    </row>
    <row r="29" spans="1:8">
      <c r="A29">
        <v>28</v>
      </c>
      <c r="B29" s="281" t="s">
        <v>1203</v>
      </c>
      <c r="C29" s="281" t="s">
        <v>1204</v>
      </c>
      <c r="D29" s="281" t="s">
        <v>1203</v>
      </c>
      <c r="E29" s="52">
        <v>1200000</v>
      </c>
      <c r="G29">
        <f>SUMIF(재고!E:E,제품!C29,재고!G:G)-SUMIF(주문_리스트!F:F,제품!C29,주문_리스트!I:I)</f>
        <v>-30</v>
      </c>
    </row>
    <row r="30" spans="1:8">
      <c r="A30">
        <v>29</v>
      </c>
      <c r="B30" s="281" t="s">
        <v>1205</v>
      </c>
      <c r="C30" s="281" t="s">
        <v>1204</v>
      </c>
      <c r="D30" s="281" t="s">
        <v>1205</v>
      </c>
      <c r="E30" s="52">
        <v>1200000</v>
      </c>
      <c r="G30">
        <f>SUMIF(재고!E:E,제품!C30,재고!G:G)-SUMIF(주문_리스트!F:F,제품!C30,주문_리스트!I:I)</f>
        <v>-30</v>
      </c>
    </row>
    <row r="31" spans="1:8">
      <c r="A31">
        <v>30</v>
      </c>
      <c r="B31" s="281" t="s">
        <v>1759</v>
      </c>
      <c r="C31" s="281" t="s">
        <v>3468</v>
      </c>
      <c r="D31" s="281" t="s">
        <v>1759</v>
      </c>
      <c r="E31" s="52">
        <v>569000</v>
      </c>
      <c r="F31" s="52">
        <v>480000</v>
      </c>
      <c r="G31">
        <f>SUMIF(재고!E:E,제품!C31,재고!G:G)-SUMIF(주문_리스트!F:F,제품!C31,주문_리스트!I:I)</f>
        <v>-24</v>
      </c>
    </row>
    <row r="32" spans="1:8">
      <c r="A32">
        <v>31</v>
      </c>
      <c r="B32" s="281" t="s">
        <v>1209</v>
      </c>
      <c r="C32" s="281" t="s">
        <v>1208</v>
      </c>
      <c r="D32" s="281" t="s">
        <v>1209</v>
      </c>
      <c r="E32" s="52">
        <v>1300000</v>
      </c>
      <c r="G32">
        <f>SUMIF(재고!E:E,제품!C32,재고!G:G)-SUMIF(주문_리스트!F:F,제품!C32,주문_리스트!I:I)</f>
        <v>0</v>
      </c>
    </row>
    <row r="33" spans="1:7">
      <c r="A33">
        <v>32</v>
      </c>
      <c r="B33" s="281" t="s">
        <v>1211</v>
      </c>
      <c r="C33" s="281" t="s">
        <v>2464</v>
      </c>
      <c r="D33" s="281" t="s">
        <v>1211</v>
      </c>
      <c r="E33" s="52">
        <v>1500000</v>
      </c>
      <c r="G33">
        <f>SUMIF(재고!E:E,제품!C33,재고!G:G)-SUMIF(주문_리스트!F:F,제품!C33,주문_리스트!I:I)</f>
        <v>-17</v>
      </c>
    </row>
    <row r="34" spans="1:7">
      <c r="A34">
        <v>33</v>
      </c>
      <c r="B34" s="281" t="s">
        <v>2574</v>
      </c>
      <c r="C34" s="281" t="s">
        <v>2575</v>
      </c>
      <c r="D34" s="281" t="s">
        <v>2574</v>
      </c>
      <c r="E34" s="52">
        <v>1600000</v>
      </c>
      <c r="G34">
        <f>SUMIF(재고!E:E,제품!C34,재고!G:G)-SUMIF(주문_리스트!F:F,제품!C34,주문_리스트!I:I)</f>
        <v>-8</v>
      </c>
    </row>
    <row r="35" spans="1:7">
      <c r="A35">
        <v>34</v>
      </c>
      <c r="B35" s="281" t="s">
        <v>1214</v>
      </c>
      <c r="C35" s="281" t="s">
        <v>2178</v>
      </c>
      <c r="D35" s="281" t="s">
        <v>1214</v>
      </c>
      <c r="E35" s="52">
        <v>2200000</v>
      </c>
      <c r="G35">
        <f>SUMIF(재고!E:E,제품!C35,재고!G:G)-SUMIF(주문_리스트!F:F,제품!C35,주문_리스트!I:I)</f>
        <v>-1</v>
      </c>
    </row>
    <row r="36" spans="1:7">
      <c r="A36">
        <v>35</v>
      </c>
      <c r="B36" s="281" t="s">
        <v>1215</v>
      </c>
      <c r="C36" s="281" t="s">
        <v>1645</v>
      </c>
      <c r="D36" s="281" t="s">
        <v>1215</v>
      </c>
      <c r="E36" s="52">
        <v>1500000</v>
      </c>
      <c r="G36">
        <f>SUMIF(재고!E:E,제품!C36,재고!G:G)-SUMIF(주문_리스트!F:F,제품!C36,주문_리스트!I:I)</f>
        <v>-10</v>
      </c>
    </row>
    <row r="37" spans="1:7">
      <c r="A37">
        <v>36</v>
      </c>
      <c r="B37" s="281" t="s">
        <v>1222</v>
      </c>
      <c r="C37" s="281" t="s">
        <v>1365</v>
      </c>
      <c r="D37" s="281" t="s">
        <v>1366</v>
      </c>
      <c r="E37" s="52">
        <v>1600000</v>
      </c>
      <c r="G37">
        <f>SUMIF(재고!E:E,제품!C37,재고!G:G)-SUMIF(주문_리스트!F:F,제품!C37,주문_리스트!I:I)</f>
        <v>-12</v>
      </c>
    </row>
    <row r="38" spans="1:7">
      <c r="A38">
        <v>37</v>
      </c>
      <c r="B38" s="281" t="s">
        <v>1256</v>
      </c>
      <c r="C38" s="281" t="s">
        <v>1257</v>
      </c>
      <c r="D38" s="281" t="s">
        <v>1256</v>
      </c>
      <c r="E38" s="52">
        <v>770000</v>
      </c>
      <c r="G38">
        <f>SUMIF(재고!E:E,제품!C38,재고!G:G)-SUMIF(주문_리스트!F:F,제품!C38,주문_리스트!I:I)</f>
        <v>-3</v>
      </c>
    </row>
    <row r="39" spans="1:7">
      <c r="A39">
        <v>38</v>
      </c>
      <c r="B39" s="281" t="s">
        <v>1677</v>
      </c>
      <c r="C39" s="281" t="s">
        <v>2187</v>
      </c>
      <c r="D39" s="281" t="s">
        <v>1677</v>
      </c>
      <c r="E39" s="52">
        <v>130000</v>
      </c>
      <c r="F39" s="52">
        <v>90000</v>
      </c>
      <c r="G39">
        <f>SUMIF(재고!E:E,제품!C39,재고!G:G)-SUMIF(주문_리스트!F:F,제품!C39,주문_리스트!I:I)</f>
        <v>-32</v>
      </c>
    </row>
    <row r="40" spans="1:7">
      <c r="A40">
        <v>39</v>
      </c>
      <c r="B40" s="281" t="s">
        <v>1726</v>
      </c>
      <c r="C40" s="281" t="s">
        <v>1727</v>
      </c>
      <c r="D40" s="281" t="s">
        <v>1726</v>
      </c>
      <c r="E40" s="52">
        <v>50000</v>
      </c>
      <c r="G40">
        <f>SUMIF(재고!E:E,제품!C40,재고!G:G)-SUMIF(주문_리스트!F:F,제품!C40,주문_리스트!I:I)</f>
        <v>-43</v>
      </c>
    </row>
    <row r="41" spans="1:7">
      <c r="A41">
        <v>40</v>
      </c>
      <c r="C41" s="281" t="s">
        <v>1379</v>
      </c>
      <c r="E41" s="52">
        <v>1000000</v>
      </c>
      <c r="G41">
        <f>SUMIF(재고!E:E,제품!C41,재고!G:G)-SUMIF(주문_리스트!F:F,제품!C41,주문_리스트!I:I)</f>
        <v>-3</v>
      </c>
    </row>
    <row r="42" spans="1:7">
      <c r="A42">
        <v>41</v>
      </c>
      <c r="C42" s="281" t="s">
        <v>1469</v>
      </c>
      <c r="E42" s="52">
        <v>10000</v>
      </c>
      <c r="G42">
        <f>SUMIF(재고!E:E,제품!C42,재고!G:G)-SUMIF(주문_리스트!F:F,제품!C42,주문_리스트!I:I)</f>
        <v>-1</v>
      </c>
    </row>
    <row r="43" spans="1:7">
      <c r="A43">
        <v>42</v>
      </c>
      <c r="C43" s="281" t="s">
        <v>1479</v>
      </c>
      <c r="E43" s="52">
        <v>140000</v>
      </c>
      <c r="G43">
        <f>SUMIF(재고!E:E,제품!C43,재고!G:G)-SUMIF(주문_리스트!F:F,제품!C43,주문_리스트!I:I)</f>
        <v>-3</v>
      </c>
    </row>
    <row r="44" spans="1:7">
      <c r="A44">
        <v>43</v>
      </c>
      <c r="C44" s="281" t="s">
        <v>1485</v>
      </c>
      <c r="E44" s="52">
        <v>1600000</v>
      </c>
      <c r="G44">
        <f>SUMIF(재고!E:E,제품!C44,재고!G:G)-SUMIF(주문_리스트!F:F,제품!C44,주문_리스트!I:I)</f>
        <v>-1</v>
      </c>
    </row>
    <row r="45" spans="1:7">
      <c r="A45">
        <v>44</v>
      </c>
      <c r="C45" s="281" t="s">
        <v>2203</v>
      </c>
      <c r="E45" s="52">
        <v>1600000</v>
      </c>
      <c r="G45">
        <f>SUMIF(재고!E:E,제품!C45,재고!G:G)-SUMIF(주문_리스트!F:F,제품!C45,주문_리스트!I:I)</f>
        <v>0</v>
      </c>
    </row>
    <row r="46" spans="1:7">
      <c r="A46">
        <v>45</v>
      </c>
      <c r="C46" s="281" t="s">
        <v>2188</v>
      </c>
      <c r="E46" s="52">
        <v>100000</v>
      </c>
      <c r="G46">
        <f>SUMIF(재고!E:E,제품!C46,재고!G:G)-SUMIF(주문_리스트!F:F,제품!C46,주문_리스트!I:I)</f>
        <v>-5</v>
      </c>
    </row>
    <row r="47" spans="1:7">
      <c r="A47">
        <v>46</v>
      </c>
      <c r="B47" s="281" t="s">
        <v>2718</v>
      </c>
      <c r="C47" s="281" t="s">
        <v>2336</v>
      </c>
      <c r="D47" s="281" t="s">
        <v>2718</v>
      </c>
      <c r="E47" s="52">
        <v>350000</v>
      </c>
      <c r="G47">
        <f>SUMIF(재고!E:E,제품!C47,재고!G:G)-SUMIF(주문_리스트!F:F,제품!C47,주문_리스트!I:I)</f>
        <v>-45</v>
      </c>
    </row>
    <row r="48" spans="1:7">
      <c r="A48">
        <v>47</v>
      </c>
      <c r="C48" s="281" t="s">
        <v>1505</v>
      </c>
      <c r="E48" s="52">
        <v>200000</v>
      </c>
      <c r="G48">
        <f>SUMIF(재고!E:E,제품!C48,재고!G:G)-SUMIF(주문_리스트!F:F,제품!C48,주문_리스트!I:I)</f>
        <v>-3</v>
      </c>
    </row>
    <row r="49" spans="1:8">
      <c r="A49">
        <v>48</v>
      </c>
      <c r="C49" s="281" t="s">
        <v>1518</v>
      </c>
      <c r="E49" s="52">
        <v>20000</v>
      </c>
      <c r="G49">
        <f>SUMIF(재고!E:E,제품!C49,재고!G:G)-SUMIF(주문_리스트!F:F,제품!C49,주문_리스트!I:I)</f>
        <v>-24</v>
      </c>
    </row>
    <row r="50" spans="1:8">
      <c r="A50">
        <v>49</v>
      </c>
      <c r="C50" s="281" t="s">
        <v>1523</v>
      </c>
      <c r="E50" s="52">
        <v>250000</v>
      </c>
      <c r="G50">
        <f>SUMIF(재고!E:E,제품!C50,재고!G:G)-SUMIF(주문_리스트!F:F,제품!C50,주문_리스트!I:I)</f>
        <v>-2</v>
      </c>
    </row>
    <row r="51" spans="1:8">
      <c r="A51">
        <v>50</v>
      </c>
      <c r="C51" s="281">
        <v>2703900</v>
      </c>
      <c r="E51" s="52">
        <v>1600000</v>
      </c>
      <c r="G51">
        <f>SUMIF(재고!E:E,제품!C51,재고!G:G)-SUMIF(주문_리스트!F:F,제품!C51,주문_리스트!I:I)</f>
        <v>-2</v>
      </c>
    </row>
    <row r="52" spans="1:8">
      <c r="A52">
        <v>51</v>
      </c>
      <c r="C52" s="281">
        <v>2703900</v>
      </c>
      <c r="E52" s="52">
        <v>1600000</v>
      </c>
      <c r="G52">
        <f>SUMIF(재고!E:E,제품!C52,재고!G:G)-SUMIF(주문_리스트!F:F,제품!C52,주문_리스트!I:I)</f>
        <v>-2</v>
      </c>
    </row>
    <row r="53" spans="1:8">
      <c r="A53">
        <v>52</v>
      </c>
      <c r="C53" s="281" t="s">
        <v>1534</v>
      </c>
      <c r="E53" s="52">
        <v>450000</v>
      </c>
      <c r="G53">
        <f>SUMIF(재고!E:E,제품!C53,재고!G:G)-SUMIF(주문_리스트!F:F,제품!C53,주문_리스트!I:I)</f>
        <v>-15</v>
      </c>
    </row>
    <row r="54" spans="1:8">
      <c r="A54">
        <v>53</v>
      </c>
      <c r="B54" s="281">
        <v>24152333903</v>
      </c>
      <c r="C54" s="281" t="s">
        <v>1816</v>
      </c>
      <c r="D54" s="281">
        <v>24152333903</v>
      </c>
      <c r="E54" s="52">
        <v>50000</v>
      </c>
      <c r="G54">
        <f>SUMIF(재고!E:E,제품!C54,재고!G:G)-SUMIF(주문_리스트!F:F,제품!C54,주문_리스트!I:I)</f>
        <v>-17</v>
      </c>
      <c r="H54" s="52" t="s">
        <v>1817</v>
      </c>
    </row>
    <row r="55" spans="1:8">
      <c r="A55">
        <v>54</v>
      </c>
      <c r="C55" s="281" t="s">
        <v>1554</v>
      </c>
      <c r="E55" s="52">
        <v>350000</v>
      </c>
      <c r="G55">
        <f>SUMIF(재고!E:E,제품!C55,재고!G:G)-SUMIF(주문_리스트!F:F,제품!C55,주문_리스트!I:I)</f>
        <v>-1</v>
      </c>
    </row>
    <row r="56" spans="1:8">
      <c r="A56">
        <v>55</v>
      </c>
      <c r="B56" s="281" t="s">
        <v>1646</v>
      </c>
      <c r="C56" s="281" t="s">
        <v>1969</v>
      </c>
      <c r="D56" s="281" t="s">
        <v>1646</v>
      </c>
      <c r="E56" s="52">
        <v>1800000</v>
      </c>
      <c r="G56">
        <f>SUMIF(재고!E:E,제품!C56,재고!G:G)-SUMIF(주문_리스트!F:F,제품!C56,주문_리스트!I:I)</f>
        <v>-4</v>
      </c>
    </row>
    <row r="57" spans="1:8">
      <c r="A57">
        <v>56</v>
      </c>
      <c r="B57" s="281" t="s">
        <v>1209</v>
      </c>
      <c r="C57" s="281" t="s">
        <v>1425</v>
      </c>
      <c r="D57" s="281" t="s">
        <v>1209</v>
      </c>
      <c r="E57" s="52">
        <v>1000000</v>
      </c>
      <c r="G57">
        <f>SUMIF(재고!E:E,제품!C57,재고!G:G)-SUMIF(주문_리스트!F:F,제품!C57,주문_리스트!I:I)</f>
        <v>-30</v>
      </c>
    </row>
    <row r="58" spans="1:8">
      <c r="A58">
        <v>57</v>
      </c>
      <c r="B58" s="281" t="s">
        <v>2746</v>
      </c>
      <c r="C58" s="281" t="s">
        <v>2205</v>
      </c>
      <c r="D58" s="281" t="s">
        <v>2746</v>
      </c>
      <c r="E58" s="52">
        <v>1100000</v>
      </c>
      <c r="G58">
        <f>SUMIF(재고!E:E,제품!C58,재고!G:G)-SUMIF(주문_리스트!F:F,제품!C58,주문_리스트!I:I)</f>
        <v>-10</v>
      </c>
    </row>
    <row r="59" spans="1:8">
      <c r="A59">
        <v>58</v>
      </c>
      <c r="B59" s="281" t="s">
        <v>1648</v>
      </c>
      <c r="C59" s="281" t="s">
        <v>1647</v>
      </c>
      <c r="D59" s="281" t="s">
        <v>1648</v>
      </c>
      <c r="E59" s="52">
        <v>1100000</v>
      </c>
      <c r="G59">
        <f>SUMIF(재고!E:E,제품!C59,재고!G:G)-SUMIF(주문_리스트!F:F,제품!C59,주문_리스트!I:I)</f>
        <v>-12</v>
      </c>
    </row>
    <row r="60" spans="1:8">
      <c r="A60">
        <v>59</v>
      </c>
      <c r="B60" s="281" t="s">
        <v>1649</v>
      </c>
      <c r="C60" s="281" t="s">
        <v>1650</v>
      </c>
      <c r="D60" s="281" t="s">
        <v>1649</v>
      </c>
      <c r="E60" s="52">
        <v>3500000</v>
      </c>
      <c r="G60">
        <f>SUMIF(재고!E:E,제품!C60,재고!G:G)-SUMIF(주문_리스트!F:F,제품!C60,주문_리스트!I:I)</f>
        <v>0</v>
      </c>
    </row>
    <row r="61" spans="1:8">
      <c r="A61">
        <v>60</v>
      </c>
      <c r="B61" s="281">
        <v>2820403</v>
      </c>
      <c r="C61" s="281" t="s">
        <v>2682</v>
      </c>
      <c r="D61" s="281">
        <v>2820403</v>
      </c>
      <c r="E61" s="52">
        <v>800000</v>
      </c>
      <c r="G61">
        <f>SUMIF(재고!E:E,제품!C61,재고!G:G)-SUMIF(주문_리스트!F:F,제품!C61,주문_리스트!I:I)</f>
        <v>-2</v>
      </c>
    </row>
    <row r="62" spans="1:8">
      <c r="A62">
        <v>61</v>
      </c>
      <c r="B62" s="281">
        <v>415090409</v>
      </c>
      <c r="C62" s="281" t="s">
        <v>2520</v>
      </c>
      <c r="D62" s="281">
        <v>415090409</v>
      </c>
      <c r="E62" s="52">
        <v>510000</v>
      </c>
      <c r="G62">
        <f>SUMIF(재고!E:E,제품!C62,재고!G:G)-SUMIF(주문_리스트!F:F,제품!C62,주문_리스트!I:I)</f>
        <v>-20</v>
      </c>
      <c r="H62" s="52" t="s">
        <v>2521</v>
      </c>
    </row>
    <row r="63" spans="1:8">
      <c r="A63">
        <v>62</v>
      </c>
      <c r="B63" s="281" t="s">
        <v>1625</v>
      </c>
      <c r="C63" s="281" t="s">
        <v>1626</v>
      </c>
      <c r="D63" s="281" t="s">
        <v>1625</v>
      </c>
      <c r="E63" s="52">
        <v>12000</v>
      </c>
      <c r="G63">
        <f>SUMIF(재고!E:E,제품!C63,재고!G:G)-SUMIF(주문_리스트!F:F,제품!C63,주문_리스트!I:I)</f>
        <v>-2</v>
      </c>
    </row>
    <row r="64" spans="1:8">
      <c r="A64">
        <v>63</v>
      </c>
      <c r="C64" s="281" t="s">
        <v>1628</v>
      </c>
      <c r="E64" s="52">
        <v>27000</v>
      </c>
      <c r="G64">
        <f>SUMIF(재고!E:E,제품!C64,재고!G:G)-SUMIF(주문_리스트!F:F,제품!C64,주문_리스트!I:I)</f>
        <v>-1</v>
      </c>
    </row>
    <row r="65" spans="1:8">
      <c r="A65">
        <v>64</v>
      </c>
      <c r="C65" s="281" t="s">
        <v>1635</v>
      </c>
      <c r="E65" s="52">
        <v>850000</v>
      </c>
      <c r="G65">
        <f>SUMIF(재고!E:E,제품!C65,재고!G:G)-SUMIF(주문_리스트!F:F,제품!C65,주문_리스트!I:I)</f>
        <v>-1</v>
      </c>
    </row>
    <row r="66" spans="1:8">
      <c r="A66">
        <v>65</v>
      </c>
      <c r="B66" s="281">
        <v>50228</v>
      </c>
      <c r="C66" s="281" t="s">
        <v>2189</v>
      </c>
      <c r="D66" s="281">
        <v>50228</v>
      </c>
      <c r="E66" s="52">
        <v>110000</v>
      </c>
      <c r="G66">
        <f>SUMIF(재고!E:E,제품!C66,재고!G:G)-SUMIF(주문_리스트!F:F,제품!C66,주문_리스트!I:I)</f>
        <v>-41</v>
      </c>
    </row>
    <row r="67" spans="1:8">
      <c r="A67">
        <v>66</v>
      </c>
      <c r="B67" s="281">
        <v>50229</v>
      </c>
      <c r="C67" s="281" t="s">
        <v>2189</v>
      </c>
      <c r="D67" s="281">
        <v>50229</v>
      </c>
      <c r="E67" s="52">
        <v>75000</v>
      </c>
      <c r="G67">
        <f>SUMIF(재고!E:E,제품!C67,재고!G:G)-SUMIF(주문_리스트!F:F,제품!C67,주문_리스트!I:I)</f>
        <v>-41</v>
      </c>
    </row>
    <row r="68" spans="1:8">
      <c r="A68">
        <v>67</v>
      </c>
      <c r="C68" s="281" t="s">
        <v>1652</v>
      </c>
      <c r="E68" s="52">
        <v>150000</v>
      </c>
      <c r="G68">
        <f>SUMIF(재고!E:E,제품!C68,재고!G:G)-SUMIF(주문_리스트!F:F,제품!C68,주문_리스트!I:I)</f>
        <v>0</v>
      </c>
    </row>
    <row r="69" spans="1:8">
      <c r="A69">
        <v>68</v>
      </c>
      <c r="C69" s="281" t="s">
        <v>1652</v>
      </c>
      <c r="E69" s="52">
        <v>200000</v>
      </c>
      <c r="G69">
        <f>SUMIF(재고!E:E,제품!C69,재고!G:G)-SUMIF(주문_리스트!F:F,제품!C69,주문_리스트!I:I)</f>
        <v>0</v>
      </c>
    </row>
    <row r="70" spans="1:8">
      <c r="A70">
        <v>69</v>
      </c>
      <c r="C70" s="281" t="s">
        <v>1660</v>
      </c>
      <c r="E70" s="52">
        <v>250000</v>
      </c>
      <c r="G70">
        <f>SUMIF(재고!E:E,제품!C70,재고!G:G)-SUMIF(주문_리스트!F:F,제품!C70,주문_리스트!I:I)</f>
        <v>-1</v>
      </c>
    </row>
    <row r="71" spans="1:8">
      <c r="A71">
        <v>70</v>
      </c>
      <c r="C71" s="281" t="s">
        <v>1667</v>
      </c>
      <c r="E71" s="52">
        <v>1850000</v>
      </c>
      <c r="G71">
        <f>SUMIF(재고!E:E,제품!C71,재고!G:G)-SUMIF(주문_리스트!F:F,제품!C71,주문_리스트!I:I)</f>
        <v>-2</v>
      </c>
    </row>
    <row r="72" spans="1:8">
      <c r="A72">
        <v>71</v>
      </c>
      <c r="B72" s="281" t="s">
        <v>2576</v>
      </c>
      <c r="C72" s="281" t="s">
        <v>2577</v>
      </c>
      <c r="D72" s="281" t="s">
        <v>2576</v>
      </c>
      <c r="E72" s="52">
        <v>1500000</v>
      </c>
      <c r="G72">
        <f>SUMIF(재고!E:E,제품!C72,재고!G:G)-SUMIF(주문_리스트!F:F,제품!C72,주문_리스트!I:I)</f>
        <v>0</v>
      </c>
    </row>
    <row r="73" spans="1:8">
      <c r="A73">
        <v>72</v>
      </c>
      <c r="B73" s="281" t="s">
        <v>1678</v>
      </c>
      <c r="C73" s="281" t="s">
        <v>2197</v>
      </c>
      <c r="D73" s="281" t="s">
        <v>1678</v>
      </c>
      <c r="E73" s="52">
        <v>50000</v>
      </c>
      <c r="F73" s="52">
        <v>14500</v>
      </c>
      <c r="G73">
        <f>SUMIF(재고!E:E,제품!C73,재고!G:G)-SUMIF(주문_리스트!F:F,제품!C73,주문_리스트!I:I)</f>
        <v>0</v>
      </c>
    </row>
    <row r="74" spans="1:8">
      <c r="A74">
        <v>73</v>
      </c>
      <c r="B74" s="281">
        <v>28111601</v>
      </c>
      <c r="C74" s="281" t="s">
        <v>1768</v>
      </c>
      <c r="D74" s="281">
        <v>28111601</v>
      </c>
      <c r="E74" s="52">
        <v>220000</v>
      </c>
      <c r="F74" s="52">
        <v>105000</v>
      </c>
      <c r="G74">
        <f>SUMIF(재고!E:E,제품!C74,재고!G:G)-SUMIF(주문_리스트!F:F,제품!C74,주문_리스트!I:I)</f>
        <v>0</v>
      </c>
      <c r="H74" s="52" t="s">
        <v>1773</v>
      </c>
    </row>
    <row r="75" spans="1:8">
      <c r="A75">
        <v>74</v>
      </c>
      <c r="C75" s="281" t="s">
        <v>1770</v>
      </c>
      <c r="E75" s="52">
        <v>200000</v>
      </c>
      <c r="F75" s="52">
        <v>105000</v>
      </c>
      <c r="G75">
        <f>SUMIF(재고!E:E,제품!C75,재고!G:G)-SUMIF(주문_리스트!F:F,제품!C75,주문_리스트!I:I)</f>
        <v>0</v>
      </c>
      <c r="H75" s="52" t="s">
        <v>1769</v>
      </c>
    </row>
    <row r="76" spans="1:8">
      <c r="A76">
        <v>75</v>
      </c>
      <c r="C76" s="281" t="s">
        <v>2198</v>
      </c>
      <c r="E76" s="52">
        <v>130000</v>
      </c>
      <c r="F76" s="52">
        <v>53000</v>
      </c>
      <c r="G76">
        <f>SUMIF(재고!E:E,제품!C76,재고!G:G)-SUMIF(주문_리스트!F:F,제품!C76,주문_리스트!I:I)</f>
        <v>0</v>
      </c>
    </row>
    <row r="77" spans="1:8">
      <c r="A77">
        <v>76</v>
      </c>
      <c r="B77" s="281" t="s">
        <v>1692</v>
      </c>
      <c r="C77" s="281" t="s">
        <v>1707</v>
      </c>
      <c r="D77" s="281" t="s">
        <v>1692</v>
      </c>
      <c r="E77" s="52">
        <v>20000</v>
      </c>
      <c r="F77" s="52">
        <v>12000</v>
      </c>
      <c r="G77">
        <f>SUMIF(재고!E:E,제품!C77,재고!G:G)-SUMIF(주문_리스트!F:F,제품!C77,주문_리스트!I:I)</f>
        <v>-6</v>
      </c>
      <c r="H77" s="52" t="s">
        <v>1708</v>
      </c>
    </row>
    <row r="78" spans="1:8">
      <c r="A78">
        <v>77</v>
      </c>
      <c r="C78" s="281" t="s">
        <v>1679</v>
      </c>
      <c r="E78" s="52">
        <v>20000</v>
      </c>
      <c r="F78" s="52">
        <v>10000</v>
      </c>
      <c r="G78">
        <f>SUMIF(재고!E:E,제품!C78,재고!G:G)-SUMIF(주문_리스트!F:F,제품!C78,주문_리스트!I:I)</f>
        <v>0</v>
      </c>
    </row>
    <row r="79" spans="1:8">
      <c r="A79">
        <v>78</v>
      </c>
      <c r="B79" s="281">
        <v>1087298441</v>
      </c>
      <c r="C79" s="281" t="s">
        <v>1686</v>
      </c>
      <c r="D79" s="281">
        <v>1087298441</v>
      </c>
      <c r="E79" s="52">
        <v>35000</v>
      </c>
      <c r="F79" s="52">
        <v>13000</v>
      </c>
      <c r="G79">
        <f>SUMIF(재고!E:E,제품!C79,재고!G:G)-SUMIF(주문_리스트!F:F,제품!C79,주문_리스트!I:I)</f>
        <v>-10</v>
      </c>
      <c r="H79" s="52" t="s">
        <v>1696</v>
      </c>
    </row>
    <row r="80" spans="1:8">
      <c r="A80">
        <v>79</v>
      </c>
      <c r="C80" s="281" t="s">
        <v>2199</v>
      </c>
      <c r="E80" s="52">
        <v>10000</v>
      </c>
      <c r="G80">
        <f>SUMIF(재고!E:E,제품!C80,재고!G:G)-SUMIF(주문_리스트!F:F,제품!C80,주문_리스트!I:I)</f>
        <v>0</v>
      </c>
    </row>
    <row r="81" spans="1:8">
      <c r="A81">
        <v>80</v>
      </c>
      <c r="C81" s="281" t="s">
        <v>1680</v>
      </c>
      <c r="E81" s="52">
        <v>130000</v>
      </c>
      <c r="F81" s="52">
        <v>53000</v>
      </c>
      <c r="G81">
        <f>SUMIF(재고!E:E,제품!C81,재고!G:G)-SUMIF(주문_리스트!F:F,제품!C81,주문_리스트!I:I)</f>
        <v>0</v>
      </c>
      <c r="H81" s="52" t="s">
        <v>1681</v>
      </c>
    </row>
    <row r="82" spans="1:8">
      <c r="A82">
        <v>81</v>
      </c>
      <c r="C82" s="281" t="s">
        <v>1690</v>
      </c>
      <c r="E82" s="52">
        <v>280000</v>
      </c>
      <c r="G82">
        <f>SUMIF(재고!E:E,제품!C82,재고!G:G)-SUMIF(주문_리스트!F:F,제품!C82,주문_리스트!I:I)</f>
        <v>0</v>
      </c>
    </row>
    <row r="83" spans="1:8">
      <c r="A83">
        <v>82</v>
      </c>
      <c r="B83" s="281">
        <v>24137542885</v>
      </c>
      <c r="C83" s="281" t="s">
        <v>1700</v>
      </c>
      <c r="D83" s="281">
        <v>24137542885</v>
      </c>
      <c r="G83">
        <f>SUMIF(재고!E:E,제품!C83,재고!G:G)-SUMIF(주문_리스트!F:F,제품!C83,주문_리스트!I:I)</f>
        <v>0</v>
      </c>
      <c r="H83" s="52" t="s">
        <v>1701</v>
      </c>
    </row>
    <row r="84" spans="1:8">
      <c r="A84">
        <v>83</v>
      </c>
      <c r="B84" s="281">
        <v>24137519344</v>
      </c>
      <c r="C84" s="281" t="s">
        <v>1705</v>
      </c>
      <c r="D84" s="281">
        <v>24137519344</v>
      </c>
      <c r="G84">
        <f>SUMIF(재고!E:E,제품!C84,재고!G:G)-SUMIF(주문_리스트!F:F,제품!C84,주문_리스트!I:I)</f>
        <v>0</v>
      </c>
      <c r="H84" s="52" t="s">
        <v>1706</v>
      </c>
    </row>
    <row r="85" spans="1:8">
      <c r="A85">
        <v>84</v>
      </c>
      <c r="B85" s="281" t="s">
        <v>2748</v>
      </c>
      <c r="C85" s="281" t="s">
        <v>2735</v>
      </c>
      <c r="D85" s="281" t="s">
        <v>2748</v>
      </c>
      <c r="E85" s="52">
        <v>129000</v>
      </c>
      <c r="F85" s="52">
        <v>70000</v>
      </c>
      <c r="G85">
        <f>SUMIF(재고!E:E,제품!C85,재고!G:G)-SUMIF(주문_리스트!F:F,제품!C85,주문_리스트!I:I)</f>
        <v>-10</v>
      </c>
    </row>
    <row r="86" spans="1:8">
      <c r="A86">
        <v>85</v>
      </c>
      <c r="B86" s="281" t="s">
        <v>1703</v>
      </c>
      <c r="C86" s="281" t="s">
        <v>1704</v>
      </c>
      <c r="D86" s="281" t="s">
        <v>1703</v>
      </c>
      <c r="E86" s="52">
        <v>50000</v>
      </c>
      <c r="G86">
        <f>SUMIF(재고!E:E,제품!C86,재고!G:G)-SUMIF(주문_리스트!F:F,제품!C86,주문_리스트!I:I)</f>
        <v>-20</v>
      </c>
    </row>
    <row r="87" spans="1:8">
      <c r="A87">
        <v>86</v>
      </c>
      <c r="B87" s="281" t="s">
        <v>1714</v>
      </c>
      <c r="C87" s="281" t="s">
        <v>1715</v>
      </c>
      <c r="D87" s="281" t="s">
        <v>1714</v>
      </c>
      <c r="E87" s="52">
        <v>20000</v>
      </c>
      <c r="F87" s="52">
        <v>9000</v>
      </c>
      <c r="G87">
        <f>SUMIF(재고!E:E,제품!C87,재고!G:G)-SUMIF(주문_리스트!F:F,제품!C87,주문_리스트!I:I)</f>
        <v>-19</v>
      </c>
    </row>
    <row r="88" spans="1:8">
      <c r="A88">
        <v>87</v>
      </c>
      <c r="B88" s="281">
        <v>2800802</v>
      </c>
      <c r="C88" s="281" t="s">
        <v>1722</v>
      </c>
      <c r="D88" s="281">
        <v>2800802</v>
      </c>
      <c r="E88" s="52">
        <v>150000</v>
      </c>
      <c r="F88" s="52">
        <v>85000</v>
      </c>
      <c r="G88">
        <f>SUMIF(재고!E:E,제품!C88,재고!G:G)-SUMIF(주문_리스트!F:F,제품!C88,주문_리스트!I:I)</f>
        <v>-42</v>
      </c>
    </row>
    <row r="89" spans="1:8">
      <c r="A89">
        <v>88</v>
      </c>
      <c r="B89" s="281">
        <v>2800801</v>
      </c>
      <c r="C89" s="281" t="s">
        <v>1723</v>
      </c>
      <c r="D89" s="281">
        <v>2800801</v>
      </c>
      <c r="E89" s="52">
        <v>150000</v>
      </c>
      <c r="F89" s="52">
        <v>85000</v>
      </c>
      <c r="G89">
        <f>SUMIF(재고!E:E,제품!C89,재고!G:G)-SUMIF(주문_리스트!F:F,제품!C89,주문_리스트!I:I)</f>
        <v>-5</v>
      </c>
    </row>
    <row r="90" spans="1:8">
      <c r="A90">
        <v>89</v>
      </c>
      <c r="B90" s="281" t="s">
        <v>1717</v>
      </c>
      <c r="C90" s="281" t="s">
        <v>2223</v>
      </c>
      <c r="D90" s="281" t="s">
        <v>1717</v>
      </c>
      <c r="E90" s="52">
        <v>250000</v>
      </c>
      <c r="F90" s="52">
        <v>45000</v>
      </c>
      <c r="G90">
        <f>SUMIF(재고!E:E,제품!C90,재고!G:G)-SUMIF(주문_리스트!F:F,제품!C90,주문_리스트!I:I)</f>
        <v>-8</v>
      </c>
      <c r="H90" s="52" t="s">
        <v>2224</v>
      </c>
    </row>
    <row r="91" spans="1:8">
      <c r="A91">
        <v>90</v>
      </c>
      <c r="B91" s="281" t="s">
        <v>1719</v>
      </c>
      <c r="C91" s="281" t="s">
        <v>2182</v>
      </c>
      <c r="D91" s="281" t="s">
        <v>1719</v>
      </c>
      <c r="E91" s="52">
        <v>60000</v>
      </c>
      <c r="F91" s="52">
        <v>40000</v>
      </c>
      <c r="G91">
        <f>SUMIF(재고!E:E,제품!C91,재고!G:G)-SUMIF(주문_리스트!F:F,제품!C91,주문_리스트!I:I)</f>
        <v>-10</v>
      </c>
    </row>
    <row r="92" spans="1:8">
      <c r="A92">
        <v>91</v>
      </c>
      <c r="C92" s="281" t="s">
        <v>1729</v>
      </c>
      <c r="E92" s="52">
        <v>200000</v>
      </c>
      <c r="F92" s="52">
        <v>25000</v>
      </c>
      <c r="G92">
        <f>SUMIF(재고!E:E,제품!C92,재고!G:G)-SUMIF(주문_리스트!F:F,제품!C92,주문_리스트!I:I)</f>
        <v>0</v>
      </c>
    </row>
    <row r="93" spans="1:8">
      <c r="A93">
        <v>92</v>
      </c>
      <c r="B93" s="281" t="s">
        <v>1731</v>
      </c>
      <c r="C93" s="281" t="s">
        <v>2190</v>
      </c>
      <c r="D93" s="281" t="s">
        <v>1731</v>
      </c>
      <c r="E93" s="52">
        <v>30000</v>
      </c>
      <c r="F93" s="52">
        <v>16000</v>
      </c>
      <c r="G93">
        <f>SUMIF(재고!E:E,제품!C93,재고!G:G)-SUMIF(주문_리스트!F:F,제품!C93,주문_리스트!I:I)</f>
        <v>-34</v>
      </c>
    </row>
    <row r="94" spans="1:8">
      <c r="A94">
        <v>93</v>
      </c>
      <c r="B94" s="281" t="s">
        <v>1732</v>
      </c>
      <c r="C94" s="281" t="s">
        <v>2191</v>
      </c>
      <c r="D94" s="281" t="s">
        <v>1732</v>
      </c>
      <c r="E94" s="52">
        <v>10000</v>
      </c>
      <c r="F94" s="52">
        <v>8500</v>
      </c>
      <c r="G94">
        <f>SUMIF(재고!E:E,제품!C94,재고!G:G)-SUMIF(주문_리스트!F:F,제품!C94,주문_리스트!I:I)</f>
        <v>-43</v>
      </c>
      <c r="H94" s="52" t="s">
        <v>1780</v>
      </c>
    </row>
    <row r="95" spans="1:8">
      <c r="A95">
        <v>94</v>
      </c>
      <c r="B95" s="281" t="s">
        <v>1781</v>
      </c>
      <c r="C95" s="281" t="s">
        <v>2192</v>
      </c>
      <c r="D95" s="281" t="s">
        <v>1781</v>
      </c>
      <c r="E95" s="52">
        <v>10000</v>
      </c>
      <c r="F95" s="52">
        <v>5500</v>
      </c>
      <c r="G95">
        <f>SUMIF(재고!E:E,제품!C95,재고!G:G)-SUMIF(주문_리스트!F:F,제품!C95,주문_리스트!I:I)</f>
        <v>-1</v>
      </c>
    </row>
    <row r="96" spans="1:8">
      <c r="A96">
        <v>95</v>
      </c>
      <c r="B96" s="281" t="s">
        <v>1733</v>
      </c>
      <c r="C96" s="281" t="s">
        <v>1734</v>
      </c>
      <c r="D96" s="281" t="s">
        <v>1733</v>
      </c>
      <c r="E96" s="52">
        <v>20000</v>
      </c>
      <c r="F96" s="52">
        <v>13000</v>
      </c>
      <c r="G96">
        <f>SUMIF(재고!E:E,제품!C96,재고!G:G)-SUMIF(주문_리스트!F:F,제품!C96,주문_리스트!I:I)</f>
        <v>-4</v>
      </c>
    </row>
    <row r="97" spans="1:8">
      <c r="A97">
        <v>96</v>
      </c>
      <c r="B97" s="281">
        <v>2850701</v>
      </c>
      <c r="C97" s="281" t="s">
        <v>1735</v>
      </c>
      <c r="D97" s="281">
        <v>2850701</v>
      </c>
      <c r="E97" s="52">
        <v>400000</v>
      </c>
      <c r="F97" s="52">
        <v>160000</v>
      </c>
      <c r="G97">
        <f>SUMIF(재고!E:E,제품!C97,재고!G:G)-SUMIF(주문_리스트!F:F,제품!C97,주문_리스트!I:I)</f>
        <v>-3</v>
      </c>
    </row>
    <row r="98" spans="1:8">
      <c r="A98">
        <v>97</v>
      </c>
      <c r="B98" s="281" t="s">
        <v>2832</v>
      </c>
      <c r="C98" s="281" t="s">
        <v>2496</v>
      </c>
      <c r="D98" s="281" t="s">
        <v>2832</v>
      </c>
      <c r="E98" s="52">
        <v>450000</v>
      </c>
      <c r="F98" s="52">
        <v>250000</v>
      </c>
      <c r="G98">
        <f>SUMIF(재고!E:E,제품!C98,재고!G:G)-SUMIF(주문_리스트!F:F,제품!C98,주문_리스트!I:I)</f>
        <v>-4</v>
      </c>
    </row>
    <row r="99" spans="1:8">
      <c r="A99">
        <v>98</v>
      </c>
      <c r="B99" s="281">
        <v>2830701</v>
      </c>
      <c r="C99" s="281" t="s">
        <v>3929</v>
      </c>
      <c r="D99" s="281" t="s">
        <v>3930</v>
      </c>
      <c r="E99" s="52">
        <v>160000</v>
      </c>
      <c r="F99" s="52">
        <v>360000</v>
      </c>
      <c r="G99">
        <f>SUMIF(재고!E:E,제품!C99,재고!G:G)-SUMIF(주문_리스트!F:F,제품!C99,주문_리스트!I:I)</f>
        <v>0</v>
      </c>
    </row>
    <row r="100" spans="1:8">
      <c r="A100">
        <v>99</v>
      </c>
      <c r="B100" s="281">
        <v>2801701</v>
      </c>
      <c r="C100" s="281" t="s">
        <v>1739</v>
      </c>
      <c r="D100" s="281">
        <v>2801701</v>
      </c>
      <c r="E100" s="52">
        <v>15000</v>
      </c>
      <c r="F100" s="52">
        <v>4500</v>
      </c>
      <c r="G100">
        <f>SUMIF(재고!E:E,제품!C100,재고!G:G)-SUMIF(주문_리스트!F:F,제품!C100,주문_리스트!I:I)</f>
        <v>-6</v>
      </c>
      <c r="H100" s="52" t="s">
        <v>1740</v>
      </c>
    </row>
    <row r="101" spans="1:8">
      <c r="A101">
        <v>100</v>
      </c>
      <c r="B101" s="281">
        <v>2801702</v>
      </c>
      <c r="C101" s="281" t="s">
        <v>1739</v>
      </c>
      <c r="D101" s="281">
        <v>2801702</v>
      </c>
      <c r="E101" s="52">
        <v>15000</v>
      </c>
      <c r="F101" s="52">
        <v>3300</v>
      </c>
      <c r="G101">
        <f>SUMIF(재고!E:E,제품!C101,재고!G:G)-SUMIF(주문_리스트!F:F,제품!C101,주문_리스트!I:I)</f>
        <v>-6</v>
      </c>
      <c r="H101" s="52" t="s">
        <v>1741</v>
      </c>
    </row>
    <row r="102" spans="1:8">
      <c r="A102">
        <v>101</v>
      </c>
      <c r="B102" s="281" t="s">
        <v>1754</v>
      </c>
      <c r="C102" s="281" t="s">
        <v>2180</v>
      </c>
      <c r="D102" s="281" t="s">
        <v>1754</v>
      </c>
      <c r="E102" s="52">
        <v>50000</v>
      </c>
      <c r="F102" s="52">
        <v>33000</v>
      </c>
      <c r="G102">
        <f>SUMIF(재고!E:E,제품!C102,재고!G:G)-SUMIF(주문_리스트!F:F,제품!C102,주문_리스트!I:I)</f>
        <v>-65</v>
      </c>
      <c r="H102" s="52" t="s">
        <v>1755</v>
      </c>
    </row>
    <row r="103" spans="1:8">
      <c r="A103">
        <v>102</v>
      </c>
      <c r="B103" s="281">
        <v>2830501</v>
      </c>
      <c r="C103" s="281" t="s">
        <v>1826</v>
      </c>
      <c r="D103" s="281">
        <v>2830501</v>
      </c>
      <c r="E103" s="52">
        <v>1550000</v>
      </c>
      <c r="G103">
        <f>SUMIF(재고!E:E,제품!C103,재고!G:G)-SUMIF(주문_리스트!F:F,제품!C103,주문_리스트!I:I)</f>
        <v>-14</v>
      </c>
    </row>
    <row r="104" spans="1:8">
      <c r="A104">
        <v>103</v>
      </c>
      <c r="B104" s="281" t="s">
        <v>1751</v>
      </c>
      <c r="C104" s="281" t="s">
        <v>1202</v>
      </c>
      <c r="D104" s="281" t="s">
        <v>1751</v>
      </c>
      <c r="E104" s="52">
        <v>1200000</v>
      </c>
      <c r="G104">
        <f>SUMIF(재고!E:E,제품!C104,재고!G:G)-SUMIF(주문_리스트!F:F,제품!C104,주문_리스트!I:I)</f>
        <v>-3600103</v>
      </c>
      <c r="H104" s="52" t="s">
        <v>1752</v>
      </c>
    </row>
    <row r="105" spans="1:8">
      <c r="A105">
        <v>104</v>
      </c>
      <c r="B105" s="281">
        <v>24347544930</v>
      </c>
      <c r="C105" s="281" t="s">
        <v>1757</v>
      </c>
      <c r="D105" s="281">
        <v>24347544930</v>
      </c>
      <c r="E105" s="52">
        <v>250000</v>
      </c>
      <c r="F105" s="52">
        <v>0</v>
      </c>
      <c r="G105">
        <f>SUMIF(재고!E:E,제품!C105,재고!G:G)-SUMIF(주문_리스트!F:F,제품!C105,주문_리스트!I:I)</f>
        <v>0</v>
      </c>
      <c r="H105" s="52" t="s">
        <v>1756</v>
      </c>
    </row>
    <row r="106" spans="1:8">
      <c r="A106">
        <v>105</v>
      </c>
      <c r="B106" s="281">
        <v>501220641</v>
      </c>
      <c r="C106" s="281" t="s">
        <v>2087</v>
      </c>
      <c r="D106" s="281">
        <v>501220641</v>
      </c>
      <c r="E106" s="52">
        <v>250000</v>
      </c>
      <c r="F106" s="52">
        <v>150000</v>
      </c>
      <c r="G106">
        <f>SUMIF(재고!E:E,제품!C106,재고!G:G)-SUMIF(주문_리스트!F:F,제품!C106,주문_리스트!I:I)</f>
        <v>-4</v>
      </c>
    </row>
    <row r="107" spans="1:8">
      <c r="A107">
        <v>106</v>
      </c>
      <c r="B107" s="281" t="s">
        <v>1762</v>
      </c>
      <c r="C107" s="281" t="s">
        <v>1763</v>
      </c>
      <c r="D107" s="281" t="s">
        <v>1762</v>
      </c>
      <c r="E107" s="52">
        <v>25000</v>
      </c>
      <c r="F107" s="52">
        <v>11200</v>
      </c>
      <c r="G107">
        <f>SUMIF(재고!E:E,제품!C107,재고!G:G)-SUMIF(주문_리스트!F:F,제품!C107,주문_리스트!I:I)</f>
        <v>-6</v>
      </c>
      <c r="H107" s="52" t="s">
        <v>1764</v>
      </c>
    </row>
    <row r="108" spans="1:8">
      <c r="A108">
        <v>107</v>
      </c>
      <c r="B108" s="281" t="s">
        <v>1765</v>
      </c>
      <c r="C108" s="281" t="s">
        <v>1763</v>
      </c>
      <c r="D108" s="281" t="s">
        <v>1765</v>
      </c>
      <c r="E108" s="52">
        <v>65000</v>
      </c>
      <c r="F108" s="52">
        <v>45000</v>
      </c>
      <c r="G108">
        <f>SUMIF(재고!E:E,제품!C108,재고!G:G)-SUMIF(주문_리스트!F:F,제품!C108,주문_리스트!I:I)</f>
        <v>-6</v>
      </c>
      <c r="H108" s="52" t="s">
        <v>1766</v>
      </c>
    </row>
    <row r="109" spans="1:8">
      <c r="A109">
        <v>108</v>
      </c>
      <c r="B109" s="281" t="s">
        <v>1767</v>
      </c>
      <c r="C109" s="281" t="s">
        <v>1560</v>
      </c>
      <c r="D109" s="281" t="s">
        <v>1767</v>
      </c>
      <c r="E109" s="52">
        <v>1400000</v>
      </c>
      <c r="G109">
        <f>SUMIF(재고!E:E,제품!C109,재고!G:G)-SUMIF(주문_리스트!F:F,제품!C109,주문_리스트!I:I)</f>
        <v>-12</v>
      </c>
    </row>
    <row r="110" spans="1:8">
      <c r="A110">
        <v>109</v>
      </c>
      <c r="B110" s="281">
        <v>1068298046</v>
      </c>
      <c r="C110" s="281" t="s">
        <v>1814</v>
      </c>
      <c r="D110" s="281">
        <v>1068298046</v>
      </c>
      <c r="E110" s="52">
        <v>450000</v>
      </c>
      <c r="G110">
        <f>SUMIF(재고!E:E,제품!C110,재고!G:G)-SUMIF(주문_리스트!F:F,제품!C110,주문_리스트!I:I)</f>
        <v>-9</v>
      </c>
      <c r="H110" s="52" t="s">
        <v>1815</v>
      </c>
    </row>
    <row r="111" spans="1:8">
      <c r="A111">
        <v>110</v>
      </c>
      <c r="B111" s="281">
        <v>1087298388</v>
      </c>
      <c r="C111" s="281" t="s">
        <v>2237</v>
      </c>
      <c r="D111" s="281">
        <v>1087298388</v>
      </c>
      <c r="E111" s="52">
        <v>550000</v>
      </c>
      <c r="F111" s="52">
        <v>340000</v>
      </c>
      <c r="G111">
        <f>SUMIF(재고!E:E,제품!C111,재고!G:G)-SUMIF(주문_리스트!F:F,제품!C111,주문_리스트!I:I)</f>
        <v>-5</v>
      </c>
      <c r="H111" s="52" t="s">
        <v>2235</v>
      </c>
    </row>
    <row r="112" spans="1:8">
      <c r="A112">
        <v>111</v>
      </c>
      <c r="B112" s="281">
        <v>1068298044</v>
      </c>
      <c r="C112" s="281" t="s">
        <v>1814</v>
      </c>
      <c r="D112" s="281">
        <v>1068298044</v>
      </c>
      <c r="E112" s="52">
        <v>400000</v>
      </c>
      <c r="G112">
        <f>SUMIF(재고!E:E,제품!C112,재고!G:G)-SUMIF(주문_리스트!F:F,제품!C112,주문_리스트!I:I)</f>
        <v>-9</v>
      </c>
      <c r="H112" s="52" t="s">
        <v>1819</v>
      </c>
    </row>
    <row r="113" spans="1:8">
      <c r="A113">
        <v>112</v>
      </c>
      <c r="B113" s="281">
        <v>24152333907</v>
      </c>
      <c r="C113" s="281" t="s">
        <v>1548</v>
      </c>
      <c r="D113" s="281">
        <v>24152333907</v>
      </c>
      <c r="E113" s="52">
        <v>50000</v>
      </c>
      <c r="G113">
        <f>SUMIF(재고!E:E,제품!C113,재고!G:G)-SUMIF(주문_리스트!F:F,제품!C113,주문_리스트!I:I)</f>
        <v>-17</v>
      </c>
      <c r="H113" s="52" t="s">
        <v>1818</v>
      </c>
    </row>
    <row r="114" spans="1:8">
      <c r="A114">
        <v>113</v>
      </c>
      <c r="B114" s="281">
        <v>6058008122</v>
      </c>
      <c r="C114" s="281" t="s">
        <v>1828</v>
      </c>
      <c r="D114" s="281">
        <v>6058008122</v>
      </c>
      <c r="E114" s="52">
        <v>2500000</v>
      </c>
      <c r="G114">
        <f>SUMIF(재고!E:E,제품!C114,재고!G:G)-SUMIF(주문_리스트!F:F,제품!C114,주문_리스트!I:I)</f>
        <v>-1</v>
      </c>
    </row>
    <row r="115" spans="1:8">
      <c r="A115">
        <v>114</v>
      </c>
      <c r="B115" s="281" t="s">
        <v>1850</v>
      </c>
      <c r="C115" s="281" t="s">
        <v>1851</v>
      </c>
      <c r="D115" s="281" t="s">
        <v>1850</v>
      </c>
      <c r="E115" s="52">
        <v>210000</v>
      </c>
      <c r="F115" s="52">
        <v>150000</v>
      </c>
      <c r="G115">
        <f>SUMIF(재고!E:E,제품!C115,재고!G:G)-SUMIF(주문_리스트!F:F,제품!C115,주문_리스트!I:I)</f>
        <v>-3</v>
      </c>
      <c r="H115" s="52" t="s">
        <v>1853</v>
      </c>
    </row>
    <row r="116" spans="1:8">
      <c r="A116">
        <v>115</v>
      </c>
      <c r="B116" s="281">
        <v>415062109</v>
      </c>
      <c r="C116" s="281" t="s">
        <v>2520</v>
      </c>
      <c r="D116" s="281">
        <v>415062109</v>
      </c>
      <c r="E116" s="52">
        <v>680000</v>
      </c>
      <c r="G116">
        <f>SUMIF(재고!E:E,제품!C116,재고!G:G)-SUMIF(주문_리스트!F:F,제품!C116,주문_리스트!I:I)</f>
        <v>-20</v>
      </c>
    </row>
    <row r="117" spans="1:8">
      <c r="A117">
        <v>116</v>
      </c>
      <c r="B117" s="281">
        <v>501218962</v>
      </c>
      <c r="C117" s="281" t="s">
        <v>2822</v>
      </c>
      <c r="D117" s="281">
        <v>501218962</v>
      </c>
      <c r="E117" s="52">
        <v>3500000</v>
      </c>
      <c r="G117">
        <f>SUMIF(재고!E:E,제품!C117,재고!G:G)-SUMIF(주문_리스트!F:F,제품!C117,주문_리스트!I:I)</f>
        <v>-3</v>
      </c>
    </row>
    <row r="118" spans="1:8">
      <c r="A118">
        <v>117</v>
      </c>
      <c r="B118" s="281" t="s">
        <v>1872</v>
      </c>
      <c r="C118" s="281" t="s">
        <v>1873</v>
      </c>
      <c r="D118" s="281" t="s">
        <v>1872</v>
      </c>
      <c r="E118" s="52">
        <v>10000</v>
      </c>
      <c r="F118" s="52">
        <v>0</v>
      </c>
      <c r="G118">
        <f>SUMIF(재고!E:E,제품!C118,재고!G:G)-SUMIF(주문_리스트!F:F,제품!C118,주문_리스트!I:I)</f>
        <v>-6</v>
      </c>
      <c r="H118" s="52" t="s">
        <v>1874</v>
      </c>
    </row>
    <row r="119" spans="1:8">
      <c r="A119">
        <v>118</v>
      </c>
      <c r="C119" s="281" t="s">
        <v>1892</v>
      </c>
      <c r="E119" s="52">
        <v>250000</v>
      </c>
      <c r="G119">
        <f>SUMIF(재고!E:E,제품!C119,재고!G:G)-SUMIF(주문_리스트!F:F,제품!C119,주문_리스트!I:I)</f>
        <v>-2</v>
      </c>
    </row>
    <row r="120" spans="1:8">
      <c r="A120">
        <v>119</v>
      </c>
      <c r="B120" s="281">
        <v>501215718</v>
      </c>
      <c r="C120" s="281" t="s">
        <v>1912</v>
      </c>
      <c r="D120" s="281">
        <v>501215718</v>
      </c>
      <c r="E120" s="52">
        <v>15000</v>
      </c>
      <c r="F120" s="52">
        <v>8000</v>
      </c>
      <c r="G120">
        <f>SUMIF(재고!E:E,제품!C120,재고!G:G)-SUMIF(주문_리스트!F:F,제품!C120,주문_리스트!I:I)</f>
        <v>0</v>
      </c>
      <c r="H120" s="52" t="s">
        <v>1910</v>
      </c>
    </row>
    <row r="121" spans="1:8">
      <c r="A121">
        <v>120</v>
      </c>
      <c r="B121" s="281">
        <v>501215783</v>
      </c>
      <c r="C121" s="281" t="s">
        <v>1912</v>
      </c>
      <c r="D121" s="281">
        <v>501215783</v>
      </c>
      <c r="E121" s="52">
        <v>15000</v>
      </c>
      <c r="F121" s="52">
        <v>8000</v>
      </c>
      <c r="G121">
        <f>SUMIF(재고!E:E,제품!C121,재고!G:G)-SUMIF(주문_리스트!F:F,제품!C121,주문_리스트!I:I)</f>
        <v>0</v>
      </c>
      <c r="H121" s="52" t="s">
        <v>1911</v>
      </c>
    </row>
    <row r="122" spans="1:8">
      <c r="A122">
        <v>121</v>
      </c>
      <c r="B122" s="281" t="s">
        <v>2053</v>
      </c>
      <c r="C122" s="281" t="s">
        <v>2054</v>
      </c>
      <c r="D122" s="281" t="s">
        <v>2053</v>
      </c>
      <c r="E122" s="52">
        <v>1000000</v>
      </c>
      <c r="G122">
        <f>SUMIF(재고!E:E,제품!C122,재고!G:G)-SUMIF(주문_리스트!F:F,제품!C122,주문_리스트!I:I)</f>
        <v>-4</v>
      </c>
    </row>
    <row r="123" spans="1:8">
      <c r="A123">
        <v>122</v>
      </c>
      <c r="C123" s="281" t="s">
        <v>1918</v>
      </c>
      <c r="E123" s="52">
        <v>2000000</v>
      </c>
      <c r="G123">
        <f>SUMIF(재고!E:E,제품!C123,재고!G:G)-SUMIF(주문_리스트!F:F,제품!C123,주문_리스트!I:I)</f>
        <v>-3</v>
      </c>
    </row>
    <row r="124" spans="1:8">
      <c r="A124">
        <v>123</v>
      </c>
      <c r="B124" s="281" t="s">
        <v>1922</v>
      </c>
      <c r="C124" s="281" t="s">
        <v>1580</v>
      </c>
      <c r="D124" s="281" t="s">
        <v>1922</v>
      </c>
      <c r="E124" s="52">
        <v>1400000</v>
      </c>
      <c r="G124">
        <f>SUMIF(재고!E:E,제품!C124,재고!G:G)-SUMIF(주문_리스트!F:F,제품!C124,주문_리스트!I:I)</f>
        <v>0</v>
      </c>
    </row>
    <row r="125" spans="1:8">
      <c r="A125">
        <v>124</v>
      </c>
      <c r="B125" s="281" t="s">
        <v>1938</v>
      </c>
      <c r="C125" s="281" t="s">
        <v>1939</v>
      </c>
      <c r="D125" s="281" t="s">
        <v>1938</v>
      </c>
      <c r="E125" s="52">
        <v>1200000</v>
      </c>
      <c r="F125" s="52">
        <v>400000</v>
      </c>
      <c r="G125">
        <f>SUMIF(재고!E:E,제품!C125,재고!G:G)-SUMIF(주문_리스트!F:F,제품!C125,주문_리스트!I:I)</f>
        <v>-1</v>
      </c>
      <c r="H125" s="52" t="s">
        <v>1940</v>
      </c>
    </row>
    <row r="126" spans="1:8">
      <c r="A126">
        <v>125</v>
      </c>
      <c r="B126" s="281" t="s">
        <v>1936</v>
      </c>
      <c r="C126" s="281" t="s">
        <v>1937</v>
      </c>
      <c r="D126" s="281" t="s">
        <v>1936</v>
      </c>
      <c r="E126" s="52">
        <v>1000000</v>
      </c>
      <c r="F126" s="52">
        <v>380000</v>
      </c>
      <c r="G126">
        <f>SUMIF(재고!E:E,제품!C126,재고!G:G)-SUMIF(주문_리스트!F:F,제품!C126,주문_리스트!I:I)</f>
        <v>-1</v>
      </c>
    </row>
    <row r="127" spans="1:8">
      <c r="A127">
        <v>126</v>
      </c>
      <c r="B127" s="281">
        <v>415072909</v>
      </c>
      <c r="C127" s="281" t="s">
        <v>2520</v>
      </c>
      <c r="D127" s="281">
        <v>415072909</v>
      </c>
      <c r="E127" s="52">
        <v>380000</v>
      </c>
      <c r="G127">
        <f>SUMIF(재고!E:E,제품!C127,재고!G:G)-SUMIF(주문_리스트!F:F,제품!C127,주문_리스트!I:I)</f>
        <v>-20</v>
      </c>
    </row>
    <row r="128" spans="1:8">
      <c r="A128">
        <v>127</v>
      </c>
      <c r="B128" s="281" t="s">
        <v>1949</v>
      </c>
      <c r="C128" s="281" t="s">
        <v>1948</v>
      </c>
      <c r="D128" s="281" t="s">
        <v>1949</v>
      </c>
      <c r="E128" s="52">
        <v>250000</v>
      </c>
      <c r="F128" s="52">
        <v>120000</v>
      </c>
      <c r="G128">
        <f>SUMIF(재고!E:E,제품!C128,재고!G:G)-SUMIF(주문_리스트!F:F,제품!C128,주문_리스트!I:I)</f>
        <v>-2</v>
      </c>
    </row>
    <row r="129" spans="1:7">
      <c r="A129">
        <v>128</v>
      </c>
      <c r="C129" s="281" t="s">
        <v>1952</v>
      </c>
      <c r="E129" s="52">
        <v>50000</v>
      </c>
      <c r="G129">
        <f>SUMIF(재고!E:E,제품!C129,재고!G:G)-SUMIF(주문_리스트!F:F,제품!C129,주문_리스트!I:I)</f>
        <v>-1</v>
      </c>
    </row>
    <row r="130" spans="1:7">
      <c r="A130">
        <v>129</v>
      </c>
      <c r="C130" s="281" t="s">
        <v>1958</v>
      </c>
      <c r="E130" s="52">
        <v>1600000</v>
      </c>
      <c r="G130">
        <f>SUMIF(재고!E:E,제품!C130,재고!G:G)-SUMIF(주문_리스트!F:F,제품!C130,주문_리스트!I:I)</f>
        <v>0</v>
      </c>
    </row>
    <row r="131" spans="1:7">
      <c r="A131">
        <v>130</v>
      </c>
      <c r="C131" s="281" t="s">
        <v>2193</v>
      </c>
      <c r="E131" s="52">
        <v>600000</v>
      </c>
      <c r="G131">
        <f>SUMIF(재고!E:E,제품!C131,재고!G:G)-SUMIF(주문_리스트!F:F,제품!C131,주문_리스트!I:I)</f>
        <v>-11</v>
      </c>
    </row>
    <row r="132" spans="1:7">
      <c r="A132">
        <v>131</v>
      </c>
      <c r="B132" s="281">
        <v>7583332</v>
      </c>
      <c r="C132" s="281" t="s">
        <v>1982</v>
      </c>
      <c r="D132" s="281">
        <v>7583332</v>
      </c>
      <c r="E132" s="52">
        <v>450000</v>
      </c>
      <c r="G132">
        <f>SUMIF(재고!E:E,제품!C132,재고!G:G)-SUMIF(주문_리스트!F:F,제품!C132,주문_리스트!I:I)</f>
        <v>0</v>
      </c>
    </row>
    <row r="133" spans="1:7">
      <c r="A133">
        <v>132</v>
      </c>
      <c r="C133" s="281" t="s">
        <v>1984</v>
      </c>
      <c r="E133" s="52">
        <v>150000</v>
      </c>
      <c r="G133">
        <f>SUMIF(재고!E:E,제품!C133,재고!G:G)-SUMIF(주문_리스트!F:F,제품!C133,주문_리스트!I:I)</f>
        <v>-2</v>
      </c>
    </row>
    <row r="134" spans="1:7">
      <c r="A134">
        <v>133</v>
      </c>
      <c r="B134" s="281" t="s">
        <v>1991</v>
      </c>
      <c r="C134" s="281" t="s">
        <v>1204</v>
      </c>
      <c r="D134" s="281" t="s">
        <v>1991</v>
      </c>
      <c r="E134" s="52">
        <v>1700000</v>
      </c>
      <c r="G134">
        <f>SUMIF(재고!E:E,제품!C134,재고!G:G)-SUMIF(주문_리스트!F:F,제품!C134,주문_리스트!I:I)</f>
        <v>-30</v>
      </c>
    </row>
    <row r="135" spans="1:7">
      <c r="A135">
        <v>134</v>
      </c>
      <c r="C135" s="281" t="s">
        <v>2009</v>
      </c>
      <c r="E135" s="52">
        <v>2000000</v>
      </c>
      <c r="G135">
        <f>SUMIF(재고!E:E,제품!C135,재고!G:G)-SUMIF(주문_리스트!F:F,제품!C135,주문_리스트!I:I)</f>
        <v>-1</v>
      </c>
    </row>
    <row r="136" spans="1:7">
      <c r="A136">
        <v>135</v>
      </c>
      <c r="B136" s="281" t="s">
        <v>2021</v>
      </c>
      <c r="C136" s="281" t="s">
        <v>2022</v>
      </c>
      <c r="D136" s="281" t="s">
        <v>2021</v>
      </c>
      <c r="E136" s="52">
        <v>550000</v>
      </c>
      <c r="G136">
        <f>SUMIF(재고!E:E,제품!C136,재고!G:G)-SUMIF(주문_리스트!F:F,제품!C136,주문_리스트!I:I)</f>
        <v>-3</v>
      </c>
    </row>
    <row r="137" spans="1:7">
      <c r="A137">
        <v>136</v>
      </c>
      <c r="C137" s="281" t="s">
        <v>2028</v>
      </c>
      <c r="E137" s="52">
        <v>84000</v>
      </c>
      <c r="G137">
        <f>SUMIF(재고!E:E,제품!C137,재고!G:G)-SUMIF(주문_리스트!F:F,제품!C137,주문_리스트!I:I)</f>
        <v>-5</v>
      </c>
    </row>
    <row r="138" spans="1:7">
      <c r="A138">
        <v>137</v>
      </c>
      <c r="C138" s="281" t="s">
        <v>2031</v>
      </c>
      <c r="E138" s="52">
        <v>1000000</v>
      </c>
      <c r="G138">
        <f>SUMIF(재고!E:E,제품!C138,재고!G:G)-SUMIF(주문_리스트!F:F,제품!C138,주문_리스트!I:I)</f>
        <v>-2</v>
      </c>
    </row>
    <row r="139" spans="1:7">
      <c r="A139">
        <v>138</v>
      </c>
      <c r="B139" s="281" t="s">
        <v>3855</v>
      </c>
      <c r="C139" s="281" t="s">
        <v>2683</v>
      </c>
      <c r="D139" s="281" t="s">
        <v>3855</v>
      </c>
      <c r="E139" s="52">
        <v>1200000</v>
      </c>
      <c r="G139">
        <f>SUMIF(재고!E:E,제품!C139,재고!G:G)-SUMIF(주문_리스트!F:F,제품!C139,주문_리스트!I:I)</f>
        <v>-6</v>
      </c>
    </row>
    <row r="140" spans="1:7">
      <c r="A140">
        <v>139</v>
      </c>
      <c r="B140" s="281" t="s">
        <v>3584</v>
      </c>
      <c r="C140" s="281" t="s">
        <v>2368</v>
      </c>
      <c r="D140" s="281" t="s">
        <v>3584</v>
      </c>
      <c r="E140" s="52">
        <v>1000000</v>
      </c>
      <c r="G140">
        <f>SUMIF(재고!E:E,제품!C140,재고!G:G)-SUMIF(주문_리스트!F:F,제품!C140,주문_리스트!I:I)</f>
        <v>0</v>
      </c>
    </row>
    <row r="141" spans="1:7">
      <c r="A141">
        <v>140</v>
      </c>
      <c r="C141" s="281" t="s">
        <v>2048</v>
      </c>
      <c r="E141" s="52">
        <v>900000</v>
      </c>
      <c r="G141">
        <f>SUMIF(재고!E:E,제품!C141,재고!G:G)-SUMIF(주문_리스트!F:F,제품!C141,주문_리스트!I:I)</f>
        <v>-1</v>
      </c>
    </row>
    <row r="142" spans="1:7">
      <c r="A142">
        <v>141</v>
      </c>
      <c r="B142" s="281" t="s">
        <v>1910</v>
      </c>
      <c r="C142" s="281" t="s">
        <v>2139</v>
      </c>
      <c r="D142" s="281" t="s">
        <v>1910</v>
      </c>
      <c r="E142" s="52">
        <v>20000</v>
      </c>
      <c r="F142" s="52">
        <v>14500</v>
      </c>
      <c r="G142">
        <f>SUMIF(재고!E:E,제품!C142,재고!G:G)-SUMIF(주문_리스트!F:F,제품!C142,주문_리스트!I:I)</f>
        <v>-1</v>
      </c>
    </row>
    <row r="143" spans="1:7">
      <c r="A143">
        <v>142</v>
      </c>
      <c r="B143" s="281">
        <v>24347588724</v>
      </c>
      <c r="C143" s="281" t="s">
        <v>2059</v>
      </c>
      <c r="D143" s="281">
        <v>24347588724</v>
      </c>
      <c r="E143" s="52">
        <v>20000</v>
      </c>
      <c r="F143" s="52">
        <v>14500</v>
      </c>
      <c r="G143">
        <f>SUMIF(재고!E:E,제품!C143,재고!G:G)-SUMIF(주문_리스트!F:F,제품!C143,주문_리스트!I:I)</f>
        <v>0</v>
      </c>
    </row>
    <row r="144" spans="1:7">
      <c r="A144">
        <v>143</v>
      </c>
      <c r="B144" s="281">
        <v>501220522</v>
      </c>
      <c r="C144" s="281" t="s">
        <v>2086</v>
      </c>
      <c r="D144" s="281">
        <v>501220522</v>
      </c>
      <c r="E144" s="52">
        <v>450000</v>
      </c>
      <c r="G144">
        <f>SUMIF(재고!E:E,제품!C144,재고!G:G)-SUMIF(주문_리스트!F:F,제품!C144,주문_리스트!I:I)</f>
        <v>-3</v>
      </c>
    </row>
    <row r="145" spans="1:8">
      <c r="A145">
        <v>144</v>
      </c>
      <c r="B145" s="281">
        <v>2830401</v>
      </c>
      <c r="C145" s="281" t="s">
        <v>2210</v>
      </c>
      <c r="D145" s="281">
        <v>2830401</v>
      </c>
      <c r="E145" s="52">
        <v>1100000</v>
      </c>
      <c r="G145">
        <f>SUMIF(재고!E:E,제품!C145,재고!G:G)-SUMIF(주문_리스트!F:F,제품!C145,주문_리스트!I:I)</f>
        <v>-5</v>
      </c>
    </row>
    <row r="146" spans="1:8">
      <c r="A146">
        <v>145</v>
      </c>
      <c r="B146" s="281">
        <v>36050661</v>
      </c>
      <c r="C146" s="281" t="s">
        <v>2107</v>
      </c>
      <c r="D146" s="281">
        <v>36050661</v>
      </c>
      <c r="E146" s="52">
        <v>1200000</v>
      </c>
      <c r="F146" s="52">
        <v>440000</v>
      </c>
      <c r="G146">
        <f>SUMIF(재고!E:E,제품!C146,재고!G:G)-SUMIF(주문_리스트!F:F,제품!C146,주문_리스트!I:I)</f>
        <v>-3</v>
      </c>
    </row>
    <row r="147" spans="1:8">
      <c r="A147">
        <v>146</v>
      </c>
      <c r="B147" s="281" t="s">
        <v>2580</v>
      </c>
      <c r="C147" s="281" t="s">
        <v>2339</v>
      </c>
      <c r="D147" s="281" t="s">
        <v>2580</v>
      </c>
      <c r="E147" s="52">
        <v>65000</v>
      </c>
      <c r="F147" s="52">
        <v>35000</v>
      </c>
      <c r="G147">
        <f>SUMIF(재고!E:E,제품!C147,재고!G:G)-SUMIF(주문_리스트!F:F,제품!C147,주문_리스트!I:I)</f>
        <v>-4</v>
      </c>
    </row>
    <row r="148" spans="1:8">
      <c r="A148">
        <v>147</v>
      </c>
      <c r="B148" s="281" t="s">
        <v>3774</v>
      </c>
      <c r="C148" s="281" t="s">
        <v>2681</v>
      </c>
      <c r="D148" s="281" t="s">
        <v>3774</v>
      </c>
      <c r="G148">
        <f>SUMIF(재고!E:E,제품!C148,재고!G:G)-SUMIF(주문_리스트!F:F,제품!C148,주문_리스트!I:I)</f>
        <v>-4</v>
      </c>
    </row>
    <row r="149" spans="1:8">
      <c r="A149">
        <v>148</v>
      </c>
      <c r="C149" s="281" t="s">
        <v>2125</v>
      </c>
      <c r="E149" s="52">
        <v>200000</v>
      </c>
      <c r="G149">
        <f>SUMIF(재고!E:E,제품!C149,재고!G:G)-SUMIF(주문_리스트!F:F,제품!C149,주문_리스트!I:I)</f>
        <v>-1</v>
      </c>
    </row>
    <row r="150" spans="1:8">
      <c r="A150">
        <v>149</v>
      </c>
      <c r="C150" s="281" t="s">
        <v>2126</v>
      </c>
      <c r="E150" s="52">
        <v>250000</v>
      </c>
      <c r="G150">
        <f>SUMIF(재고!E:E,제품!C150,재고!G:G)-SUMIF(주문_리스트!F:F,제품!C150,주문_리스트!I:I)</f>
        <v>-2</v>
      </c>
    </row>
    <row r="151" spans="1:8">
      <c r="A151">
        <v>150</v>
      </c>
      <c r="B151" s="281">
        <v>2830502</v>
      </c>
      <c r="C151" s="281" t="s">
        <v>2685</v>
      </c>
      <c r="D151" s="281">
        <v>2830502</v>
      </c>
      <c r="E151" s="52">
        <v>1650000</v>
      </c>
      <c r="G151">
        <f>SUMIF(재고!E:E,제품!C151,재고!G:G)-SUMIF(주문_리스트!F:F,제품!C151,주문_리스트!I:I)</f>
        <v>-5</v>
      </c>
    </row>
    <row r="152" spans="1:8">
      <c r="A152">
        <v>151</v>
      </c>
      <c r="B152" s="281" t="s">
        <v>3585</v>
      </c>
      <c r="C152" s="281" t="s">
        <v>2516</v>
      </c>
      <c r="D152" s="281" t="s">
        <v>3585</v>
      </c>
      <c r="E152" s="52">
        <v>1550000</v>
      </c>
      <c r="G152">
        <f>SUMIF(재고!E:E,제품!C152,재고!G:G)-SUMIF(주문_리스트!F:F,제품!C152,주문_리스트!I:I)</f>
        <v>-1</v>
      </c>
    </row>
    <row r="153" spans="1:8">
      <c r="A153">
        <v>152</v>
      </c>
      <c r="C153" s="281" t="s">
        <v>2155</v>
      </c>
      <c r="E153" s="52">
        <v>990000</v>
      </c>
      <c r="F153" s="52">
        <v>940000</v>
      </c>
      <c r="G153">
        <f>SUMIF(재고!E:E,제품!C153,재고!G:G)-SUMIF(주문_리스트!F:F,제품!C153,주문_리스트!I:I)</f>
        <v>-1</v>
      </c>
      <c r="H153" s="52" t="s">
        <v>2692</v>
      </c>
    </row>
    <row r="154" spans="1:8">
      <c r="A154">
        <v>153</v>
      </c>
      <c r="C154" s="281" t="s">
        <v>2157</v>
      </c>
      <c r="E154" s="52">
        <v>1000000</v>
      </c>
      <c r="G154">
        <f>SUMIF(재고!E:E,제품!C154,재고!G:G)-SUMIF(주문_리스트!F:F,제품!C154,주문_리스트!I:I)</f>
        <v>-2</v>
      </c>
    </row>
    <row r="155" spans="1:8">
      <c r="A155">
        <v>154</v>
      </c>
      <c r="C155" s="281" t="s">
        <v>2159</v>
      </c>
      <c r="E155" s="52">
        <v>1200000</v>
      </c>
      <c r="G155">
        <f>SUMIF(재고!E:E,제품!C155,재고!G:G)-SUMIF(주문_리스트!F:F,제품!C155,주문_리스트!I:I)</f>
        <v>-1</v>
      </c>
    </row>
    <row r="156" spans="1:8">
      <c r="A156">
        <v>155</v>
      </c>
      <c r="B156" s="281">
        <v>2295001282</v>
      </c>
      <c r="C156" s="281" t="s">
        <v>2520</v>
      </c>
      <c r="D156" s="281">
        <v>2295001282</v>
      </c>
      <c r="E156" s="52">
        <v>422000</v>
      </c>
      <c r="G156">
        <f>SUMIF(재고!E:E,제품!C156,재고!G:G)-SUMIF(주문_리스트!F:F,제품!C156,주문_리스트!I:I)</f>
        <v>-20</v>
      </c>
    </row>
    <row r="157" spans="1:8">
      <c r="A157">
        <v>156</v>
      </c>
      <c r="C157" s="281" t="s">
        <v>2579</v>
      </c>
      <c r="E157" s="52">
        <v>500000</v>
      </c>
      <c r="F157" s="52">
        <v>250000</v>
      </c>
      <c r="G157">
        <f>SUMIF(재고!E:E,제품!C157,재고!G:G)-SUMIF(주문_리스트!F:F,제품!C157,주문_리스트!I:I)</f>
        <v>-1</v>
      </c>
    </row>
    <row r="158" spans="1:8">
      <c r="A158">
        <v>157</v>
      </c>
      <c r="C158" s="281" t="s">
        <v>2229</v>
      </c>
      <c r="E158" s="52">
        <v>150000</v>
      </c>
      <c r="G158">
        <f>SUMIF(재고!E:E,제품!C158,재고!G:G)-SUMIF(주문_리스트!F:F,제품!C158,주문_리스트!I:I)</f>
        <v>-1</v>
      </c>
    </row>
    <row r="159" spans="1:8">
      <c r="A159">
        <v>158</v>
      </c>
      <c r="C159" s="281" t="s">
        <v>2240</v>
      </c>
      <c r="E159" s="52">
        <v>800000</v>
      </c>
      <c r="G159">
        <f>SUMIF(재고!E:E,제품!C159,재고!G:G)-SUMIF(주문_리스트!F:F,제품!C159,주문_리스트!I:I)</f>
        <v>-1</v>
      </c>
    </row>
    <row r="160" spans="1:8">
      <c r="A160">
        <v>159</v>
      </c>
      <c r="C160" s="281" t="s">
        <v>2245</v>
      </c>
      <c r="E160" s="52">
        <v>900000</v>
      </c>
      <c r="G160">
        <f>SUMIF(재고!E:E,제품!C160,재고!G:G)-SUMIF(주문_리스트!F:F,제품!C160,주문_리스트!I:I)</f>
        <v>-1</v>
      </c>
    </row>
    <row r="161" spans="1:8">
      <c r="A161">
        <v>160</v>
      </c>
      <c r="C161" s="281" t="s">
        <v>2255</v>
      </c>
      <c r="E161" s="52">
        <v>900000</v>
      </c>
      <c r="F161" s="52">
        <v>600000</v>
      </c>
      <c r="G161">
        <f>SUMIF(재고!E:E,제품!C161,재고!G:G)-SUMIF(주문_리스트!F:F,제품!C161,주문_리스트!I:I)</f>
        <v>-1</v>
      </c>
    </row>
    <row r="162" spans="1:8">
      <c r="A162">
        <v>161</v>
      </c>
      <c r="B162" s="281">
        <v>1068327224</v>
      </c>
      <c r="C162" s="281" t="s">
        <v>2271</v>
      </c>
      <c r="D162" s="281">
        <v>1068327224</v>
      </c>
      <c r="E162" s="52">
        <v>80000</v>
      </c>
      <c r="F162" s="52">
        <v>45000</v>
      </c>
      <c r="G162">
        <f>SUMIF(재고!E:E,제품!C162,재고!G:G)-SUMIF(주문_리스트!F:F,제품!C162,주문_리스트!I:I)</f>
        <v>0</v>
      </c>
    </row>
    <row r="163" spans="1:8">
      <c r="A163">
        <v>162</v>
      </c>
      <c r="B163" s="281">
        <v>1087327175</v>
      </c>
      <c r="C163" s="281" t="s">
        <v>2269</v>
      </c>
      <c r="D163" s="281">
        <v>1087327175</v>
      </c>
      <c r="E163" s="52">
        <v>90000</v>
      </c>
      <c r="F163" s="52">
        <v>65000</v>
      </c>
      <c r="G163">
        <f>SUMIF(재고!E:E,제품!C163,재고!G:G)-SUMIF(주문_리스트!F:F,제품!C163,주문_리스트!I:I)</f>
        <v>-1</v>
      </c>
      <c r="H163" s="52" t="s">
        <v>2270</v>
      </c>
    </row>
    <row r="164" spans="1:8">
      <c r="A164">
        <v>163</v>
      </c>
      <c r="B164" s="281" t="s">
        <v>2272</v>
      </c>
      <c r="C164" s="281" t="s">
        <v>2273</v>
      </c>
      <c r="D164" s="281" t="s">
        <v>2272</v>
      </c>
      <c r="E164" s="52">
        <v>350000</v>
      </c>
      <c r="F164" s="52">
        <v>155000</v>
      </c>
      <c r="G164">
        <f>SUMIF(재고!E:E,제품!C164,재고!G:G)-SUMIF(주문_리스트!F:F,제품!C164,주문_리스트!I:I)</f>
        <v>-4</v>
      </c>
    </row>
    <row r="165" spans="1:8">
      <c r="A165">
        <v>164</v>
      </c>
      <c r="B165" s="281" t="s">
        <v>2471</v>
      </c>
      <c r="C165" s="281" t="s">
        <v>2472</v>
      </c>
      <c r="D165" s="281" t="s">
        <v>2471</v>
      </c>
      <c r="E165" s="52">
        <v>450000</v>
      </c>
      <c r="F165" s="52">
        <v>260000</v>
      </c>
      <c r="G165">
        <f>SUMIF(재고!E:E,제품!C165,재고!G:G)-SUMIF(주문_리스트!F:F,제품!C165,주문_리스트!I:I)</f>
        <v>0</v>
      </c>
    </row>
    <row r="166" spans="1:8">
      <c r="A166">
        <v>165</v>
      </c>
      <c r="B166" s="281">
        <v>4150862090</v>
      </c>
      <c r="C166" s="281" t="s">
        <v>2520</v>
      </c>
      <c r="D166" s="281">
        <v>4150862090</v>
      </c>
      <c r="E166" s="52">
        <v>445000</v>
      </c>
      <c r="G166">
        <f>SUMIF(재고!E:E,제품!C166,재고!G:G)-SUMIF(주문_리스트!F:F,제품!C166,주문_리스트!I:I)</f>
        <v>-20</v>
      </c>
    </row>
    <row r="167" spans="1:8">
      <c r="A167">
        <v>166</v>
      </c>
      <c r="C167" s="281" t="s">
        <v>2289</v>
      </c>
      <c r="E167" s="52">
        <v>1600000</v>
      </c>
      <c r="G167">
        <f>SUMIF(재고!E:E,제품!C167,재고!G:G)-SUMIF(주문_리스트!F:F,제품!C167,주문_리스트!I:I)</f>
        <v>-10</v>
      </c>
    </row>
    <row r="168" spans="1:8">
      <c r="A168">
        <v>167</v>
      </c>
      <c r="C168" s="281" t="s">
        <v>2317</v>
      </c>
      <c r="E168" s="52">
        <v>1200000</v>
      </c>
      <c r="G168">
        <f>SUMIF(재고!E:E,제품!C168,재고!G:G)-SUMIF(주문_리스트!F:F,제품!C168,주문_리스트!I:I)</f>
        <v>-1</v>
      </c>
    </row>
    <row r="169" spans="1:8">
      <c r="A169">
        <v>168</v>
      </c>
      <c r="C169" s="281" t="s">
        <v>2298</v>
      </c>
      <c r="E169" s="52">
        <v>650000</v>
      </c>
      <c r="G169">
        <f>SUMIF(재고!E:E,제품!C169,재고!G:G)-SUMIF(주문_리스트!F:F,제품!C169,주문_리스트!I:I)</f>
        <v>-18</v>
      </c>
    </row>
    <row r="170" spans="1:8">
      <c r="A170">
        <v>169</v>
      </c>
      <c r="B170" s="281">
        <v>415089709</v>
      </c>
      <c r="C170" s="281" t="s">
        <v>2520</v>
      </c>
      <c r="D170" s="281">
        <v>415089709</v>
      </c>
      <c r="E170" s="52">
        <v>498000</v>
      </c>
      <c r="F170" s="52">
        <v>448000</v>
      </c>
      <c r="G170">
        <f>SUMIF(재고!E:E,제품!C170,재고!G:G)-SUMIF(주문_리스트!F:F,제품!C170,주문_리스트!I:I)</f>
        <v>-20</v>
      </c>
    </row>
    <row r="171" spans="1:8">
      <c r="A171">
        <v>170</v>
      </c>
      <c r="B171" s="281" t="s">
        <v>2326</v>
      </c>
      <c r="C171" s="281" t="s">
        <v>3069</v>
      </c>
      <c r="D171" s="281" t="s">
        <v>2326</v>
      </c>
      <c r="E171" s="52">
        <v>990000</v>
      </c>
      <c r="F171" s="52">
        <v>900000</v>
      </c>
      <c r="G171">
        <f>SUMIF(재고!E:E,제품!C171,재고!G:G)-SUMIF(주문_리스트!F:F,제품!C171,주문_리스트!I:I)</f>
        <v>-4</v>
      </c>
    </row>
    <row r="172" spans="1:8">
      <c r="A172">
        <v>171</v>
      </c>
      <c r="B172" s="281">
        <v>28120411</v>
      </c>
      <c r="C172" s="281" t="s">
        <v>2328</v>
      </c>
      <c r="D172" s="281">
        <v>28120411</v>
      </c>
      <c r="E172" s="52">
        <v>1500000</v>
      </c>
      <c r="G172">
        <f>SUMIF(재고!E:E,제품!C172,재고!G:G)-SUMIF(주문_리스트!F:F,제품!C172,주문_리스트!I:I)</f>
        <v>-2</v>
      </c>
    </row>
    <row r="173" spans="1:8">
      <c r="A173">
        <v>172</v>
      </c>
      <c r="B173" s="281">
        <v>1087298437</v>
      </c>
      <c r="C173" s="281" t="s">
        <v>2665</v>
      </c>
      <c r="D173" s="281">
        <v>1087298437</v>
      </c>
      <c r="E173" s="52">
        <v>86000</v>
      </c>
      <c r="F173" s="52">
        <v>76000</v>
      </c>
      <c r="G173">
        <f>SUMIF(재고!E:E,제품!C173,재고!G:G)-SUMIF(주문_리스트!F:F,제품!C173,주문_리스트!I:I)</f>
        <v>-9</v>
      </c>
    </row>
    <row r="174" spans="1:8">
      <c r="A174">
        <v>173</v>
      </c>
      <c r="C174" s="281" t="s">
        <v>2341</v>
      </c>
      <c r="E174" s="52">
        <v>150000</v>
      </c>
      <c r="G174">
        <f>SUMIF(재고!E:E,제품!C174,재고!G:G)-SUMIF(주문_리스트!F:F,제품!C174,주문_리스트!I:I)</f>
        <v>-2</v>
      </c>
    </row>
    <row r="175" spans="1:8">
      <c r="A175">
        <v>174</v>
      </c>
      <c r="B175" s="281">
        <v>24046895</v>
      </c>
      <c r="C175" s="281" t="s">
        <v>2345</v>
      </c>
      <c r="D175" s="281">
        <v>24046895</v>
      </c>
      <c r="E175" s="52">
        <v>120000</v>
      </c>
      <c r="F175" s="52">
        <v>55000</v>
      </c>
      <c r="G175">
        <f>SUMIF(재고!E:E,제품!C175,재고!G:G)-SUMIF(주문_리스트!F:F,제품!C175,주문_리스트!I:I)</f>
        <v>-2</v>
      </c>
    </row>
    <row r="176" spans="1:8">
      <c r="A176">
        <v>175</v>
      </c>
      <c r="B176" s="281" t="s">
        <v>2885</v>
      </c>
      <c r="C176" s="281" t="s">
        <v>2886</v>
      </c>
      <c r="D176" s="281" t="s">
        <v>2885</v>
      </c>
      <c r="E176" s="52">
        <v>450000</v>
      </c>
      <c r="G176">
        <f>SUMIF(재고!E:E,제품!C176,재고!G:G)-SUMIF(주문_리스트!F:F,제품!C176,주문_리스트!I:I)</f>
        <v>-2</v>
      </c>
      <c r="H176" s="52" t="s">
        <v>2887</v>
      </c>
    </row>
    <row r="177" spans="1:7">
      <c r="A177">
        <v>176</v>
      </c>
      <c r="C177" s="281" t="s">
        <v>2395</v>
      </c>
      <c r="E177" s="52">
        <v>600000</v>
      </c>
      <c r="G177">
        <f>SUMIF(재고!E:E,제품!C177,재고!G:G)-SUMIF(주문_리스트!F:F,제품!C177,주문_리스트!I:I)</f>
        <v>-1</v>
      </c>
    </row>
    <row r="178" spans="1:7">
      <c r="A178">
        <v>177</v>
      </c>
      <c r="B178" s="281" t="s">
        <v>2397</v>
      </c>
      <c r="C178" s="281" t="s">
        <v>2398</v>
      </c>
      <c r="D178" s="281" t="s">
        <v>2397</v>
      </c>
      <c r="E178" s="52">
        <v>850000</v>
      </c>
      <c r="F178" s="52">
        <v>520000</v>
      </c>
      <c r="G178">
        <f>SUMIF(재고!E:E,제품!C178,재고!G:G)-SUMIF(주문_리스트!F:F,제품!C178,주문_리스트!I:I)</f>
        <v>-1</v>
      </c>
    </row>
    <row r="179" spans="1:7">
      <c r="A179">
        <v>178</v>
      </c>
      <c r="C179" s="281" t="s">
        <v>2402</v>
      </c>
      <c r="E179" s="52">
        <v>200000</v>
      </c>
      <c r="G179">
        <f>SUMIF(재고!E:E,제품!C179,재고!G:G)-SUMIF(주문_리스트!F:F,제품!C179,주문_리스트!I:I)</f>
        <v>-3</v>
      </c>
    </row>
    <row r="180" spans="1:7">
      <c r="A180">
        <v>179</v>
      </c>
      <c r="B180" s="281" t="s">
        <v>2415</v>
      </c>
      <c r="C180" s="281" t="s">
        <v>2382</v>
      </c>
      <c r="D180" s="281" t="s">
        <v>2415</v>
      </c>
      <c r="E180" s="52">
        <v>770000</v>
      </c>
      <c r="G180">
        <f>SUMIF(재고!E:E,제품!C180,재고!G:G)-SUMIF(주문_리스트!F:F,제품!C180,주문_리스트!I:I)</f>
        <v>-3</v>
      </c>
    </row>
    <row r="181" spans="1:7">
      <c r="A181">
        <v>180</v>
      </c>
      <c r="B181" s="281" t="s">
        <v>2422</v>
      </c>
      <c r="C181" s="281" t="s">
        <v>2423</v>
      </c>
      <c r="D181" s="281" t="s">
        <v>2422</v>
      </c>
      <c r="E181" s="52">
        <v>650000</v>
      </c>
      <c r="F181" s="52">
        <v>627000</v>
      </c>
      <c r="G181">
        <f>SUMIF(재고!E:E,제품!C181,재고!G:G)-SUMIF(주문_리스트!F:F,제품!C181,주문_리스트!I:I)</f>
        <v>-1</v>
      </c>
    </row>
    <row r="182" spans="1:7">
      <c r="A182">
        <v>181</v>
      </c>
      <c r="B182" s="281" t="s">
        <v>2424</v>
      </c>
      <c r="C182" s="281" t="s">
        <v>2425</v>
      </c>
      <c r="D182" s="281" t="s">
        <v>2424</v>
      </c>
      <c r="E182" s="52">
        <v>100000</v>
      </c>
      <c r="F182" s="52">
        <v>69000</v>
      </c>
      <c r="G182">
        <f>SUMIF(재고!E:E,제품!C182,재고!G:G)-SUMIF(주문_리스트!F:F,제품!C182,주문_리스트!I:I)</f>
        <v>-1</v>
      </c>
    </row>
    <row r="183" spans="1:7">
      <c r="A183">
        <v>182</v>
      </c>
      <c r="C183" s="281" t="s">
        <v>2453</v>
      </c>
      <c r="E183" s="52">
        <v>850000</v>
      </c>
      <c r="G183">
        <f>SUMIF(재고!E:E,제품!C183,재고!G:G)-SUMIF(주문_리스트!F:F,제품!C183,주문_리스트!I:I)</f>
        <v>-1</v>
      </c>
    </row>
    <row r="184" spans="1:7">
      <c r="A184">
        <v>183</v>
      </c>
      <c r="C184" s="281" t="s">
        <v>2497</v>
      </c>
      <c r="E184" s="52">
        <v>500000</v>
      </c>
      <c r="G184">
        <f>SUMIF(재고!E:E,제품!C184,재고!G:G)-SUMIF(주문_리스트!F:F,제품!C184,주문_리스트!I:I)</f>
        <v>0</v>
      </c>
    </row>
    <row r="185" spans="1:7">
      <c r="A185">
        <v>184</v>
      </c>
      <c r="B185" s="281">
        <v>2463772400</v>
      </c>
      <c r="C185" s="281" t="s">
        <v>2511</v>
      </c>
      <c r="D185" s="281">
        <v>2463772400</v>
      </c>
      <c r="E185" s="52">
        <v>67500</v>
      </c>
      <c r="G185">
        <f>SUMIF(재고!E:E,제품!C185,재고!G:G)-SUMIF(주문_리스트!F:F,제품!C185,주문_리스트!I:I)</f>
        <v>-1</v>
      </c>
    </row>
    <row r="186" spans="1:7">
      <c r="A186">
        <v>185</v>
      </c>
      <c r="B186" s="281">
        <v>2462500901</v>
      </c>
      <c r="C186" s="281" t="s">
        <v>2510</v>
      </c>
      <c r="D186" s="281">
        <v>2462500901</v>
      </c>
      <c r="E186" s="52">
        <v>1170000</v>
      </c>
      <c r="G186">
        <f>SUMIF(재고!E:E,제품!C186,재고!G:G)-SUMIF(주문_리스트!F:F,제품!C186,주문_리스트!I:I)</f>
        <v>0</v>
      </c>
    </row>
    <row r="187" spans="1:7">
      <c r="A187">
        <v>186</v>
      </c>
      <c r="B187" s="281" t="s">
        <v>3331</v>
      </c>
      <c r="C187" s="281" t="s">
        <v>2564</v>
      </c>
      <c r="D187" s="281" t="s">
        <v>2563</v>
      </c>
      <c r="E187" s="52">
        <v>1000000</v>
      </c>
      <c r="G187">
        <f>SUMIF(재고!E:E,제품!C187,재고!G:G)-SUMIF(주문_리스트!F:F,제품!C187,주문_리스트!I:I)</f>
        <v>-1</v>
      </c>
    </row>
    <row r="188" spans="1:7">
      <c r="A188">
        <v>187</v>
      </c>
      <c r="B188" s="281" t="s">
        <v>2820</v>
      </c>
      <c r="C188" s="281" t="s">
        <v>2821</v>
      </c>
      <c r="D188" s="281" t="s">
        <v>2820</v>
      </c>
      <c r="E188" s="52">
        <v>1600000</v>
      </c>
      <c r="F188" s="52">
        <v>1250000</v>
      </c>
      <c r="G188">
        <f>SUMIF(재고!E:E,제품!C188,재고!G:G)-SUMIF(주문_리스트!F:F,제품!C188,주문_리스트!I:I)</f>
        <v>-2</v>
      </c>
    </row>
    <row r="189" spans="1:7">
      <c r="A189">
        <v>188</v>
      </c>
      <c r="B189" s="281" t="s">
        <v>2613</v>
      </c>
      <c r="C189" s="281" t="s">
        <v>2614</v>
      </c>
      <c r="D189" s="281" t="s">
        <v>2613</v>
      </c>
      <c r="E189" s="52">
        <v>1500000</v>
      </c>
      <c r="F189" s="52">
        <v>1250000</v>
      </c>
      <c r="G189">
        <f>SUMIF(재고!E:E,제품!C189,재고!G:G)-SUMIF(주문_리스트!F:F,제품!C189,주문_리스트!I:I)</f>
        <v>-2</v>
      </c>
    </row>
    <row r="190" spans="1:7">
      <c r="A190">
        <v>189</v>
      </c>
      <c r="C190" s="281" t="s">
        <v>2620</v>
      </c>
      <c r="E190" s="52">
        <v>1100000</v>
      </c>
      <c r="G190">
        <f>SUMIF(재고!E:E,제품!C190,재고!G:G)-SUMIF(주문_리스트!F:F,제품!C190,주문_리스트!I:I)</f>
        <v>-1</v>
      </c>
    </row>
    <row r="191" spans="1:7">
      <c r="A191">
        <v>190</v>
      </c>
      <c r="C191" s="281" t="s">
        <v>2649</v>
      </c>
      <c r="E191" s="52">
        <v>1700000</v>
      </c>
      <c r="G191">
        <f>SUMIF(재고!E:E,제품!C191,재고!G:G)-SUMIF(주문_리스트!F:F,제품!C191,주문_리스트!I:I)</f>
        <v>-3</v>
      </c>
    </row>
    <row r="192" spans="1:7">
      <c r="A192">
        <v>191</v>
      </c>
      <c r="B192" s="281" t="s">
        <v>2687</v>
      </c>
      <c r="C192" s="281" t="s">
        <v>2688</v>
      </c>
      <c r="D192" s="281" t="s">
        <v>2687</v>
      </c>
      <c r="E192" s="52">
        <v>400000</v>
      </c>
      <c r="G192">
        <f>SUMIF(재고!E:E,제품!C192,재고!G:G)-SUMIF(주문_리스트!F:F,제품!C192,주문_리스트!I:I)</f>
        <v>0</v>
      </c>
    </row>
    <row r="193" spans="1:8">
      <c r="A193">
        <v>192</v>
      </c>
      <c r="B193" s="281" t="s">
        <v>2710</v>
      </c>
      <c r="C193" s="281" t="s">
        <v>2711</v>
      </c>
      <c r="D193" s="281" t="s">
        <v>2710</v>
      </c>
      <c r="E193" s="52">
        <v>1500000</v>
      </c>
      <c r="G193">
        <f>SUMIF(재고!E:E,제품!C193,재고!G:G)-SUMIF(주문_리스트!F:F,제품!C193,주문_리스트!I:I)</f>
        <v>-2</v>
      </c>
    </row>
    <row r="194" spans="1:8">
      <c r="A194">
        <v>193</v>
      </c>
      <c r="C194" s="281" t="s">
        <v>2722</v>
      </c>
      <c r="E194" s="52">
        <v>150000</v>
      </c>
      <c r="G194">
        <f>SUMIF(재고!E:E,제품!C194,재고!G:G)-SUMIF(주문_리스트!F:F,제품!C194,주문_리스트!I:I)</f>
        <v>-1</v>
      </c>
    </row>
    <row r="195" spans="1:8">
      <c r="A195">
        <v>194</v>
      </c>
      <c r="B195" s="281">
        <v>7252703114</v>
      </c>
      <c r="C195" s="281" t="s">
        <v>2747</v>
      </c>
      <c r="D195" s="281">
        <v>7252703114</v>
      </c>
      <c r="E195" s="52">
        <v>198000</v>
      </c>
      <c r="F195" s="52">
        <v>135000</v>
      </c>
      <c r="G195">
        <f>SUMIF(재고!E:E,제품!C195,재고!G:G)-SUMIF(주문_리스트!F:F,제품!C195,주문_리스트!I:I)</f>
        <v>-1</v>
      </c>
    </row>
    <row r="196" spans="1:8">
      <c r="A196">
        <v>195</v>
      </c>
      <c r="B196" s="281">
        <v>1094302044</v>
      </c>
      <c r="C196" s="281" t="s">
        <v>2749</v>
      </c>
      <c r="D196" s="281">
        <v>1094302044</v>
      </c>
      <c r="E196" s="52">
        <v>300000</v>
      </c>
      <c r="F196" s="52">
        <v>150000</v>
      </c>
      <c r="G196">
        <f>SUMIF(재고!E:E,제품!C196,재고!G:G)-SUMIF(주문_리스트!F:F,제품!C196,주문_리스트!I:I)</f>
        <v>-2</v>
      </c>
      <c r="H196" s="52" t="s">
        <v>2750</v>
      </c>
    </row>
    <row r="197" spans="1:8">
      <c r="A197">
        <v>196</v>
      </c>
      <c r="B197" s="281" t="s">
        <v>2840</v>
      </c>
      <c r="C197" s="281" t="s">
        <v>2841</v>
      </c>
      <c r="D197" s="281" t="s">
        <v>2840</v>
      </c>
      <c r="E197" s="52">
        <v>300000</v>
      </c>
      <c r="F197" s="52">
        <v>150000</v>
      </c>
      <c r="G197">
        <f>SUMIF(재고!E:E,제품!C197,재고!G:G)-SUMIF(주문_리스트!F:F,제품!C197,주문_리스트!I:I)</f>
        <v>0</v>
      </c>
      <c r="H197" s="52" t="s">
        <v>2842</v>
      </c>
    </row>
    <row r="198" spans="1:8">
      <c r="A198">
        <v>197</v>
      </c>
      <c r="B198" s="281">
        <v>501220639</v>
      </c>
      <c r="C198" s="281" t="s">
        <v>1758</v>
      </c>
      <c r="D198" s="281">
        <v>501220639</v>
      </c>
      <c r="E198" s="52">
        <v>250000</v>
      </c>
      <c r="F198" s="52">
        <v>150000</v>
      </c>
      <c r="G198">
        <f>SUMIF(재고!E:E,제품!C198,재고!G:G)-SUMIF(주문_리스트!F:F,제품!C198,주문_리스트!I:I)</f>
        <v>-4</v>
      </c>
    </row>
    <row r="199" spans="1:8">
      <c r="A199">
        <v>198</v>
      </c>
      <c r="B199" s="281" t="s">
        <v>2846</v>
      </c>
      <c r="C199" s="281" t="s">
        <v>2848</v>
      </c>
      <c r="D199" s="281" t="s">
        <v>2846</v>
      </c>
      <c r="E199" s="52">
        <v>75000</v>
      </c>
      <c r="F199" s="52">
        <v>67000</v>
      </c>
      <c r="G199">
        <f>SUMIF(재고!E:E,제품!C199,재고!G:G)-SUMIF(주문_리스트!F:F,제품!C199,주문_리스트!I:I)</f>
        <v>-1</v>
      </c>
    </row>
    <row r="200" spans="1:8">
      <c r="A200">
        <v>199</v>
      </c>
      <c r="B200" s="281" t="s">
        <v>2920</v>
      </c>
      <c r="C200" s="281" t="s">
        <v>2921</v>
      </c>
      <c r="D200" s="281" t="s">
        <v>2920</v>
      </c>
      <c r="E200" s="52">
        <v>13000</v>
      </c>
      <c r="F200" s="52">
        <v>13000</v>
      </c>
      <c r="G200">
        <f>SUMIF(재고!E:E,제품!C200,재고!G:G)-SUMIF(주문_리스트!F:F,제품!C200,주문_리스트!I:I)</f>
        <v>-1</v>
      </c>
    </row>
    <row r="201" spans="1:8">
      <c r="A201">
        <v>200</v>
      </c>
      <c r="B201" s="281" t="s">
        <v>2882</v>
      </c>
      <c r="C201" s="281" t="s">
        <v>2883</v>
      </c>
      <c r="D201" s="281" t="s">
        <v>2882</v>
      </c>
      <c r="G201">
        <f>SUMIF(재고!E:E,제품!C201,재고!G:G)-SUMIF(주문_리스트!F:F,제품!C201,주문_리스트!I:I)</f>
        <v>0</v>
      </c>
    </row>
    <row r="202" spans="1:8">
      <c r="A202">
        <v>201</v>
      </c>
      <c r="B202" s="281">
        <v>709013001</v>
      </c>
      <c r="C202" s="281" t="s">
        <v>2884</v>
      </c>
      <c r="D202" s="281">
        <v>709013001</v>
      </c>
      <c r="G202">
        <f>SUMIF(재고!E:E,제품!C202,재고!G:G)-SUMIF(주문_리스트!F:F,제품!C202,주문_리스트!I:I)</f>
        <v>0</v>
      </c>
    </row>
    <row r="203" spans="1:8">
      <c r="A203">
        <v>202</v>
      </c>
      <c r="C203" s="281" t="s">
        <v>2902</v>
      </c>
      <c r="E203" s="52">
        <v>50000</v>
      </c>
      <c r="G203">
        <f>SUMIF(재고!E:E,제품!C203,재고!G:G)-SUMIF(주문_리스트!F:F,제품!C203,주문_리스트!I:I)</f>
        <v>-4</v>
      </c>
    </row>
    <row r="204" spans="1:8">
      <c r="A204">
        <v>203</v>
      </c>
      <c r="C204" s="281" t="s">
        <v>2922</v>
      </c>
      <c r="E204" s="52">
        <v>35000</v>
      </c>
      <c r="G204">
        <f>SUMIF(재고!E:E,제품!C204,재고!G:G)-SUMIF(주문_리스트!F:F,제품!C204,주문_리스트!I:I)</f>
        <v>-1</v>
      </c>
    </row>
    <row r="205" spans="1:8">
      <c r="A205">
        <v>204</v>
      </c>
      <c r="B205" s="281">
        <v>6058008117</v>
      </c>
      <c r="C205" s="281" t="s">
        <v>3124</v>
      </c>
      <c r="D205" s="281">
        <v>6058008117</v>
      </c>
      <c r="E205" s="52">
        <v>900000</v>
      </c>
      <c r="G205">
        <f>SUMIF(재고!E:E,제품!C205,재고!G:G)-SUMIF(주문_리스트!F:F,제품!C205,주문_리스트!I:I)</f>
        <v>0</v>
      </c>
    </row>
    <row r="206" spans="1:8">
      <c r="A206">
        <v>205</v>
      </c>
      <c r="B206" s="281" t="s">
        <v>3116</v>
      </c>
      <c r="C206" s="281" t="s">
        <v>3540</v>
      </c>
      <c r="D206" s="281" t="s">
        <v>3116</v>
      </c>
      <c r="E206" s="52">
        <v>1000000</v>
      </c>
      <c r="G206">
        <f>SUMIF(재고!E:E,제품!C206,재고!G:G)-SUMIF(주문_리스트!F:F,제품!C206,주문_리스트!I:I)</f>
        <v>-2</v>
      </c>
    </row>
    <row r="207" spans="1:8">
      <c r="A207">
        <v>206</v>
      </c>
      <c r="B207" s="281" t="s">
        <v>2952</v>
      </c>
      <c r="C207" s="281" t="s">
        <v>2953</v>
      </c>
      <c r="D207" s="281" t="s">
        <v>2952</v>
      </c>
      <c r="E207" s="52">
        <v>500000</v>
      </c>
      <c r="G207">
        <f>SUMIF(재고!E:E,제품!C207,재고!G:G)-SUMIF(주문_리스트!F:F,제품!C207,주문_리스트!I:I)</f>
        <v>-1</v>
      </c>
    </row>
    <row r="208" spans="1:8">
      <c r="A208">
        <v>207</v>
      </c>
      <c r="B208" s="281">
        <v>33108841535</v>
      </c>
      <c r="C208" s="281" t="s">
        <v>2956</v>
      </c>
      <c r="D208" s="281">
        <v>33108841535</v>
      </c>
      <c r="E208" s="52">
        <v>1200000</v>
      </c>
      <c r="G208">
        <f>SUMIF(재고!E:E,제품!C208,재고!G:G)-SUMIF(주문_리스트!F:F,제품!C208,주문_리스트!I:I)</f>
        <v>-1</v>
      </c>
    </row>
    <row r="209" spans="1:8">
      <c r="A209">
        <v>208</v>
      </c>
      <c r="B209" s="281" t="s">
        <v>2985</v>
      </c>
      <c r="C209" s="281" t="s">
        <v>2986</v>
      </c>
      <c r="D209" s="281" t="s">
        <v>2985</v>
      </c>
      <c r="E209" s="52">
        <v>250000</v>
      </c>
      <c r="F209" s="52">
        <v>140000</v>
      </c>
      <c r="G209">
        <f>SUMIF(재고!E:E,제품!C209,재고!G:G)-SUMIF(주문_리스트!F:F,제품!C209,주문_리스트!I:I)</f>
        <v>0</v>
      </c>
    </row>
    <row r="210" spans="1:8">
      <c r="A210">
        <v>209</v>
      </c>
      <c r="C210" s="281" t="s">
        <v>3073</v>
      </c>
      <c r="E210" s="52">
        <v>200000</v>
      </c>
      <c r="G210">
        <f>SUMIF(재고!E:E,제품!C210,재고!G:G)-SUMIF(주문_리스트!F:F,제품!C210,주문_리스트!I:I)</f>
        <v>-1</v>
      </c>
    </row>
    <row r="211" spans="1:8">
      <c r="A211">
        <v>210</v>
      </c>
      <c r="B211" s="281">
        <v>2212500301</v>
      </c>
      <c r="C211" s="281" t="s">
        <v>2917</v>
      </c>
      <c r="D211" s="281">
        <v>2212500301</v>
      </c>
      <c r="E211" s="52">
        <v>900000</v>
      </c>
      <c r="G211">
        <f>SUMIF(재고!E:E,제품!C211,재고!G:G)-SUMIF(주문_리스트!F:F,제품!C211,주문_리스트!I:I)</f>
        <v>-20</v>
      </c>
    </row>
    <row r="212" spans="1:8">
      <c r="A212">
        <v>211</v>
      </c>
      <c r="B212" s="281">
        <v>6058008122</v>
      </c>
      <c r="C212" s="281" t="s">
        <v>3123</v>
      </c>
      <c r="D212" s="281">
        <v>6058008122</v>
      </c>
      <c r="E212" s="52">
        <v>2500000</v>
      </c>
      <c r="G212">
        <f>SUMIF(재고!E:E,제품!C212,재고!G:G)-SUMIF(주문_리스트!F:F,제품!C212,주문_리스트!I:I)</f>
        <v>-1</v>
      </c>
    </row>
    <row r="213" spans="1:8">
      <c r="A213">
        <v>212</v>
      </c>
      <c r="B213" s="281">
        <v>6058008068</v>
      </c>
      <c r="C213" s="281" t="s">
        <v>3123</v>
      </c>
      <c r="D213" s="281">
        <v>6058008068</v>
      </c>
      <c r="G213">
        <f>SUMIF(재고!E:E,제품!C213,재고!G:G)-SUMIF(주문_리스트!F:F,제품!C213,주문_리스트!I:I)</f>
        <v>-1</v>
      </c>
    </row>
    <row r="214" spans="1:8">
      <c r="A214">
        <v>213</v>
      </c>
      <c r="C214" s="281" t="s">
        <v>3132</v>
      </c>
      <c r="E214" s="52">
        <v>110000</v>
      </c>
      <c r="G214">
        <f>SUMIF(재고!E:E,제품!C214,재고!G:G)-SUMIF(주문_리스트!F:F,제품!C214,주문_리스트!I:I)</f>
        <v>-1</v>
      </c>
    </row>
    <row r="215" spans="1:8">
      <c r="A215">
        <v>214</v>
      </c>
      <c r="B215" s="281" t="s">
        <v>3165</v>
      </c>
      <c r="C215" s="281" t="s">
        <v>2382</v>
      </c>
      <c r="D215" s="281" t="s">
        <v>3165</v>
      </c>
      <c r="E215" s="52">
        <v>1550000</v>
      </c>
      <c r="G215">
        <f>SUMIF(재고!E:E,제품!C215,재고!G:G)-SUMIF(주문_리스트!F:F,제품!C215,주문_리스트!I:I)</f>
        <v>-3</v>
      </c>
    </row>
    <row r="216" spans="1:8">
      <c r="A216">
        <v>215</v>
      </c>
      <c r="B216" s="281" t="s">
        <v>3575</v>
      </c>
      <c r="C216" s="281" t="s">
        <v>3576</v>
      </c>
      <c r="D216" s="281" t="s">
        <v>3575</v>
      </c>
      <c r="G216">
        <f>SUMIF(재고!E:E,제품!C216,재고!G:G)-SUMIF(주문_리스트!F:F,제품!C216,주문_리스트!I:I)</f>
        <v>0</v>
      </c>
    </row>
    <row r="217" spans="1:8">
      <c r="A217">
        <v>216</v>
      </c>
      <c r="B217" s="281">
        <v>1112427047</v>
      </c>
      <c r="C217" s="281" t="s">
        <v>3215</v>
      </c>
      <c r="D217" s="281">
        <v>1112427047</v>
      </c>
      <c r="G217">
        <f>SUMIF(재고!E:E,제품!C217,재고!G:G)-SUMIF(주문_리스트!F:F,제품!C217,주문_리스트!I:I)</f>
        <v>0</v>
      </c>
    </row>
    <row r="218" spans="1:8">
      <c r="A218">
        <v>217</v>
      </c>
      <c r="B218" s="281" t="s">
        <v>3276</v>
      </c>
      <c r="C218" s="281" t="s">
        <v>3216</v>
      </c>
      <c r="D218" s="281">
        <v>501223434</v>
      </c>
      <c r="G218">
        <f>SUMIF(재고!E:E,제품!C218,재고!G:G)-SUMIF(주문_리스트!F:F,제품!C218,주문_리스트!I:I)</f>
        <v>0</v>
      </c>
    </row>
    <row r="219" spans="1:8">
      <c r="A219">
        <v>218</v>
      </c>
      <c r="B219" s="281" t="s">
        <v>3277</v>
      </c>
      <c r="C219" s="281" t="s">
        <v>3274</v>
      </c>
      <c r="D219" s="281">
        <v>501327105</v>
      </c>
      <c r="G219">
        <f>SUMIF(재고!E:E,제품!C219,재고!G:G)-SUMIF(주문_리스트!F:F,제품!C219,주문_리스트!I:I)</f>
        <v>-1</v>
      </c>
      <c r="H219" s="52" t="s">
        <v>3275</v>
      </c>
    </row>
    <row r="220" spans="1:8">
      <c r="A220">
        <v>219</v>
      </c>
      <c r="B220" s="281" t="s">
        <v>3283</v>
      </c>
      <c r="C220" s="281" t="s">
        <v>3284</v>
      </c>
      <c r="D220" s="281" t="s">
        <v>3283</v>
      </c>
      <c r="E220" s="52">
        <v>300000</v>
      </c>
      <c r="G220">
        <f>SUMIF(재고!E:E,제품!C220,재고!G:G)-SUMIF(주문_리스트!F:F,제품!C220,주문_리스트!I:I)</f>
        <v>-1</v>
      </c>
    </row>
    <row r="221" spans="1:8">
      <c r="A221">
        <v>220</v>
      </c>
      <c r="B221" s="281" t="s">
        <v>3312</v>
      </c>
      <c r="C221" s="281" t="s">
        <v>3313</v>
      </c>
      <c r="D221" s="281">
        <v>6058008114</v>
      </c>
      <c r="E221" s="52">
        <v>650000</v>
      </c>
      <c r="G221">
        <f>SUMIF(재고!E:E,제품!C221,재고!G:G)-SUMIF(주문_리스트!F:F,제품!C221,주문_리스트!I:I)</f>
        <v>-1</v>
      </c>
    </row>
    <row r="222" spans="1:8">
      <c r="A222">
        <v>221</v>
      </c>
      <c r="B222" s="281" t="s">
        <v>3386</v>
      </c>
      <c r="C222" s="281" t="s">
        <v>3387</v>
      </c>
      <c r="D222" s="281" t="s">
        <v>3386</v>
      </c>
      <c r="G222">
        <f>SUMIF(재고!E:E,제품!C222,재고!G:G)-SUMIF(주문_리스트!F:F,제품!C222,주문_리스트!I:I)</f>
        <v>-1</v>
      </c>
      <c r="H222" s="52" t="s">
        <v>3388</v>
      </c>
    </row>
    <row r="223" spans="1:8">
      <c r="A223">
        <v>222</v>
      </c>
      <c r="B223" s="281" t="s">
        <v>3416</v>
      </c>
      <c r="C223" s="281" t="s">
        <v>3417</v>
      </c>
      <c r="D223" s="281" t="s">
        <v>3416</v>
      </c>
      <c r="E223" s="52">
        <v>1500000</v>
      </c>
      <c r="G223">
        <f>SUMIF(재고!E:E,제품!C223,재고!G:G)-SUMIF(주문_리스트!F:F,제품!C223,주문_리스트!I:I)</f>
        <v>-1</v>
      </c>
    </row>
    <row r="224" spans="1:8">
      <c r="A224">
        <v>223</v>
      </c>
      <c r="C224" s="281" t="s">
        <v>3442</v>
      </c>
      <c r="E224" s="52">
        <v>750000</v>
      </c>
      <c r="G224">
        <f>SUMIF(재고!E:E,제품!C224,재고!G:G)-SUMIF(주문_리스트!F:F,제품!C224,주문_리스트!I:I)</f>
        <v>-1</v>
      </c>
    </row>
    <row r="225" spans="1:7">
      <c r="A225">
        <v>224</v>
      </c>
      <c r="B225" s="281" t="s">
        <v>3479</v>
      </c>
      <c r="C225" s="281" t="s">
        <v>3480</v>
      </c>
      <c r="D225" s="281">
        <v>2202701006</v>
      </c>
      <c r="E225" s="52">
        <v>3500000</v>
      </c>
      <c r="G225">
        <f>SUMIF(재고!E:E,제품!C225,재고!G:G)-SUMIF(주문_리스트!F:F,제품!C225,주문_리스트!I:I)</f>
        <v>-1</v>
      </c>
    </row>
    <row r="226" spans="1:7">
      <c r="A226">
        <v>225</v>
      </c>
      <c r="B226" s="281" t="s">
        <v>3527</v>
      </c>
      <c r="C226" s="281" t="s">
        <v>3221</v>
      </c>
      <c r="D226" s="281" t="s">
        <v>3527</v>
      </c>
      <c r="E226" s="52">
        <v>1100000</v>
      </c>
      <c r="G226">
        <f>SUMIF(재고!E:E,제품!C226,재고!G:G)-SUMIF(주문_리스트!F:F,제품!C226,주문_리스트!I:I)</f>
        <v>-3</v>
      </c>
    </row>
    <row r="227" spans="1:7">
      <c r="A227">
        <v>226</v>
      </c>
      <c r="B227" s="281" t="s">
        <v>3553</v>
      </c>
      <c r="C227" s="281" t="s">
        <v>3554</v>
      </c>
      <c r="D227" s="281" t="s">
        <v>3553</v>
      </c>
      <c r="G227">
        <f>SUMIF(재고!E:E,제품!C227,재고!G:G)-SUMIF(주문_리스트!F:F,제품!C227,주문_리스트!I:I)</f>
        <v>-1</v>
      </c>
    </row>
    <row r="228" spans="1:7">
      <c r="A228">
        <v>227</v>
      </c>
      <c r="C228" s="281" t="s">
        <v>3561</v>
      </c>
      <c r="E228" s="52">
        <v>300000</v>
      </c>
      <c r="G228">
        <f>SUMIF(재고!E:E,제품!C228,재고!G:G)-SUMIF(주문_리스트!F:F,제품!C228,주문_리스트!I:I)</f>
        <v>0</v>
      </c>
    </row>
    <row r="229" spans="1:7">
      <c r="A229">
        <v>228</v>
      </c>
      <c r="B229" s="281" t="s">
        <v>3577</v>
      </c>
      <c r="C229" s="281" t="s">
        <v>3578</v>
      </c>
      <c r="D229" s="281" t="s">
        <v>3577</v>
      </c>
      <c r="G229">
        <f>SUMIF(재고!E:E,제품!C229,재고!G:G)-SUMIF(주문_리스트!F:F,제품!C229,주문_리스트!I:I)</f>
        <v>0</v>
      </c>
    </row>
    <row r="230" spans="1:7">
      <c r="A230">
        <v>229</v>
      </c>
      <c r="C230" s="281" t="s">
        <v>3589</v>
      </c>
      <c r="E230" s="52">
        <v>2200000</v>
      </c>
      <c r="G230">
        <f>SUMIF(재고!E:E,제품!C230,재고!G:G)-SUMIF(주문_리스트!F:F,제품!C230,주문_리스트!I:I)</f>
        <v>-6</v>
      </c>
    </row>
    <row r="231" spans="1:7">
      <c r="A231">
        <v>230</v>
      </c>
      <c r="B231" s="281" t="s">
        <v>3594</v>
      </c>
      <c r="C231" s="281" t="s">
        <v>3595</v>
      </c>
      <c r="D231" s="281" t="s">
        <v>3594</v>
      </c>
      <c r="E231" s="52">
        <v>260000</v>
      </c>
      <c r="F231" s="52">
        <v>160000</v>
      </c>
      <c r="G231">
        <f>SUMIF(재고!E:E,제품!C231,재고!G:G)-SUMIF(주문_리스트!F:F,제품!C231,주문_리스트!I:I)</f>
        <v>-1</v>
      </c>
    </row>
    <row r="232" spans="1:7">
      <c r="A232">
        <v>231</v>
      </c>
      <c r="B232" s="281" t="s">
        <v>3597</v>
      </c>
      <c r="C232" s="281" t="s">
        <v>3598</v>
      </c>
      <c r="D232" s="281" t="s">
        <v>3597</v>
      </c>
      <c r="E232" s="52">
        <v>130000</v>
      </c>
      <c r="F232" s="52">
        <v>110000</v>
      </c>
      <c r="G232">
        <f>SUMIF(재고!E:E,제품!C232,재고!G:G)-SUMIF(주문_리스트!F:F,제품!C232,주문_리스트!I:I)</f>
        <v>-1</v>
      </c>
    </row>
    <row r="233" spans="1:7">
      <c r="A233">
        <v>232</v>
      </c>
      <c r="B233" s="281" t="s">
        <v>3599</v>
      </c>
      <c r="C233" s="281" t="s">
        <v>3589</v>
      </c>
      <c r="D233" s="281" t="s">
        <v>3599</v>
      </c>
      <c r="E233" s="52">
        <v>2200000</v>
      </c>
      <c r="G233">
        <f>SUMIF(재고!E:E,제품!C233,재고!G:G)-SUMIF(주문_리스트!F:F,제품!C233,주문_리스트!I:I)</f>
        <v>-6</v>
      </c>
    </row>
    <row r="234" spans="1:7">
      <c r="A234">
        <v>233</v>
      </c>
      <c r="B234" s="281" t="s">
        <v>3600</v>
      </c>
      <c r="C234" s="281" t="s">
        <v>3601</v>
      </c>
      <c r="D234" s="281" t="s">
        <v>3600</v>
      </c>
      <c r="E234" s="52">
        <v>300000</v>
      </c>
      <c r="G234">
        <f>SUMIF(재고!E:E,제품!C234,재고!G:G)-SUMIF(주문_리스트!F:F,제품!C234,주문_리스트!I:I)</f>
        <v>-1</v>
      </c>
    </row>
    <row r="235" spans="1:7">
      <c r="A235">
        <v>234</v>
      </c>
      <c r="B235" s="281" t="s">
        <v>3635</v>
      </c>
      <c r="C235" s="281" t="s">
        <v>3636</v>
      </c>
      <c r="D235" s="281" t="s">
        <v>3635</v>
      </c>
      <c r="E235" s="52">
        <v>30000</v>
      </c>
      <c r="F235" s="52">
        <v>15000</v>
      </c>
      <c r="G235">
        <f>SUMIF(재고!E:E,제품!C235,재고!G:G)-SUMIF(주문_리스트!F:F,제품!C235,주문_리스트!I:I)</f>
        <v>-1</v>
      </c>
    </row>
    <row r="236" spans="1:7">
      <c r="A236">
        <v>235</v>
      </c>
      <c r="B236" s="281" t="s">
        <v>3835</v>
      </c>
      <c r="C236" s="281" t="s">
        <v>3836</v>
      </c>
      <c r="D236" s="281" t="s">
        <v>3835</v>
      </c>
      <c r="E236" s="52">
        <v>600000</v>
      </c>
      <c r="G236">
        <f>SUMIF(재고!E:E,제품!C236,재고!G:G)-SUMIF(주문_리스트!F:F,제품!C236,주문_리스트!I:I)</f>
        <v>0</v>
      </c>
    </row>
    <row r="237" spans="1:7">
      <c r="A237">
        <v>236</v>
      </c>
      <c r="B237" s="281" t="s">
        <v>3847</v>
      </c>
      <c r="C237" s="281" t="s">
        <v>3847</v>
      </c>
      <c r="D237" s="281" t="s">
        <v>3848</v>
      </c>
      <c r="E237" s="52">
        <v>2500000</v>
      </c>
      <c r="G237">
        <f>SUMIF(재고!E:E,제품!C237,재고!G:G)-SUMIF(주문_리스트!F:F,제품!C237,주문_리스트!I:I)</f>
        <v>0</v>
      </c>
    </row>
    <row r="238" spans="1:7">
      <c r="A238">
        <v>241</v>
      </c>
      <c r="C238" s="281" t="s">
        <v>3861</v>
      </c>
      <c r="D238" s="281" t="s">
        <v>3862</v>
      </c>
      <c r="E238" s="52">
        <v>10000</v>
      </c>
      <c r="G238">
        <f>SUMIF(재고!E:E,제품!C238,재고!G:G)-SUMIF(주문_리스트!F:F,제품!C238,주문_리스트!I:I)</f>
        <v>-1</v>
      </c>
    </row>
    <row r="239" spans="1:7">
      <c r="A239">
        <v>242</v>
      </c>
      <c r="B239" s="281" t="s">
        <v>3888</v>
      </c>
      <c r="C239" s="281" t="s">
        <v>3889</v>
      </c>
      <c r="D239" s="281" t="s">
        <v>3888</v>
      </c>
      <c r="G239">
        <f>SUMIF(재고!E:E,제품!C239,재고!G:G)-SUMIF(주문_리스트!F:F,제품!C239,주문_리스트!I:I)</f>
        <v>-1</v>
      </c>
    </row>
    <row r="240" spans="1:7">
      <c r="A240">
        <v>243</v>
      </c>
    </row>
    <row r="241" spans="1:1">
      <c r="A241">
        <v>244</v>
      </c>
    </row>
    <row r="242" spans="1:1">
      <c r="A242">
        <v>245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92"/>
  <sheetViews>
    <sheetView zoomScaleNormal="100" workbookViewId="0">
      <pane ySplit="1" topLeftCell="A2" activePane="bottomLeft" state="frozen"/>
      <selection activeCell="N26" sqref="N26"/>
      <selection pane="bottomLeft" activeCell="H15" sqref="H15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</cols>
  <sheetData>
    <row r="1" spans="1:10" ht="17.25" thickBot="1">
      <c r="A1" s="31" t="s">
        <v>2</v>
      </c>
      <c r="B1" s="31" t="s">
        <v>14</v>
      </c>
      <c r="C1" s="31" t="s">
        <v>3937</v>
      </c>
      <c r="D1" s="280" t="s">
        <v>1</v>
      </c>
      <c r="E1" s="31" t="s">
        <v>0</v>
      </c>
      <c r="F1" s="31" t="s">
        <v>44</v>
      </c>
      <c r="G1" s="51" t="s">
        <v>50</v>
      </c>
      <c r="H1" s="51" t="s">
        <v>3935</v>
      </c>
      <c r="I1" s="7" t="s">
        <v>48</v>
      </c>
      <c r="J1" s="97">
        <v>28</v>
      </c>
    </row>
    <row r="2" spans="1:10">
      <c r="A2">
        <v>1</v>
      </c>
      <c r="B2" s="13">
        <v>45975</v>
      </c>
      <c r="C2" s="13"/>
      <c r="D2" s="281" t="s">
        <v>3981</v>
      </c>
      <c r="E2" s="189" t="s">
        <v>3978</v>
      </c>
      <c r="F2" s="189" t="s">
        <v>3979</v>
      </c>
      <c r="G2" s="52">
        <v>1</v>
      </c>
      <c r="H2" s="52">
        <v>1100000</v>
      </c>
    </row>
    <row r="3" spans="1:10">
      <c r="A3">
        <v>2</v>
      </c>
      <c r="B3" s="13">
        <v>45966</v>
      </c>
      <c r="C3" s="13"/>
      <c r="D3" s="281" t="s">
        <v>3932</v>
      </c>
      <c r="E3" s="189" t="s">
        <v>2179</v>
      </c>
      <c r="F3" s="189" t="s">
        <v>1200</v>
      </c>
      <c r="G3" s="52">
        <v>1</v>
      </c>
      <c r="H3" s="52">
        <v>1100000</v>
      </c>
    </row>
    <row r="4" spans="1:10">
      <c r="A4">
        <v>3</v>
      </c>
      <c r="B4" s="13">
        <v>45966</v>
      </c>
      <c r="C4" s="13"/>
      <c r="D4" s="281" t="s">
        <v>3933</v>
      </c>
      <c r="E4" s="189" t="s">
        <v>2179</v>
      </c>
      <c r="F4" s="189" t="s">
        <v>3936</v>
      </c>
      <c r="G4" s="52">
        <v>1</v>
      </c>
      <c r="H4" s="52">
        <v>1100000</v>
      </c>
    </row>
    <row r="5" spans="1:10">
      <c r="A5">
        <v>4</v>
      </c>
      <c r="B5" s="13">
        <v>45966</v>
      </c>
      <c r="C5" s="13" t="s">
        <v>3958</v>
      </c>
      <c r="D5" s="281" t="s">
        <v>3934</v>
      </c>
      <c r="E5" s="189" t="s">
        <v>2179</v>
      </c>
      <c r="F5" s="189" t="s">
        <v>1200</v>
      </c>
      <c r="G5" s="52">
        <v>1</v>
      </c>
      <c r="H5" s="52">
        <v>1100000</v>
      </c>
    </row>
    <row r="6" spans="1:10">
      <c r="A6">
        <v>5</v>
      </c>
      <c r="B6" s="13">
        <v>45967</v>
      </c>
      <c r="C6" s="13"/>
      <c r="D6" s="281" t="s">
        <v>3938</v>
      </c>
      <c r="E6" s="189" t="s">
        <v>1580</v>
      </c>
      <c r="F6" s="189" t="s">
        <v>1922</v>
      </c>
      <c r="G6" s="52">
        <v>1</v>
      </c>
      <c r="H6" s="52">
        <v>1400000</v>
      </c>
    </row>
    <row r="7" spans="1:10">
      <c r="A7">
        <v>6</v>
      </c>
      <c r="B7" s="13">
        <v>45967</v>
      </c>
      <c r="C7" s="13"/>
      <c r="D7" s="281" t="s">
        <v>3939</v>
      </c>
      <c r="E7" s="189" t="s">
        <v>1580</v>
      </c>
      <c r="F7" s="189" t="s">
        <v>1922</v>
      </c>
      <c r="G7" s="52">
        <v>1</v>
      </c>
      <c r="H7" s="52">
        <v>1400000</v>
      </c>
    </row>
    <row r="8" spans="1:10">
      <c r="A8">
        <v>7</v>
      </c>
      <c r="B8" s="13">
        <v>45967</v>
      </c>
      <c r="C8" s="13"/>
      <c r="D8" s="281" t="s">
        <v>3940</v>
      </c>
      <c r="E8" s="189" t="s">
        <v>1580</v>
      </c>
      <c r="F8" s="189" t="s">
        <v>1922</v>
      </c>
      <c r="G8" s="52">
        <v>1</v>
      </c>
      <c r="H8" s="52">
        <v>1400000</v>
      </c>
    </row>
    <row r="9" spans="1:10">
      <c r="A9">
        <v>8</v>
      </c>
      <c r="B9" s="13">
        <v>45967</v>
      </c>
      <c r="C9" s="13"/>
      <c r="D9" s="281" t="s">
        <v>3941</v>
      </c>
      <c r="E9" s="189" t="s">
        <v>3955</v>
      </c>
      <c r="F9" s="189" t="s">
        <v>3956</v>
      </c>
      <c r="G9" s="52">
        <v>1</v>
      </c>
      <c r="H9" s="52">
        <v>1100000</v>
      </c>
    </row>
    <row r="10" spans="1:10">
      <c r="A10">
        <v>9</v>
      </c>
      <c r="B10" s="13">
        <v>45967</v>
      </c>
      <c r="C10" s="13"/>
      <c r="D10" s="281" t="s">
        <v>3942</v>
      </c>
      <c r="E10" s="189" t="s">
        <v>3955</v>
      </c>
      <c r="F10" s="189" t="s">
        <v>3956</v>
      </c>
      <c r="G10" s="52">
        <v>1</v>
      </c>
      <c r="H10" s="52">
        <v>1100000</v>
      </c>
    </row>
    <row r="11" spans="1:10">
      <c r="A11">
        <v>10</v>
      </c>
      <c r="B11" s="13">
        <v>45967</v>
      </c>
      <c r="C11" s="13"/>
      <c r="D11" s="281" t="s">
        <v>3944</v>
      </c>
      <c r="E11" s="189" t="s">
        <v>2196</v>
      </c>
      <c r="F11" s="189" t="s">
        <v>1197</v>
      </c>
      <c r="G11" s="52">
        <v>1</v>
      </c>
      <c r="H11" s="52">
        <v>1000000</v>
      </c>
    </row>
    <row r="12" spans="1:10">
      <c r="A12">
        <v>11</v>
      </c>
      <c r="B12" s="13">
        <v>45967</v>
      </c>
      <c r="C12" s="13"/>
      <c r="D12" s="281" t="s">
        <v>3945</v>
      </c>
      <c r="E12" s="189" t="s">
        <v>1202</v>
      </c>
      <c r="F12" s="189" t="s">
        <v>1751</v>
      </c>
      <c r="G12" s="52">
        <v>1</v>
      </c>
      <c r="H12" s="52">
        <v>1200000</v>
      </c>
      <c r="I12" t="s">
        <v>1752</v>
      </c>
    </row>
    <row r="13" spans="1:10">
      <c r="A13">
        <v>12</v>
      </c>
      <c r="B13" s="13">
        <v>45967</v>
      </c>
      <c r="C13" s="13"/>
      <c r="D13" s="281" t="s">
        <v>3946</v>
      </c>
      <c r="E13" s="189" t="s">
        <v>1202</v>
      </c>
      <c r="F13" s="189" t="s">
        <v>1751</v>
      </c>
      <c r="G13" s="52">
        <v>1</v>
      </c>
      <c r="H13" s="52">
        <v>1200000</v>
      </c>
      <c r="I13" t="s">
        <v>1752</v>
      </c>
    </row>
    <row r="14" spans="1:10">
      <c r="A14">
        <v>13</v>
      </c>
      <c r="B14" s="13">
        <v>45967</v>
      </c>
      <c r="C14" s="13"/>
      <c r="D14" s="281" t="s">
        <v>3947</v>
      </c>
      <c r="E14" s="189" t="s">
        <v>1202</v>
      </c>
      <c r="F14" s="189" t="s">
        <v>1751</v>
      </c>
      <c r="G14" s="52">
        <v>1</v>
      </c>
      <c r="H14" s="52">
        <v>1200000</v>
      </c>
      <c r="I14" t="s">
        <v>1752</v>
      </c>
    </row>
    <row r="15" spans="1:10">
      <c r="A15">
        <v>14</v>
      </c>
      <c r="B15" s="13">
        <v>45967</v>
      </c>
      <c r="C15" s="13" t="s">
        <v>3958</v>
      </c>
      <c r="D15" s="281" t="s">
        <v>3948</v>
      </c>
      <c r="E15" s="189" t="s">
        <v>1202</v>
      </c>
      <c r="F15" s="189" t="s">
        <v>1751</v>
      </c>
      <c r="G15" s="52">
        <v>0</v>
      </c>
      <c r="H15" s="52">
        <v>1200000</v>
      </c>
      <c r="I15" t="s">
        <v>1752</v>
      </c>
    </row>
    <row r="16" spans="1:10">
      <c r="A16">
        <v>15</v>
      </c>
      <c r="B16" s="13">
        <v>45967</v>
      </c>
      <c r="C16" s="13"/>
      <c r="D16" s="281" t="s">
        <v>3949</v>
      </c>
      <c r="E16" s="189" t="s">
        <v>1202</v>
      </c>
      <c r="F16" s="189" t="s">
        <v>1751</v>
      </c>
      <c r="G16" s="52">
        <v>1</v>
      </c>
      <c r="H16" s="52">
        <v>1200000</v>
      </c>
      <c r="I16" t="s">
        <v>1752</v>
      </c>
    </row>
    <row r="17" spans="1:9">
      <c r="A17">
        <v>16</v>
      </c>
      <c r="B17" s="13">
        <v>45967</v>
      </c>
      <c r="C17" s="13"/>
      <c r="D17" s="281" t="s">
        <v>3950</v>
      </c>
      <c r="E17" s="189" t="s">
        <v>1202</v>
      </c>
      <c r="F17" s="189" t="s">
        <v>1751</v>
      </c>
      <c r="G17" s="52">
        <v>1</v>
      </c>
      <c r="H17" s="52">
        <v>1200000</v>
      </c>
      <c r="I17" t="s">
        <v>1752</v>
      </c>
    </row>
    <row r="18" spans="1:9">
      <c r="A18">
        <v>17</v>
      </c>
      <c r="B18" s="13">
        <v>45967</v>
      </c>
      <c r="C18" s="13" t="s">
        <v>3958</v>
      </c>
      <c r="D18" s="281" t="s">
        <v>3951</v>
      </c>
      <c r="E18" s="189" t="s">
        <v>1202</v>
      </c>
      <c r="F18" s="189" t="s">
        <v>1751</v>
      </c>
      <c r="G18" s="52">
        <v>1</v>
      </c>
      <c r="H18" s="52">
        <v>1200000</v>
      </c>
      <c r="I18" t="s">
        <v>1752</v>
      </c>
    </row>
    <row r="19" spans="1:9">
      <c r="A19">
        <v>18</v>
      </c>
      <c r="B19" s="13">
        <v>45967</v>
      </c>
      <c r="C19" s="13" t="s">
        <v>3958</v>
      </c>
      <c r="D19" s="281" t="s">
        <v>3952</v>
      </c>
      <c r="E19" s="189" t="s">
        <v>1202</v>
      </c>
      <c r="F19" s="189" t="s">
        <v>1751</v>
      </c>
      <c r="G19" s="52">
        <v>1</v>
      </c>
      <c r="H19" s="52">
        <v>1200000</v>
      </c>
      <c r="I19" t="s">
        <v>1752</v>
      </c>
    </row>
    <row r="20" spans="1:9">
      <c r="A20">
        <v>19</v>
      </c>
      <c r="B20" s="13">
        <v>45968</v>
      </c>
      <c r="C20" s="13"/>
      <c r="D20" s="281" t="s">
        <v>3953</v>
      </c>
      <c r="E20" s="189" t="s">
        <v>2196</v>
      </c>
      <c r="F20" s="189" t="s">
        <v>1197</v>
      </c>
      <c r="G20" s="52">
        <v>1</v>
      </c>
      <c r="H20" s="52">
        <v>1000000</v>
      </c>
    </row>
    <row r="21" spans="1:9">
      <c r="A21">
        <v>20</v>
      </c>
      <c r="B21" s="13">
        <v>45968</v>
      </c>
      <c r="C21" s="13"/>
      <c r="D21" s="281" t="s">
        <v>3954</v>
      </c>
      <c r="E21" s="189" t="s">
        <v>2196</v>
      </c>
      <c r="F21" s="189" t="s">
        <v>1197</v>
      </c>
      <c r="G21" s="52">
        <v>1</v>
      </c>
      <c r="H21" s="52">
        <v>1000000</v>
      </c>
    </row>
    <row r="22" spans="1:9">
      <c r="A22">
        <v>21</v>
      </c>
      <c r="B22" s="13">
        <v>45968</v>
      </c>
      <c r="C22" s="13"/>
      <c r="D22" s="281" t="s">
        <v>3957</v>
      </c>
      <c r="E22" s="189" t="s">
        <v>2416</v>
      </c>
      <c r="F22" s="189" t="s">
        <v>2746</v>
      </c>
      <c r="G22" s="52">
        <v>1</v>
      </c>
      <c r="H22" s="52">
        <v>1100000</v>
      </c>
    </row>
    <row r="23" spans="1:9">
      <c r="A23">
        <v>22</v>
      </c>
      <c r="B23" s="13">
        <v>45972</v>
      </c>
      <c r="C23" s="13"/>
      <c r="D23" s="281" t="s">
        <v>3967</v>
      </c>
      <c r="E23" s="189" t="s">
        <v>2179</v>
      </c>
      <c r="F23" s="189" t="s">
        <v>1200</v>
      </c>
      <c r="G23" s="52">
        <v>1</v>
      </c>
      <c r="H23" s="52">
        <v>1500000</v>
      </c>
    </row>
    <row r="24" spans="1:9">
      <c r="A24">
        <v>23</v>
      </c>
      <c r="B24" s="13">
        <v>45972</v>
      </c>
      <c r="C24" s="13" t="s">
        <v>3958</v>
      </c>
      <c r="D24" s="281" t="s">
        <v>3968</v>
      </c>
      <c r="E24" s="189" t="s">
        <v>2179</v>
      </c>
      <c r="F24" s="189" t="s">
        <v>1200</v>
      </c>
      <c r="G24" s="52">
        <v>1</v>
      </c>
      <c r="H24" s="52">
        <v>1500000</v>
      </c>
    </row>
    <row r="25" spans="1:9">
      <c r="A25">
        <v>24</v>
      </c>
      <c r="B25" s="13">
        <v>45972</v>
      </c>
      <c r="C25" s="13"/>
      <c r="D25" s="281" t="s">
        <v>3969</v>
      </c>
      <c r="E25" s="189" t="s">
        <v>2179</v>
      </c>
      <c r="F25" s="189" t="s">
        <v>1200</v>
      </c>
      <c r="G25" s="52">
        <v>1</v>
      </c>
      <c r="H25" s="52">
        <v>1500000</v>
      </c>
    </row>
    <row r="26" spans="1:9">
      <c r="A26">
        <v>26</v>
      </c>
      <c r="B26" s="13">
        <v>45972</v>
      </c>
      <c r="C26" s="13"/>
      <c r="D26" s="281" t="s">
        <v>3970</v>
      </c>
      <c r="E26" s="189" t="s">
        <v>2179</v>
      </c>
      <c r="F26" s="189" t="s">
        <v>1200</v>
      </c>
      <c r="G26" s="52">
        <v>1</v>
      </c>
      <c r="H26" s="52">
        <v>1500000</v>
      </c>
    </row>
    <row r="27" spans="1:9">
      <c r="A27">
        <v>27</v>
      </c>
      <c r="B27" s="13">
        <v>45972</v>
      </c>
      <c r="C27" s="13"/>
      <c r="D27" s="281" t="s">
        <v>3971</v>
      </c>
      <c r="E27" s="189" t="s">
        <v>2179</v>
      </c>
      <c r="F27" s="189" t="s">
        <v>1200</v>
      </c>
      <c r="G27" s="52">
        <v>1</v>
      </c>
      <c r="H27" s="52">
        <v>1100000</v>
      </c>
    </row>
    <row r="28" spans="1:9">
      <c r="B28" s="13"/>
      <c r="C28" s="13"/>
    </row>
    <row r="29" spans="1:9">
      <c r="B29" s="13"/>
      <c r="C29" s="13"/>
    </row>
    <row r="30" spans="1:9">
      <c r="B30" s="13"/>
      <c r="C30" s="13"/>
    </row>
    <row r="31" spans="1:9">
      <c r="B31" s="13"/>
      <c r="C31" s="13"/>
    </row>
    <row r="32" spans="1:9">
      <c r="B32" s="13"/>
      <c r="C32" s="13"/>
    </row>
    <row r="33" spans="2:3">
      <c r="B33" s="13"/>
      <c r="C33" s="13"/>
    </row>
    <row r="34" spans="2:3">
      <c r="B34" s="13"/>
      <c r="C34" s="13"/>
    </row>
    <row r="35" spans="2:3">
      <c r="B35" s="13"/>
      <c r="C35" s="13"/>
    </row>
    <row r="36" spans="2:3">
      <c r="B36" s="13"/>
      <c r="C36" s="13"/>
    </row>
    <row r="37" spans="2:3">
      <c r="B37" s="13"/>
      <c r="C37" s="13"/>
    </row>
    <row r="38" spans="2:3">
      <c r="B38" s="13"/>
      <c r="C38" s="13"/>
    </row>
    <row r="39" spans="2:3">
      <c r="B39" s="13"/>
      <c r="C39" s="13"/>
    </row>
    <row r="40" spans="2:3">
      <c r="B40" s="13"/>
      <c r="C40" s="13"/>
    </row>
    <row r="41" spans="2:3">
      <c r="B41" s="13"/>
      <c r="C41" s="13"/>
    </row>
    <row r="42" spans="2:3">
      <c r="B42" s="13"/>
      <c r="C42" s="13"/>
    </row>
    <row r="43" spans="2:3">
      <c r="B43" s="13"/>
      <c r="C43" s="13"/>
    </row>
    <row r="44" spans="2:3">
      <c r="B44" s="13"/>
      <c r="C44" s="13"/>
    </row>
    <row r="45" spans="2:3">
      <c r="B45" s="13"/>
      <c r="C45" s="13"/>
    </row>
    <row r="46" spans="2:3">
      <c r="B46" s="13"/>
      <c r="C46" s="13"/>
    </row>
    <row r="47" spans="2:3">
      <c r="B47" s="13"/>
      <c r="C47" s="13"/>
    </row>
    <row r="48" spans="2:3">
      <c r="B48" s="13"/>
      <c r="C48" s="13"/>
    </row>
    <row r="49" spans="2:3">
      <c r="B49" s="13"/>
      <c r="C49" s="13"/>
    </row>
    <row r="50" spans="2:3">
      <c r="B50" s="13"/>
      <c r="C50" s="13"/>
    </row>
    <row r="51" spans="2:3">
      <c r="B51" s="13"/>
      <c r="C51" s="13"/>
    </row>
    <row r="52" spans="2:3">
      <c r="B52" s="13"/>
      <c r="C52" s="13"/>
    </row>
    <row r="53" spans="2:3">
      <c r="B53" s="13"/>
      <c r="C53" s="13"/>
    </row>
    <row r="54" spans="2:3">
      <c r="B54" s="13"/>
      <c r="C54" s="13"/>
    </row>
    <row r="55" spans="2:3">
      <c r="B55" s="13"/>
      <c r="C55" s="13"/>
    </row>
    <row r="56" spans="2:3">
      <c r="B56" s="13"/>
      <c r="C56" s="13"/>
    </row>
    <row r="57" spans="2:3">
      <c r="B57" s="13"/>
      <c r="C57" s="13"/>
    </row>
    <row r="58" spans="2:3">
      <c r="B58" s="13"/>
      <c r="C58" s="13"/>
    </row>
    <row r="59" spans="2:3">
      <c r="B59" s="13"/>
      <c r="C59" s="13"/>
    </row>
    <row r="60" spans="2:3">
      <c r="B60" s="13"/>
      <c r="C60" s="13"/>
    </row>
    <row r="61" spans="2:3">
      <c r="B61" s="13"/>
      <c r="C61" s="13"/>
    </row>
    <row r="62" spans="2:3">
      <c r="B62" s="13"/>
      <c r="C62" s="13"/>
    </row>
    <row r="63" spans="2:3">
      <c r="B63" s="13"/>
      <c r="C63" s="13"/>
    </row>
    <row r="64" spans="2:3">
      <c r="B64" s="13"/>
      <c r="C64" s="13"/>
    </row>
    <row r="65" spans="2:3">
      <c r="B65" s="13"/>
      <c r="C65" s="13"/>
    </row>
    <row r="66" spans="2:3">
      <c r="B66" s="13"/>
      <c r="C66" s="13"/>
    </row>
    <row r="67" spans="2:3">
      <c r="B67" s="13"/>
      <c r="C67" s="13"/>
    </row>
    <row r="68" spans="2:3">
      <c r="B68" s="13"/>
      <c r="C68" s="13"/>
    </row>
    <row r="69" spans="2:3">
      <c r="B69" s="13"/>
      <c r="C69" s="13"/>
    </row>
    <row r="70" spans="2:3">
      <c r="B70" s="13"/>
      <c r="C70" s="13"/>
    </row>
    <row r="71" spans="2:3">
      <c r="B71" s="13"/>
      <c r="C71" s="13"/>
    </row>
    <row r="72" spans="2:3">
      <c r="B72" s="13"/>
      <c r="C72" s="13"/>
    </row>
    <row r="73" spans="2:3">
      <c r="B73" s="13"/>
      <c r="C73" s="13"/>
    </row>
    <row r="74" spans="2:3">
      <c r="B74" s="13"/>
      <c r="C74" s="13"/>
    </row>
    <row r="75" spans="2:3">
      <c r="B75" s="13"/>
      <c r="C75" s="13"/>
    </row>
    <row r="76" spans="2:3">
      <c r="B76" s="13"/>
      <c r="C76" s="13"/>
    </row>
    <row r="77" spans="2:3">
      <c r="B77" s="13"/>
      <c r="C77" s="13"/>
    </row>
    <row r="78" spans="2:3">
      <c r="B78" s="13"/>
      <c r="C78" s="13"/>
    </row>
    <row r="79" spans="2:3">
      <c r="B79" s="13"/>
      <c r="C79" s="13"/>
    </row>
    <row r="80" spans="2:3">
      <c r="B80" s="13"/>
      <c r="C80" s="13"/>
    </row>
    <row r="81" spans="2:3">
      <c r="B81" s="13"/>
      <c r="C81" s="13"/>
    </row>
    <row r="82" spans="2:3">
      <c r="B82" s="13"/>
      <c r="C82" s="13"/>
    </row>
    <row r="83" spans="2:3">
      <c r="B83" s="13"/>
      <c r="C83" s="13"/>
    </row>
    <row r="84" spans="2:3">
      <c r="B84" s="13"/>
      <c r="C84" s="13"/>
    </row>
    <row r="85" spans="2:3">
      <c r="B85" s="13"/>
      <c r="C85" s="13"/>
    </row>
    <row r="86" spans="2:3">
      <c r="B86" s="13"/>
      <c r="C86" s="13"/>
    </row>
    <row r="87" spans="2:3">
      <c r="B87" s="13"/>
      <c r="C87" s="13"/>
    </row>
    <row r="88" spans="2:3">
      <c r="B88" s="13"/>
      <c r="C88" s="13"/>
    </row>
    <row r="89" spans="2:3">
      <c r="B89" s="13"/>
      <c r="C89" s="13"/>
    </row>
    <row r="90" spans="2:3">
      <c r="B90" s="13"/>
      <c r="C90" s="13"/>
    </row>
    <row r="91" spans="2:3">
      <c r="B91" s="13"/>
      <c r="C91" s="13"/>
    </row>
    <row r="92" spans="2:3">
      <c r="B92" s="13"/>
      <c r="C92" s="13"/>
    </row>
    <row r="93" spans="2:3">
      <c r="B93" s="13"/>
      <c r="C93" s="13"/>
    </row>
    <row r="94" spans="2:3">
      <c r="B94" s="13"/>
      <c r="C94" s="13"/>
    </row>
    <row r="95" spans="2:3">
      <c r="B95" s="13"/>
      <c r="C95" s="13"/>
    </row>
    <row r="96" spans="2:3">
      <c r="B96" s="13"/>
      <c r="C96" s="13"/>
    </row>
    <row r="97" spans="2:3">
      <c r="B97" s="13"/>
      <c r="C97" s="13"/>
    </row>
    <row r="98" spans="2:3">
      <c r="B98" s="13"/>
      <c r="C98" s="13"/>
    </row>
    <row r="99" spans="2:3">
      <c r="B99" s="13"/>
      <c r="C99" s="13"/>
    </row>
    <row r="100" spans="2:3">
      <c r="B100" s="13"/>
      <c r="C100" s="13"/>
    </row>
    <row r="101" spans="2:3">
      <c r="B101" s="13"/>
      <c r="C101" s="13"/>
    </row>
    <row r="102" spans="2:3">
      <c r="B102" s="13"/>
      <c r="C102" s="13"/>
    </row>
    <row r="103" spans="2:3">
      <c r="B103" s="13"/>
      <c r="C103" s="13"/>
    </row>
    <row r="104" spans="2:3">
      <c r="B104" s="13"/>
      <c r="C104" s="13"/>
    </row>
    <row r="105" spans="2:3">
      <c r="B105" s="13"/>
      <c r="C105" s="13"/>
    </row>
    <row r="106" spans="2:3">
      <c r="B106" s="13"/>
      <c r="C106" s="13"/>
    </row>
    <row r="107" spans="2:3">
      <c r="B107" s="13"/>
      <c r="C107" s="13"/>
    </row>
    <row r="108" spans="2:3">
      <c r="B108" s="13"/>
      <c r="C108" s="13"/>
    </row>
    <row r="109" spans="2:3">
      <c r="B109" s="13"/>
      <c r="C109" s="13"/>
    </row>
    <row r="110" spans="2:3">
      <c r="B110" s="13"/>
      <c r="C110" s="13"/>
    </row>
    <row r="111" spans="2:3">
      <c r="B111" s="13"/>
      <c r="C111" s="13"/>
    </row>
    <row r="112" spans="2:3">
      <c r="B112" s="13"/>
      <c r="C112" s="13"/>
    </row>
    <row r="113" spans="2:3">
      <c r="B113" s="13"/>
      <c r="C113" s="13"/>
    </row>
    <row r="114" spans="2:3">
      <c r="B114" s="13"/>
      <c r="C114" s="13"/>
    </row>
    <row r="115" spans="2:3">
      <c r="B115" s="13"/>
      <c r="C115" s="13"/>
    </row>
    <row r="116" spans="2:3">
      <c r="B116" s="13"/>
      <c r="C116" s="13"/>
    </row>
    <row r="117" spans="2:3">
      <c r="B117" s="13"/>
      <c r="C117" s="13"/>
    </row>
    <row r="118" spans="2:3">
      <c r="B118" s="13"/>
      <c r="C118" s="13"/>
    </row>
    <row r="119" spans="2:3">
      <c r="B119" s="13"/>
      <c r="C119" s="13"/>
    </row>
    <row r="120" spans="2:3">
      <c r="B120" s="13"/>
      <c r="C120" s="13"/>
    </row>
    <row r="121" spans="2:3">
      <c r="B121" s="13"/>
      <c r="C121" s="13"/>
    </row>
    <row r="122" spans="2:3">
      <c r="B122" s="13"/>
      <c r="C122" s="13"/>
    </row>
    <row r="123" spans="2:3">
      <c r="B123" s="13"/>
      <c r="C123" s="13"/>
    </row>
    <row r="124" spans="2:3">
      <c r="B124" s="13"/>
      <c r="C124" s="13"/>
    </row>
    <row r="125" spans="2:3">
      <c r="B125" s="13"/>
      <c r="C125" s="13"/>
    </row>
    <row r="126" spans="2:3">
      <c r="B126" s="13"/>
      <c r="C126" s="13"/>
    </row>
    <row r="127" spans="2:3">
      <c r="B127" s="13"/>
      <c r="C127" s="13"/>
    </row>
    <row r="128" spans="2:3">
      <c r="B128" s="13"/>
      <c r="C128" s="13"/>
    </row>
    <row r="129" spans="2:3">
      <c r="B129" s="13"/>
      <c r="C129" s="13"/>
    </row>
    <row r="130" spans="2:3">
      <c r="B130" s="13"/>
      <c r="C130" s="13"/>
    </row>
    <row r="131" spans="2:3">
      <c r="B131" s="13"/>
      <c r="C131" s="13"/>
    </row>
    <row r="132" spans="2:3">
      <c r="B132" s="13"/>
      <c r="C132" s="13"/>
    </row>
    <row r="133" spans="2:3">
      <c r="B133" s="13"/>
      <c r="C133" s="13"/>
    </row>
    <row r="134" spans="2:3">
      <c r="B134" s="13"/>
      <c r="C134" s="13"/>
    </row>
    <row r="135" spans="2:3">
      <c r="B135" s="13"/>
      <c r="C135" s="13"/>
    </row>
    <row r="136" spans="2:3">
      <c r="B136" s="13"/>
      <c r="C136" s="13"/>
    </row>
    <row r="137" spans="2:3">
      <c r="B137" s="13"/>
      <c r="C137" s="13"/>
    </row>
    <row r="138" spans="2:3">
      <c r="B138" s="13"/>
      <c r="C138" s="13"/>
    </row>
    <row r="139" spans="2:3">
      <c r="B139" s="13"/>
      <c r="C139" s="13"/>
    </row>
    <row r="140" spans="2:3">
      <c r="B140" s="13"/>
      <c r="C140" s="13"/>
    </row>
    <row r="141" spans="2:3">
      <c r="B141" s="13"/>
      <c r="C141" s="13"/>
    </row>
    <row r="142" spans="2:3">
      <c r="B142" s="13"/>
      <c r="C142" s="13"/>
    </row>
    <row r="143" spans="2:3">
      <c r="B143" s="13"/>
      <c r="C143" s="13"/>
    </row>
    <row r="144" spans="2:3">
      <c r="B144" s="13"/>
      <c r="C144" s="13"/>
    </row>
    <row r="145" spans="2:3">
      <c r="B145" s="13"/>
      <c r="C145" s="13"/>
    </row>
    <row r="146" spans="2:3">
      <c r="B146" s="13"/>
      <c r="C146" s="13"/>
    </row>
    <row r="147" spans="2:3">
      <c r="B147" s="13"/>
      <c r="C147" s="13"/>
    </row>
    <row r="148" spans="2:3">
      <c r="B148" s="13"/>
      <c r="C148" s="13"/>
    </row>
    <row r="149" spans="2:3">
      <c r="B149" s="13"/>
      <c r="C149" s="13"/>
    </row>
    <row r="150" spans="2:3">
      <c r="B150" s="13"/>
      <c r="C150" s="13"/>
    </row>
    <row r="151" spans="2:3">
      <c r="B151" s="13"/>
      <c r="C151" s="13"/>
    </row>
    <row r="152" spans="2:3">
      <c r="B152" s="13"/>
      <c r="C152" s="13"/>
    </row>
    <row r="153" spans="2:3">
      <c r="B153" s="13"/>
      <c r="C153" s="13"/>
    </row>
    <row r="154" spans="2:3">
      <c r="B154" s="13"/>
      <c r="C154" s="13"/>
    </row>
    <row r="155" spans="2:3">
      <c r="B155" s="13"/>
      <c r="C155" s="13"/>
    </row>
    <row r="156" spans="2:3">
      <c r="B156" s="13"/>
      <c r="C156" s="13"/>
    </row>
    <row r="157" spans="2:3">
      <c r="B157" s="13"/>
      <c r="C157" s="13"/>
    </row>
    <row r="158" spans="2:3">
      <c r="B158" s="13"/>
      <c r="C158" s="13"/>
    </row>
    <row r="159" spans="2:3">
      <c r="B159" s="13"/>
      <c r="C159" s="13"/>
    </row>
    <row r="160" spans="2:3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  <row r="189" spans="2:3">
      <c r="B189" s="13"/>
      <c r="C189" s="13"/>
    </row>
    <row r="190" spans="2:3">
      <c r="B190" s="13"/>
      <c r="C190" s="13"/>
    </row>
    <row r="191" spans="2:3">
      <c r="B191" s="13"/>
      <c r="C191" s="13"/>
    </row>
    <row r="192" spans="2:3">
      <c r="B192" s="13"/>
      <c r="C192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41</v>
      </c>
    </row>
    <row r="2" spans="1:1">
      <c r="A2" t="s">
        <v>38</v>
      </c>
    </row>
    <row r="3" spans="1:1">
      <c r="A3" t="s">
        <v>39</v>
      </c>
    </row>
    <row r="4" spans="1:1">
      <c r="A4" t="s">
        <v>40</v>
      </c>
    </row>
    <row r="5" spans="1:1">
      <c r="A5" t="s">
        <v>2672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43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1111</v>
      </c>
    </row>
    <row r="4" spans="1:3">
      <c r="A4">
        <v>3</v>
      </c>
      <c r="B4" t="s">
        <v>1112</v>
      </c>
    </row>
    <row r="5" spans="1:3">
      <c r="A5">
        <v>4</v>
      </c>
      <c r="B5" t="s">
        <v>1730</v>
      </c>
    </row>
    <row r="6" spans="1:3">
      <c r="A6">
        <v>5</v>
      </c>
      <c r="B6" t="s">
        <v>1113</v>
      </c>
    </row>
    <row r="7" spans="1:3">
      <c r="A7">
        <v>6</v>
      </c>
      <c r="B7" t="s">
        <v>1114</v>
      </c>
    </row>
    <row r="8" spans="1:3">
      <c r="A8">
        <v>7</v>
      </c>
      <c r="B8" t="s">
        <v>1132</v>
      </c>
    </row>
    <row r="9" spans="1:3">
      <c r="A9">
        <v>8</v>
      </c>
      <c r="B9" t="s">
        <v>1133</v>
      </c>
    </row>
    <row r="10" spans="1:3">
      <c r="A10">
        <v>9</v>
      </c>
      <c r="B10" t="s">
        <v>1141</v>
      </c>
    </row>
    <row r="11" spans="1:3">
      <c r="A11">
        <v>12</v>
      </c>
      <c r="B11" t="s">
        <v>1761</v>
      </c>
    </row>
    <row r="12" spans="1:3">
      <c r="A12">
        <v>13</v>
      </c>
      <c r="B12" t="s">
        <v>1772</v>
      </c>
    </row>
    <row r="13" spans="1:3">
      <c r="A13">
        <v>14</v>
      </c>
      <c r="B13" t="s">
        <v>1917</v>
      </c>
    </row>
    <row r="14" spans="1:3">
      <c r="A14">
        <v>15</v>
      </c>
      <c r="B14" t="s">
        <v>2344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956</v>
      </c>
      <c r="B1" t="s">
        <v>10</v>
      </c>
      <c r="C1" t="s">
        <v>9</v>
      </c>
    </row>
    <row r="2" spans="1:3" ht="54.75" thickBot="1">
      <c r="A2" s="39" t="s">
        <v>91</v>
      </c>
      <c r="B2" s="39" t="s">
        <v>92</v>
      </c>
      <c r="C2" s="40" t="s">
        <v>93</v>
      </c>
    </row>
    <row r="3" spans="1:3" ht="54.75" thickBot="1">
      <c r="A3" s="41" t="s">
        <v>94</v>
      </c>
      <c r="B3" s="42" t="s">
        <v>95</v>
      </c>
      <c r="C3" s="43" t="s">
        <v>96</v>
      </c>
    </row>
    <row r="4" spans="1:3" ht="54.75" thickBot="1">
      <c r="A4" s="39" t="s">
        <v>97</v>
      </c>
      <c r="B4" s="39" t="s">
        <v>98</v>
      </c>
      <c r="C4" s="40" t="s">
        <v>99</v>
      </c>
    </row>
    <row r="5" spans="1:3" ht="54.75" thickBot="1">
      <c r="A5" s="41" t="s">
        <v>100</v>
      </c>
      <c r="B5" s="42" t="s">
        <v>101</v>
      </c>
      <c r="C5" s="43" t="s">
        <v>102</v>
      </c>
    </row>
    <row r="6" spans="1:3" ht="54.75" thickBot="1">
      <c r="A6" s="41" t="s">
        <v>103</v>
      </c>
      <c r="B6" s="39" t="s">
        <v>104</v>
      </c>
      <c r="C6" s="40" t="s">
        <v>105</v>
      </c>
    </row>
    <row r="7" spans="1:3" ht="54.75" thickBot="1">
      <c r="A7" s="41" t="s">
        <v>106</v>
      </c>
      <c r="B7" s="42" t="s">
        <v>107</v>
      </c>
      <c r="C7" s="43" t="s">
        <v>108</v>
      </c>
    </row>
    <row r="8" spans="1:3" ht="54.75" thickBot="1">
      <c r="A8" s="41" t="s">
        <v>109</v>
      </c>
      <c r="B8" s="39" t="s">
        <v>110</v>
      </c>
      <c r="C8" s="40" t="s">
        <v>111</v>
      </c>
    </row>
    <row r="9" spans="1:3" ht="68.25" thickBot="1">
      <c r="A9" s="41" t="s">
        <v>112</v>
      </c>
      <c r="B9" s="42" t="s">
        <v>113</v>
      </c>
      <c r="C9" s="43" t="s">
        <v>114</v>
      </c>
    </row>
    <row r="10" spans="1:3" ht="54.75" thickBot="1">
      <c r="A10" s="41" t="s">
        <v>97</v>
      </c>
      <c r="B10" s="39" t="s">
        <v>98</v>
      </c>
      <c r="C10" s="40" t="s">
        <v>99</v>
      </c>
    </row>
    <row r="11" spans="1:3" ht="54.75" thickBot="1">
      <c r="A11" s="41" t="s">
        <v>115</v>
      </c>
      <c r="B11" s="42" t="s">
        <v>116</v>
      </c>
      <c r="C11" s="43" t="s">
        <v>117</v>
      </c>
    </row>
    <row r="12" spans="1:3" ht="81.75" thickBot="1">
      <c r="A12" s="41" t="s">
        <v>118</v>
      </c>
      <c r="B12" s="39" t="s">
        <v>119</v>
      </c>
      <c r="C12" s="40" t="s">
        <v>120</v>
      </c>
    </row>
    <row r="13" spans="1:3" ht="68.25" thickBot="1">
      <c r="A13" s="41" t="s">
        <v>121</v>
      </c>
      <c r="B13" s="42" t="s">
        <v>122</v>
      </c>
      <c r="C13" s="43" t="s">
        <v>123</v>
      </c>
    </row>
    <row r="14" spans="1:3" ht="54.75" thickBot="1">
      <c r="A14" s="41" t="s">
        <v>124</v>
      </c>
      <c r="B14" s="39" t="s">
        <v>125</v>
      </c>
      <c r="C14" s="40" t="s">
        <v>126</v>
      </c>
    </row>
    <row r="15" spans="1:3" ht="54.75" thickBot="1">
      <c r="A15" s="41" t="s">
        <v>127</v>
      </c>
      <c r="B15" s="42" t="s">
        <v>128</v>
      </c>
      <c r="C15" s="43" t="s">
        <v>129</v>
      </c>
    </row>
    <row r="16" spans="1:3" ht="68.25" thickBot="1">
      <c r="A16" s="41" t="s">
        <v>130</v>
      </c>
      <c r="B16" s="39" t="s">
        <v>131</v>
      </c>
      <c r="C16" s="40" t="s">
        <v>132</v>
      </c>
    </row>
    <row r="17" spans="1:3" ht="54.75" thickBot="1">
      <c r="A17" s="41" t="s">
        <v>133</v>
      </c>
      <c r="B17" s="42" t="s">
        <v>134</v>
      </c>
      <c r="C17" s="43" t="s">
        <v>135</v>
      </c>
    </row>
    <row r="18" spans="1:3" ht="41.25" thickBot="1">
      <c r="A18" s="39" t="s">
        <v>136</v>
      </c>
      <c r="B18" s="39" t="s">
        <v>137</v>
      </c>
      <c r="C18" s="40" t="s">
        <v>138</v>
      </c>
    </row>
    <row r="19" spans="1:3" ht="41.25" thickBot="1">
      <c r="A19" s="41" t="s">
        <v>139</v>
      </c>
      <c r="B19" s="42" t="s">
        <v>140</v>
      </c>
      <c r="C19" s="43" t="s">
        <v>141</v>
      </c>
    </row>
    <row r="20" spans="1:3" ht="41.25" thickBot="1">
      <c r="A20" s="39" t="s">
        <v>142</v>
      </c>
      <c r="B20" s="39" t="s">
        <v>143</v>
      </c>
      <c r="C20" s="40" t="s">
        <v>144</v>
      </c>
    </row>
    <row r="21" spans="1:3" ht="41.25" thickBot="1">
      <c r="A21" s="41" t="s">
        <v>145</v>
      </c>
      <c r="B21" s="42" t="s">
        <v>146</v>
      </c>
      <c r="C21" s="43" t="s">
        <v>147</v>
      </c>
    </row>
    <row r="22" spans="1:3" ht="41.25" thickBot="1">
      <c r="A22" s="41" t="s">
        <v>148</v>
      </c>
      <c r="B22" s="39" t="s">
        <v>149</v>
      </c>
      <c r="C22" s="40" t="s">
        <v>150</v>
      </c>
    </row>
    <row r="23" spans="1:3" ht="41.25" thickBot="1">
      <c r="A23" s="42" t="s">
        <v>151</v>
      </c>
      <c r="B23" s="42" t="s">
        <v>152</v>
      </c>
      <c r="C23" s="43" t="s">
        <v>153</v>
      </c>
    </row>
    <row r="24" spans="1:3" ht="41.25" thickBot="1">
      <c r="A24" s="41" t="s">
        <v>154</v>
      </c>
      <c r="B24" s="39" t="s">
        <v>155</v>
      </c>
      <c r="C24" s="40" t="s">
        <v>156</v>
      </c>
    </row>
    <row r="25" spans="1:3" ht="41.25" thickBot="1">
      <c r="A25" s="41" t="s">
        <v>157</v>
      </c>
      <c r="B25" s="42" t="s">
        <v>158</v>
      </c>
      <c r="C25" s="43" t="s">
        <v>159</v>
      </c>
    </row>
    <row r="26" spans="1:3" ht="54.75" thickBot="1">
      <c r="A26" s="41" t="s">
        <v>160</v>
      </c>
      <c r="B26" s="39" t="s">
        <v>161</v>
      </c>
      <c r="C26" s="40" t="s">
        <v>162</v>
      </c>
    </row>
    <row r="27" spans="1:3" ht="41.25" thickBot="1">
      <c r="A27" s="41" t="s">
        <v>163</v>
      </c>
      <c r="B27" s="42" t="s">
        <v>164</v>
      </c>
      <c r="C27" s="43" t="s">
        <v>165</v>
      </c>
    </row>
    <row r="28" spans="1:3" ht="54.75" thickBot="1">
      <c r="A28" s="41" t="s">
        <v>166</v>
      </c>
      <c r="B28" s="39" t="s">
        <v>167</v>
      </c>
      <c r="C28" s="40" t="s">
        <v>168</v>
      </c>
    </row>
    <row r="29" spans="1:3" ht="54.75" thickBot="1">
      <c r="A29" s="41" t="s">
        <v>169</v>
      </c>
      <c r="B29" s="42" t="s">
        <v>170</v>
      </c>
      <c r="C29" s="43" t="s">
        <v>171</v>
      </c>
    </row>
    <row r="30" spans="1:3" ht="54.75" thickBot="1">
      <c r="A30" s="41" t="s">
        <v>172</v>
      </c>
      <c r="B30" s="39" t="s">
        <v>173</v>
      </c>
      <c r="C30" s="40" t="s">
        <v>174</v>
      </c>
    </row>
    <row r="31" spans="1:3" ht="54.75" thickBot="1">
      <c r="A31" s="41" t="s">
        <v>175</v>
      </c>
      <c r="B31" s="42" t="s">
        <v>176</v>
      </c>
      <c r="C31" s="43" t="s">
        <v>177</v>
      </c>
    </row>
    <row r="32" spans="1:3" ht="54.75" thickBot="1">
      <c r="A32" s="41" t="s">
        <v>178</v>
      </c>
      <c r="B32" s="39" t="s">
        <v>179</v>
      </c>
      <c r="C32" s="40" t="s">
        <v>180</v>
      </c>
    </row>
    <row r="33" spans="1:3" ht="41.25" thickBot="1">
      <c r="A33" s="41" t="s">
        <v>181</v>
      </c>
      <c r="B33" s="42" t="s">
        <v>182</v>
      </c>
      <c r="C33" s="43" t="s">
        <v>183</v>
      </c>
    </row>
    <row r="34" spans="1:3" ht="41.25" thickBot="1">
      <c r="A34" s="41" t="s">
        <v>184</v>
      </c>
      <c r="B34" s="39" t="s">
        <v>185</v>
      </c>
      <c r="C34" s="40" t="s">
        <v>186</v>
      </c>
    </row>
    <row r="35" spans="1:3" ht="54.75" thickBot="1">
      <c r="A35" s="41" t="s">
        <v>187</v>
      </c>
      <c r="B35" s="42" t="s">
        <v>188</v>
      </c>
      <c r="C35" s="43" t="s">
        <v>189</v>
      </c>
    </row>
    <row r="36" spans="1:3" ht="54.75" thickBot="1">
      <c r="A36" s="41" t="s">
        <v>190</v>
      </c>
      <c r="B36" s="39" t="s">
        <v>191</v>
      </c>
      <c r="C36" s="40" t="s">
        <v>192</v>
      </c>
    </row>
    <row r="37" spans="1:3" ht="54.75" thickBot="1">
      <c r="A37" s="41" t="s">
        <v>193</v>
      </c>
      <c r="B37" s="42" t="s">
        <v>194</v>
      </c>
      <c r="C37" s="43" t="s">
        <v>195</v>
      </c>
    </row>
    <row r="38" spans="1:3" ht="54.75" thickBot="1">
      <c r="A38" s="41" t="s">
        <v>196</v>
      </c>
      <c r="B38" s="39" t="s">
        <v>197</v>
      </c>
      <c r="C38" s="40" t="s">
        <v>198</v>
      </c>
    </row>
    <row r="39" spans="1:3" ht="54.75" thickBot="1">
      <c r="A39" s="41" t="s">
        <v>199</v>
      </c>
      <c r="B39" s="42" t="s">
        <v>200</v>
      </c>
      <c r="C39" s="43" t="s">
        <v>201</v>
      </c>
    </row>
    <row r="40" spans="1:3" ht="54.75" thickBot="1">
      <c r="A40" s="41" t="s">
        <v>196</v>
      </c>
      <c r="B40" s="39" t="s">
        <v>202</v>
      </c>
      <c r="C40" s="40" t="s">
        <v>198</v>
      </c>
    </row>
    <row r="41" spans="1:3" ht="41.25" thickBot="1">
      <c r="A41" s="41" t="s">
        <v>203</v>
      </c>
      <c r="B41" s="42" t="s">
        <v>204</v>
      </c>
      <c r="C41" s="43" t="s">
        <v>205</v>
      </c>
    </row>
    <row r="42" spans="1:3" ht="54.75" thickBot="1">
      <c r="A42" s="39" t="s">
        <v>206</v>
      </c>
      <c r="B42" s="39" t="s">
        <v>207</v>
      </c>
      <c r="C42" s="40" t="s">
        <v>208</v>
      </c>
    </row>
    <row r="43" spans="1:3" ht="54.75" thickBot="1">
      <c r="A43" s="41" t="s">
        <v>209</v>
      </c>
      <c r="B43" s="42" t="s">
        <v>210</v>
      </c>
      <c r="C43" s="43" t="s">
        <v>211</v>
      </c>
    </row>
    <row r="44" spans="1:3" ht="54.75" thickBot="1">
      <c r="A44" s="41" t="s">
        <v>212</v>
      </c>
      <c r="B44" s="39" t="s">
        <v>213</v>
      </c>
      <c r="C44" s="40" t="s">
        <v>214</v>
      </c>
    </row>
    <row r="45" spans="1:3" ht="41.25" thickBot="1">
      <c r="A45" s="42" t="s">
        <v>215</v>
      </c>
      <c r="B45" s="42" t="s">
        <v>216</v>
      </c>
      <c r="C45" s="43" t="s">
        <v>217</v>
      </c>
    </row>
    <row r="46" spans="1:3" ht="41.25" thickBot="1">
      <c r="A46" s="41" t="s">
        <v>218</v>
      </c>
      <c r="B46" s="39" t="s">
        <v>219</v>
      </c>
      <c r="C46" s="40" t="s">
        <v>220</v>
      </c>
    </row>
    <row r="47" spans="1:3" ht="41.25" thickBot="1">
      <c r="A47" s="41" t="s">
        <v>221</v>
      </c>
      <c r="B47" s="42" t="s">
        <v>222</v>
      </c>
      <c r="C47" s="43" t="s">
        <v>223</v>
      </c>
    </row>
    <row r="48" spans="1:3" ht="41.25" thickBot="1">
      <c r="A48" s="41" t="s">
        <v>224</v>
      </c>
      <c r="B48" s="39" t="s">
        <v>225</v>
      </c>
      <c r="C48" s="40" t="s">
        <v>226</v>
      </c>
    </row>
    <row r="49" spans="1:3" ht="41.25" thickBot="1">
      <c r="A49" s="41" t="s">
        <v>227</v>
      </c>
      <c r="B49" s="42" t="s">
        <v>228</v>
      </c>
      <c r="C49" s="43" t="s">
        <v>229</v>
      </c>
    </row>
    <row r="50" spans="1:3" ht="54.75" thickBot="1">
      <c r="A50" s="39" t="s">
        <v>230</v>
      </c>
      <c r="B50" s="39" t="s">
        <v>231</v>
      </c>
      <c r="C50" s="40" t="s">
        <v>232</v>
      </c>
    </row>
    <row r="51" spans="1:3" ht="41.25" thickBot="1">
      <c r="A51" s="41" t="s">
        <v>233</v>
      </c>
      <c r="B51" s="42" t="s">
        <v>234</v>
      </c>
      <c r="C51" s="43" t="s">
        <v>235</v>
      </c>
    </row>
    <row r="52" spans="1:3" ht="68.25" thickBot="1">
      <c r="A52" s="41" t="s">
        <v>236</v>
      </c>
      <c r="B52" s="39" t="s">
        <v>237</v>
      </c>
      <c r="C52" s="40" t="s">
        <v>238</v>
      </c>
    </row>
    <row r="53" spans="1:3" ht="41.25" thickBot="1">
      <c r="A53" s="41" t="s">
        <v>239</v>
      </c>
      <c r="B53" s="42" t="s">
        <v>240</v>
      </c>
      <c r="C53" s="43" t="s">
        <v>241</v>
      </c>
    </row>
    <row r="54" spans="1:3" ht="54.75" thickBot="1">
      <c r="A54" s="41" t="s">
        <v>242</v>
      </c>
      <c r="B54" s="39" t="s">
        <v>243</v>
      </c>
      <c r="C54" s="40" t="s">
        <v>244</v>
      </c>
    </row>
    <row r="55" spans="1:3" ht="54.75" thickBot="1">
      <c r="A55" s="41" t="s">
        <v>245</v>
      </c>
      <c r="B55" s="42" t="s">
        <v>246</v>
      </c>
      <c r="C55" s="43" t="s">
        <v>247</v>
      </c>
    </row>
    <row r="56" spans="1:3" ht="54.75" thickBot="1">
      <c r="A56" s="41" t="s">
        <v>248</v>
      </c>
      <c r="B56" s="39" t="s">
        <v>249</v>
      </c>
      <c r="C56" s="40" t="s">
        <v>250</v>
      </c>
    </row>
    <row r="57" spans="1:3" ht="54.75" thickBot="1">
      <c r="A57" s="41" t="s">
        <v>251</v>
      </c>
      <c r="B57" s="42" t="s">
        <v>252</v>
      </c>
      <c r="C57" s="43" t="s">
        <v>253</v>
      </c>
    </row>
    <row r="58" spans="1:3" ht="54.75" thickBot="1">
      <c r="A58" s="41" t="s">
        <v>254</v>
      </c>
      <c r="B58" s="39" t="s">
        <v>255</v>
      </c>
      <c r="C58" s="40" t="s">
        <v>256</v>
      </c>
    </row>
    <row r="59" spans="1:3" ht="54.75" thickBot="1">
      <c r="A59" s="41" t="s">
        <v>257</v>
      </c>
      <c r="B59" s="42" t="s">
        <v>258</v>
      </c>
      <c r="C59" s="43" t="s">
        <v>259</v>
      </c>
    </row>
    <row r="60" spans="1:3" ht="54.75" thickBot="1">
      <c r="A60" s="41" t="s">
        <v>260</v>
      </c>
      <c r="B60" s="39" t="s">
        <v>261</v>
      </c>
      <c r="C60" s="40" t="s">
        <v>262</v>
      </c>
    </row>
    <row r="61" spans="1:3" ht="68.25" thickBot="1">
      <c r="A61" s="41" t="s">
        <v>263</v>
      </c>
      <c r="B61" s="42" t="s">
        <v>264</v>
      </c>
      <c r="C61" s="43" t="s">
        <v>265</v>
      </c>
    </row>
    <row r="62" spans="1:3" ht="68.25" thickBot="1">
      <c r="A62" s="41" t="s">
        <v>266</v>
      </c>
      <c r="B62" s="39" t="s">
        <v>267</v>
      </c>
      <c r="C62" s="40" t="s">
        <v>268</v>
      </c>
    </row>
    <row r="63" spans="1:3" ht="68.25" thickBot="1">
      <c r="A63" s="41" t="s">
        <v>269</v>
      </c>
      <c r="B63" s="42" t="s">
        <v>270</v>
      </c>
      <c r="C63" s="43" t="s">
        <v>271</v>
      </c>
    </row>
    <row r="64" spans="1:3" ht="54.75" thickBot="1">
      <c r="A64" s="41" t="s">
        <v>272</v>
      </c>
      <c r="B64" s="39" t="s">
        <v>273</v>
      </c>
      <c r="C64" s="40" t="s">
        <v>274</v>
      </c>
    </row>
    <row r="65" spans="1:3" ht="54.75" thickBot="1">
      <c r="A65" s="41" t="s">
        <v>275</v>
      </c>
      <c r="B65" s="42" t="s">
        <v>276</v>
      </c>
      <c r="C65" s="43" t="s">
        <v>277</v>
      </c>
    </row>
    <row r="66" spans="1:3" ht="68.25" thickBot="1">
      <c r="A66" s="41" t="s">
        <v>278</v>
      </c>
      <c r="B66" s="39" t="s">
        <v>279</v>
      </c>
      <c r="C66" s="40" t="s">
        <v>280</v>
      </c>
    </row>
    <row r="67" spans="1:3" ht="54.75" thickBot="1">
      <c r="A67" s="41" t="s">
        <v>281</v>
      </c>
      <c r="B67" s="42" t="s">
        <v>282</v>
      </c>
      <c r="C67" s="43" t="s">
        <v>283</v>
      </c>
    </row>
    <row r="68" spans="1:3" ht="68.25" thickBot="1">
      <c r="A68" s="41" t="s">
        <v>284</v>
      </c>
      <c r="B68" s="39" t="s">
        <v>285</v>
      </c>
      <c r="C68" s="40" t="s">
        <v>286</v>
      </c>
    </row>
    <row r="69" spans="1:3" ht="54.75" thickBot="1">
      <c r="A69" s="41" t="s">
        <v>287</v>
      </c>
      <c r="B69" s="42" t="s">
        <v>288</v>
      </c>
      <c r="C69" s="43" t="s">
        <v>289</v>
      </c>
    </row>
    <row r="70" spans="1:3" ht="54.75" thickBot="1">
      <c r="A70" s="41" t="s">
        <v>290</v>
      </c>
      <c r="B70" s="39" t="s">
        <v>291</v>
      </c>
      <c r="C70" s="40" t="s">
        <v>292</v>
      </c>
    </row>
    <row r="71" spans="1:3" ht="54.75" thickBot="1">
      <c r="A71" s="41" t="s">
        <v>293</v>
      </c>
      <c r="B71" s="42" t="s">
        <v>294</v>
      </c>
      <c r="C71" s="43" t="s">
        <v>295</v>
      </c>
    </row>
    <row r="72" spans="1:3" ht="54.75" thickBot="1">
      <c r="A72" s="41" t="s">
        <v>296</v>
      </c>
      <c r="B72" s="39" t="s">
        <v>297</v>
      </c>
      <c r="C72" s="40" t="s">
        <v>298</v>
      </c>
    </row>
    <row r="73" spans="1:3" ht="54.75" thickBot="1">
      <c r="A73" s="41" t="s">
        <v>299</v>
      </c>
      <c r="B73" s="42" t="s">
        <v>300</v>
      </c>
      <c r="C73" s="43" t="s">
        <v>301</v>
      </c>
    </row>
    <row r="74" spans="1:3" ht="54.75" thickBot="1">
      <c r="A74" s="41" t="s">
        <v>302</v>
      </c>
      <c r="B74" s="39" t="s">
        <v>303</v>
      </c>
      <c r="C74" s="40" t="s">
        <v>304</v>
      </c>
    </row>
    <row r="75" spans="1:3" ht="54.75" thickBot="1">
      <c r="A75" s="41" t="s">
        <v>305</v>
      </c>
      <c r="B75" s="42" t="s">
        <v>306</v>
      </c>
      <c r="C75" s="43" t="s">
        <v>307</v>
      </c>
    </row>
    <row r="76" spans="1:3" ht="54.75" thickBot="1">
      <c r="A76" s="41" t="s">
        <v>308</v>
      </c>
      <c r="B76" s="39" t="s">
        <v>309</v>
      </c>
      <c r="C76" s="40" t="s">
        <v>310</v>
      </c>
    </row>
    <row r="77" spans="1:3" ht="54.75" thickBot="1">
      <c r="A77" s="41" t="s">
        <v>311</v>
      </c>
      <c r="B77" s="42" t="s">
        <v>312</v>
      </c>
      <c r="C77" s="43" t="s">
        <v>313</v>
      </c>
    </row>
    <row r="78" spans="1:3" ht="68.25" thickBot="1">
      <c r="A78" s="41" t="s">
        <v>302</v>
      </c>
      <c r="B78" s="39" t="s">
        <v>314</v>
      </c>
      <c r="C78" s="40" t="s">
        <v>304</v>
      </c>
    </row>
    <row r="79" spans="1:3" ht="54.75" thickBot="1">
      <c r="A79" s="42" t="s">
        <v>315</v>
      </c>
      <c r="B79" s="42" t="s">
        <v>316</v>
      </c>
      <c r="C79" s="43" t="s">
        <v>317</v>
      </c>
    </row>
    <row r="80" spans="1:3" ht="54.75" thickBot="1">
      <c r="A80" s="41" t="s">
        <v>318</v>
      </c>
      <c r="B80" s="39" t="s">
        <v>319</v>
      </c>
      <c r="C80" s="40" t="s">
        <v>320</v>
      </c>
    </row>
    <row r="81" spans="1:3" ht="54.75" thickBot="1">
      <c r="A81" s="41" t="s">
        <v>318</v>
      </c>
      <c r="B81" s="42" t="s">
        <v>319</v>
      </c>
      <c r="C81" s="43" t="s">
        <v>320</v>
      </c>
    </row>
    <row r="82" spans="1:3" ht="54.75" thickBot="1">
      <c r="A82" s="41" t="s">
        <v>321</v>
      </c>
      <c r="B82" s="39" t="s">
        <v>322</v>
      </c>
      <c r="C82" s="40" t="s">
        <v>323</v>
      </c>
    </row>
    <row r="83" spans="1:3" ht="68.25" thickBot="1">
      <c r="A83" s="41" t="s">
        <v>324</v>
      </c>
      <c r="B83" s="42" t="s">
        <v>325</v>
      </c>
      <c r="C83" s="43" t="s">
        <v>326</v>
      </c>
    </row>
    <row r="84" spans="1:3" ht="54.75" thickBot="1">
      <c r="A84" s="41" t="s">
        <v>327</v>
      </c>
      <c r="B84" s="39" t="s">
        <v>328</v>
      </c>
      <c r="C84" s="40" t="s">
        <v>329</v>
      </c>
    </row>
    <row r="85" spans="1:3" ht="68.25" thickBot="1">
      <c r="A85" s="41" t="s">
        <v>330</v>
      </c>
      <c r="B85" s="42" t="s">
        <v>331</v>
      </c>
      <c r="C85" s="43" t="s">
        <v>332</v>
      </c>
    </row>
    <row r="86" spans="1:3" ht="81.75" thickBot="1">
      <c r="A86" s="41" t="s">
        <v>333</v>
      </c>
      <c r="B86" s="39" t="s">
        <v>334</v>
      </c>
      <c r="C86" s="40" t="s">
        <v>335</v>
      </c>
    </row>
    <row r="87" spans="1:3" ht="81.75" thickBot="1">
      <c r="A87" s="41" t="s">
        <v>336</v>
      </c>
      <c r="B87" s="42" t="s">
        <v>337</v>
      </c>
      <c r="C87" s="43" t="s">
        <v>338</v>
      </c>
    </row>
    <row r="88" spans="1:3" ht="68.25" thickBot="1">
      <c r="A88" s="41" t="s">
        <v>339</v>
      </c>
      <c r="B88" s="39" t="s">
        <v>340</v>
      </c>
      <c r="C88" s="40" t="s">
        <v>341</v>
      </c>
    </row>
    <row r="89" spans="1:3" ht="68.25" thickBot="1">
      <c r="A89" s="41" t="s">
        <v>342</v>
      </c>
      <c r="B89" s="42" t="s">
        <v>343</v>
      </c>
      <c r="C89" s="43" t="s">
        <v>344</v>
      </c>
    </row>
    <row r="90" spans="1:3" ht="68.25" thickBot="1">
      <c r="A90" s="41" t="s">
        <v>345</v>
      </c>
      <c r="B90" s="39" t="s">
        <v>346</v>
      </c>
      <c r="C90" s="40" t="s">
        <v>347</v>
      </c>
    </row>
    <row r="91" spans="1:3" ht="68.25" thickBot="1">
      <c r="A91" s="41" t="s">
        <v>348</v>
      </c>
      <c r="B91" s="42" t="s">
        <v>349</v>
      </c>
      <c r="C91" s="43" t="s">
        <v>350</v>
      </c>
    </row>
    <row r="92" spans="1:3" ht="54.75" thickBot="1">
      <c r="A92" s="41" t="s">
        <v>351</v>
      </c>
      <c r="B92" s="39" t="s">
        <v>352</v>
      </c>
      <c r="C92" s="40" t="s">
        <v>353</v>
      </c>
    </row>
    <row r="93" spans="1:3" ht="68.25" thickBot="1">
      <c r="A93" s="41" t="s">
        <v>354</v>
      </c>
      <c r="B93" s="42" t="s">
        <v>355</v>
      </c>
      <c r="C93" s="43" t="s">
        <v>356</v>
      </c>
    </row>
    <row r="94" spans="1:3" ht="41.25" thickBot="1">
      <c r="A94" s="41" t="s">
        <v>357</v>
      </c>
      <c r="B94" s="39" t="s">
        <v>358</v>
      </c>
      <c r="C94" s="40" t="s">
        <v>359</v>
      </c>
    </row>
    <row r="95" spans="1:3" ht="68.25" thickBot="1">
      <c r="A95" s="41" t="s">
        <v>321</v>
      </c>
      <c r="B95" s="42" t="s">
        <v>360</v>
      </c>
      <c r="C95" s="43" t="s">
        <v>323</v>
      </c>
    </row>
    <row r="96" spans="1:3" ht="68.25" thickBot="1">
      <c r="A96" s="41" t="s">
        <v>361</v>
      </c>
      <c r="B96" s="39" t="s">
        <v>362</v>
      </c>
      <c r="C96" s="40" t="s">
        <v>363</v>
      </c>
    </row>
    <row r="97" spans="1:3" ht="41.25" thickBot="1">
      <c r="A97" s="42" t="s">
        <v>364</v>
      </c>
      <c r="B97" s="42" t="s">
        <v>365</v>
      </c>
      <c r="C97" s="43" t="s">
        <v>366</v>
      </c>
    </row>
    <row r="98" spans="1:3" ht="41.25" thickBot="1">
      <c r="A98" s="39" t="s">
        <v>367</v>
      </c>
      <c r="B98" s="39" t="s">
        <v>368</v>
      </c>
      <c r="C98" s="40" t="s">
        <v>369</v>
      </c>
    </row>
    <row r="99" spans="1:3" ht="41.25" thickBot="1">
      <c r="A99" s="41" t="s">
        <v>370</v>
      </c>
      <c r="B99" s="42" t="s">
        <v>371</v>
      </c>
      <c r="C99" s="43" t="s">
        <v>372</v>
      </c>
    </row>
    <row r="100" spans="1:3" ht="54.75" thickBot="1">
      <c r="A100" s="41" t="s">
        <v>373</v>
      </c>
      <c r="B100" s="39" t="s">
        <v>374</v>
      </c>
      <c r="C100" s="40" t="s">
        <v>375</v>
      </c>
    </row>
    <row r="101" spans="1:3" ht="41.25" thickBot="1">
      <c r="A101" s="41" t="s">
        <v>376</v>
      </c>
      <c r="B101" s="42" t="s">
        <v>377</v>
      </c>
      <c r="C101" s="43" t="s">
        <v>378</v>
      </c>
    </row>
    <row r="102" spans="1:3" ht="54.75" thickBot="1">
      <c r="A102" s="41" t="s">
        <v>379</v>
      </c>
      <c r="B102" s="39" t="s">
        <v>380</v>
      </c>
      <c r="C102" s="40" t="s">
        <v>381</v>
      </c>
    </row>
    <row r="103" spans="1:3" ht="54.75" thickBot="1">
      <c r="A103" s="41" t="s">
        <v>382</v>
      </c>
      <c r="B103" s="42" t="s">
        <v>383</v>
      </c>
      <c r="C103" s="43" t="s">
        <v>384</v>
      </c>
    </row>
    <row r="104" spans="1:3" ht="54.75" thickBot="1">
      <c r="A104" s="41" t="s">
        <v>385</v>
      </c>
      <c r="B104" s="39" t="s">
        <v>386</v>
      </c>
      <c r="C104" s="40" t="s">
        <v>387</v>
      </c>
    </row>
    <row r="105" spans="1:3" ht="54.75" thickBot="1">
      <c r="A105" s="41" t="s">
        <v>388</v>
      </c>
      <c r="B105" s="42" t="s">
        <v>389</v>
      </c>
      <c r="C105" s="43" t="s">
        <v>390</v>
      </c>
    </row>
    <row r="106" spans="1:3" ht="54.75" thickBot="1">
      <c r="A106" s="39" t="s">
        <v>391</v>
      </c>
      <c r="B106" s="39" t="s">
        <v>392</v>
      </c>
      <c r="C106" s="40" t="s">
        <v>393</v>
      </c>
    </row>
    <row r="107" spans="1:3" ht="54.75" thickBot="1">
      <c r="A107" s="41" t="s">
        <v>394</v>
      </c>
      <c r="B107" s="42" t="s">
        <v>395</v>
      </c>
      <c r="C107" s="43" t="s">
        <v>396</v>
      </c>
    </row>
    <row r="108" spans="1:3" ht="54.75" thickBot="1">
      <c r="A108" s="41" t="s">
        <v>397</v>
      </c>
      <c r="B108" s="39" t="s">
        <v>398</v>
      </c>
      <c r="C108" s="40" t="s">
        <v>399</v>
      </c>
    </row>
    <row r="109" spans="1:3" ht="54.75" thickBot="1">
      <c r="A109" s="41" t="s">
        <v>400</v>
      </c>
      <c r="B109" s="42" t="s">
        <v>398</v>
      </c>
      <c r="C109" s="43" t="s">
        <v>401</v>
      </c>
    </row>
    <row r="110" spans="1:3" ht="54.75" thickBot="1">
      <c r="A110" s="41" t="s">
        <v>402</v>
      </c>
      <c r="B110" s="39" t="s">
        <v>403</v>
      </c>
      <c r="C110" s="40" t="s">
        <v>399</v>
      </c>
    </row>
    <row r="111" spans="1:3" ht="54.75" thickBot="1">
      <c r="A111" s="41" t="s">
        <v>404</v>
      </c>
      <c r="B111" s="42" t="s">
        <v>403</v>
      </c>
      <c r="C111" s="43" t="s">
        <v>405</v>
      </c>
    </row>
    <row r="112" spans="1:3" ht="54.75" thickBot="1">
      <c r="A112" s="41" t="s">
        <v>406</v>
      </c>
      <c r="B112" s="39" t="s">
        <v>403</v>
      </c>
      <c r="C112" s="40" t="s">
        <v>393</v>
      </c>
    </row>
    <row r="113" spans="1:3" ht="54.75" thickBot="1">
      <c r="A113" s="41" t="s">
        <v>407</v>
      </c>
      <c r="B113" s="42" t="s">
        <v>403</v>
      </c>
      <c r="C113" s="43" t="s">
        <v>399</v>
      </c>
    </row>
    <row r="114" spans="1:3" ht="54.75" thickBot="1">
      <c r="A114" s="41" t="s">
        <v>408</v>
      </c>
      <c r="B114" s="39" t="s">
        <v>409</v>
      </c>
      <c r="C114" s="40" t="s">
        <v>410</v>
      </c>
    </row>
    <row r="115" spans="1:3" ht="68.25" thickBot="1">
      <c r="A115" s="41" t="s">
        <v>411</v>
      </c>
      <c r="B115" s="42" t="s">
        <v>412</v>
      </c>
      <c r="C115" s="43" t="s">
        <v>413</v>
      </c>
    </row>
    <row r="116" spans="1:3" ht="54.75" thickBot="1">
      <c r="A116" s="41" t="s">
        <v>391</v>
      </c>
      <c r="B116" s="39" t="s">
        <v>392</v>
      </c>
      <c r="C116" s="40" t="s">
        <v>393</v>
      </c>
    </row>
    <row r="117" spans="1:3" ht="54.75" thickBot="1">
      <c r="A117" s="41" t="s">
        <v>394</v>
      </c>
      <c r="B117" s="42" t="s">
        <v>395</v>
      </c>
      <c r="C117" s="43" t="s">
        <v>396</v>
      </c>
    </row>
    <row r="118" spans="1:3" ht="54.75" thickBot="1">
      <c r="A118" s="39" t="s">
        <v>414</v>
      </c>
      <c r="B118" s="39" t="s">
        <v>415</v>
      </c>
      <c r="C118" s="40" t="s">
        <v>416</v>
      </c>
    </row>
    <row r="119" spans="1:3" ht="54.75" thickBot="1">
      <c r="A119" s="41" t="s">
        <v>417</v>
      </c>
      <c r="B119" s="42" t="s">
        <v>418</v>
      </c>
      <c r="C119" s="43" t="s">
        <v>419</v>
      </c>
    </row>
    <row r="120" spans="1:3" ht="54.75" thickBot="1">
      <c r="A120" s="41" t="s">
        <v>420</v>
      </c>
      <c r="B120" s="39" t="s">
        <v>421</v>
      </c>
      <c r="C120" s="40" t="s">
        <v>422</v>
      </c>
    </row>
    <row r="121" spans="1:3" ht="68.25" thickBot="1">
      <c r="A121" s="41" t="s">
        <v>423</v>
      </c>
      <c r="B121" s="42" t="s">
        <v>424</v>
      </c>
      <c r="C121" s="43" t="s">
        <v>425</v>
      </c>
    </row>
    <row r="122" spans="1:3" ht="54.75" thickBot="1">
      <c r="A122" s="41" t="s">
        <v>426</v>
      </c>
      <c r="B122" s="39" t="s">
        <v>427</v>
      </c>
      <c r="C122" s="40" t="s">
        <v>428</v>
      </c>
    </row>
    <row r="123" spans="1:3" ht="68.25" thickBot="1">
      <c r="A123" s="41" t="s">
        <v>429</v>
      </c>
      <c r="B123" s="42" t="s">
        <v>430</v>
      </c>
      <c r="C123" s="43" t="s">
        <v>431</v>
      </c>
    </row>
    <row r="124" spans="1:3" ht="54.75" thickBot="1">
      <c r="A124" s="39" t="s">
        <v>432</v>
      </c>
      <c r="B124" s="39" t="s">
        <v>433</v>
      </c>
      <c r="C124" s="40" t="s">
        <v>434</v>
      </c>
    </row>
    <row r="125" spans="1:3" ht="41.25" thickBot="1">
      <c r="A125" s="41" t="s">
        <v>435</v>
      </c>
      <c r="B125" s="42" t="s">
        <v>436</v>
      </c>
      <c r="C125" s="43" t="s">
        <v>437</v>
      </c>
    </row>
    <row r="126" spans="1:3" ht="41.25" thickBot="1">
      <c r="A126" s="41" t="s">
        <v>438</v>
      </c>
      <c r="B126" s="39" t="s">
        <v>439</v>
      </c>
      <c r="C126" s="40" t="s">
        <v>440</v>
      </c>
    </row>
    <row r="127" spans="1:3" ht="54.75" thickBot="1">
      <c r="A127" s="41" t="s">
        <v>441</v>
      </c>
      <c r="B127" s="42" t="s">
        <v>442</v>
      </c>
      <c r="C127" s="43" t="s">
        <v>443</v>
      </c>
    </row>
    <row r="128" spans="1:3" ht="68.25" thickBot="1">
      <c r="A128" s="41" t="s">
        <v>444</v>
      </c>
      <c r="B128" s="39" t="s">
        <v>445</v>
      </c>
      <c r="C128" s="40" t="s">
        <v>446</v>
      </c>
    </row>
    <row r="129" spans="1:3" ht="41.25" thickBot="1">
      <c r="A129" s="41" t="s">
        <v>447</v>
      </c>
      <c r="B129" s="42" t="s">
        <v>448</v>
      </c>
      <c r="C129" s="43" t="s">
        <v>449</v>
      </c>
    </row>
    <row r="130" spans="1:3" ht="68.25" thickBot="1">
      <c r="A130" s="41" t="s">
        <v>450</v>
      </c>
      <c r="B130" s="39" t="s">
        <v>451</v>
      </c>
      <c r="C130" s="40" t="s">
        <v>452</v>
      </c>
    </row>
    <row r="131" spans="1:3" ht="41.25" thickBot="1">
      <c r="A131" s="41" t="s">
        <v>453</v>
      </c>
      <c r="B131" s="42" t="s">
        <v>454</v>
      </c>
      <c r="C131" s="43" t="s">
        <v>455</v>
      </c>
    </row>
    <row r="132" spans="1:3" ht="68.25" thickBot="1">
      <c r="A132" s="41" t="s">
        <v>456</v>
      </c>
      <c r="B132" s="39" t="s">
        <v>457</v>
      </c>
      <c r="C132" s="40" t="s">
        <v>458</v>
      </c>
    </row>
    <row r="133" spans="1:3" ht="54.75" thickBot="1">
      <c r="A133" s="41" t="s">
        <v>459</v>
      </c>
      <c r="B133" s="42" t="s">
        <v>460</v>
      </c>
      <c r="C133" s="43" t="s">
        <v>461</v>
      </c>
    </row>
    <row r="134" spans="1:3" ht="54.75" thickBot="1">
      <c r="A134" s="41" t="s">
        <v>462</v>
      </c>
      <c r="B134" s="39" t="s">
        <v>463</v>
      </c>
      <c r="C134" s="40" t="s">
        <v>464</v>
      </c>
    </row>
    <row r="135" spans="1:3" ht="68.25" thickBot="1">
      <c r="A135" s="41" t="s">
        <v>465</v>
      </c>
      <c r="B135" s="42" t="s">
        <v>466</v>
      </c>
      <c r="C135" s="43" t="s">
        <v>467</v>
      </c>
    </row>
    <row r="136" spans="1:3" ht="54.75" thickBot="1">
      <c r="A136" s="41" t="s">
        <v>468</v>
      </c>
      <c r="B136" s="39" t="s">
        <v>469</v>
      </c>
      <c r="C136" s="40" t="s">
        <v>470</v>
      </c>
    </row>
    <row r="137" spans="1:3" ht="68.25" thickBot="1">
      <c r="A137" s="41" t="s">
        <v>471</v>
      </c>
      <c r="B137" s="42" t="s">
        <v>472</v>
      </c>
      <c r="C137" s="43" t="s">
        <v>473</v>
      </c>
    </row>
    <row r="138" spans="1:3" ht="54.75" thickBot="1">
      <c r="A138" s="39" t="s">
        <v>474</v>
      </c>
      <c r="B138" s="39" t="s">
        <v>475</v>
      </c>
      <c r="C138" s="40" t="s">
        <v>476</v>
      </c>
    </row>
    <row r="139" spans="1:3" ht="54.75" thickBot="1">
      <c r="A139" s="41" t="s">
        <v>477</v>
      </c>
      <c r="B139" s="42" t="s">
        <v>478</v>
      </c>
      <c r="C139" s="43" t="s">
        <v>479</v>
      </c>
    </row>
    <row r="140" spans="1:3" ht="54.75" thickBot="1">
      <c r="A140" s="41" t="s">
        <v>480</v>
      </c>
      <c r="B140" s="39" t="s">
        <v>481</v>
      </c>
      <c r="C140" s="40" t="s">
        <v>482</v>
      </c>
    </row>
    <row r="141" spans="1:3" ht="81.75" thickBot="1">
      <c r="A141" s="41" t="s">
        <v>483</v>
      </c>
      <c r="B141" s="42" t="s">
        <v>484</v>
      </c>
      <c r="C141" s="43" t="s">
        <v>485</v>
      </c>
    </row>
    <row r="142" spans="1:3" ht="54.75" thickBot="1">
      <c r="A142" s="41" t="s">
        <v>486</v>
      </c>
      <c r="B142" s="39" t="s">
        <v>487</v>
      </c>
      <c r="C142" s="40" t="s">
        <v>488</v>
      </c>
    </row>
    <row r="143" spans="1:3" ht="81.75" thickBot="1">
      <c r="A143" s="41" t="s">
        <v>489</v>
      </c>
      <c r="B143" s="42" t="s">
        <v>490</v>
      </c>
      <c r="C143" s="43" t="s">
        <v>491</v>
      </c>
    </row>
    <row r="144" spans="1:3" ht="68.25" thickBot="1">
      <c r="A144" s="41" t="s">
        <v>492</v>
      </c>
      <c r="B144" s="39" t="s">
        <v>493</v>
      </c>
      <c r="C144" s="40" t="s">
        <v>494</v>
      </c>
    </row>
    <row r="145" spans="1:3" ht="68.25" thickBot="1">
      <c r="A145" s="41" t="s">
        <v>495</v>
      </c>
      <c r="B145" s="42" t="s">
        <v>493</v>
      </c>
      <c r="C145" s="43" t="s">
        <v>494</v>
      </c>
    </row>
    <row r="146" spans="1:3" ht="81.75" thickBot="1">
      <c r="A146" s="41" t="s">
        <v>496</v>
      </c>
      <c r="B146" s="39" t="s">
        <v>497</v>
      </c>
      <c r="C146" s="40" t="s">
        <v>498</v>
      </c>
    </row>
    <row r="147" spans="1:3" ht="68.25" thickBot="1">
      <c r="A147" s="41" t="s">
        <v>499</v>
      </c>
      <c r="B147" s="42" t="s">
        <v>500</v>
      </c>
      <c r="C147" s="43" t="s">
        <v>501</v>
      </c>
    </row>
    <row r="148" spans="1:3" ht="68.25" thickBot="1">
      <c r="A148" s="41" t="s">
        <v>502</v>
      </c>
      <c r="B148" s="39" t="s">
        <v>503</v>
      </c>
      <c r="C148" s="40" t="s">
        <v>504</v>
      </c>
    </row>
    <row r="149" spans="1:3" ht="81.75" thickBot="1">
      <c r="A149" s="41" t="s">
        <v>474</v>
      </c>
      <c r="B149" s="42" t="s">
        <v>505</v>
      </c>
      <c r="C149" s="43" t="s">
        <v>476</v>
      </c>
    </row>
    <row r="150" spans="1:3" ht="95.25" thickBot="1">
      <c r="A150" s="41" t="s">
        <v>506</v>
      </c>
      <c r="B150" s="39" t="s">
        <v>507</v>
      </c>
      <c r="C150" s="40" t="s">
        <v>508</v>
      </c>
    </row>
    <row r="151" spans="1:3" ht="108.75" thickBot="1">
      <c r="A151" s="41" t="s">
        <v>509</v>
      </c>
      <c r="B151" s="42" t="s">
        <v>510</v>
      </c>
      <c r="C151" s="43" t="s">
        <v>511</v>
      </c>
    </row>
    <row r="152" spans="1:3" ht="54.75" thickBot="1">
      <c r="A152" s="41" t="s">
        <v>512</v>
      </c>
      <c r="B152" s="39" t="s">
        <v>513</v>
      </c>
      <c r="C152" s="40" t="s">
        <v>514</v>
      </c>
    </row>
    <row r="153" spans="1:3" ht="54.75" thickBot="1">
      <c r="A153" s="41" t="s">
        <v>515</v>
      </c>
      <c r="B153" s="42" t="s">
        <v>516</v>
      </c>
      <c r="C153" s="43" t="s">
        <v>517</v>
      </c>
    </row>
    <row r="154" spans="1:3" ht="54.75" thickBot="1">
      <c r="A154" s="41" t="s">
        <v>518</v>
      </c>
      <c r="B154" s="39" t="s">
        <v>519</v>
      </c>
      <c r="C154" s="40" t="s">
        <v>520</v>
      </c>
    </row>
    <row r="155" spans="1:3" ht="54.75" thickBot="1">
      <c r="A155" s="41" t="s">
        <v>521</v>
      </c>
      <c r="B155" s="42" t="s">
        <v>522</v>
      </c>
      <c r="C155" s="43" t="s">
        <v>523</v>
      </c>
    </row>
    <row r="156" spans="1:3" ht="68.25" thickBot="1">
      <c r="A156" s="39" t="s">
        <v>524</v>
      </c>
      <c r="B156" s="39" t="s">
        <v>525</v>
      </c>
      <c r="C156" s="40" t="s">
        <v>526</v>
      </c>
    </row>
    <row r="157" spans="1:3" ht="54.75" thickBot="1">
      <c r="A157" s="41" t="s">
        <v>527</v>
      </c>
      <c r="B157" s="42" t="s">
        <v>528</v>
      </c>
      <c r="C157" s="43" t="s">
        <v>529</v>
      </c>
    </row>
    <row r="158" spans="1:3" ht="54.75" thickBot="1">
      <c r="A158" s="41" t="s">
        <v>518</v>
      </c>
      <c r="B158" s="39" t="s">
        <v>519</v>
      </c>
      <c r="C158" s="40" t="s">
        <v>520</v>
      </c>
    </row>
    <row r="159" spans="1:3" ht="68.25" thickBot="1">
      <c r="A159" s="41" t="s">
        <v>530</v>
      </c>
      <c r="B159" s="42" t="s">
        <v>531</v>
      </c>
      <c r="C159" s="43" t="s">
        <v>532</v>
      </c>
    </row>
    <row r="160" spans="1:3" ht="54.75" thickBot="1">
      <c r="A160" s="41" t="s">
        <v>533</v>
      </c>
      <c r="B160" s="39" t="s">
        <v>534</v>
      </c>
      <c r="C160" s="40" t="s">
        <v>535</v>
      </c>
    </row>
    <row r="161" spans="1:3" ht="54.75" thickBot="1">
      <c r="A161" s="41" t="s">
        <v>536</v>
      </c>
      <c r="B161" s="42" t="s">
        <v>537</v>
      </c>
      <c r="C161" s="43" t="s">
        <v>538</v>
      </c>
    </row>
    <row r="162" spans="1:3" ht="54.75" thickBot="1">
      <c r="A162" s="41" t="s">
        <v>539</v>
      </c>
      <c r="B162" s="39" t="s">
        <v>540</v>
      </c>
      <c r="C162" s="40" t="s">
        <v>541</v>
      </c>
    </row>
    <row r="163" spans="1:3" ht="54.75" thickBot="1">
      <c r="A163" s="41" t="s">
        <v>542</v>
      </c>
      <c r="B163" s="42" t="s">
        <v>543</v>
      </c>
      <c r="C163" s="43" t="s">
        <v>544</v>
      </c>
    </row>
    <row r="164" spans="1:3" ht="54.75" thickBot="1">
      <c r="A164" s="41" t="s">
        <v>521</v>
      </c>
      <c r="B164" s="39" t="s">
        <v>522</v>
      </c>
      <c r="C164" s="40" t="s">
        <v>523</v>
      </c>
    </row>
    <row r="165" spans="1:3" ht="41.25" thickBot="1">
      <c r="A165" s="41" t="s">
        <v>545</v>
      </c>
      <c r="B165" s="42" t="s">
        <v>546</v>
      </c>
      <c r="C165" s="43" t="s">
        <v>547</v>
      </c>
    </row>
    <row r="166" spans="1:3" ht="54.75" thickBot="1">
      <c r="A166" s="39" t="s">
        <v>548</v>
      </c>
      <c r="B166" s="39" t="s">
        <v>549</v>
      </c>
      <c r="C166" s="40" t="s">
        <v>550</v>
      </c>
    </row>
    <row r="167" spans="1:3" ht="68.25" thickBot="1">
      <c r="A167" s="41" t="s">
        <v>551</v>
      </c>
      <c r="B167" s="42" t="s">
        <v>552</v>
      </c>
      <c r="C167" s="43" t="s">
        <v>553</v>
      </c>
    </row>
    <row r="168" spans="1:3" ht="68.25" thickBot="1">
      <c r="A168" s="41" t="s">
        <v>554</v>
      </c>
      <c r="B168" s="39" t="s">
        <v>555</v>
      </c>
      <c r="C168" s="40" t="s">
        <v>556</v>
      </c>
    </row>
    <row r="169" spans="1:3" ht="54.75" thickBot="1">
      <c r="A169" s="41" t="s">
        <v>557</v>
      </c>
      <c r="B169" s="42" t="s">
        <v>558</v>
      </c>
      <c r="C169" s="43" t="s">
        <v>559</v>
      </c>
    </row>
    <row r="170" spans="1:3" ht="54.75" thickBot="1">
      <c r="A170" s="41" t="s">
        <v>560</v>
      </c>
      <c r="B170" s="39" t="s">
        <v>561</v>
      </c>
      <c r="C170" s="40" t="s">
        <v>562</v>
      </c>
    </row>
    <row r="171" spans="1:3" ht="54.75" thickBot="1">
      <c r="A171" s="42" t="s">
        <v>563</v>
      </c>
      <c r="B171" s="42" t="s">
        <v>564</v>
      </c>
      <c r="C171" s="43" t="s">
        <v>565</v>
      </c>
    </row>
    <row r="172" spans="1:3" ht="81.75" thickBot="1">
      <c r="A172" s="41" t="s">
        <v>566</v>
      </c>
      <c r="B172" s="39" t="s">
        <v>567</v>
      </c>
      <c r="C172" s="40" t="s">
        <v>568</v>
      </c>
    </row>
    <row r="173" spans="1:3" ht="54.75" thickBot="1">
      <c r="A173" s="41" t="s">
        <v>569</v>
      </c>
      <c r="B173" s="42" t="s">
        <v>570</v>
      </c>
      <c r="C173" s="43" t="s">
        <v>571</v>
      </c>
    </row>
    <row r="174" spans="1:3" ht="54.75" thickBot="1">
      <c r="A174" s="41" t="s">
        <v>572</v>
      </c>
      <c r="B174" s="39" t="s">
        <v>573</v>
      </c>
      <c r="C174" s="40" t="s">
        <v>574</v>
      </c>
    </row>
    <row r="175" spans="1:3" ht="54.75" thickBot="1">
      <c r="A175" s="41" t="s">
        <v>575</v>
      </c>
      <c r="B175" s="42" t="s">
        <v>576</v>
      </c>
      <c r="C175" s="43" t="s">
        <v>577</v>
      </c>
    </row>
    <row r="176" spans="1:3" ht="54.75" thickBot="1">
      <c r="A176" s="41" t="s">
        <v>578</v>
      </c>
      <c r="B176" s="39" t="s">
        <v>579</v>
      </c>
      <c r="C176" s="40" t="s">
        <v>580</v>
      </c>
    </row>
    <row r="177" spans="1:3" ht="41.25" thickBot="1">
      <c r="A177" s="41" t="s">
        <v>581</v>
      </c>
      <c r="B177" s="42" t="s">
        <v>582</v>
      </c>
      <c r="C177" s="43" t="s">
        <v>583</v>
      </c>
    </row>
    <row r="178" spans="1:3" ht="54.75" thickBot="1">
      <c r="A178" s="41" t="s">
        <v>584</v>
      </c>
      <c r="B178" s="39" t="s">
        <v>585</v>
      </c>
      <c r="C178" s="40" t="s">
        <v>586</v>
      </c>
    </row>
    <row r="179" spans="1:3" ht="54.75" thickBot="1">
      <c r="A179" s="41" t="s">
        <v>587</v>
      </c>
      <c r="B179" s="42" t="s">
        <v>588</v>
      </c>
      <c r="C179" s="43" t="s">
        <v>589</v>
      </c>
    </row>
    <row r="180" spans="1:3" ht="54.75" thickBot="1">
      <c r="A180" s="41" t="s">
        <v>590</v>
      </c>
      <c r="B180" s="39" t="s">
        <v>591</v>
      </c>
      <c r="C180" s="40" t="s">
        <v>592</v>
      </c>
    </row>
    <row r="181" spans="1:3" ht="41.25" thickBot="1">
      <c r="A181" s="41" t="s">
        <v>581</v>
      </c>
      <c r="B181" s="42" t="s">
        <v>593</v>
      </c>
      <c r="C181" s="43" t="s">
        <v>583</v>
      </c>
    </row>
    <row r="182" spans="1:3" ht="54.75" thickBot="1">
      <c r="A182" s="39" t="s">
        <v>594</v>
      </c>
      <c r="B182" s="39" t="s">
        <v>595</v>
      </c>
      <c r="C182" s="40" t="s">
        <v>596</v>
      </c>
    </row>
    <row r="183" spans="1:3" ht="54.75" thickBot="1">
      <c r="A183" s="41" t="s">
        <v>597</v>
      </c>
      <c r="B183" s="42" t="s">
        <v>598</v>
      </c>
      <c r="C183" s="43" t="s">
        <v>599</v>
      </c>
    </row>
    <row r="184" spans="1:3" ht="41.25" thickBot="1">
      <c r="A184" s="39" t="s">
        <v>600</v>
      </c>
      <c r="B184" s="39" t="s">
        <v>601</v>
      </c>
      <c r="C184" s="40" t="s">
        <v>602</v>
      </c>
    </row>
    <row r="185" spans="1:3" ht="54.75" thickBot="1">
      <c r="A185" s="41" t="s">
        <v>603</v>
      </c>
      <c r="B185" s="42" t="s">
        <v>604</v>
      </c>
      <c r="C185" s="43" t="s">
        <v>605</v>
      </c>
    </row>
    <row r="186" spans="1:3" ht="54.75" thickBot="1">
      <c r="A186" s="41" t="s">
        <v>606</v>
      </c>
      <c r="B186" s="39" t="s">
        <v>607</v>
      </c>
      <c r="C186" s="40" t="s">
        <v>608</v>
      </c>
    </row>
    <row r="187" spans="1:3" ht="54.75" thickBot="1">
      <c r="A187" s="42" t="s">
        <v>609</v>
      </c>
      <c r="B187" s="42" t="s">
        <v>610</v>
      </c>
      <c r="C187" s="43" t="s">
        <v>611</v>
      </c>
    </row>
    <row r="188" spans="1:3" ht="54.75" thickBot="1">
      <c r="A188" s="39" t="s">
        <v>612</v>
      </c>
      <c r="B188" s="39" t="s">
        <v>613</v>
      </c>
      <c r="C188" s="40" t="s">
        <v>614</v>
      </c>
    </row>
    <row r="189" spans="1:3" ht="41.25" thickBot="1">
      <c r="A189" s="41" t="s">
        <v>615</v>
      </c>
      <c r="B189" s="42" t="s">
        <v>616</v>
      </c>
      <c r="C189" s="43" t="s">
        <v>617</v>
      </c>
    </row>
    <row r="190" spans="1:3" ht="54.75" thickBot="1">
      <c r="A190" s="39" t="s">
        <v>618</v>
      </c>
      <c r="B190" s="39" t="s">
        <v>619</v>
      </c>
      <c r="C190" s="40" t="s">
        <v>620</v>
      </c>
    </row>
    <row r="191" spans="1:3" ht="54.75" thickBot="1">
      <c r="A191" s="41" t="s">
        <v>621</v>
      </c>
      <c r="B191" s="42" t="s">
        <v>622</v>
      </c>
      <c r="C191" s="43" t="s">
        <v>623</v>
      </c>
    </row>
    <row r="192" spans="1:3" ht="68.25" thickBot="1">
      <c r="A192" s="41" t="s">
        <v>624</v>
      </c>
      <c r="B192" s="39" t="s">
        <v>625</v>
      </c>
      <c r="C192" s="40" t="s">
        <v>626</v>
      </c>
    </row>
    <row r="193" spans="1:3" ht="68.25" thickBot="1">
      <c r="A193" s="41" t="s">
        <v>627</v>
      </c>
      <c r="B193" s="42" t="s">
        <v>628</v>
      </c>
      <c r="C193" s="43" t="s">
        <v>629</v>
      </c>
    </row>
    <row r="194" spans="1:3" ht="68.25" thickBot="1">
      <c r="A194" s="41" t="s">
        <v>630</v>
      </c>
      <c r="B194" s="39" t="s">
        <v>631</v>
      </c>
      <c r="C194" s="40" t="s">
        <v>632</v>
      </c>
    </row>
    <row r="195" spans="1:3" ht="54.75" thickBot="1">
      <c r="A195" s="41" t="s">
        <v>633</v>
      </c>
      <c r="B195" s="42" t="s">
        <v>634</v>
      </c>
      <c r="C195" s="43" t="s">
        <v>635</v>
      </c>
    </row>
    <row r="196" spans="1:3" ht="54.75" thickBot="1">
      <c r="A196" s="41" t="s">
        <v>636</v>
      </c>
      <c r="B196" s="39" t="s">
        <v>637</v>
      </c>
      <c r="C196" s="40" t="s">
        <v>638</v>
      </c>
    </row>
    <row r="197" spans="1:3" ht="68.25" thickBot="1">
      <c r="A197" s="41" t="s">
        <v>639</v>
      </c>
      <c r="B197" s="42" t="s">
        <v>640</v>
      </c>
      <c r="C197" s="43" t="s">
        <v>641</v>
      </c>
    </row>
    <row r="198" spans="1:3" ht="68.25" thickBot="1">
      <c r="A198" s="41" t="s">
        <v>642</v>
      </c>
      <c r="B198" s="39" t="s">
        <v>643</v>
      </c>
      <c r="C198" s="40" t="s">
        <v>644</v>
      </c>
    </row>
    <row r="199" spans="1:3" ht="68.25" thickBot="1">
      <c r="A199" s="41" t="s">
        <v>645</v>
      </c>
      <c r="B199" s="42" t="s">
        <v>646</v>
      </c>
      <c r="C199" s="43" t="s">
        <v>647</v>
      </c>
    </row>
    <row r="200" spans="1:3" ht="68.25" thickBot="1">
      <c r="A200" s="41" t="s">
        <v>648</v>
      </c>
      <c r="B200" s="39" t="s">
        <v>649</v>
      </c>
      <c r="C200" s="40" t="s">
        <v>650</v>
      </c>
    </row>
    <row r="201" spans="1:3" ht="41.25" thickBot="1">
      <c r="A201" s="42" t="s">
        <v>651</v>
      </c>
      <c r="B201" s="42" t="s">
        <v>652</v>
      </c>
      <c r="C201" s="43" t="s">
        <v>653</v>
      </c>
    </row>
    <row r="202" spans="1:3" ht="41.25" thickBot="1">
      <c r="A202" s="41" t="s">
        <v>654</v>
      </c>
      <c r="B202" s="39" t="s">
        <v>655</v>
      </c>
      <c r="C202" s="40" t="s">
        <v>656</v>
      </c>
    </row>
    <row r="203" spans="1:3" ht="54.75" thickBot="1">
      <c r="A203" s="42" t="s">
        <v>657</v>
      </c>
      <c r="B203" s="42" t="s">
        <v>658</v>
      </c>
      <c r="C203" s="43" t="s">
        <v>659</v>
      </c>
    </row>
    <row r="204" spans="1:3" ht="54.75" thickBot="1">
      <c r="A204" s="41" t="s">
        <v>660</v>
      </c>
      <c r="B204" s="39" t="s">
        <v>661</v>
      </c>
      <c r="C204" s="40" t="s">
        <v>662</v>
      </c>
    </row>
    <row r="205" spans="1:3" ht="41.25" thickBot="1">
      <c r="A205" s="41" t="s">
        <v>663</v>
      </c>
      <c r="B205" s="42" t="s">
        <v>664</v>
      </c>
      <c r="C205" s="43" t="s">
        <v>665</v>
      </c>
    </row>
    <row r="206" spans="1:3" ht="41.25" thickBot="1">
      <c r="A206" s="41" t="s">
        <v>666</v>
      </c>
      <c r="B206" s="39" t="s">
        <v>667</v>
      </c>
      <c r="C206" s="40" t="s">
        <v>668</v>
      </c>
    </row>
    <row r="207" spans="1:3" ht="54.75" thickBot="1">
      <c r="A207" s="42" t="s">
        <v>669</v>
      </c>
      <c r="B207" s="42" t="s">
        <v>670</v>
      </c>
      <c r="C207" s="43" t="s">
        <v>671</v>
      </c>
    </row>
    <row r="208" spans="1:3" ht="54.75" thickBot="1">
      <c r="A208" s="41" t="s">
        <v>672</v>
      </c>
      <c r="B208" s="39" t="s">
        <v>673</v>
      </c>
      <c r="C208" s="40" t="s">
        <v>674</v>
      </c>
    </row>
    <row r="209" spans="1:3" ht="54.75" thickBot="1">
      <c r="A209" s="41" t="s">
        <v>675</v>
      </c>
      <c r="B209" s="42" t="s">
        <v>676</v>
      </c>
      <c r="C209" s="43" t="s">
        <v>677</v>
      </c>
    </row>
    <row r="210" spans="1:3" ht="68.25" thickBot="1">
      <c r="A210" s="41" t="s">
        <v>678</v>
      </c>
      <c r="B210" s="39" t="s">
        <v>679</v>
      </c>
      <c r="C210" s="40" t="s">
        <v>680</v>
      </c>
    </row>
    <row r="211" spans="1:3" ht="54.75" thickBot="1">
      <c r="A211" s="42" t="s">
        <v>681</v>
      </c>
      <c r="B211" s="42" t="s">
        <v>682</v>
      </c>
      <c r="C211" s="43" t="s">
        <v>683</v>
      </c>
    </row>
    <row r="212" spans="1:3" ht="54.75" thickBot="1">
      <c r="A212" s="41" t="s">
        <v>684</v>
      </c>
      <c r="B212" s="39" t="s">
        <v>685</v>
      </c>
      <c r="C212" s="40" t="s">
        <v>686</v>
      </c>
    </row>
    <row r="213" spans="1:3" ht="54.75" thickBot="1">
      <c r="A213" s="41" t="s">
        <v>681</v>
      </c>
      <c r="B213" s="42" t="s">
        <v>687</v>
      </c>
      <c r="C213" s="43" t="s">
        <v>683</v>
      </c>
    </row>
    <row r="214" spans="1:3" ht="54.75" thickBot="1">
      <c r="A214" s="41" t="s">
        <v>688</v>
      </c>
      <c r="B214" s="39" t="s">
        <v>689</v>
      </c>
      <c r="C214" s="40" t="s">
        <v>690</v>
      </c>
    </row>
    <row r="215" spans="1:3" ht="41.25" thickBot="1">
      <c r="A215" s="41" t="s">
        <v>691</v>
      </c>
      <c r="B215" s="42" t="s">
        <v>692</v>
      </c>
      <c r="C215" s="43" t="s">
        <v>693</v>
      </c>
    </row>
    <row r="216" spans="1:3" ht="54.75" thickBot="1">
      <c r="A216" s="41" t="s">
        <v>694</v>
      </c>
      <c r="B216" s="39" t="s">
        <v>695</v>
      </c>
      <c r="C216" s="40" t="s">
        <v>696</v>
      </c>
    </row>
    <row r="217" spans="1:3" ht="54.75" thickBot="1">
      <c r="A217" s="41" t="s">
        <v>697</v>
      </c>
      <c r="B217" s="42" t="s">
        <v>698</v>
      </c>
      <c r="C217" s="43" t="s">
        <v>699</v>
      </c>
    </row>
    <row r="218" spans="1:3" ht="54.75" thickBot="1">
      <c r="A218" s="41" t="s">
        <v>700</v>
      </c>
      <c r="B218" s="39" t="s">
        <v>701</v>
      </c>
      <c r="C218" s="40" t="s">
        <v>702</v>
      </c>
    </row>
    <row r="219" spans="1:3" ht="41.25" thickBot="1">
      <c r="A219" s="41" t="s">
        <v>703</v>
      </c>
      <c r="B219" s="42" t="s">
        <v>704</v>
      </c>
      <c r="C219" s="43" t="s">
        <v>705</v>
      </c>
    </row>
    <row r="220" spans="1:3" ht="41.25" thickBot="1">
      <c r="A220" s="41" t="s">
        <v>706</v>
      </c>
      <c r="B220" s="39" t="s">
        <v>707</v>
      </c>
      <c r="C220" s="40" t="s">
        <v>708</v>
      </c>
    </row>
    <row r="221" spans="1:3" ht="54.75" thickBot="1">
      <c r="A221" s="41" t="s">
        <v>709</v>
      </c>
      <c r="B221" s="42" t="s">
        <v>710</v>
      </c>
      <c r="C221" s="43" t="s">
        <v>711</v>
      </c>
    </row>
    <row r="222" spans="1:3" ht="54.75" thickBot="1">
      <c r="A222" s="41" t="s">
        <v>712</v>
      </c>
      <c r="B222" s="39" t="s">
        <v>713</v>
      </c>
      <c r="C222" s="40" t="s">
        <v>714</v>
      </c>
    </row>
    <row r="223" spans="1:3" ht="54.75" thickBot="1">
      <c r="A223" s="41" t="s">
        <v>715</v>
      </c>
      <c r="B223" s="42" t="s">
        <v>716</v>
      </c>
      <c r="C223" s="43" t="s">
        <v>717</v>
      </c>
    </row>
    <row r="224" spans="1:3" ht="54.75" thickBot="1">
      <c r="A224" s="41" t="s">
        <v>718</v>
      </c>
      <c r="B224" s="39" t="s">
        <v>719</v>
      </c>
      <c r="C224" s="40" t="s">
        <v>720</v>
      </c>
    </row>
    <row r="225" spans="1:3" ht="54.75" thickBot="1">
      <c r="A225" s="41" t="s">
        <v>721</v>
      </c>
      <c r="B225" s="42" t="s">
        <v>722</v>
      </c>
      <c r="C225" s="43" t="s">
        <v>723</v>
      </c>
    </row>
    <row r="226" spans="1:3" ht="54.75" thickBot="1">
      <c r="A226" s="41" t="s">
        <v>724</v>
      </c>
      <c r="B226" s="39" t="s">
        <v>725</v>
      </c>
      <c r="C226" s="40" t="s">
        <v>726</v>
      </c>
    </row>
    <row r="227" spans="1:3" ht="54.75" thickBot="1">
      <c r="A227" s="41" t="s">
        <v>727</v>
      </c>
      <c r="B227" s="42" t="s">
        <v>728</v>
      </c>
      <c r="C227" s="43" t="s">
        <v>729</v>
      </c>
    </row>
    <row r="228" spans="1:3" ht="54.75" thickBot="1">
      <c r="A228" s="41" t="s">
        <v>730</v>
      </c>
      <c r="B228" s="39" t="s">
        <v>731</v>
      </c>
      <c r="C228" s="40" t="s">
        <v>732</v>
      </c>
    </row>
    <row r="229" spans="1:3" ht="41.25" thickBot="1">
      <c r="A229" s="42" t="s">
        <v>733</v>
      </c>
      <c r="B229" s="42" t="s">
        <v>734</v>
      </c>
      <c r="C229" s="43" t="s">
        <v>735</v>
      </c>
    </row>
    <row r="230" spans="1:3" ht="41.25" thickBot="1">
      <c r="A230" s="41" t="s">
        <v>736</v>
      </c>
      <c r="B230" s="39" t="s">
        <v>737</v>
      </c>
      <c r="C230" s="40" t="s">
        <v>738</v>
      </c>
    </row>
    <row r="231" spans="1:3" ht="54.75" thickBot="1">
      <c r="A231" s="41" t="s">
        <v>739</v>
      </c>
      <c r="B231" s="42" t="s">
        <v>740</v>
      </c>
      <c r="C231" s="43" t="s">
        <v>741</v>
      </c>
    </row>
    <row r="232" spans="1:3" ht="54.75" thickBot="1">
      <c r="A232" s="41" t="s">
        <v>742</v>
      </c>
      <c r="B232" s="39" t="s">
        <v>743</v>
      </c>
      <c r="C232" s="40" t="s">
        <v>744</v>
      </c>
    </row>
    <row r="233" spans="1:3" ht="54.75" thickBot="1">
      <c r="A233" s="41" t="s">
        <v>745</v>
      </c>
      <c r="B233" s="42" t="s">
        <v>746</v>
      </c>
      <c r="C233" s="43" t="s">
        <v>747</v>
      </c>
    </row>
    <row r="234" spans="1:3" ht="54.75" thickBot="1">
      <c r="A234" s="41" t="s">
        <v>748</v>
      </c>
      <c r="B234" s="39" t="s">
        <v>749</v>
      </c>
      <c r="C234" s="40" t="s">
        <v>750</v>
      </c>
    </row>
    <row r="235" spans="1:3" ht="41.25" thickBot="1">
      <c r="A235" s="41" t="s">
        <v>751</v>
      </c>
      <c r="B235" s="42" t="s">
        <v>752</v>
      </c>
      <c r="C235" s="43" t="s">
        <v>753</v>
      </c>
    </row>
    <row r="236" spans="1:3" ht="54.75" thickBot="1">
      <c r="A236" s="41" t="s">
        <v>754</v>
      </c>
      <c r="B236" s="39" t="s">
        <v>755</v>
      </c>
      <c r="C236" s="40" t="s">
        <v>756</v>
      </c>
    </row>
    <row r="237" spans="1:3" ht="54.75" thickBot="1">
      <c r="A237" s="41" t="s">
        <v>757</v>
      </c>
      <c r="B237" s="42" t="s">
        <v>758</v>
      </c>
      <c r="C237" s="43" t="s">
        <v>759</v>
      </c>
    </row>
    <row r="238" spans="1:3" ht="54.75" thickBot="1">
      <c r="A238" s="41" t="s">
        <v>760</v>
      </c>
      <c r="B238" s="39" t="s">
        <v>761</v>
      </c>
      <c r="C238" s="40" t="s">
        <v>762</v>
      </c>
    </row>
    <row r="239" spans="1:3" ht="41.25" thickBot="1">
      <c r="A239" s="41" t="s">
        <v>736</v>
      </c>
      <c r="B239" s="42" t="s">
        <v>763</v>
      </c>
      <c r="C239" s="43" t="s">
        <v>738</v>
      </c>
    </row>
    <row r="240" spans="1:3" ht="54.75" thickBot="1">
      <c r="A240" s="41" t="s">
        <v>764</v>
      </c>
      <c r="B240" s="39" t="s">
        <v>765</v>
      </c>
      <c r="C240" s="40" t="s">
        <v>766</v>
      </c>
    </row>
    <row r="241" spans="1:3" ht="54.75" thickBot="1">
      <c r="A241" s="41" t="s">
        <v>767</v>
      </c>
      <c r="B241" s="42" t="s">
        <v>768</v>
      </c>
      <c r="C241" s="43" t="s">
        <v>769</v>
      </c>
    </row>
    <row r="242" spans="1:3" ht="54.75" thickBot="1">
      <c r="A242" s="41" t="s">
        <v>770</v>
      </c>
      <c r="B242" s="39" t="s">
        <v>771</v>
      </c>
      <c r="C242" s="40" t="s">
        <v>772</v>
      </c>
    </row>
    <row r="243" spans="1:3" ht="54.75" thickBot="1">
      <c r="A243" s="41" t="s">
        <v>773</v>
      </c>
      <c r="B243" s="42" t="s">
        <v>774</v>
      </c>
      <c r="C243" s="43" t="s">
        <v>775</v>
      </c>
    </row>
    <row r="244" spans="1:3" ht="54.75" thickBot="1">
      <c r="A244" s="41" t="s">
        <v>776</v>
      </c>
      <c r="B244" s="39" t="s">
        <v>777</v>
      </c>
      <c r="C244" s="40" t="s">
        <v>778</v>
      </c>
    </row>
    <row r="245" spans="1:3" ht="54.75" thickBot="1">
      <c r="A245" s="41" t="s">
        <v>739</v>
      </c>
      <c r="B245" s="42" t="s">
        <v>740</v>
      </c>
      <c r="C245" s="43" t="s">
        <v>741</v>
      </c>
    </row>
    <row r="246" spans="1:3" ht="54.75" thickBot="1">
      <c r="A246" s="41" t="s">
        <v>742</v>
      </c>
      <c r="B246" s="39" t="s">
        <v>743</v>
      </c>
      <c r="C246" s="40" t="s">
        <v>744</v>
      </c>
    </row>
    <row r="247" spans="1:3" ht="54.75" thickBot="1">
      <c r="A247" s="42" t="s">
        <v>779</v>
      </c>
      <c r="B247" s="42" t="s">
        <v>780</v>
      </c>
      <c r="C247" s="43" t="s">
        <v>659</v>
      </c>
    </row>
    <row r="248" spans="1:3" ht="54.75" thickBot="1">
      <c r="A248" s="41" t="s">
        <v>781</v>
      </c>
      <c r="B248" s="39" t="s">
        <v>782</v>
      </c>
      <c r="C248" s="40" t="s">
        <v>783</v>
      </c>
    </row>
    <row r="249" spans="1:3" ht="54.75" thickBot="1">
      <c r="A249" s="41" t="s">
        <v>784</v>
      </c>
      <c r="B249" s="42" t="s">
        <v>785</v>
      </c>
      <c r="C249" s="43" t="s">
        <v>786</v>
      </c>
    </row>
    <row r="250" spans="1:3" ht="68.25" thickBot="1">
      <c r="A250" s="41" t="s">
        <v>787</v>
      </c>
      <c r="B250" s="39" t="s">
        <v>788</v>
      </c>
      <c r="C250" s="40" t="s">
        <v>789</v>
      </c>
    </row>
    <row r="251" spans="1:3" ht="54.75" thickBot="1">
      <c r="A251" s="41" t="s">
        <v>790</v>
      </c>
      <c r="B251" s="42" t="s">
        <v>791</v>
      </c>
      <c r="C251" s="43" t="s">
        <v>792</v>
      </c>
    </row>
    <row r="252" spans="1:3" ht="54.75" thickBot="1">
      <c r="A252" s="41" t="s">
        <v>793</v>
      </c>
      <c r="B252" s="39" t="s">
        <v>794</v>
      </c>
      <c r="C252" s="40" t="s">
        <v>795</v>
      </c>
    </row>
    <row r="253" spans="1:3" ht="54.75" thickBot="1">
      <c r="A253" s="41" t="s">
        <v>796</v>
      </c>
      <c r="B253" s="42" t="s">
        <v>797</v>
      </c>
      <c r="C253" s="43" t="s">
        <v>798</v>
      </c>
    </row>
    <row r="254" spans="1:3" ht="54.75" thickBot="1">
      <c r="A254" s="41" t="s">
        <v>799</v>
      </c>
      <c r="B254" s="39" t="s">
        <v>800</v>
      </c>
      <c r="C254" s="40" t="s">
        <v>801</v>
      </c>
    </row>
    <row r="255" spans="1:3" ht="54.75" thickBot="1">
      <c r="A255" s="41" t="s">
        <v>802</v>
      </c>
      <c r="B255" s="42" t="s">
        <v>803</v>
      </c>
      <c r="C255" s="43" t="s">
        <v>804</v>
      </c>
    </row>
    <row r="256" spans="1:3" ht="41.25" thickBot="1">
      <c r="A256" s="41" t="s">
        <v>805</v>
      </c>
      <c r="B256" s="39" t="s">
        <v>806</v>
      </c>
      <c r="C256" s="40" t="s">
        <v>807</v>
      </c>
    </row>
    <row r="257" spans="1:3" ht="54.75" thickBot="1">
      <c r="A257" s="41" t="s">
        <v>808</v>
      </c>
      <c r="B257" s="42" t="s">
        <v>809</v>
      </c>
      <c r="C257" s="43" t="s">
        <v>810</v>
      </c>
    </row>
    <row r="258" spans="1:3" ht="41.25" thickBot="1">
      <c r="A258" s="39" t="s">
        <v>811</v>
      </c>
      <c r="B258" s="39" t="s">
        <v>812</v>
      </c>
      <c r="C258" s="40" t="s">
        <v>813</v>
      </c>
    </row>
    <row r="259" spans="1:3" ht="41.25" thickBot="1">
      <c r="A259" s="41" t="s">
        <v>814</v>
      </c>
      <c r="B259" s="42" t="s">
        <v>815</v>
      </c>
      <c r="C259" s="43" t="s">
        <v>816</v>
      </c>
    </row>
    <row r="260" spans="1:3" ht="54.75" thickBot="1">
      <c r="A260" s="41" t="s">
        <v>817</v>
      </c>
      <c r="B260" s="39" t="s">
        <v>818</v>
      </c>
      <c r="C260" s="40" t="s">
        <v>819</v>
      </c>
    </row>
    <row r="261" spans="1:3" ht="41.25" thickBot="1">
      <c r="A261" s="41" t="s">
        <v>820</v>
      </c>
      <c r="B261" s="42" t="s">
        <v>821</v>
      </c>
      <c r="C261" s="43" t="s">
        <v>822</v>
      </c>
    </row>
    <row r="262" spans="1:3" ht="41.25" thickBot="1">
      <c r="A262" s="41" t="s">
        <v>823</v>
      </c>
      <c r="B262" s="39" t="s">
        <v>824</v>
      </c>
      <c r="C262" s="40" t="s">
        <v>825</v>
      </c>
    </row>
    <row r="263" spans="1:3" ht="41.25" thickBot="1">
      <c r="A263" s="41" t="s">
        <v>826</v>
      </c>
      <c r="B263" s="42" t="s">
        <v>827</v>
      </c>
      <c r="C263" s="43" t="s">
        <v>828</v>
      </c>
    </row>
    <row r="264" spans="1:3" ht="41.25" thickBot="1">
      <c r="A264" s="39" t="s">
        <v>829</v>
      </c>
      <c r="B264" s="39" t="s">
        <v>830</v>
      </c>
      <c r="C264" s="40" t="s">
        <v>831</v>
      </c>
    </row>
    <row r="265" spans="1:3" ht="54.75" thickBot="1">
      <c r="A265" s="41" t="s">
        <v>832</v>
      </c>
      <c r="B265" s="42" t="s">
        <v>833</v>
      </c>
      <c r="C265" s="43" t="s">
        <v>834</v>
      </c>
    </row>
    <row r="266" spans="1:3" ht="41.25" thickBot="1">
      <c r="A266" s="41" t="s">
        <v>835</v>
      </c>
      <c r="B266" s="39" t="s">
        <v>836</v>
      </c>
      <c r="C266" s="40" t="s">
        <v>837</v>
      </c>
    </row>
    <row r="267" spans="1:3" ht="54.75" thickBot="1">
      <c r="A267" s="41" t="s">
        <v>838</v>
      </c>
      <c r="B267" s="42" t="s">
        <v>839</v>
      </c>
      <c r="C267" s="43" t="s">
        <v>840</v>
      </c>
    </row>
    <row r="268" spans="1:3" ht="54.75" thickBot="1">
      <c r="A268" s="41" t="s">
        <v>841</v>
      </c>
      <c r="B268" s="39" t="s">
        <v>842</v>
      </c>
      <c r="C268" s="40" t="s">
        <v>843</v>
      </c>
    </row>
    <row r="269" spans="1:3" ht="54.75" thickBot="1">
      <c r="A269" s="41" t="s">
        <v>844</v>
      </c>
      <c r="B269" s="42" t="s">
        <v>845</v>
      </c>
      <c r="C269" s="43" t="s">
        <v>846</v>
      </c>
    </row>
    <row r="270" spans="1:3" ht="68.25" thickBot="1">
      <c r="A270" s="41" t="s">
        <v>847</v>
      </c>
      <c r="B270" s="39" t="s">
        <v>848</v>
      </c>
      <c r="C270" s="40" t="s">
        <v>849</v>
      </c>
    </row>
    <row r="271" spans="1:3" ht="54.75" thickBot="1">
      <c r="A271" s="41" t="s">
        <v>850</v>
      </c>
      <c r="B271" s="42" t="s">
        <v>851</v>
      </c>
      <c r="C271" s="43" t="s">
        <v>852</v>
      </c>
    </row>
    <row r="272" spans="1:3" ht="54.75" thickBot="1">
      <c r="A272" s="41" t="s">
        <v>853</v>
      </c>
      <c r="B272" s="39" t="s">
        <v>854</v>
      </c>
      <c r="C272" s="40" t="s">
        <v>855</v>
      </c>
    </row>
    <row r="273" spans="1:3" ht="54.75" thickBot="1">
      <c r="A273" s="41" t="s">
        <v>856</v>
      </c>
      <c r="B273" s="42" t="s">
        <v>857</v>
      </c>
      <c r="C273" s="43" t="s">
        <v>858</v>
      </c>
    </row>
    <row r="274" spans="1:3" ht="54.75" thickBot="1">
      <c r="A274" s="41" t="s">
        <v>859</v>
      </c>
      <c r="B274" s="39" t="s">
        <v>860</v>
      </c>
      <c r="C274" s="40" t="s">
        <v>861</v>
      </c>
    </row>
    <row r="275" spans="1:3" ht="54.75" thickBot="1">
      <c r="A275" s="41" t="s">
        <v>862</v>
      </c>
      <c r="B275" s="42" t="s">
        <v>863</v>
      </c>
      <c r="C275" s="43" t="s">
        <v>864</v>
      </c>
    </row>
    <row r="276" spans="1:3" ht="54.75" thickBot="1">
      <c r="A276" s="41" t="s">
        <v>865</v>
      </c>
      <c r="B276" s="39" t="s">
        <v>866</v>
      </c>
      <c r="C276" s="40" t="s">
        <v>867</v>
      </c>
    </row>
    <row r="277" spans="1:3" ht="54.75" thickBot="1">
      <c r="A277" s="41" t="s">
        <v>832</v>
      </c>
      <c r="B277" s="42" t="s">
        <v>868</v>
      </c>
      <c r="C277" s="43" t="s">
        <v>834</v>
      </c>
    </row>
    <row r="278" spans="1:3" ht="41.25" thickBot="1">
      <c r="A278" s="41" t="s">
        <v>869</v>
      </c>
      <c r="B278" s="39" t="s">
        <v>870</v>
      </c>
      <c r="C278" s="40" t="s">
        <v>871</v>
      </c>
    </row>
    <row r="279" spans="1:3" ht="54.75" thickBot="1">
      <c r="A279" s="41" t="s">
        <v>872</v>
      </c>
      <c r="B279" s="42" t="s">
        <v>873</v>
      </c>
      <c r="C279" s="43" t="s">
        <v>874</v>
      </c>
    </row>
    <row r="280" spans="1:3" ht="54.75" thickBot="1">
      <c r="A280" s="41" t="s">
        <v>875</v>
      </c>
      <c r="B280" s="39" t="s">
        <v>876</v>
      </c>
      <c r="C280" s="40" t="s">
        <v>877</v>
      </c>
    </row>
    <row r="281" spans="1:3" ht="68.25" thickBot="1">
      <c r="A281" s="41" t="s">
        <v>878</v>
      </c>
      <c r="B281" s="42" t="s">
        <v>879</v>
      </c>
      <c r="C281" s="43" t="s">
        <v>880</v>
      </c>
    </row>
    <row r="282" spans="1:3" ht="54.75" thickBot="1">
      <c r="A282" s="41" t="s">
        <v>881</v>
      </c>
      <c r="B282" s="39" t="s">
        <v>882</v>
      </c>
      <c r="C282" s="40" t="s">
        <v>883</v>
      </c>
    </row>
    <row r="283" spans="1:3" ht="68.25" thickBot="1">
      <c r="A283" s="41" t="s">
        <v>884</v>
      </c>
      <c r="B283" s="42" t="s">
        <v>885</v>
      </c>
      <c r="C283" s="43" t="s">
        <v>886</v>
      </c>
    </row>
    <row r="284" spans="1:3" ht="41.25" thickBot="1">
      <c r="A284" s="41" t="s">
        <v>887</v>
      </c>
      <c r="B284" s="39" t="s">
        <v>888</v>
      </c>
      <c r="C284" s="40" t="s">
        <v>889</v>
      </c>
    </row>
    <row r="285" spans="1:3" ht="54.75" thickBot="1">
      <c r="A285" s="41" t="s">
        <v>890</v>
      </c>
      <c r="B285" s="42" t="s">
        <v>891</v>
      </c>
      <c r="C285" s="43" t="s">
        <v>892</v>
      </c>
    </row>
    <row r="286" spans="1:3" ht="54.75" thickBot="1">
      <c r="A286" s="41" t="s">
        <v>893</v>
      </c>
      <c r="B286" s="39" t="s">
        <v>894</v>
      </c>
      <c r="C286" s="40" t="s">
        <v>895</v>
      </c>
    </row>
    <row r="287" spans="1:3" ht="54.75" thickBot="1">
      <c r="A287" s="41" t="s">
        <v>896</v>
      </c>
      <c r="B287" s="42" t="s">
        <v>897</v>
      </c>
      <c r="C287" s="43" t="s">
        <v>898</v>
      </c>
    </row>
    <row r="288" spans="1:3" ht="54.75" thickBot="1">
      <c r="A288" s="41" t="s">
        <v>899</v>
      </c>
      <c r="B288" s="39" t="s">
        <v>900</v>
      </c>
      <c r="C288" s="40" t="s">
        <v>901</v>
      </c>
    </row>
    <row r="289" spans="1:3" ht="54.75" thickBot="1">
      <c r="A289" s="41" t="s">
        <v>902</v>
      </c>
      <c r="B289" s="42" t="s">
        <v>903</v>
      </c>
      <c r="C289" s="43" t="s">
        <v>904</v>
      </c>
    </row>
    <row r="290" spans="1:3" ht="54.75" thickBot="1">
      <c r="A290" s="41" t="s">
        <v>905</v>
      </c>
      <c r="B290" s="39" t="s">
        <v>906</v>
      </c>
      <c r="C290" s="40" t="s">
        <v>907</v>
      </c>
    </row>
    <row r="291" spans="1:3" ht="54.75" thickBot="1">
      <c r="A291" s="41" t="s">
        <v>908</v>
      </c>
      <c r="B291" s="42" t="s">
        <v>909</v>
      </c>
      <c r="C291" s="43" t="s">
        <v>910</v>
      </c>
    </row>
    <row r="292" spans="1:3" ht="54.75" thickBot="1">
      <c r="A292" s="41" t="s">
        <v>911</v>
      </c>
      <c r="B292" s="39" t="s">
        <v>912</v>
      </c>
      <c r="C292" s="40" t="s">
        <v>913</v>
      </c>
    </row>
    <row r="293" spans="1:3" ht="54.75" thickBot="1">
      <c r="A293" s="41" t="s">
        <v>914</v>
      </c>
      <c r="B293" s="42" t="s">
        <v>915</v>
      </c>
      <c r="C293" s="43" t="s">
        <v>916</v>
      </c>
    </row>
    <row r="294" spans="1:3" ht="54.75" thickBot="1">
      <c r="A294" s="41" t="s">
        <v>917</v>
      </c>
      <c r="B294" s="39" t="s">
        <v>918</v>
      </c>
      <c r="C294" s="40" t="s">
        <v>919</v>
      </c>
    </row>
    <row r="295" spans="1:3" ht="54.75" thickBot="1">
      <c r="A295" s="41" t="s">
        <v>920</v>
      </c>
      <c r="B295" s="42" t="s">
        <v>921</v>
      </c>
      <c r="C295" s="43" t="s">
        <v>922</v>
      </c>
    </row>
    <row r="296" spans="1:3" ht="54.75" thickBot="1">
      <c r="A296" s="41" t="s">
        <v>923</v>
      </c>
      <c r="B296" s="39" t="s">
        <v>924</v>
      </c>
      <c r="C296" s="40" t="s">
        <v>925</v>
      </c>
    </row>
    <row r="297" spans="1:3" ht="68.25" thickBot="1">
      <c r="A297" s="41" t="s">
        <v>926</v>
      </c>
      <c r="B297" s="42" t="s">
        <v>927</v>
      </c>
      <c r="C297" s="43" t="s">
        <v>928</v>
      </c>
    </row>
    <row r="298" spans="1:3" ht="54.75" thickBot="1">
      <c r="A298" s="41" t="s">
        <v>929</v>
      </c>
      <c r="B298" s="39" t="s">
        <v>930</v>
      </c>
      <c r="C298" s="40" t="s">
        <v>931</v>
      </c>
    </row>
    <row r="299" spans="1:3" ht="54.75" thickBot="1">
      <c r="A299" s="41" t="s">
        <v>932</v>
      </c>
      <c r="B299" s="42" t="s">
        <v>933</v>
      </c>
      <c r="C299" s="43" t="s">
        <v>934</v>
      </c>
    </row>
    <row r="300" spans="1:3" ht="68.25" thickBot="1">
      <c r="A300" s="41" t="s">
        <v>935</v>
      </c>
      <c r="B300" s="39" t="s">
        <v>936</v>
      </c>
      <c r="C300" s="40" t="s">
        <v>937</v>
      </c>
    </row>
    <row r="301" spans="1:3" ht="68.25" thickBot="1">
      <c r="A301" s="41" t="s">
        <v>938</v>
      </c>
      <c r="B301" s="42" t="s">
        <v>939</v>
      </c>
      <c r="C301" s="43" t="s">
        <v>940</v>
      </c>
    </row>
    <row r="302" spans="1:3" ht="68.25" thickBot="1">
      <c r="A302" s="41" t="s">
        <v>941</v>
      </c>
      <c r="B302" s="39" t="s">
        <v>942</v>
      </c>
      <c r="C302" s="40" t="s">
        <v>943</v>
      </c>
    </row>
    <row r="303" spans="1:3" ht="54.75" thickBot="1">
      <c r="A303" s="41" t="s">
        <v>944</v>
      </c>
      <c r="B303" s="42" t="s">
        <v>945</v>
      </c>
      <c r="C303" s="43" t="s">
        <v>946</v>
      </c>
    </row>
    <row r="304" spans="1:3" ht="68.25" thickBot="1">
      <c r="A304" s="41" t="s">
        <v>947</v>
      </c>
      <c r="B304" s="39" t="s">
        <v>948</v>
      </c>
      <c r="C304" s="40" t="s">
        <v>949</v>
      </c>
    </row>
    <row r="305" spans="1:3" ht="54.75" thickBot="1">
      <c r="A305" s="41" t="s">
        <v>950</v>
      </c>
      <c r="B305" s="42" t="s">
        <v>951</v>
      </c>
      <c r="C305" s="43" t="s">
        <v>952</v>
      </c>
    </row>
    <row r="306" spans="1:3" ht="54.75" thickBot="1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1109</v>
      </c>
      <c r="B1" t="s">
        <v>1110</v>
      </c>
    </row>
    <row r="2" spans="1:2">
      <c r="A2" s="48">
        <v>45722.801747685182</v>
      </c>
      <c r="B2" t="s">
        <v>1107</v>
      </c>
    </row>
    <row r="3" spans="1:2">
      <c r="A3" s="48">
        <v>45723.400613425925</v>
      </c>
      <c r="B3" t="s">
        <v>1107</v>
      </c>
    </row>
    <row r="4" spans="1:2">
      <c r="A4" s="48">
        <v>45723.658148148148</v>
      </c>
      <c r="B4" t="s">
        <v>1115</v>
      </c>
    </row>
    <row r="5" spans="1:2">
      <c r="A5" s="48">
        <v>45723.662939814814</v>
      </c>
      <c r="B5" t="s">
        <v>1116</v>
      </c>
    </row>
    <row r="6" spans="1:2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28" t="s">
        <v>12</v>
      </c>
      <c r="C4" s="529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1534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1118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1119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45</v>
      </c>
      <c r="C8" s="34" t="s">
        <v>1120</v>
      </c>
      <c r="F8" s="17">
        <v>50</v>
      </c>
      <c r="G8" s="19"/>
      <c r="H8" s="19"/>
      <c r="I8" s="61"/>
      <c r="J8" s="62" t="s">
        <v>1523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1518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1729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1505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1690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3038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2199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3039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2198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3040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2204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1667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1504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1469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1479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1485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2203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2188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1660</v>
      </c>
      <c r="L26" s="17">
        <v>250000</v>
      </c>
    </row>
    <row r="27" spans="1:18" ht="18" hidden="1" customHeight="1">
      <c r="F27" s="17">
        <v>69</v>
      </c>
      <c r="J27" s="53" t="s">
        <v>1652</v>
      </c>
      <c r="L27" s="17">
        <v>200000</v>
      </c>
    </row>
    <row r="28" spans="1:18" ht="18" hidden="1" customHeight="1">
      <c r="F28" s="17">
        <v>64</v>
      </c>
      <c r="J28" s="53" t="s">
        <v>1628</v>
      </c>
      <c r="L28" s="17">
        <v>27000</v>
      </c>
    </row>
    <row r="29" spans="1:18" ht="18" customHeight="1">
      <c r="F29" s="17">
        <v>2</v>
      </c>
      <c r="J29" s="53" t="s">
        <v>2194</v>
      </c>
      <c r="L29" s="17">
        <v>300000</v>
      </c>
    </row>
    <row r="30" spans="1:18" ht="18" customHeight="1">
      <c r="F30" s="17">
        <v>3</v>
      </c>
      <c r="J30" s="53" t="s">
        <v>1153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1918</v>
      </c>
      <c r="L31" s="17">
        <v>2000000</v>
      </c>
    </row>
    <row r="32" spans="1:18" ht="18" customHeight="1">
      <c r="F32" s="17">
        <v>5</v>
      </c>
      <c r="J32" s="53" t="s">
        <v>1638</v>
      </c>
      <c r="L32" s="17">
        <v>198000</v>
      </c>
    </row>
    <row r="33" spans="6:12" ht="18" customHeight="1">
      <c r="F33" s="17">
        <v>6</v>
      </c>
      <c r="J33" s="53" t="s">
        <v>1137</v>
      </c>
      <c r="L33" s="17">
        <v>12000</v>
      </c>
    </row>
    <row r="34" spans="6:12" ht="18" customHeight="1">
      <c r="F34" s="17">
        <v>7</v>
      </c>
      <c r="J34" s="53" t="s">
        <v>1742</v>
      </c>
      <c r="L34" s="17">
        <v>650000</v>
      </c>
    </row>
    <row r="35" spans="6:12" ht="18" customHeight="1">
      <c r="F35" s="17">
        <v>8</v>
      </c>
      <c r="J35" s="53" t="s">
        <v>1139</v>
      </c>
      <c r="L35" s="17">
        <v>1000000</v>
      </c>
    </row>
    <row r="36" spans="6:12" ht="18" customHeight="1">
      <c r="F36" s="17">
        <v>120</v>
      </c>
      <c r="J36" s="53" t="s">
        <v>1892</v>
      </c>
      <c r="L36" s="17">
        <v>250000</v>
      </c>
    </row>
    <row r="37" spans="6:12" ht="18" customHeight="1">
      <c r="F37" s="17">
        <v>10</v>
      </c>
      <c r="J37" s="53" t="s">
        <v>1142</v>
      </c>
      <c r="L37" s="17">
        <v>600000</v>
      </c>
    </row>
    <row r="38" spans="6:12" ht="18" customHeight="1">
      <c r="F38" s="17">
        <v>11</v>
      </c>
      <c r="J38" s="53" t="s">
        <v>1143</v>
      </c>
      <c r="L38" s="17">
        <v>25000</v>
      </c>
    </row>
    <row r="39" spans="6:12" ht="18" customHeight="1">
      <c r="F39" s="17">
        <v>12</v>
      </c>
      <c r="J39" s="53" t="s">
        <v>1144</v>
      </c>
      <c r="L39" s="17">
        <v>800000</v>
      </c>
    </row>
    <row r="40" spans="6:12" ht="18" customHeight="1">
      <c r="F40" s="17">
        <v>65</v>
      </c>
      <c r="J40" s="53" t="s">
        <v>1635</v>
      </c>
      <c r="L40" s="17">
        <v>850000</v>
      </c>
    </row>
    <row r="41" spans="6:12" ht="18" customHeight="1">
      <c r="F41" s="17">
        <v>68</v>
      </c>
      <c r="J41" s="53" t="s">
        <v>1652</v>
      </c>
      <c r="L41" s="17">
        <v>150000</v>
      </c>
    </row>
    <row r="42" spans="6:12" ht="18" customHeight="1">
      <c r="F42" s="17">
        <v>17</v>
      </c>
      <c r="J42" s="53" t="s">
        <v>1108</v>
      </c>
      <c r="L42" s="17">
        <v>198000</v>
      </c>
    </row>
    <row r="43" spans="6:12" ht="18" customHeight="1">
      <c r="F43" s="17">
        <v>18</v>
      </c>
      <c r="J43" s="53" t="s">
        <v>2202</v>
      </c>
      <c r="L43" s="17">
        <v>150000</v>
      </c>
    </row>
    <row r="44" spans="6:12" ht="18" customHeight="1">
      <c r="F44" s="17">
        <v>19</v>
      </c>
      <c r="J44" s="53" t="s">
        <v>2200</v>
      </c>
      <c r="L44" s="17">
        <v>100000</v>
      </c>
    </row>
    <row r="45" spans="6:12" ht="18" customHeight="1">
      <c r="F45" s="17">
        <v>20</v>
      </c>
      <c r="J45" s="53" t="s">
        <v>1164</v>
      </c>
      <c r="L45" s="17">
        <v>230000</v>
      </c>
    </row>
    <row r="46" spans="6:12" ht="18" customHeight="1">
      <c r="F46" s="17">
        <v>21</v>
      </c>
      <c r="J46" s="53" t="s">
        <v>2184</v>
      </c>
      <c r="L46" s="17">
        <v>600000</v>
      </c>
    </row>
    <row r="47" spans="6:12" ht="18" customHeight="1">
      <c r="F47" s="17">
        <v>55</v>
      </c>
      <c r="J47" s="53" t="s">
        <v>1554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2189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2189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1854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1716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1739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1739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2195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3041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1858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1743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1737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1737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1735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3042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2812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2917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2917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2917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3043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3043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1861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1758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2918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2090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2090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2831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2411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1828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3044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3045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1548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1548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3046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2412</v>
      </c>
      <c r="J82" s="53" t="s">
        <v>1873</v>
      </c>
      <c r="K82" s="17" t="s">
        <v>2412</v>
      </c>
      <c r="L82" s="17">
        <v>20000</v>
      </c>
    </row>
    <row r="83" spans="6:12" ht="18" customHeight="1">
      <c r="F83" s="17">
        <v>119</v>
      </c>
      <c r="I83" s="17" t="s">
        <v>1872</v>
      </c>
      <c r="J83" s="53" t="s">
        <v>1873</v>
      </c>
      <c r="K83" s="17" t="s">
        <v>1872</v>
      </c>
      <c r="L83" s="17">
        <v>10000</v>
      </c>
    </row>
    <row r="84" spans="6:12" ht="18" customHeight="1">
      <c r="F84" s="17">
        <v>32</v>
      </c>
      <c r="I84" s="17" t="s">
        <v>1463</v>
      </c>
      <c r="J84" s="53" t="s">
        <v>2177</v>
      </c>
      <c r="K84" s="17" t="s">
        <v>1463</v>
      </c>
      <c r="L84" s="17">
        <v>1500000</v>
      </c>
    </row>
    <row r="85" spans="6:12" ht="18" customHeight="1">
      <c r="F85" s="17">
        <v>33</v>
      </c>
      <c r="I85" s="17" t="s">
        <v>1212</v>
      </c>
      <c r="J85" s="53" t="s">
        <v>2773</v>
      </c>
      <c r="K85" s="17" t="s">
        <v>1212</v>
      </c>
      <c r="L85" s="17">
        <v>1600000</v>
      </c>
    </row>
    <row r="86" spans="6:12" ht="18" customHeight="1">
      <c r="F86" s="17">
        <v>34</v>
      </c>
      <c r="I86" s="17" t="s">
        <v>3034</v>
      </c>
      <c r="J86" s="53" t="s">
        <v>2178</v>
      </c>
      <c r="K86" s="17" t="s">
        <v>3034</v>
      </c>
      <c r="L86" s="17">
        <v>2200000</v>
      </c>
    </row>
    <row r="87" spans="6:12" ht="18" customHeight="1">
      <c r="F87" s="17">
        <v>72</v>
      </c>
      <c r="I87" s="17" t="s">
        <v>3035</v>
      </c>
      <c r="J87" s="53" t="s">
        <v>3047</v>
      </c>
      <c r="K87" s="17" t="s">
        <v>3035</v>
      </c>
      <c r="L87" s="17">
        <v>1500000</v>
      </c>
    </row>
    <row r="88" spans="6:12" ht="18" customHeight="1">
      <c r="F88" s="17">
        <v>73</v>
      </c>
      <c r="I88" s="17" t="s">
        <v>3036</v>
      </c>
      <c r="J88" s="53" t="s">
        <v>2197</v>
      </c>
      <c r="K88" s="17" t="s">
        <v>3036</v>
      </c>
      <c r="L88" s="17">
        <v>50000</v>
      </c>
    </row>
    <row r="89" spans="6:12" ht="18" customHeight="1">
      <c r="F89" s="17">
        <v>58</v>
      </c>
      <c r="I89" s="17" t="s">
        <v>2746</v>
      </c>
      <c r="J89" s="53" t="s">
        <v>2416</v>
      </c>
      <c r="K89" s="17" t="s">
        <v>2746</v>
      </c>
      <c r="L89" s="17">
        <v>1100000</v>
      </c>
    </row>
    <row r="90" spans="6:12" ht="18" customHeight="1">
      <c r="F90" s="17">
        <v>95</v>
      </c>
      <c r="I90" s="17" t="s">
        <v>2011</v>
      </c>
      <c r="J90" s="53" t="s">
        <v>2192</v>
      </c>
      <c r="K90" s="17" t="s">
        <v>2011</v>
      </c>
      <c r="L90" s="17">
        <v>10000</v>
      </c>
    </row>
    <row r="91" spans="6:12" ht="18" customHeight="1">
      <c r="F91" s="17">
        <v>93</v>
      </c>
      <c r="I91" s="17" t="s">
        <v>1794</v>
      </c>
      <c r="J91" s="53" t="s">
        <v>2190</v>
      </c>
      <c r="K91" s="17" t="s">
        <v>1794</v>
      </c>
      <c r="L91" s="17">
        <v>30000</v>
      </c>
    </row>
    <row r="92" spans="6:12" ht="18" customHeight="1">
      <c r="F92" s="17">
        <v>30</v>
      </c>
      <c r="I92" s="17" t="s">
        <v>1206</v>
      </c>
      <c r="J92" s="53" t="s">
        <v>2186</v>
      </c>
      <c r="K92" s="17" t="s">
        <v>1206</v>
      </c>
      <c r="L92" s="17">
        <v>569000</v>
      </c>
    </row>
    <row r="93" spans="6:12" ht="18" customHeight="1">
      <c r="F93" s="17">
        <v>35</v>
      </c>
      <c r="I93" s="17" t="s">
        <v>1215</v>
      </c>
      <c r="J93" s="53" t="s">
        <v>2026</v>
      </c>
      <c r="K93" s="17" t="s">
        <v>1215</v>
      </c>
      <c r="L93" s="17">
        <v>1500000</v>
      </c>
    </row>
    <row r="94" spans="6:12" ht="18" customHeight="1">
      <c r="F94" s="17">
        <v>26</v>
      </c>
      <c r="I94" s="17" t="s">
        <v>1993</v>
      </c>
      <c r="J94" s="53" t="s">
        <v>1801</v>
      </c>
      <c r="K94" s="17" t="s">
        <v>1993</v>
      </c>
      <c r="L94" s="17">
        <v>1500000</v>
      </c>
    </row>
    <row r="95" spans="6:12" ht="18" customHeight="1">
      <c r="F95" s="17">
        <v>90</v>
      </c>
      <c r="I95" s="17" t="s">
        <v>2216</v>
      </c>
      <c r="J95" s="53" t="s">
        <v>2181</v>
      </c>
      <c r="K95" s="17" t="s">
        <v>2216</v>
      </c>
      <c r="L95" s="17">
        <v>250000</v>
      </c>
    </row>
    <row r="96" spans="6:12" ht="18" customHeight="1">
      <c r="F96" s="17">
        <v>91</v>
      </c>
      <c r="I96" s="17" t="s">
        <v>1719</v>
      </c>
      <c r="J96" s="53" t="s">
        <v>2182</v>
      </c>
      <c r="K96" s="17" t="s">
        <v>1719</v>
      </c>
      <c r="L96" s="17">
        <v>60000</v>
      </c>
    </row>
    <row r="97" spans="6:12" ht="18" customHeight="1">
      <c r="F97" s="17">
        <v>103</v>
      </c>
      <c r="I97" s="17" t="s">
        <v>1802</v>
      </c>
      <c r="J97" s="53" t="s">
        <v>2180</v>
      </c>
      <c r="K97" s="17" t="s">
        <v>1802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2053</v>
      </c>
      <c r="J98" s="53" t="s">
        <v>1915</v>
      </c>
      <c r="K98" s="17" t="s">
        <v>2053</v>
      </c>
      <c r="L98" s="17">
        <v>1000000</v>
      </c>
    </row>
    <row r="99" spans="6:12" ht="18" customHeight="1">
      <c r="F99" s="17">
        <v>56</v>
      </c>
      <c r="I99" s="17" t="s">
        <v>1955</v>
      </c>
      <c r="J99" s="53" t="s">
        <v>2201</v>
      </c>
      <c r="K99" s="17" t="s">
        <v>1955</v>
      </c>
      <c r="L99" s="17">
        <v>1800000</v>
      </c>
    </row>
    <row r="100" spans="6:12" ht="18" customHeight="1">
      <c r="F100" s="17">
        <v>94</v>
      </c>
      <c r="I100" s="17" t="s">
        <v>1821</v>
      </c>
      <c r="J100" s="53" t="s">
        <v>2191</v>
      </c>
      <c r="K100" s="17" t="s">
        <v>1821</v>
      </c>
      <c r="L100" s="17">
        <v>10000</v>
      </c>
    </row>
    <row r="101" spans="6:12" ht="18" customHeight="1">
      <c r="F101" s="17">
        <v>96</v>
      </c>
      <c r="I101" s="17" t="s">
        <v>1900</v>
      </c>
      <c r="J101" s="53" t="s">
        <v>1901</v>
      </c>
      <c r="K101" s="17" t="s">
        <v>1900</v>
      </c>
      <c r="L101" s="17">
        <v>20000</v>
      </c>
    </row>
    <row r="102" spans="6:12" ht="18" customHeight="1">
      <c r="F102" s="17">
        <v>38</v>
      </c>
      <c r="I102" s="17" t="s">
        <v>1258</v>
      </c>
      <c r="J102" s="53" t="s">
        <v>2187</v>
      </c>
      <c r="K102" s="17" t="s">
        <v>1258</v>
      </c>
      <c r="L102" s="17">
        <v>130000</v>
      </c>
    </row>
    <row r="103" spans="6:12" ht="18" customHeight="1">
      <c r="F103" s="17">
        <v>85</v>
      </c>
      <c r="I103" s="17" t="s">
        <v>2748</v>
      </c>
      <c r="J103" s="53" t="s">
        <v>2838</v>
      </c>
      <c r="K103" s="17" t="s">
        <v>2748</v>
      </c>
      <c r="L103" s="17">
        <v>129000</v>
      </c>
    </row>
    <row r="104" spans="6:12" ht="18" customHeight="1">
      <c r="F104" s="17">
        <v>25</v>
      </c>
      <c r="I104" s="17" t="s">
        <v>1200</v>
      </c>
      <c r="J104" s="53" t="s">
        <v>2179</v>
      </c>
      <c r="K104" s="17" t="s">
        <v>1200</v>
      </c>
      <c r="L104" s="17">
        <v>1500000</v>
      </c>
    </row>
    <row r="105" spans="6:12" ht="18" customHeight="1">
      <c r="F105" s="17">
        <v>24</v>
      </c>
      <c r="I105" s="17" t="s">
        <v>1199</v>
      </c>
      <c r="J105" s="53" t="s">
        <v>2185</v>
      </c>
      <c r="K105" s="17" t="s">
        <v>1199</v>
      </c>
      <c r="L105" s="17">
        <v>1400000</v>
      </c>
    </row>
    <row r="106" spans="6:12" ht="18" customHeight="1">
      <c r="F106" s="17">
        <v>22</v>
      </c>
      <c r="I106" s="17" t="s">
        <v>1197</v>
      </c>
      <c r="J106" s="53" t="s">
        <v>2196</v>
      </c>
      <c r="K106" s="17" t="s">
        <v>1197</v>
      </c>
      <c r="L106" s="17">
        <v>1000000</v>
      </c>
    </row>
    <row r="107" spans="6:12" ht="18" customHeight="1">
      <c r="F107" s="17">
        <v>23</v>
      </c>
      <c r="I107" s="17" t="s">
        <v>1198</v>
      </c>
      <c r="J107" s="53" t="s">
        <v>2196</v>
      </c>
      <c r="K107" s="17" t="s">
        <v>1198</v>
      </c>
      <c r="L107" s="17">
        <v>1000000</v>
      </c>
    </row>
    <row r="108" spans="6:12" ht="18" customHeight="1">
      <c r="F108" s="17">
        <v>108</v>
      </c>
      <c r="I108" s="17" t="s">
        <v>1762</v>
      </c>
      <c r="J108" s="53" t="s">
        <v>1763</v>
      </c>
      <c r="K108" s="17" t="s">
        <v>1762</v>
      </c>
      <c r="L108" s="17">
        <v>25000</v>
      </c>
    </row>
    <row r="109" spans="6:12" ht="18" customHeight="1">
      <c r="F109" s="17">
        <v>109</v>
      </c>
      <c r="I109" s="17" t="s">
        <v>1765</v>
      </c>
      <c r="J109" s="53" t="s">
        <v>1763</v>
      </c>
      <c r="K109" s="17" t="s">
        <v>1765</v>
      </c>
      <c r="L109" s="17">
        <v>65000</v>
      </c>
    </row>
    <row r="110" spans="6:12" ht="18" customHeight="1">
      <c r="F110" s="17">
        <v>37</v>
      </c>
      <c r="I110" s="17" t="s">
        <v>2874</v>
      </c>
      <c r="J110" s="53" t="s">
        <v>2382</v>
      </c>
      <c r="K110" s="17" t="s">
        <v>2874</v>
      </c>
      <c r="L110" s="17">
        <v>770000</v>
      </c>
    </row>
    <row r="111" spans="6:12" ht="18" customHeight="1">
      <c r="F111" s="17">
        <v>28</v>
      </c>
      <c r="I111" s="17" t="s">
        <v>1203</v>
      </c>
      <c r="J111" s="53" t="s">
        <v>1204</v>
      </c>
      <c r="K111" s="17" t="s">
        <v>1203</v>
      </c>
      <c r="L111" s="17">
        <v>1200000</v>
      </c>
    </row>
    <row r="112" spans="6:12" ht="18" customHeight="1">
      <c r="F112" s="17">
        <v>57</v>
      </c>
      <c r="I112" s="17" t="s">
        <v>1562</v>
      </c>
      <c r="J112" s="53" t="s">
        <v>1204</v>
      </c>
      <c r="K112" s="17" t="s">
        <v>1562</v>
      </c>
      <c r="L112" s="17">
        <v>1000000</v>
      </c>
    </row>
    <row r="113" spans="6:12" ht="18" customHeight="1">
      <c r="F113" s="17">
        <v>31</v>
      </c>
      <c r="I113" s="17" t="s">
        <v>1562</v>
      </c>
      <c r="J113" s="53" t="s">
        <v>3048</v>
      </c>
      <c r="K113" s="17" t="s">
        <v>1562</v>
      </c>
      <c r="L113" s="17">
        <v>1300000</v>
      </c>
    </row>
    <row r="114" spans="6:12" ht="18" customHeight="1">
      <c r="F114" s="17">
        <v>29</v>
      </c>
      <c r="I114" s="17" t="s">
        <v>1205</v>
      </c>
      <c r="J114" s="53" t="s">
        <v>1204</v>
      </c>
      <c r="K114" s="17" t="s">
        <v>1205</v>
      </c>
      <c r="L114" s="17">
        <v>1200000</v>
      </c>
    </row>
    <row r="115" spans="6:12" ht="18" customHeight="1">
      <c r="F115" s="17">
        <v>59</v>
      </c>
      <c r="I115" s="17" t="s">
        <v>2695</v>
      </c>
      <c r="J115" s="53" t="s">
        <v>1560</v>
      </c>
      <c r="K115" s="17" t="s">
        <v>2695</v>
      </c>
      <c r="L115" s="17">
        <v>1100000</v>
      </c>
    </row>
    <row r="116" spans="6:12" ht="18" customHeight="1">
      <c r="F116" s="17">
        <v>36</v>
      </c>
      <c r="I116" s="17" t="s">
        <v>1222</v>
      </c>
      <c r="J116" s="53" t="s">
        <v>1560</v>
      </c>
      <c r="K116" s="17" t="s">
        <v>1222</v>
      </c>
      <c r="L116" s="17">
        <v>1600000</v>
      </c>
    </row>
    <row r="117" spans="6:12" ht="18" customHeight="1">
      <c r="F117" s="17">
        <v>110</v>
      </c>
      <c r="I117" s="17" t="s">
        <v>1767</v>
      </c>
      <c r="J117" s="53" t="s">
        <v>1560</v>
      </c>
      <c r="K117" s="17" t="s">
        <v>1767</v>
      </c>
      <c r="L117" s="17">
        <v>1400000</v>
      </c>
    </row>
    <row r="118" spans="6:12" ht="18" customHeight="1">
      <c r="F118" s="17">
        <v>60</v>
      </c>
      <c r="I118" s="17" t="s">
        <v>3037</v>
      </c>
      <c r="J118" s="53" t="s">
        <v>3049</v>
      </c>
      <c r="K118" s="17" t="s">
        <v>3037</v>
      </c>
      <c r="L118" s="17">
        <v>3500000</v>
      </c>
    </row>
    <row r="119" spans="6:12" ht="18" customHeight="1">
      <c r="F119" s="17">
        <v>116</v>
      </c>
      <c r="I119" s="17" t="s">
        <v>1848</v>
      </c>
      <c r="J119" s="53" t="s">
        <v>1849</v>
      </c>
      <c r="K119" s="17" t="s">
        <v>1848</v>
      </c>
      <c r="L119" s="17">
        <v>210000</v>
      </c>
    </row>
    <row r="120" spans="6:12" ht="18" customHeight="1">
      <c r="F120" s="17">
        <v>27</v>
      </c>
      <c r="I120" s="17" t="s">
        <v>1360</v>
      </c>
      <c r="J120" s="53" t="s">
        <v>1202</v>
      </c>
      <c r="K120" s="17" t="s">
        <v>1360</v>
      </c>
      <c r="L120" s="17">
        <v>1400000</v>
      </c>
    </row>
    <row r="121" spans="6:12" ht="18" customHeight="1">
      <c r="F121" s="17">
        <v>105</v>
      </c>
      <c r="I121" s="17" t="s">
        <v>1751</v>
      </c>
      <c r="J121" s="53" t="s">
        <v>1202</v>
      </c>
      <c r="K121" s="17" t="s">
        <v>1751</v>
      </c>
      <c r="L121" s="17">
        <v>1200000</v>
      </c>
    </row>
    <row r="122" spans="6:12" ht="18" customHeight="1">
      <c r="F122" s="17">
        <v>46</v>
      </c>
      <c r="I122" s="17" t="s">
        <v>2677</v>
      </c>
      <c r="J122" s="53" t="s">
        <v>1495</v>
      </c>
      <c r="K122" s="17" t="s">
        <v>2677</v>
      </c>
      <c r="L122" s="17">
        <v>350000</v>
      </c>
    </row>
    <row r="123" spans="6:12" ht="18" customHeight="1">
      <c r="F123" s="17">
        <v>87</v>
      </c>
      <c r="I123" s="17" t="s">
        <v>1714</v>
      </c>
      <c r="J123" s="53" t="s">
        <v>1715</v>
      </c>
      <c r="K123" s="17" t="s">
        <v>1714</v>
      </c>
      <c r="L123" s="17">
        <v>20000</v>
      </c>
    </row>
    <row r="124" spans="6:12" ht="18" customHeight="1">
      <c r="F124" s="17">
        <v>39</v>
      </c>
      <c r="I124" s="17" t="s">
        <v>1264</v>
      </c>
      <c r="J124" s="53" t="s">
        <v>1265</v>
      </c>
      <c r="K124" s="17" t="s">
        <v>1264</v>
      </c>
      <c r="L124" s="17">
        <v>50000</v>
      </c>
    </row>
    <row r="125" spans="6:12" ht="18" customHeight="1">
      <c r="F125" s="17">
        <v>86</v>
      </c>
      <c r="I125" s="17" t="s">
        <v>1703</v>
      </c>
      <c r="J125" s="53" t="s">
        <v>1704</v>
      </c>
      <c r="K125" s="17" t="s">
        <v>1703</v>
      </c>
      <c r="L125" s="17">
        <v>50000</v>
      </c>
    </row>
    <row r="126" spans="6:12" ht="18" customHeight="1">
      <c r="F126" s="17">
        <v>4</v>
      </c>
      <c r="I126" s="17" t="s">
        <v>1951</v>
      </c>
      <c r="J126" s="53" t="s">
        <v>3050</v>
      </c>
      <c r="K126" s="17" t="s">
        <v>1951</v>
      </c>
      <c r="L126" s="17">
        <v>1000000</v>
      </c>
    </row>
    <row r="127" spans="6:12" ht="18" customHeight="1">
      <c r="F127" s="17">
        <v>63</v>
      </c>
      <c r="I127" s="17" t="s">
        <v>1625</v>
      </c>
      <c r="J127" s="53" t="s">
        <v>1626</v>
      </c>
      <c r="K127" s="17" t="s">
        <v>1625</v>
      </c>
      <c r="L127" s="17">
        <v>12000</v>
      </c>
    </row>
    <row r="128" spans="6:12" ht="18" customHeight="1">
      <c r="F128" s="17">
        <v>98</v>
      </c>
      <c r="I128" s="17" t="s">
        <v>2832</v>
      </c>
      <c r="J128" s="53" t="s">
        <v>1736</v>
      </c>
      <c r="K128" s="17" t="s">
        <v>2832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RowHeight="16.5"/>
  <cols>
    <col min="1" max="4" width="9" style="298"/>
    <col min="5" max="5" width="15.25" style="298" customWidth="1"/>
    <col min="6" max="6" width="16.125" style="298" bestFit="1" customWidth="1"/>
    <col min="7" max="7" width="12.125" style="298" customWidth="1"/>
    <col min="8" max="16384" width="9" style="298"/>
  </cols>
  <sheetData>
    <row r="1" spans="1:9" ht="28.35" customHeight="1">
      <c r="A1" s="296"/>
      <c r="B1" s="296"/>
      <c r="C1" s="296"/>
      <c r="D1" s="296"/>
      <c r="E1" s="296"/>
      <c r="F1" s="296"/>
      <c r="G1" s="296"/>
      <c r="H1" s="296"/>
      <c r="I1" s="296"/>
    </row>
    <row r="2" spans="1:9" ht="28.35" customHeight="1">
      <c r="A2" s="296" t="s">
        <v>2399</v>
      </c>
      <c r="B2" s="296"/>
      <c r="C2" s="296"/>
      <c r="D2" s="296"/>
      <c r="E2" s="296"/>
      <c r="F2" s="296"/>
      <c r="G2" s="296"/>
      <c r="H2" s="296"/>
      <c r="I2" s="296"/>
    </row>
    <row r="3" spans="1:9" ht="28.35" customHeight="1">
      <c r="A3" s="297" t="s">
        <v>2400</v>
      </c>
      <c r="B3" s="296"/>
      <c r="C3" s="296"/>
      <c r="D3" s="296"/>
      <c r="E3" s="296"/>
      <c r="F3" s="296"/>
      <c r="G3" s="296"/>
      <c r="H3" s="296"/>
      <c r="I3" s="296"/>
    </row>
    <row r="4" spans="1:9" ht="28.35" customHeight="1">
      <c r="A4" s="297" t="s">
        <v>2401</v>
      </c>
      <c r="B4" s="296"/>
      <c r="C4" s="296"/>
      <c r="D4" s="296"/>
      <c r="E4" s="296"/>
      <c r="F4" s="296"/>
      <c r="G4" s="296"/>
      <c r="H4" s="296"/>
      <c r="I4" s="296"/>
    </row>
    <row r="5" spans="1:9" ht="28.35" customHeight="1">
      <c r="A5" s="296"/>
      <c r="B5" s="296"/>
      <c r="C5" s="296"/>
      <c r="D5" s="296"/>
      <c r="E5" s="296"/>
      <c r="F5" s="296"/>
      <c r="G5" s="296"/>
      <c r="H5" s="296"/>
      <c r="I5" s="296"/>
    </row>
    <row r="6" spans="1:9" ht="28.35" customHeight="1">
      <c r="A6" s="296"/>
      <c r="B6" s="296"/>
      <c r="C6" s="296"/>
      <c r="D6" s="296"/>
      <c r="E6" s="296"/>
      <c r="F6" s="296"/>
      <c r="G6" s="296"/>
      <c r="H6" s="296"/>
      <c r="I6" s="296"/>
    </row>
    <row r="7" spans="1:9" ht="28.35" customHeight="1">
      <c r="A7" s="296"/>
      <c r="B7" s="296"/>
      <c r="C7" s="296"/>
      <c r="D7" s="296"/>
      <c r="E7" s="296"/>
      <c r="F7" s="296" t="s">
        <v>36</v>
      </c>
      <c r="G7" s="296" t="s">
        <v>3928</v>
      </c>
      <c r="H7" s="296"/>
      <c r="I7" s="296"/>
    </row>
    <row r="8" spans="1:9" ht="28.35" customHeight="1">
      <c r="A8" s="296"/>
      <c r="B8" s="296"/>
      <c r="C8" s="296"/>
      <c r="D8" s="296"/>
      <c r="E8" s="296"/>
      <c r="F8" s="296" t="s">
        <v>3927</v>
      </c>
      <c r="G8" s="296" t="s">
        <v>3922</v>
      </c>
      <c r="H8" s="296"/>
      <c r="I8" s="296"/>
    </row>
    <row r="9" spans="1:9" ht="28.35" customHeight="1">
      <c r="B9" s="296"/>
      <c r="C9" s="296"/>
      <c r="D9" s="296"/>
      <c r="E9" s="296"/>
      <c r="F9" s="296" t="s">
        <v>3920</v>
      </c>
      <c r="G9" s="296" t="s">
        <v>3923</v>
      </c>
    </row>
    <row r="10" spans="1:9" ht="28.35" customHeight="1">
      <c r="F10" s="296" t="s">
        <v>3921</v>
      </c>
      <c r="G10" s="296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8" customFormat="1" ht="28.35" customHeight="1"/>
    <row r="18" s="298" customFormat="1" ht="28.35" customHeight="1"/>
    <row r="19" s="298" customFormat="1" ht="28.35" customHeight="1"/>
    <row r="20" s="298" customFormat="1" ht="28.35" customHeight="1"/>
    <row r="21" s="298" customFormat="1" ht="28.35" customHeight="1"/>
    <row r="22" s="298" customFormat="1" ht="28.35" customHeight="1"/>
    <row r="23" s="298" customFormat="1" ht="28.35" customHeight="1"/>
    <row r="24" s="298" customFormat="1" ht="28.35" customHeight="1"/>
    <row r="25" s="298" customFormat="1" ht="28.35" customHeight="1"/>
    <row r="26" s="298" customFormat="1" ht="28.35" customHeight="1"/>
    <row r="27" s="298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1434</v>
      </c>
      <c r="B1" t="s">
        <v>43</v>
      </c>
      <c r="C1" t="s">
        <v>1434</v>
      </c>
      <c r="D1" t="s">
        <v>1399</v>
      </c>
      <c r="F1" t="s">
        <v>1401</v>
      </c>
      <c r="H1" t="s">
        <v>1402</v>
      </c>
      <c r="L1" t="s">
        <v>1409</v>
      </c>
      <c r="N1" t="s">
        <v>1413</v>
      </c>
      <c r="P1" t="s">
        <v>1698</v>
      </c>
      <c r="R1" t="s">
        <v>1697</v>
      </c>
    </row>
    <row r="2" spans="1:18">
      <c r="A2">
        <v>1</v>
      </c>
      <c r="B2" t="s">
        <v>28</v>
      </c>
      <c r="C2">
        <v>1</v>
      </c>
      <c r="D2" t="s">
        <v>1401</v>
      </c>
      <c r="E2">
        <v>1</v>
      </c>
      <c r="F2" t="s">
        <v>1416</v>
      </c>
      <c r="G2">
        <v>1</v>
      </c>
      <c r="H2" t="s">
        <v>1425</v>
      </c>
      <c r="I2">
        <v>1</v>
      </c>
      <c r="J2" t="s">
        <v>1181</v>
      </c>
      <c r="K2">
        <v>1</v>
      </c>
      <c r="L2" t="s">
        <v>1429</v>
      </c>
      <c r="M2">
        <v>1</v>
      </c>
      <c r="N2" t="s">
        <v>1432</v>
      </c>
      <c r="O2">
        <v>1</v>
      </c>
      <c r="Q2">
        <v>1</v>
      </c>
    </row>
    <row r="3" spans="1:18">
      <c r="A3">
        <v>2</v>
      </c>
      <c r="B3" t="s">
        <v>1112</v>
      </c>
      <c r="C3">
        <v>2</v>
      </c>
      <c r="D3" t="s">
        <v>1402</v>
      </c>
      <c r="E3">
        <v>2</v>
      </c>
      <c r="F3" t="s">
        <v>1417</v>
      </c>
      <c r="G3">
        <v>2</v>
      </c>
      <c r="H3" t="s">
        <v>1218</v>
      </c>
      <c r="I3">
        <v>2</v>
      </c>
      <c r="J3" t="s">
        <v>1182</v>
      </c>
      <c r="K3">
        <v>2</v>
      </c>
      <c r="L3" t="s">
        <v>1430</v>
      </c>
      <c r="M3">
        <v>2</v>
      </c>
      <c r="N3" t="s">
        <v>1433</v>
      </c>
      <c r="O3">
        <v>2</v>
      </c>
      <c r="Q3">
        <v>2</v>
      </c>
    </row>
    <row r="4" spans="1:18">
      <c r="A4">
        <v>3</v>
      </c>
      <c r="B4" t="s">
        <v>1111</v>
      </c>
      <c r="C4">
        <v>3</v>
      </c>
      <c r="D4" t="s">
        <v>1403</v>
      </c>
      <c r="E4">
        <v>3</v>
      </c>
      <c r="F4" t="s">
        <v>1418</v>
      </c>
      <c r="G4">
        <v>3</v>
      </c>
      <c r="H4" t="s">
        <v>1365</v>
      </c>
      <c r="I4">
        <v>3</v>
      </c>
      <c r="J4" t="s">
        <v>1426</v>
      </c>
      <c r="M4">
        <v>3</v>
      </c>
      <c r="N4" t="s">
        <v>1431</v>
      </c>
      <c r="O4">
        <v>3</v>
      </c>
      <c r="Q4">
        <v>3</v>
      </c>
    </row>
    <row r="5" spans="1:18">
      <c r="A5">
        <v>4</v>
      </c>
      <c r="B5" t="s">
        <v>1730</v>
      </c>
      <c r="C5">
        <v>4</v>
      </c>
      <c r="D5" t="s">
        <v>1404</v>
      </c>
      <c r="E5">
        <v>4</v>
      </c>
      <c r="F5" t="s">
        <v>1419</v>
      </c>
      <c r="I5">
        <v>4</v>
      </c>
      <c r="J5" t="s">
        <v>1428</v>
      </c>
    </row>
    <row r="6" spans="1:18">
      <c r="A6">
        <v>5</v>
      </c>
      <c r="B6" t="s">
        <v>1400</v>
      </c>
      <c r="C6">
        <v>5</v>
      </c>
      <c r="D6" t="s">
        <v>1405</v>
      </c>
      <c r="E6">
        <v>5</v>
      </c>
      <c r="F6" t="s">
        <v>1420</v>
      </c>
      <c r="I6">
        <v>5</v>
      </c>
      <c r="J6" t="s">
        <v>1183</v>
      </c>
    </row>
    <row r="7" spans="1:18">
      <c r="A7">
        <v>6</v>
      </c>
      <c r="B7" t="s">
        <v>1774</v>
      </c>
      <c r="C7">
        <v>6</v>
      </c>
      <c r="D7" t="s">
        <v>1406</v>
      </c>
      <c r="E7">
        <v>6</v>
      </c>
      <c r="F7" t="s">
        <v>1421</v>
      </c>
      <c r="I7">
        <v>6</v>
      </c>
      <c r="J7" t="s">
        <v>1184</v>
      </c>
    </row>
    <row r="8" spans="1:18">
      <c r="A8">
        <v>7</v>
      </c>
      <c r="B8" t="s">
        <v>1775</v>
      </c>
      <c r="C8">
        <v>7</v>
      </c>
      <c r="D8" t="s">
        <v>1408</v>
      </c>
      <c r="E8">
        <v>7</v>
      </c>
      <c r="F8" t="s">
        <v>1422</v>
      </c>
      <c r="I8">
        <v>7</v>
      </c>
      <c r="J8" t="s">
        <v>1185</v>
      </c>
      <c r="L8">
        <v>2830405</v>
      </c>
    </row>
    <row r="9" spans="1:18">
      <c r="A9">
        <v>8</v>
      </c>
      <c r="B9" t="s">
        <v>1776</v>
      </c>
      <c r="C9">
        <v>8</v>
      </c>
      <c r="D9" t="s">
        <v>1409</v>
      </c>
      <c r="E9">
        <v>8</v>
      </c>
      <c r="F9" t="s">
        <v>1389</v>
      </c>
      <c r="I9">
        <v>8</v>
      </c>
      <c r="J9" t="s">
        <v>1186</v>
      </c>
    </row>
    <row r="10" spans="1:18">
      <c r="A10">
        <v>9</v>
      </c>
      <c r="B10" t="s">
        <v>1777</v>
      </c>
      <c r="C10">
        <v>9</v>
      </c>
      <c r="D10" t="s">
        <v>1410</v>
      </c>
      <c r="E10">
        <v>9</v>
      </c>
      <c r="F10" t="s">
        <v>1423</v>
      </c>
      <c r="I10">
        <v>9</v>
      </c>
      <c r="J10" t="s">
        <v>1427</v>
      </c>
    </row>
    <row r="11" spans="1:18">
      <c r="A11">
        <v>10</v>
      </c>
      <c r="B11" t="s">
        <v>1778</v>
      </c>
      <c r="C11">
        <v>10</v>
      </c>
      <c r="D11" t="s">
        <v>1411</v>
      </c>
      <c r="E11">
        <v>10</v>
      </c>
      <c r="F11" t="s">
        <v>1424</v>
      </c>
      <c r="I11">
        <v>10</v>
      </c>
      <c r="J11" t="s">
        <v>1914</v>
      </c>
    </row>
    <row r="12" spans="1:18">
      <c r="A12">
        <v>11</v>
      </c>
      <c r="B12" t="s">
        <v>1779</v>
      </c>
      <c r="C12">
        <v>11</v>
      </c>
      <c r="D12" t="s">
        <v>1412</v>
      </c>
      <c r="I12">
        <v>11</v>
      </c>
      <c r="J12" t="s">
        <v>2327</v>
      </c>
    </row>
    <row r="13" spans="1:18">
      <c r="A13">
        <v>12</v>
      </c>
      <c r="B13" t="s">
        <v>1913</v>
      </c>
      <c r="C13">
        <v>12</v>
      </c>
      <c r="D13" t="s">
        <v>1413</v>
      </c>
      <c r="I13">
        <v>12</v>
      </c>
      <c r="J13" t="s">
        <v>2448</v>
      </c>
    </row>
    <row r="14" spans="1:18">
      <c r="B14" t="s">
        <v>2152</v>
      </c>
      <c r="C14">
        <v>13</v>
      </c>
      <c r="D14" t="s">
        <v>1414</v>
      </c>
      <c r="I14">
        <v>13</v>
      </c>
      <c r="J14" t="s">
        <v>2640</v>
      </c>
    </row>
    <row r="15" spans="1:18">
      <c r="C15">
        <v>14</v>
      </c>
      <c r="D15" t="s">
        <v>1415</v>
      </c>
    </row>
    <row r="16" spans="1:18">
      <c r="C16">
        <v>15</v>
      </c>
      <c r="D16" t="s">
        <v>1697</v>
      </c>
    </row>
    <row r="17" spans="3:16">
      <c r="C17">
        <v>16</v>
      </c>
      <c r="D17" t="s">
        <v>1699</v>
      </c>
      <c r="J17">
        <v>28</v>
      </c>
    </row>
    <row r="18" spans="3:16">
      <c r="C18">
        <v>17</v>
      </c>
      <c r="D18" t="s">
        <v>1738</v>
      </c>
      <c r="P18">
        <v>2830502</v>
      </c>
    </row>
    <row r="19" spans="3:16">
      <c r="C19">
        <v>18</v>
      </c>
      <c r="D19" t="s">
        <v>1753</v>
      </c>
      <c r="H19">
        <v>2830513</v>
      </c>
      <c r="L19">
        <v>2830506</v>
      </c>
    </row>
    <row r="20" spans="3:16">
      <c r="C20">
        <v>19</v>
      </c>
      <c r="D20" t="s">
        <v>1923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43</v>
      </c>
      <c r="B1" s="96">
        <v>1</v>
      </c>
    </row>
    <row r="2" spans="1:2">
      <c r="A2" t="s">
        <v>28</v>
      </c>
    </row>
    <row r="3" spans="1:2">
      <c r="A3" t="s">
        <v>1111</v>
      </c>
    </row>
    <row r="4" spans="1:2">
      <c r="A4" t="s">
        <v>1112</v>
      </c>
    </row>
    <row r="5" spans="1:2">
      <c r="A5" t="s">
        <v>1730</v>
      </c>
    </row>
    <row r="6" spans="1:2">
      <c r="A6" t="s">
        <v>3931</v>
      </c>
    </row>
    <row r="7" spans="1:2">
      <c r="A7" t="s">
        <v>1777</v>
      </c>
    </row>
    <row r="8" spans="1:2">
      <c r="A8" t="s">
        <v>1913</v>
      </c>
    </row>
    <row r="9" spans="1:2">
      <c r="A9" t="s">
        <v>1775</v>
      </c>
    </row>
    <row r="10" spans="1:2">
      <c r="A10" t="s">
        <v>1774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F9" sqref="F9"/>
    </sheetView>
  </sheetViews>
  <sheetFormatPr defaultRowHeight="16.5"/>
  <sheetData>
    <row r="1" spans="1:1">
      <c r="A1" s="296" t="s">
        <v>36</v>
      </c>
    </row>
    <row r="2" spans="1:1">
      <c r="A2" s="298" t="s">
        <v>3926</v>
      </c>
    </row>
    <row r="3" spans="1:1">
      <c r="A3" s="298" t="s">
        <v>3920</v>
      </c>
    </row>
    <row r="4" spans="1:1">
      <c r="A4" s="298" t="s">
        <v>3921</v>
      </c>
    </row>
    <row r="5" spans="1:1">
      <c r="A5" s="299"/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3943</v>
      </c>
    </row>
    <row r="2" spans="1:1">
      <c r="A2" t="s">
        <v>3922</v>
      </c>
    </row>
    <row r="3" spans="1:1">
      <c r="A3" t="s">
        <v>3923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1244</v>
      </c>
      <c r="D1" s="107" t="s">
        <v>1245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1254</v>
      </c>
      <c r="D2" s="110" t="s">
        <v>1253</v>
      </c>
      <c r="E2" s="103"/>
    </row>
    <row r="3" spans="1:6" ht="49.5">
      <c r="B3" s="99">
        <v>45737</v>
      </c>
      <c r="C3" s="100" t="s">
        <v>1246</v>
      </c>
      <c r="D3" s="109" t="s">
        <v>1260</v>
      </c>
    </row>
    <row r="4" spans="1:6" ht="33">
      <c r="B4" s="99">
        <v>45737</v>
      </c>
      <c r="C4" s="100" t="s">
        <v>1247</v>
      </c>
      <c r="D4" s="109" t="s">
        <v>1250</v>
      </c>
    </row>
    <row r="5" spans="1:6">
      <c r="B5" s="99">
        <v>45737</v>
      </c>
      <c r="C5" s="100" t="s">
        <v>1248</v>
      </c>
      <c r="D5" s="100" t="s">
        <v>1249</v>
      </c>
    </row>
    <row r="6" spans="1:6">
      <c r="B6" s="99">
        <v>45737</v>
      </c>
      <c r="C6" s="100" t="s">
        <v>1248</v>
      </c>
      <c r="D6" s="100" t="s">
        <v>1252</v>
      </c>
    </row>
    <row r="7" spans="1:6">
      <c r="B7" s="99">
        <v>45737</v>
      </c>
      <c r="C7" s="100" t="s">
        <v>1248</v>
      </c>
      <c r="D7" s="100" t="s">
        <v>1251</v>
      </c>
    </row>
    <row r="8" spans="1:6">
      <c r="B8" s="99"/>
      <c r="D8" s="100" t="s">
        <v>1255</v>
      </c>
    </row>
    <row r="9" spans="1:6">
      <c r="D9" s="100" t="s">
        <v>1261</v>
      </c>
    </row>
    <row r="10" spans="1:6">
      <c r="D10" s="100" t="s">
        <v>1262</v>
      </c>
    </row>
    <row r="11" spans="1:6" ht="33">
      <c r="B11" s="99">
        <v>45740</v>
      </c>
      <c r="C11" s="100" t="s">
        <v>1266</v>
      </c>
      <c r="D11" s="109" t="s">
        <v>1370</v>
      </c>
    </row>
    <row r="12" spans="1:6">
      <c r="B12" s="99">
        <v>45740</v>
      </c>
      <c r="C12" s="100" t="s">
        <v>1371</v>
      </c>
      <c r="D12" s="100" t="s">
        <v>1369</v>
      </c>
    </row>
    <row r="13" spans="1:6">
      <c r="C13" s="100" t="s">
        <v>1380</v>
      </c>
      <c r="D13" s="100" t="s">
        <v>1381</v>
      </c>
    </row>
    <row r="14" spans="1:6">
      <c r="C14" s="100" t="s">
        <v>1383</v>
      </c>
      <c r="D14" s="100" t="s">
        <v>1384</v>
      </c>
    </row>
    <row r="15" spans="1:6">
      <c r="B15" s="99">
        <v>45742</v>
      </c>
      <c r="C15" s="100" t="s">
        <v>1385</v>
      </c>
      <c r="D15" s="100" t="s">
        <v>1386</v>
      </c>
    </row>
    <row r="16" spans="1:6">
      <c r="B16" s="99">
        <v>45742</v>
      </c>
      <c r="C16" s="100" t="s">
        <v>1387</v>
      </c>
      <c r="D16" s="100" t="s">
        <v>1388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8</vt:i4>
      </vt:variant>
    </vt:vector>
  </HeadingPairs>
  <TitlesOfParts>
    <vt:vector size="34" baseType="lpstr">
      <vt:lpstr>Home</vt:lpstr>
      <vt:lpstr>경비처리</vt:lpstr>
      <vt:lpstr>거래명세서</vt:lpstr>
      <vt:lpstr>주문</vt:lpstr>
      <vt:lpstr>Login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2026-01-08T11:22:37Z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