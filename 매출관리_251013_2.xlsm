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재고관리\specification\"/>
    </mc:Choice>
  </mc:AlternateContent>
  <xr:revisionPtr revIDLastSave="0" documentId="13_ncr:1_{84D38429-D3DA-475F-9180-742C457C0B9F}" xr6:coauthVersionLast="47" xr6:coauthVersionMax="47" xr10:uidLastSave="{00000000-0000-0000-0000-000000000000}"/>
  <bookViews>
    <workbookView xWindow="28680" yWindow="-120" windowWidth="29040" windowHeight="1572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<sst xmlns="http://schemas.openxmlformats.org/spreadsheetml/2006/main" count="13225" uniqueCount="4289">
  <si>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</si>
  <si>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</si>
  <si>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</si>
  <si>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</si>
  <si>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</si>
  <si>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</si>
  <si>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</si>
  <si>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</si>
  <si>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</si>
  <si>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</si>
  <si>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</si>
  <si>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</si>
  <si>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</si>
  <si>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</si>
  <si>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</si>
  <si>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</si>
  <si>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</si>
  <si>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</si>
  <si>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</si>
  <si>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</si>
  <si>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</si>
  <si>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</si>
  <si>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</si>
  <si>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</si>
  <si>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</si>
  <si>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</si>
  <si>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</si>
  <si>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</si>
  <si>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</si>
  <si>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</si>
  <si>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</si>
  <si>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</si>
  <si>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</si>
  <si>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</si>
  <si>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</si>
  <si>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</si>
  <si>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</si>
  <si>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</si>
  <si>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</si>
  <si>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</si>
  <si>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</si>
  <si>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</si>
  <si>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</si>
  <si>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</si>
  <si>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</si>
  <si>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</si>
  <si>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</si>
  <si>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</si>
  <si>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</si>
  <si>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</si>
  <si>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</si>
  <si>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</si>
  <si>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</si>
  <si>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</si>
  <si>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</si>
  <si>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</si>
  <si>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</si>
  <si>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</si>
  <si>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</si>
  <si>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</si>
  <si>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</si>
  <si>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</si>
  <si>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</si>
  <si>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</si>
  <si>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</si>
  <si>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</si>
  <si>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</si>
  <si>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</si>
  <si>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</si>
  <si>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</si>
  <si>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</si>
  <si>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</si>
  <si>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</si>
  <si>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</si>
  <si>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</si>
  <si>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</si>
  <si>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</si>
  <si>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</si>
  <si>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</si>
  <si>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</si>
  <si>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</si>
  <si>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</si>
  <si>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</si>
  <si>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</si>
  <si>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</si>
  <si>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</si>
  <si>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</si>
  <si>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</si>
  <si>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</si>
  <si>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</si>
  <si>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</si>
  <si>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</si>
  <si>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</si>
  <si>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</si>
  <si>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</si>
  <si>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</si>
  <si>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</si>
  <si>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</si>
  <si>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</si>
  <si>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</si>
  <si>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</si>
  <si>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</si>
  <si>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</si>
  <si>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</si>
  <si>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</si>
  <si>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</si>
  <si>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</si>
  <si>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</si>
  <si>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</si>
  <si>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</si>
  <si>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</si>
  <si>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</si>
  <si>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</si>
  <si>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</si>
  <si>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</si>
  <si>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</si>
  <si>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</si>
  <si>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</si>
  <si>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</si>
  <si>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</si>
  <si>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</si>
  <si>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</si>
  <si>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</si>
  <si>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</si>
  <si>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</si>
  <si>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</si>
  <si>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</si>
  <si>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</si>
  <si>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</si>
  <si>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</si>
  <si>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</si>
  <si>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</si>
  <si>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</si>
  <si>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</si>
  <si>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</si>
  <si>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</si>
  <si>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</si>
  <si>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</si>
  <si>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</si>
  <si>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</si>
  <si>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</si>
  <si>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</si>
  <si>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</si>
  <si>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</si>
  <si>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</si>
  <si>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</si>
  <si>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</si>
  <si>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</si>
  <si>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</si>
  <si>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</si>
  <si>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</si>
  <si>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</si>
  <si>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</si>
  <si>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</si>
  <si>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</si>
  <si>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</si>
  <si>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</si>
  <si>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</si>
  <si>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</si>
  <si>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</si>
  <si>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</si>
  <si>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</si>
  <si>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</si>
  <si>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</si>
  <si>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</si>
  <si>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</si>
  <si>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</si>
  <si>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</si>
  <si>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</si>
  <si>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</si>
  <si>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</si>
  <si>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</si>
  <si>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</si>
  <si>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</si>
  <si>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</si>
  <si>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</si>
  <si>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</si>
  <si>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</si>
  <si>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</si>
  <si>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</si>
  <si>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</si>
  <si>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</si>
  <si>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</si>
  <si>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</si>
  <si>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</si>
  <si>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</si>
  <si>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</si>
  <si>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</si>
  <si>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</si>
  <si>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</si>
  <si>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</si>
  <si>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</si>
  <si>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</si>
  <si>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</si>
  <si>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</si>
  <si>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</si>
  <si>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</si>
  <si>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</si>
  <si>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</si>
  <si>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</si>
  <si>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</si>
  <si>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</si>
  <si>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</si>
  <si>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</si>
  <si>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</si>
  <si>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</si>
  <si>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</si>
  <si>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</si>
  <si>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</si>
  <si>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</si>
  <si>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</si>
  <si>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</si>
  <si>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</si>
  <si>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</si>
  <si>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</si>
  <si>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</si>
  <si>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</si>
  <si>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</si>
  <si>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</si>
  <si>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</si>
  <si>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</si>
  <si>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</si>
  <si>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</si>
  <si>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</si>
  <si>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</si>
  <si>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</si>
  <si>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</si>
  <si>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</si>
  <si>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</si>
  <si>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</si>
  <si>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</si>
  <si>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</si>
  <si>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</si>
  <si>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</si>
  <si>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</si>
  <si>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</si>
  <si>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</si>
  <si>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</si>
  <si>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</si>
  <si>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</si>
  <si>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</si>
  <si>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</si>
  <si>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</si>
  <si>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</si>
  <si>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</si>
  <si>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</si>
  <si>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</si>
  <si>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</si>
  <si>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</si>
  <si>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</si>
  <si>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</si>
  <si>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</si>
  <si>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</si>
  <si>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</si>
  <si>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</si>
  <si>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</si>
  <si>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</si>
  <si>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</si>
  <si>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</si>
  <si>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</si>
  <si>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</si>
  <si>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</si>
  <si>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</si>
  <si>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</si>
  <si>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</si>
  <si>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</si>
  <si>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</si>
  <si>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</si>
  <si>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</si>
  <si>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</si>
  <si>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</si>
  <si>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</si>
  <si>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</si>
  <si>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</si>
  <si>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</si>
  <si>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</si>
  <si>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</si>
  <si>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</si>
  <si>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</si>
  <si>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</si>
  <si>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</si>
  <si>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</si>
  <si>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</si>
  <si>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</si>
  <si>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</si>
  <si>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</si>
  <si>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</si>
  <si>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</si>
  <si>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</si>
  <si>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</si>
  <si>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</si>
  <si>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</si>
  <si>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</si>
  <si>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</si>
  <si>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</si>
  <si>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</si>
  <si>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</si>
  <si>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</si>
  <si>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</si>
  <si>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</si>
  <si>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</si>
  <si>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</si>
  <si>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</si>
  <si>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</si>
  <si>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</si>
  <si>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</si>
  <si>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</si>
  <si>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</si>
  <si>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</si>
  <si>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</si>
  <si>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</si>
  <si>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</si>
  <si>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</si>
  <si>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</si>
  <si>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</si>
  <si>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</si>
  <si>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</si>
  <si>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</si>
  <si>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</si>
  <si>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</si>
  <si>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</si>
  <si>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</si>
  <si>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</si>
  <si>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</si>
  <si>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</si>
  <si>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</si>
  <si>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</si>
  <si>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</si>
  <si>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</si>
  <si>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</si>
  <si>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</si>
  <si>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</si>
  <si>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</si>
  <si>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</si>
  <si>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</si>
  <si>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</si>
  <si>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</si>
  <si>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</si>
  <si>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</si>
  <si>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</si>
  <si>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</si>
  <si>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</si>
  <si>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</si>
  <si>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</si>
  <si>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</si>
  <si>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</si>
  <si>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</si>
  <si>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</si>
  <si>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</si>
  <si>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</si>
  <si>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</si>
  <si>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</si>
  <si>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</si>
  <si>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</si>
  <si>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</si>
  <si>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</si>
  <si>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</si>
  <si>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</si>
  <si>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</si>
  <si>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</si>
  <si>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</si>
  <si>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</si>
  <si>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</si>
  <si>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</si>
  <si>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</si>
  <si>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</si>
  <si>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</si>
  <si>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</si>
  <si>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</si>
  <si>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</si>
  <si>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</si>
  <si>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</si>
  <si>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</si>
  <si>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</si>
  <si>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</si>
  <si>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</si>
  <si>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</si>
  <si>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</si>
  <si>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</si>
  <si>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</si>
  <si>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</si>
  <si>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</si>
  <si>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</si>
  <si>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</si>
  <si>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</si>
  <si>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</si>
  <si>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</si>
  <si>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</si>
  <si>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</si>
  <si>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</si>
  <si>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</si>
  <si>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</si>
  <si>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</si>
  <si>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</si>
  <si>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</si>
  <si>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</si>
  <si>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</si>
  <si>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</si>
  <si>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</si>
  <si>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</si>
  <si>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</si>
  <si>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</si>
  <si>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</si>
  <si>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</si>
  <si>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</si>
  <si>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</si>
  <si>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</si>
  <si>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</si>
  <si>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</si>
  <si>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</si>
  <si>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</si>
  <si>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</si>
  <si>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</si>
  <si>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</si>
  <si>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</si>
  <si>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</si>
  <si>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</si>
  <si>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</si>
  <si>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</si>
  <si>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</si>
  <si>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</si>
  <si>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</si>
  <si>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</si>
  <si>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</si>
  <si>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</si>
  <si>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</si>
  <si>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</si>
  <si>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</si>
  <si>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</si>
  <si>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</si>
  <si>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</si>
  <si>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</si>
  <si>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</si>
  <si>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</si>
  <si>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</si>
  <si>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</si>
  <si>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</si>
  <si>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</si>
  <si>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</si>
  <si>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</si>
  <si>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</si>
  <si>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</si>
  <si>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</si>
  <si>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</si>
  <si>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</si>
  <si>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</si>
  <si>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</si>
  <si>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</si>
  <si>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</si>
  <si>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</si>
  <si>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</si>
  <si>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</si>
  <si>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</si>
  <si>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</si>
  <si>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</si>
  <si>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</si>
  <si>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</si>
  <si>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</si>
  <si>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</si>
  <si>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</si>
  <si>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</si>
  <si>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</si>
  <si>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</si>
  <si>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</si>
  <si>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</si>
  <si>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</si>
  <si>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</si>
  <si>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</si>
  <si>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</si>
  <si>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</si>
  <si>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</si>
  <si>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</si>
  <si>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</si>
  <si>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</si>
  <si>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</si>
  <si>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</si>
  <si>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</si>
  <si>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</si>
  <si>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</si>
  <si>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</si>
  <si>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</si>
  <si>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</si>
  <si>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</si>
  <si>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</si>
  <si>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</si>
  <si>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</si>
  <si>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</si>
  <si>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</si>
  <si>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</si>
  <si>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</si>
  <si>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</si>
  <si>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</si>
  <si>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</si>
  <si>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</si>
  <si>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</si>
  <si>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</si>
  <si>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</si>
  <si>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</si>
  <si>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</si>
  <si>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</si>
  <si>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</si>
  <si>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</si>
  <si>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</si>
  <si>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</si>
  <si>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</si>
  <si>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</si>
  <si>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</si>
  <si>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</si>
  <si>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</si>
  <si>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</si>
  <si>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</si>
  <si>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</si>
  <si>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</si>
  <si>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</si>
  <si>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</si>
  <si>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</si>
  <si>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</si>
  <si>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</si>
  <si>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</si>
  <si>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</si>
  <si>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</si>
  <si>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</si>
  <si>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</si>
  <si>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</si>
  <si>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</si>
  <si>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</si>
  <si>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</si>
  <si>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</si>
  <si>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</si>
  <si>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</si>
  <si>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</si>
  <si>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</si>
  <si>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</si>
  <si>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</si>
  <si>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</si>
  <si>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</si>
  <si>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</si>
  <si>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</si>
  <si>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</si>
  <si>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</si>
  <si>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</si>
  <si>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</si>
  <si>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</si>
  <si>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</si>
  <si>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</si>
  <si>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</si>
  <si>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</si>
  <si>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</si>
  <si>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</si>
  <si>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</si>
  <si>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</si>
  <si>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</si>
  <si>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</si>
  <si>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</si>
  <si>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</si>
  <si>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</si>
  <si>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</si>
  <si>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</si>
  <si>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</si>
  <si>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</si>
  <si>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</si>
  <si>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</si>
  <si>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</si>
  <si>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</si>
  <si>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</si>
  <si>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</si>
  <si>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</si>
  <si>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</si>
  <si>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</si>
  <si>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</si>
  <si>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</si>
  <si>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</si>
  <si>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</si>
  <si>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</si>
  <si>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</si>
  <si>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</si>
  <si>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</si>
  <si>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</si>
  <si>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</si>
  <si>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</si>
  <si>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</si>
  <si>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</si>
  <si>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</si>
  <si>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</si>
  <si>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</si>
  <si>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</si>
  <si>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</si>
  <si>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</si>
  <si>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</si>
  <si>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</si>
  <si>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</si>
  <si>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</si>
  <si>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</si>
  <si>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</si>
  <si>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</si>
  <si>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</si>
  <si>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</si>
  <si>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</si>
  <si>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</si>
  <si>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</si>
  <si>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</si>
  <si>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</si>
  <si>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</si>
  <si>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</si>
  <si>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</si>
  <si>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</si>
  <si>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</si>
  <si>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</si>
  <si>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</si>
  <si>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</si>
  <si>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</si>
  <si>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</si>
  <si>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</si>
  <si>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</si>
  <si>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</si>
  <si>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</si>
  <si>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</si>
  <si>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</si>
  <si>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</si>
  <si>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</si>
  <si>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</si>
  <si>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</si>
  <si>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</si>
  <si>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</si>
  <si>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</si>
  <si>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</si>
  <si>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</si>
  <si>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</si>
  <si>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</si>
  <si>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</si>
  <si>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</si>
  <si>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</si>
  <si>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</si>
  <si>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</si>
  <si>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</si>
  <si>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</si>
  <si>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</si>
  <si>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</si>
  <si>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</si>
  <si>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</si>
  <si>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</si>
  <si>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</si>
  <si>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</si>
  <si>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</si>
  <si>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</si>
  <si>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</si>
  <si>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</si>
  <si>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</si>
  <si>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</si>
  <si>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</si>
  <si>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</si>
  <si>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</si>
  <si>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</si>
  <si>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</si>
  <si>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</si>
  <si>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</si>
  <si>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</si>
  <si>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</si>
  <si>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</si>
  <si>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</si>
  <si>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</si>
  <si>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</si>
  <si>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</si>
  <si>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</si>
  <si>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</si>
  <si>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</si>
  <si>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</si>
  <si>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</si>
  <si>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</si>
  <si>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</si>
  <si>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</si>
  <si>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</si>
  <si>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</si>
  <si>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</si>
  <si>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</si>
  <si>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</si>
  <si>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</si>
  <si>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</si>
  <si>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</si>
  <si>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</si>
  <si>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</si>
  <si>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</si>
  <si>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</si>
  <si>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</si>
  <si>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</si>
  <si>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</si>
  <si>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</si>
  <si>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</si>
  <si>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</si>
  <si>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</si>
  <si>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</si>
  <si>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</si>
  <si>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</si>
  <si>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</si>
  <si>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</si>
  <si>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</si>
  <si>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</si>
  <si>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</si>
  <si>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</si>
  <si>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</si>
  <si>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</si>
  <si>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</si>
  <si>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</si>
  <si>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</si>
  <si>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</si>
  <si>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</si>
  <si>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</si>
  <si>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</si>
  <si>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</si>
  <si>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</si>
  <si>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</si>
  <si>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</si>
  <si>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</si>
  <si>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</si>
  <si>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</si>
  <si>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</si>
  <si>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</si>
  <si>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</si>
  <si>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</si>
  <si>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</si>
  <si>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</si>
  <si>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</si>
  <si>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</si>
  <si>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</si>
  <si>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</si>
  <si>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</si>
  <si>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</si>
  <si>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</si>
  <si>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</si>
  <si>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</si>
  <si>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</si>
  <si>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</si>
  <si>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</si>
  <si>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</si>
  <si>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</si>
  <si>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</si>
  <si>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</si>
  <si>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</si>
  <si>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</si>
  <si>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</si>
  <si>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</si>
  <si>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</si>
  <si>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</si>
  <si>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</si>
  <si>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</si>
  <si>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</si>
  <si>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</si>
  <si>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</si>
  <si>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</si>
  <si>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</si>
  <si>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</si>
  <si>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</si>
  <si>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</si>
  <si>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</si>
  <si>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</si>
  <si>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</si>
  <si>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</si>
  <si>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</si>
  <si>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</si>
  <si>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</si>
  <si>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</si>
  <si>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</si>
  <si>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</si>
  <si>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</si>
  <si>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</si>
  <si>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</si>
  <si>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</si>
  <si>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</si>
  <si>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</si>
  <si>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</si>
  <si>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</si>
  <si>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</si>
  <si>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</si>
  <si>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</si>
  <si>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</si>
  <si>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</si>
  <si>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</si>
  <si>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</si>
  <si>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</si>
  <si>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</si>
  <si>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</si>
  <si>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</si>
  <si>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</si>
  <si>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</si>
  <si>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</si>
  <si>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</si>
  <si>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</si>
  <si>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</si>
  <si>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</si>
  <si>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</si>
  <si>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</si>
  <si>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</si>
  <si>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</si>
  <si>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</si>
  <si>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</si>
  <si>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</si>
  <si>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</si>
  <si>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</si>
  <si>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</si>
  <si>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</si>
  <si>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</si>
  <si>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</si>
  <si>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</si>
  <si>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</si>
  <si>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</si>
  <si>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</si>
  <si>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</si>
  <si>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</si>
  <si>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</si>
  <si>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</si>
  <si>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</si>
  <si>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</si>
  <si>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</si>
  <si>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</si>
  <si>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</si>
  <si>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</si>
  <si>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</si>
  <si>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</si>
  <si>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</si>
  <si>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</si>
  <si>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</si>
  <si>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</si>
  <si>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</si>
  <si>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</si>
  <si>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</si>
  <si>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</si>
  <si>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</si>
  <si>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</si>
  <si>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</si>
  <si>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</si>
  <si>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</si>
  <si>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</si>
  <si>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</si>
  <si>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</si>
  <si>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</si>
  <si>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</si>
  <si>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</si>
  <si>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</si>
  <si>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</si>
  <si>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</si>
  <si>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</si>
  <si>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</si>
  <si>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</si>
  <si>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</si>
  <si>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</si>
  <si>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</si>
  <si>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</si>
  <si>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</si>
  <si>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</si>
  <si>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</si>
  <si>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</si>
  <si>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</si>
  <si>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</si>
  <si>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</si>
  <si>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</si>
  <si>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</si>
  <si>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</si>
  <si>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</si>
  <si>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</si>
  <si>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</si>
  <si>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</si>
  <si>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</si>
  <si>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</si>
  <si>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</si>
  <si>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</si>
  <si>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</si>
  <si>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</si>
  <si>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</si>
  <si>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</si>
  <si>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</si>
  <si>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</si>
  <si>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</si>
  <si>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</si>
  <si>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</si>
  <si>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</si>
  <si>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</si>
  <si>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</si>
  <si>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</si>
  <si>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</si>
  <si>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</si>
  <si>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</si>
  <si>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</si>
  <si>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</si>
  <si>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</si>
  <si>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</si>
  <si>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</si>
  <si>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</si>
  <si>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</si>
  <si>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</si>
  <si>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</si>
  <si>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</si>
  <si>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</si>
  <si>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</si>
  <si>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</si>
  <si>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</si>
  <si>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</si>
  <si>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</si>
  <si>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</si>
  <si>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</si>
  <si>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</si>
  <si>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</si>
  <si>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</si>
  <si>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</si>
  <si>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</si>
  <si>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</si>
  <si>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</si>
  <si>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</si>
  <si>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</si>
  <si>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</si>
  <si>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</si>
  <si>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</si>
  <si>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</si>
  <si>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</si>
  <si>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</si>
  <si>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</si>
  <si>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</si>
  <si>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</si>
  <si>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</si>
  <si>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</si>
  <si>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</si>
  <si>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</si>
  <si>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</si>
  <si>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</si>
  <si>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</si>
  <si>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</si>
  <si>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</si>
  <si>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</si>
  <si>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</si>
  <si>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</si>
  <si>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</si>
  <si>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</si>
  <si>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</si>
  <si>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</si>
  <si>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</si>
  <si>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</si>
  <si>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</si>
  <si>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</si>
  <si>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</si>
  <si>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</si>
  <si>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</si>
  <si>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</si>
  <si>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</si>
  <si>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</si>
  <si>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</si>
  <si>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</si>
  <si>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</si>
  <si>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</si>
  <si>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</si>
  <si>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</si>
  <si>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</si>
  <si>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</si>
  <si>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</si>
  <si>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</si>
  <si>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</si>
  <si>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</si>
  <si>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</si>
  <si>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</si>
  <si>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</si>
  <si>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</si>
  <si>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</si>
  <si>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</si>
  <si>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</si>
  <si>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</si>
  <si>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</si>
  <si>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</si>
  <si>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</si>
  <si>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</si>
  <si>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</si>
  <si>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</si>
  <si>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</si>
  <si>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</si>
  <si>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</si>
  <si>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</si>
  <si>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</si>
  <si>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</si>
  <si>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</si>
  <si>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</si>
  <si>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</si>
  <si>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</si>
  <si>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</si>
  <si>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</si>
  <si>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</si>
  <si>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</si>
  <si>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</si>
  <si>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</si>
  <si>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</si>
  <si>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</si>
  <si>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</si>
  <si>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</si>
  <si>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</si>
  <si>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</si>
  <si>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</si>
  <si>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</si>
  <si>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</si>
  <si>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</si>
  <si>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</si>
  <si>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</si>
  <si>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</si>
  <si>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</si>
  <si>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</si>
  <si>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</si>
  <si>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</si>
  <si>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</si>
  <si>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</si>
  <si>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</si>
  <si>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</si>
  <si>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</si>
  <si>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</si>
  <si>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</si>
  <si>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</si>
  <si>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</si>
  <si>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</si>
  <si>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</si>
  <si>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</si>
  <si>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</si>
  <si>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</si>
  <si>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</si>
  <si>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</si>
  <si>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</si>
  <si>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</si>
  <si>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</si>
  <si>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</si>
  <si>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</si>
  <si>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</si>
  <si>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</si>
  <si>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</si>
  <si>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</si>
  <si>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</si>
  <si>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</si>
  <si>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</si>
  <si>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</si>
  <si>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</si>
  <si>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</si>
  <si>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</si>
  <si>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</si>
  <si>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</si>
  <si>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</si>
  <si>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</si>
  <si>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</si>
  <si>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</si>
  <si>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</si>
  <si>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</si>
  <si>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</si>
  <si>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</si>
  <si>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</si>
  <si>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</si>
  <si>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</si>
  <si>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</si>
  <si>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</si>
  <si>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</si>
  <si>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</si>
  <si>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</si>
  <si>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</si>
  <si>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</si>
  <si>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</si>
  <si>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</si>
  <si>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</si>
  <si>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</si>
  <si>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</si>
  <si>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</si>
  <si>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</si>
  <si>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</si>
  <si>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</si>
  <si>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</si>
  <si>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</si>
  <si>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</si>
  <si>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</si>
  <si>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</si>
  <si>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</si>
  <si>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</si>
  <si>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</si>
  <si>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</si>
  <si>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</si>
  <si>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</si>
  <si>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</si>
  <si>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</si>
  <si>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</si>
  <si>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</si>
  <si>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</si>
  <si>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</si>
  <si>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</si>
  <si>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</si>
  <si>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</si>
  <si>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</si>
  <si>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</si>
  <si>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</si>
  <si>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</si>
  <si>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</si>
  <si>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</si>
  <si>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</si>
  <si>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</si>
  <si>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</si>
  <si>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</si>
  <si>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</si>
  <si>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</si>
  <si>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</si>
  <si>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</si>
  <si>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</si>
  <si>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</si>
  <si>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</si>
  <si>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</si>
  <si>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</si>
  <si>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</si>
  <si>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</si>
  <si>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</si>
  <si>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</si>
  <si>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</si>
  <si>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</si>
  <si>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</si>
  <si>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</si>
  <si>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</si>
  <si>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</si>
  <si>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</si>
  <si>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</si>
  <si>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</si>
  <si>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</si>
  <si>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</si>
  <si>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</si>
  <si>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</si>
  <si>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</si>
  <si>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</si>
  <si>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</si>
  <si>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</si>
  <si>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</si>
  <si>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</si>
  <si>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</si>
  <si>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</si>
  <si>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</si>
  <si>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</si>
  <si>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</si>
  <si>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</si>
  <si>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</si>
  <si>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</si>
  <si>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</si>
  <si>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</si>
  <si>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</si>
  <si>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</si>
  <si>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</si>
  <si>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</si>
  <si>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</si>
  <si>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</si>
  <si>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</si>
  <si>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</si>
  <si>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</si>
  <si>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</si>
  <si>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</si>
  <si>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</si>
  <si>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</si>
  <si>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</si>
  <si>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</si>
  <si>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</si>
  <si>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</si>
  <si>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</si>
  <si>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</si>
  <si>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</si>
  <si>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</si>
  <si>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</si>
  <si>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</si>
  <si>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</si>
  <si>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</si>
  <si>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</si>
  <si>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</si>
  <si>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</si>
  <si>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</si>
  <si>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</si>
  <si>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</si>
  <si>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</si>
  <si>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</si>
  <si>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</si>
  <si>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</si>
  <si>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</si>
  <si>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</si>
  <si>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</si>
  <si>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</si>
  <si>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</si>
  <si>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</si>
  <si>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</si>
  <si>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</si>
  <si>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</si>
  <si>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</si>
  <si>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</si>
  <si>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</si>
  <si>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</si>
  <si>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</si>
  <si>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</si>
  <si>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</si>
  <si>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</si>
  <si>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</si>
  <si>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</si>
  <si>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</si>
  <si>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</si>
  <si>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</si>
  <si>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</si>
  <si>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</si>
  <si>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</si>
  <si>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</si>
  <si>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</si>
  <si>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</si>
  <si>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</si>
  <si>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</si>
  <si>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</si>
  <si>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</si>
  <si>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</si>
  <si>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</si>
  <si>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</si>
  <si>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</si>
  <si>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</si>
  <si>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</si>
  <si>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</si>
  <si>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</si>
  <si>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</si>
  <si>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</si>
  <si>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</si>
  <si>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</si>
  <si>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</si>
  <si>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</si>
  <si>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</si>
  <si>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</si>
  <si>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</si>
  <si>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</si>
  <si>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</si>
  <si>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</si>
  <si>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</si>
  <si>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</si>
  <si>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</si>
  <si>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</si>
  <si>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</si>
  <si>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</si>
  <si>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</si>
  <si>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</si>
  <si>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</si>
  <si>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</si>
  <si>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</si>
  <si>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</si>
  <si>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</si>
  <si>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</si>
  <si>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</si>
  <si>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</si>
  <si>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</si>
  <si>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</si>
  <si>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</si>
  <si>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</si>
  <si>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</si>
  <si>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</si>
  <si>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</si>
  <si>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</si>
  <si>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</si>
  <si>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</si>
  <si>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</si>
  <si>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</si>
  <si>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</si>
  <si>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</si>
  <si>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</si>
  <si>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</si>
  <si>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</si>
  <si>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</si>
  <si>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</si>
  <si>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</si>
  <si>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</si>
  <si>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</si>
  <si>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</si>
  <si>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</si>
  <si>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</si>
  <si>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</si>
  <si>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</si>
  <si>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</si>
  <si>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</si>
  <si>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</si>
  <si>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</si>
  <si>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</si>
  <si>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</si>
  <si>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</si>
  <si>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</si>
  <si>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</si>
  <si>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</si>
  <si>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</si>
  <si>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</si>
  <si>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</si>
  <si>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</si>
  <si>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</si>
  <si>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</si>
  <si>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</si>
  <si>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</si>
  <si>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</si>
  <si>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</si>
  <si>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</si>
  <si>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</si>
  <si>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</si>
  <si>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</si>
  <si>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</si>
  <si>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</si>
  <si>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</si>
  <si>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</si>
  <si>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</si>
  <si>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</si>
  <si>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</si>
  <si>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</si>
  <si>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</si>
  <si>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</si>
  <si>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</si>
  <si>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</si>
  <si>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</si>
  <si>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</si>
  <si>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</si>
  <si>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</si>
  <si>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</si>
  <si>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</si>
  <si>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</si>
  <si>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</si>
  <si>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</si>
  <si>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</si>
  <si>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</si>
  <si>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</si>
  <si>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</si>
  <si>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</si>
  <si>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</si>
  <si>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</si>
  <si>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</si>
  <si>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</si>
  <si>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</si>
  <si>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</si>
  <si>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</si>
  <si>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</si>
  <si>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</si>
  <si>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</si>
  <si>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</si>
  <si>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</si>
  <si>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</si>
  <si>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</si>
  <si>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</si>
  <si>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</si>
  <si>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</si>
  <si>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</si>
  <si>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</si>
  <si>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</si>
  <si>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</si>
  <si>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</si>
  <si>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</si>
  <si>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</si>
  <si>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</si>
  <si>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</si>
  <si>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</si>
  <si>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</si>
  <si>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</si>
  <si>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</si>
  <si>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</si>
  <si>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</si>
  <si>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</si>
  <si>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</si>
  <si>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</si>
  <si>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</si>
  <si>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</si>
  <si>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</si>
  <si>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</si>
  <si>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</si>
  <si>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</si>
  <si>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</si>
  <si>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</si>
  <si>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</si>
  <si>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</si>
  <si>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</si>
  <si>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</si>
  <si>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</si>
  <si>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</si>
  <si>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</si>
  <si>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</si>
  <si>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</si>
  <si>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</si>
  <si>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</si>
  <si>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</si>
  <si>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</si>
  <si>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</si>
  <si>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</si>
  <si>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</si>
  <si>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</si>
  <si>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</si>
  <si>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</si>
  <si>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</si>
  <si>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</si>
  <si>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</si>
  <si>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</si>
  <si>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</si>
  <si>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</si>
  <si>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</si>
  <si>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</si>
  <si>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</si>
  <si>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</si>
  <si>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</si>
  <si>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</si>
  <si>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</si>
  <si>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</si>
  <si>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</si>
  <si>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</si>
  <si>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</si>
  <si>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</si>
  <si>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</si>
  <si>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</si>
  <si>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</si>
  <si>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</si>
  <si>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</si>
  <si>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</si>
  <si>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</si>
  <si>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</si>
  <si>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</si>
  <si>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</si>
  <si>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</si>
  <si>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</si>
  <si>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</si>
  <si>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</si>
  <si>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</si>
  <si>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</si>
  <si>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</si>
  <si>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</si>
  <si>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</si>
  <si>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</si>
  <si>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</si>
  <si>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</si>
  <si>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</si>
  <si>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</si>
  <si>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</si>
  <si>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</si>
  <si>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</si>
  <si>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</si>
  <si>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</si>
  <si>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</si>
  <si>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</si>
  <si>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</si>
  <si>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</si>
  <si>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</si>
  <si>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</si>
  <si>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</si>
  <si>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</si>
  <si>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</si>
  <si>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</si>
  <si>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</si>
  <si>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</si>
  <si>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</si>
  <si>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</si>
  <si>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</si>
  <si>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</si>
  <si>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</si>
  <si>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</si>
  <si>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</si>
  <si>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</si>
  <si>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</si>
  <si>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</si>
  <si>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</si>
  <si>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</si>
  <si>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</si>
  <si>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</si>
  <si>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</si>
  <si>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</si>
  <si>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</si>
  <si>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</si>
  <si>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</si>
  <si>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</si>
  <si>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</si>
  <si>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</si>
  <si>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</si>
  <si>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</si>
  <si>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</si>
  <si>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</si>
  <si>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</si>
  <si>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</si>
  <si>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</si>
  <si>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</si>
  <si>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</si>
  <si>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</si>
  <si>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</si>
  <si>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</si>
  <si>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</si>
  <si>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</si>
  <si>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</si>
  <si>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</si>
  <si>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</si>
  <si>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</si>
  <si>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</si>
  <si>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</si>
  <si>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</si>
  <si>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</si>
  <si>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</si>
  <si>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</si>
  <si>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</si>
  <si>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</si>
  <si>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</si>
  <si>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</si>
  <si>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</si>
  <si>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</si>
  <si>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</si>
  <si>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</si>
  <si>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</si>
  <si>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</si>
  <si>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</si>
  <si>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</si>
  <si>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</si>
  <si>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</si>
  <si>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</si>
  <si>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</si>
  <si>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</si>
  <si>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</si>
  <si>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</si>
  <si>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</si>
  <si>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</si>
  <si>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</si>
  <si>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</si>
  <si>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</si>
  <si>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</si>
  <si>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</si>
  <si>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</si>
  <si>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</si>
  <si>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</si>
  <si>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</si>
  <si>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</si>
  <si>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</si>
  <si>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</si>
  <si>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</si>
  <si>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</si>
  <si>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</si>
  <si>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</si>
  <si>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</si>
  <si>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</si>
  <si>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</si>
  <si>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</si>
  <si>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</si>
  <si>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</si>
  <si>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</si>
  <si>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</si>
  <si>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</si>
  <si>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</si>
  <si>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</si>
  <si>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</si>
  <si>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</si>
  <si>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</si>
  <si>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</si>
  <si>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</si>
  <si>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</si>
  <si>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</si>
  <si>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</si>
  <si>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</si>
  <si>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</si>
  <si>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</si>
  <si>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</si>
  <si>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</si>
  <si>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</si>
  <si>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</si>
  <si>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</si>
  <si>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</si>
  <si>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</si>
  <si>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</si>
  <si>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</si>
  <si>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</si>
  <si>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</si>
  <si>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</si>
  <si>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</si>
  <si>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</si>
  <si>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</si>
  <si>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</si>
  <si>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</si>
  <si>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</si>
  <si>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</si>
  <si>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</si>
  <si>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</si>
  <si>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</si>
  <si>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</si>
  <si>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</si>
  <si>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</si>
  <si>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</si>
  <si>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</si>
  <si>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</si>
  <si>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</si>
  <si>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</si>
  <si>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</si>
  <si>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</si>
  <si>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</si>
  <si>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</si>
  <si>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</si>
  <si>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</si>
  <si>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</si>
  <si>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</si>
  <si>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</si>
  <si>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</si>
  <si>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</si>
  <si>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</si>
  <si>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</si>
  <si>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</si>
  <si>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</si>
  <si>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</si>
  <si>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</si>
  <si>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</si>
  <si>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</si>
  <si>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</si>
  <si>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</si>
  <si>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</si>
  <si>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</si>
  <si>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</si>
  <si>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</si>
  <si>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</si>
  <si>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</si>
  <si>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</si>
  <si>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</si>
  <si>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</si>
  <si>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</si>
  <si>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</si>
  <si>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</si>
  <si>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</si>
  <si>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</si>
  <si>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</si>
  <si>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</si>
  <si>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</si>
  <si>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</si>
  <si>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</si>
  <si>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</si>
  <si>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</si>
  <si>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</si>
  <si>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</si>
  <si>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</si>
  <si>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</si>
  <si>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</si>
  <si>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</si>
  <si>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</si>
  <si>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</si>
  <si>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</si>
  <si>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</si>
  <si>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</si>
  <si>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</si>
  <si>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</si>
  <si>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</si>
  <si>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</si>
  <si>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</si>
  <si>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</si>
  <si>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</si>
  <si>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</si>
  <si>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</si>
  <si>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</si>
  <si>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</si>
  <si>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</si>
  <si>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</si>
  <si>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</si>
  <si>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</si>
  <si>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</si>
  <si>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</si>
  <si>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</si>
  <si>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</si>
  <si>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</si>
  <si>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</si>
  <si>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</si>
  <si>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</si>
  <si>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</si>
  <si>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</si>
  <si>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</si>
  <si>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</si>
  <si>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</si>
  <si>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</si>
  <si>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</si>
  <si>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</si>
  <si>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</si>
  <si>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</si>
  <si>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</si>
  <si>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</si>
  <si>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</si>
  <si>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</si>
  <si>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</si>
  <si>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</si>
  <si>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</si>
  <si>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</si>
  <si>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</si>
  <si>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</si>
  <si>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</si>
  <si>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</si>
  <si>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</si>
  <si>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</si>
  <si>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</si>
  <si>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</si>
  <si>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</si>
  <si>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</si>
  <si>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</si>
  <si>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</si>
  <si>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</si>
  <si>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</si>
  <si>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</si>
  <si>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</si>
  <si>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</si>
  <si>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</si>
  <si>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</si>
  <si>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</si>
  <si>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</si>
  <si>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</si>
  <si>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</si>
  <si>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</si>
  <si>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</si>
  <si>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</si>
  <si>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</si>
  <si>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</si>
  <si>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</si>
  <si>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</si>
  <si>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</si>
  <si>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</si>
  <si>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</si>
  <si>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</si>
  <si>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</si>
  <si>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</si>
  <si>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</si>
  <si>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</si>
  <si>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</si>
  <si>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</si>
  <si>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</si>
  <si>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</si>
  <si>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</si>
  <si>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</si>
  <si>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</si>
  <si>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</si>
  <si>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</si>
  <si>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</si>
  <si>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</si>
  <si>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</si>
  <si>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</si>
  <si>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</si>
  <si>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</si>
  <si>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</si>
  <si>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</si>
  <si>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</si>
  <si>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</si>
  <si>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</si>
  <si>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</si>
  <si>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</si>
  <si>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</si>
  <si>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</si>
  <si>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</si>
  <si>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</si>
  <si>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</si>
  <si>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</si>
  <si>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</si>
  <si>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</si>
  <si>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</si>
  <si>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</si>
  <si>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</si>
  <si>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</si>
  <si>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</si>
  <si>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</si>
  <si>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</si>
  <si>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</si>
  <si>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</si>
  <si>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</si>
  <si>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</si>
  <si>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</si>
  <si>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</si>
  <si>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</si>
  <si>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</si>
  <si>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</si>
  <si>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</si>
  <si>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</si>
  <si>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</si>
  <si>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</si>
  <si>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</si>
  <si>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</si>
  <si>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</si>
  <si>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</si>
  <si>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</si>
  <si>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</si>
  <si>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</si>
  <si>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</si>
  <si>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</si>
  <si>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</si>
  <si>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</si>
  <si>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</si>
  <si>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</si>
  <si>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</si>
  <si>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</si>
  <si>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</si>
  <si>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</si>
  <si>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</si>
  <si>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</si>
  <si>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</si>
  <si>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</si>
  <si>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</si>
  <si>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</si>
  <si>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</si>
  <si>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</si>
  <si>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</si>
  <si>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</si>
  <si>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</si>
  <si>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</si>
  <si>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</si>
  <si>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</si>
  <si>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</si>
  <si>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</si>
  <si>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</si>
  <si>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</si>
  <si>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</si>
  <si>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</si>
  <si>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</si>
  <si>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</si>
  <si>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</si>
  <si>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</si>
  <si>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</si>
  <si>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</si>
  <si>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</si>
  <si>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</si>
  <si>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</si>
  <si>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</si>
  <si>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</si>
  <si>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</si>
  <si>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</si>
  <si>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</si>
  <si>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</si>
  <si>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</si>
  <si>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</si>
  <si>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</si>
  <si>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</si>
  <si>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</si>
  <si>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</si>
  <si>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</si>
  <si>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</si>
  <si>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</si>
  <si>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</si>
  <si>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</si>
  <si>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</si>
  <si>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</si>
  <si>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</si>
  <si>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</si>
  <si>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</si>
  <si>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</si>
  <si>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</si>
  <si>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</si>
  <si>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</si>
  <si>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</si>
  <si>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</si>
  <si>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</si>
  <si>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</si>
  <si>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</si>
  <si>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</si>
  <si>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</si>
  <si>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</si>
  <si>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</si>
  <si>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</si>
  <si>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</si>
  <si>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</si>
  <si>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</si>
  <si>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</si>
  <si>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</si>
  <si>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</si>
  <si>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</si>
  <si>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</si>
  <si>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</si>
  <si>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</si>
  <si>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</si>
  <si>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</si>
  <si>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</si>
  <si>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</si>
  <si>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</si>
  <si>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</si>
  <si>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</si>
  <si>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</si>
  <si>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</si>
  <si>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</si>
  <si>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</si>
  <si>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</si>
  <si>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</si>
  <si>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</si>
  <si>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</si>
  <si>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</si>
  <si>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</si>
  <si>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</si>
  <si>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</si>
  <si>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</si>
  <si>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</si>
  <si>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</si>
  <si>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</si>
  <si>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</si>
  <si>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</si>
  <si>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</si>
  <si>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</si>
  <si>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</si>
  <si>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</si>
  <si>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</si>
  <si>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</si>
  <si>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</si>
  <si>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</si>
  <si>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</si>
  <si>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</si>
  <si>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</si>
  <si>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</si>
  <si>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</si>
  <si>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</si>
  <si>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</si>
  <si>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</si>
  <si>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</si>
  <si>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</si>
  <si>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</si>
  <si>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</si>
  <si>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</si>
  <si>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</si>
  <si>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</si>
  <si>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</si>
  <si>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</si>
  <si>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</si>
  <si>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</si>
  <si>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</si>
  <si>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</si>
  <si>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</si>
  <si>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</si>
  <si>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</si>
  <si>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</si>
  <si>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</si>
  <si>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</si>
  <si>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</si>
  <si>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</si>
  <si>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</si>
  <si>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</si>
  <si>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</si>
  <si>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</si>
  <si>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</si>
  <si>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</si>
  <si>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</si>
  <si>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</si>
  <si>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</si>
  <si>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</si>
  <si>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</si>
  <si>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</si>
  <si>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</si>
  <si>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</si>
  <si>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</si>
  <si>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</si>
  <si>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</si>
  <si>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</si>
  <si>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</si>
  <si>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</si>
  <si>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</si>
  <si>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</si>
  <si>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</si>
  <si>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</si>
  <si>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</si>
  <si>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</si>
  <si>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</si>
  <si>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</si>
  <si>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</si>
  <si>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</si>
  <si>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</si>
  <si>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</si>
  <si>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</si>
  <si>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</si>
  <si>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</si>
  <si>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</si>
  <si>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</si>
  <si>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</si>
  <si>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</si>
  <si>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</si>
  <si>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</si>
  <si>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</si>
  <si>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</si>
  <si>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</si>
  <si>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</si>
  <si>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</si>
  <si>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</si>
  <si>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</si>
  <si>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</si>
  <si>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</si>
  <si>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</si>
  <si>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</si>
  <si>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</si>
  <si>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</si>
  <si>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</si>
  <si>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</si>
  <si>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</si>
  <si>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</si>
  <si>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</si>
  <si>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</si>
  <si>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</si>
  <si>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</si>
  <si>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</si>
  <si>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</si>
  <si>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</si>
  <si>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</si>
  <si>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</si>
  <si>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</si>
  <si>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</si>
  <si>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</si>
  <si>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</si>
  <si>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</si>
  <si>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</si>
  <si>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</si>
  <si>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</si>
  <si>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</si>
  <si>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</si>
  <si>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</si>
  <si>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</si>
  <si>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</si>
  <si>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</si>
  <si>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</si>
  <si>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</si>
  <si>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</si>
  <si>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</si>
  <si>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</si>
  <si>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</si>
  <si>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</si>
  <si>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</si>
  <si>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</si>
  <si>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</si>
  <si>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</si>
  <si>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</si>
  <si>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</si>
  <si>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</si>
  <si>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</si>
  <si>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</si>
  <si>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</si>
  <si>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</si>
  <si>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</si>
  <si>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</si>
  <si>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</si>
  <si>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</si>
  <si>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</si>
  <si>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</si>
  <si>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</si>
  <si>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</si>
  <si>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</si>
  <si>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</si>
  <si>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</si>
  <si>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</si>
  <si>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</si>
  <si>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</si>
  <si>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</si>
  <si>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</si>
  <si>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</si>
  <si>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</si>
  <si>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</si>
  <si>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</si>
  <si>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</si>
  <si>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</si>
  <si>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</si>
  <si>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</si>
  <si>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</si>
  <si>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</si>
  <si>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</si>
  <si>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</si>
  <si>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</si>
  <si>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</si>
  <si>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</si>
  <si>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</si>
  <si>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</si>
  <si>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</si>
  <si>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</si>
  <si>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</si>
  <si>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</si>
  <si>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</si>
  <si>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</si>
  <si>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</si>
  <si>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</si>
  <si>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</si>
  <si>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</si>
  <si>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</si>
  <si>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</si>
  <si>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</si>
  <si>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</si>
  <si>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</si>
  <si>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</si>
  <si>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</si>
  <si>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</si>
  <si>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</si>
  <si>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</si>
  <si>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</si>
  <si>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</si>
  <si>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</si>
  <si>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</si>
  <si>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</si>
  <si>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</si>
  <si>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</si>
  <si>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</si>
  <si>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</si>
  <si>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</si>
  <si>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</si>
  <si>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</si>
  <si>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</si>
  <si>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</si>
  <si>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</si>
  <si>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</si>
  <si>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</si>
  <si>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</si>
  <si>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</si>
  <si>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</si>
  <si>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</si>
  <si>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</si>
  <si>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</si>
  <si>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</si>
  <si>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</si>
  <si>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</si>
  <si>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</si>
  <si>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</si>
  <si>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</si>
  <si>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</si>
  <si>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</si>
  <si>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</si>
  <si>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</si>
  <si>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</si>
  <si>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</si>
  <si>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</si>
  <si>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</si>
  <si>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</si>
  <si>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</si>
  <si>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</si>
  <si>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</si>
  <si>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</si>
  <si>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</si>
  <si>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</si>
  <si>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</si>
  <si>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</si>
  <si>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</si>
  <si>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</si>
  <si>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</si>
  <si>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</si>
  <si>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</si>
  <si>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</si>
  <si>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</si>
  <si>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</si>
  <si>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</si>
  <si>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</si>
  <si>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</si>
  <si>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</si>
  <si>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</si>
  <si>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</si>
  <si>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</si>
  <si>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</si>
  <si>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</si>
  <si>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</si>
  <si>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</si>
  <si>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</si>
  <si>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</si>
  <si>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</si>
  <si>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</si>
  <si>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</si>
  <si>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</si>
  <si>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</si>
  <si>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</si>
  <si>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</si>
  <si>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</si>
  <si>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</si>
  <si>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</si>
  <si>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</si>
  <si>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</si>
  <si>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</si>
  <si>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</si>
  <si>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</si>
  <si>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</si>
  <si>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</si>
  <si>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</si>
  <si>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</si>
  <si>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</si>
  <si>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</si>
  <si>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</si>
  <si>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</si>
  <si>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</si>
  <si>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</si>
  <si>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</si>
  <si>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</si>
  <si>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</si>
  <si>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</si>
  <si>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</si>
  <si>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</si>
  <si>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</si>
  <si>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</si>
  <si>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</si>
  <si>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</si>
  <si>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</si>
  <si>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</si>
  <si>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</si>
  <si>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</si>
  <si>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</si>
  <si>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</si>
  <si>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</si>
  <si>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</si>
  <si>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</si>
  <si>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</si>
  <si>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</si>
  <si>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</si>
  <si>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</si>
  <si>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</si>
  <si>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</si>
  <si>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</si>
  <si>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</si>
  <si>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</si>
  <si>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</si>
  <si>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</si>
  <si>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</si>
  <si>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</si>
  <si>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</si>
  <si>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</si>
  <si>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</si>
  <si>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</si>
  <si>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</si>
  <si>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</si>
  <si>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</si>
  <si>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</si>
  <si>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</si>
  <si>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</si>
  <si>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</si>
  <si>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</si>
  <si>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</si>
  <si>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</si>
  <si>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</si>
  <si>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</si>
  <si>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</si>
  <si>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</si>
  <si>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</si>
  <si>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</si>
  <si>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</si>
  <si>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</si>
  <si>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</si>
  <si>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</si>
  <si>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</si>
  <si>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</si>
  <si>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</si>
  <si>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</si>
  <si>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</si>
  <si>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</si>
  <si>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</si>
  <si>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</si>
  <si>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</si>
  <si>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</si>
  <si>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</si>
  <si>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</si>
  <si>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</si>
  <si>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</si>
  <si>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</si>
  <si>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</si>
  <si>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</si>
  <si>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</si>
  <si>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</si>
  <si>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</si>
  <si>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</si>
  <si>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</si>
  <si>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</si>
  <si>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</si>
  <si>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</si>
  <si>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</si>
  <si>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</si>
  <si>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</si>
  <si>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</si>
  <si>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</si>
  <si>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</si>
  <si>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</si>
  <si>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</si>
  <si>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</si>
  <si>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</si>
  <si>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</si>
  <si>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</si>
  <si>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</si>
  <si>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</si>
  <si>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</si>
  <si>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</si>
  <si>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</si>
  <si>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</si>
  <si>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</si>
  <si>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</si>
  <si>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</si>
  <si>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</si>
  <si>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</si>
  <si>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</si>
  <si>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</si>
  <si>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</si>
  <si>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</si>
  <si>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</si>
  <si>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</si>
  <si>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</si>
  <si>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</si>
  <si>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</si>
  <si>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</si>
  <si>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</si>
  <si>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</si>
  <si>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</si>
  <si>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</si>
  <si>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</si>
  <si>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</si>
  <si>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</si>
  <si>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</si>
  <si>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</si>
  <si>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</si>
  <si>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</si>
  <si>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</si>
  <si>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</si>
  <si>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</si>
  <si>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</si>
  <si>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</si>
  <si>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</si>
  <si>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</si>
  <si>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</si>
  <si>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</si>
  <si>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</si>
  <si>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</si>
  <si>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</si>
  <si>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</si>
  <si>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</si>
  <si>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</si>
  <si>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</si>
  <si>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</si>
  <si>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</si>
  <si>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</si>
  <si>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</si>
  <si>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</si>
  <si>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</si>
  <si>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</si>
  <si>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</si>
  <si>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</si>
  <si>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</si>
  <si>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</si>
  <si>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</si>
  <si>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</si>
  <si>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</si>
  <si>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</si>
  <si>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</si>
  <si>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</si>
  <si>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</si>
  <si>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</si>
  <si>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</si>
  <si>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</si>
  <si>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</si>
  <si>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</si>
  <si>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</si>
  <si>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</si>
  <si>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</si>
  <si>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</si>
  <si>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</si>
  <si>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</si>
  <si>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</si>
  <si>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</si>
  <si>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</si>
  <si>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</si>
  <si>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</si>
  <si>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</si>
  <si>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</si>
  <si>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</si>
  <si>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</si>
  <si>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</si>
  <si>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</si>
  <si>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</si>
  <si>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</si>
  <si>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</si>
  <si>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</si>
  <si>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</si>
  <si>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</si>
  <si>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</si>
  <si>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</si>
  <si>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</si>
  <si>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</si>
  <si>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</si>
  <si>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</si>
  <si>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</si>
  <si>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</si>
  <si>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</si>
  <si>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</si>
  <si>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</si>
  <si>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</si>
  <si>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</si>
  <si>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</si>
  <si>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</si>
  <si>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</si>
  <si>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</si>
  <si>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</si>
  <si>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</si>
  <si>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</si>
  <si>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</si>
  <si>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</si>
  <si>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</si>
  <si>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</si>
  <si>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</si>
  <si>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</si>
  <si>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</si>
  <si>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</si>
  <si>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</si>
  <si>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</si>
  <si>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</si>
  <si>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</si>
  <si>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</si>
  <si>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</si>
  <si>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</si>
  <si>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</si>
  <si>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</si>
  <si>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</si>
  <si>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</si>
  <si>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</si>
  <si>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</si>
  <si>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</si>
  <si>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</si>
  <si>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</si>
  <si>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</si>
  <si>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</si>
  <si>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</si>
  <si>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</si>
  <si>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</si>
  <si>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</si>
  <si>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</si>
  <si>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</si>
  <si>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</si>
  <si>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</si>
  <si>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</si>
  <si>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</si>
  <si>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</si>
  <si>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</si>
  <si>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</si>
  <si>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</si>
  <si>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</si>
  <si>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</si>
  <si>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</si>
  <si>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</si>
  <si>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</si>
  <si>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</si>
  <si>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</si>
  <si>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</si>
  <si>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</si>
  <si>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</si>
  <si>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</si>
  <si>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</si>
  <si>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</si>
  <si>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</si>
  <si>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</si>
  <si>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</si>
  <si>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</si>
  <si>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</si>
  <si>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</si>
  <si>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</si>
  <si>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</si>
  <si>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</si>
  <si>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</si>
  <si>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</si>
  <si>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</si>
  <si>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</si>
  <si>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</si>
  <si>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</si>
  <si>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</si>
  <si>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</si>
  <si>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</si>
  <si>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</si>
  <si>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</si>
  <si>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</si>
  <si>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</si>
  <si>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</si>
  <si>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</si>
  <si>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</si>
  <si>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</si>
  <si>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</si>
  <si>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</si>
  <si>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</si>
  <si>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</si>
  <si>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</si>
  <si>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</si>
  <si>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</si>
  <si>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</si>
  <si>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</si>
  <si>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</si>
  <si>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</si>
  <si>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</si>
  <si>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</si>
  <si>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</si>
  <si>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</si>
  <si>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</si>
  <si>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</si>
  <si>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</si>
  <si>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</si>
  <si>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</si>
  <si>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</si>
  <si>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</si>
  <si>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</si>
  <si>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</si>
  <si>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</si>
  <si>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</si>
  <si>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</si>
  <si>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</si>
  <si>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</si>
  <si>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</si>
  <si>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</si>
  <si>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</si>
  <si>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</si>
  <si>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</si>
  <si>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</si>
  <si>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</si>
  <si>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</si>
  <si>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</si>
  <si>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</si>
  <si>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</si>
  <si>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</si>
  <si>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</si>
  <si>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</si>
  <si>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</si>
  <si>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</si>
  <si>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</si>
  <si>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</si>
  <si>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</si>
  <si>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</si>
  <si>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</si>
  <si>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</si>
  <si>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</si>
  <si>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</si>
  <si>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</si>
  <si>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</si>
  <si>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</si>
  <si>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</si>
  <si>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</si>
  <si>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</si>
  <si>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</si>
  <si>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</si>
  <si>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</si>
  <si>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</si>
  <si>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</si>
  <si>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</si>
  <si>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</si>
  <si>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</si>
  <si>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</si>
  <si>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</si>
  <si>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</si>
  <si>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</si>
  <si>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</si>
  <si>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</si>
  <si>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</si>
  <si>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</si>
  <si>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</si>
  <si>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</si>
  <si>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</si>
  <si>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</si>
  <si>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</si>
  <si>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</si>
  <si>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</si>
  <si>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</si>
  <si>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</si>
  <si>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</si>
  <si>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</si>
  <si>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</si>
  <si>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</si>
  <si>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</si>
  <si>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</si>
  <si>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</si>
  <si>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</si>
  <si>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</si>
  <si>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</si>
  <si>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</si>
  <si>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</si>
  <si>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</si>
  <si>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</si>
  <si>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</si>
  <si>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</si>
  <si>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</si>
  <si>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</si>
  <si>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</si>
  <si>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</si>
  <si>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</si>
  <si>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</si>
  <si>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</si>
  <si>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</si>
  <si>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</si>
  <si>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</si>
  <si>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</si>
  <si>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</si>
  <si>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</si>
  <si>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</si>
  <si>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</si>
  <si>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</si>
  <si>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</si>
  <si>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</si>
  <si>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</si>
  <si>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</si>
  <si>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</si>
  <si>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</si>
  <si>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</si>
  <si>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</si>
  <si>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</si>
  <si>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</si>
  <si>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</si>
  <si>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</si>
  <si>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</si>
  <si>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</si>
  <si>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</si>
  <si>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</si>
  <si>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</si>
  <si>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</si>
  <si>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</si>
  <si>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</si>
  <si>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</si>
  <si>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</si>
  <si>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</si>
  <si>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</si>
  <si>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</si>
  <si>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</si>
  <si>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</si>
  <si>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</si>
  <si>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</si>
  <si>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</si>
  <si>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</si>
  <si>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</si>
  <si>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</si>
  <si>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</si>
  <si>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</si>
  <si>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</si>
  <si>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</si>
  <si>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</si>
  <si>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</si>
  <si>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</si>
  <si>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</si>
  <si>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</si>
  <si>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</si>
  <si>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</si>
  <si>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</si>
  <si>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</si>
  <si>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</si>
  <si>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</si>
  <si>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</si>
  <si>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</si>
  <si>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</si>
  <si>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</si>
  <si>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</si>
  <si>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</si>
  <si>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</si>
  <si>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</si>
  <si>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</si>
  <si>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</si>
  <si>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</si>
  <si>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</si>
  <si>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</si>
  <si>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</si>
  <si>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</si>
  <si>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</si>
  <si>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</si>
  <si>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</si>
  <si>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</si>
  <si>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</si>
  <si>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</si>
  <si>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</si>
  <si>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</si>
  <si>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</si>
  <si>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</si>
  <si>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</si>
  <si>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</si>
  <si>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</si>
  <si>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</si>
  <si>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</si>
  <si>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</si>
  <si>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</si>
  <si>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</si>
  <si>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</si>
  <si>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</si>
  <si>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</si>
  <si>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</si>
  <si>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</si>
  <si>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</si>
  <si>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</si>
  <si>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</si>
  <si>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</si>
  <si>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</si>
  <si>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</si>
  <si>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</si>
  <si>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</si>
  <si>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</si>
  <si>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</si>
  <si>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</si>
  <si>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</si>
  <si>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</si>
  <si>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</si>
  <si>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</si>
  <si>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</si>
  <si>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</si>
  <si>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</si>
  <si>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</si>
  <si>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</si>
  <si>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</si>
  <si>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</si>
  <si>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</si>
  <si>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</si>
  <si>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</si>
  <si>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</si>
  <si>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</si>
  <si>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</si>
  <si>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</si>
  <si>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</si>
  <si>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</si>
  <si>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</si>
  <si>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</si>
  <si>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</si>
  <si>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</si>
  <si>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</si>
  <si>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</si>
  <si>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</si>
  <si>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</si>
  <si>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</si>
  <si>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</si>
  <si>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</si>
  <si>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</si>
  <si>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</si>
  <si>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</si>
  <si>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</si>
  <si>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</si>
  <si>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</si>
  <si>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</si>
  <si>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</si>
  <si>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</si>
  <si>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</si>
  <si>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</si>
  <si>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</si>
  <si>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</si>
  <si>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</si>
  <si>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</si>
  <si>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</si>
  <si>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</si>
  <si>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</si>
  <si>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</si>
  <si>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</si>
  <si>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</si>
  <si>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</si>
  <si>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</si>
  <si>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</si>
  <si>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</si>
  <si>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</si>
  <si>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</si>
  <si>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</si>
  <si>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</si>
  <si>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</si>
  <si>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</si>
  <si>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</si>
  <si>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</si>
  <si>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</si>
  <si>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</si>
  <si>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</si>
  <si>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</si>
  <si>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</si>
  <si>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</si>
  <si>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</si>
  <si>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</si>
  <si>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</si>
  <si>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</si>
  <si>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</si>
  <si>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</si>
  <si>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</si>
  <si>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</si>
  <si>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</si>
  <si>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</si>
  <si>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</si>
  <si>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</si>
  <si>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</si>
  <si>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</si>
  <si>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</si>
  <si>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</si>
  <si>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</si>
  <si>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</si>
  <si>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</si>
  <si>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</si>
  <si>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</si>
  <si>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</si>
  <si>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</si>
  <si>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</si>
  <si>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</si>
  <si>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</si>
  <si>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</si>
  <si>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</si>
  <si>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</si>
  <si>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</si>
  <si>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</si>
  <si>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</si>
  <si>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</si>
  <si>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</si>
  <si>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</si>
  <si>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</si>
  <si>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</si>
  <si>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</si>
  <si>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</si>
  <si>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</si>
  <si>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</si>
  <si>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</si>
  <si>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</si>
  <si>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</si>
  <si>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</si>
  <si>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</si>
  <si>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</si>
  <si>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</si>
  <si>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</si>
  <si>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</si>
  <si>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</si>
  <si>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</si>
  <si>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</si>
  <si>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</si>
  <si>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</si>
  <si>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</si>
  <si>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</si>
  <si>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</si>
  <si>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</si>
  <si>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</si>
  <si>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</si>
  <si>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</si>
  <si>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</si>
  <si>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</si>
  <si>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</si>
  <si>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</si>
  <si>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</si>
  <si>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</si>
  <si>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</si>
  <si>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</si>
  <si>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</si>
  <si>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</si>
  <si>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</si>
  <si>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</si>
  <si>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</si>
  <si>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</si>
  <si>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</si>
  <si>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</si>
  <si>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</si>
  <si>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</si>
  <si>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</si>
  <si>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</si>
  <si>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</si>
  <si>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</si>
  <si>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</si>
  <si>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</si>
  <si>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</si>
  <si>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</si>
  <si>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</si>
  <si>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</si>
  <si>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</si>
  <si>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</si>
  <si>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</si>
  <si>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</si>
  <si>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</si>
  <si>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</si>
  <si>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</si>
  <si>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</si>
  <si>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</si>
  <si>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</si>
  <si>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</si>
  <si>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</si>
  <si>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</si>
  <si>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</si>
  <si>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</si>
  <si>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</si>
  <si>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</si>
  <si>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</si>
  <si>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</si>
  <si>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</si>
  <si>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</si>
  <si>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</si>
  <si>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</si>
  <si>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</si>
  <si>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</si>
  <si>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</si>
  <si>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</si>
  <si>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</si>
  <si>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</si>
  <si>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</si>
  <si>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</si>
  <si>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</si>
  <si>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</si>
  <si>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</si>
  <si>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</si>
  <si>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</si>
  <si>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</si>
  <si>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</si>
  <si>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</si>
  <si>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</si>
  <si>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</si>
  <si>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</si>
  <si>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</si>
  <si>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</si>
  <si>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</si>
  <si>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</si>
  <si>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</si>
  <si>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</si>
  <si>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</si>
  <si>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</si>
  <si>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</si>
  <si>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</si>
  <si>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</si>
  <si>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</si>
  <si>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</si>
  <si>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</si>
  <si>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</si>
  <si>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</si>
  <si>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</si>
  <si>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</si>
  <si>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</si>
  <si>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</si>
  <si>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</si>
  <si>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</si>
  <si>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</si>
  <si>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</si>
  <si>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</si>
  <si>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</si>
  <si>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</si>
  <si>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</si>
  <si>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</si>
  <si>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</si>
  <si>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</si>
  <si>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</si>
  <si>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</si>
  <si>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</si>
  <si>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</si>
  <si>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</si>
  <si>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</si>
  <si>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</si>
  <si>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</si>
  <si>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</si>
  <si>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</si>
  <si>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</si>
  <si>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</si>
  <si>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</si>
  <si>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</si>
  <si>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</si>
  <si>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</si>
  <si>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</si>
  <si>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</si>
  <si>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</si>
  <si>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</si>
  <si>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</si>
  <si>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</si>
  <si>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</si>
  <si>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</si>
  <si>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</si>
  <si>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</si>
  <si>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</si>
  <si>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</si>
  <si>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</si>
  <si>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</si>
  <si>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</si>
  <si>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</si>
  <si>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</si>
  <si>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</si>
  <si>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</si>
  <si>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</si>
  <si>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</si>
  <si>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</si>
  <si>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</si>
  <si>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</si>
  <si>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</si>
  <si>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</si>
  <si>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</si>
  <si>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</si>
  <si>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</si>
  <si>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</si>
  <si>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</si>
  <si>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</si>
  <si>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</si>
  <si>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</si>
  <si>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</si>
  <si>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</si>
  <si>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</si>
  <si>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</si>
  <si>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</si>
  <si>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</si>
  <si>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</si>
  <si>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</si>
  <si>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</si>
  <si>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</si>
  <si>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</si>
  <si>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</si>
  <si>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</si>
  <si>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</si>
  <si>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</si>
  <si>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</si>
  <si>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</si>
  <si>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</si>
  <si>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</si>
  <si>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</si>
  <si>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</si>
  <si>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</si>
  <si>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</si>
  <si>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</si>
  <si>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</si>
  <si>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</si>
  <si>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</si>
  <si>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</si>
  <si>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</si>
  <si>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</si>
  <si>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</si>
  <si>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</si>
  <si>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</si>
  <si>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</si>
  <si>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</si>
  <si>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</si>
  <si>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</si>
  <si>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</si>
  <si>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</si>
  <si>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</si>
  <si>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</si>
  <si>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</si>
  <si>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</si>
  <si>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</si>
  <si>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</si>
  <si>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</si>
  <si>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</si>
  <si>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</si>
  <si>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</si>
  <si>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</si>
  <si>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</si>
  <si>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</si>
  <si>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</si>
  <si>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</si>
  <si>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</si>
  <si>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</si>
  <si>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</si>
  <si>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</si>
  <si>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</si>
  <si>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</si>
  <si>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</si>
  <si>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</si>
  <si>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</si>
  <si>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</si>
  <si>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</si>
  <si>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</si>
  <si>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</si>
  <si>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</si>
  <si>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</si>
  <si>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</si>
  <si>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</si>
  <si>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</si>
  <si>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</si>
  <si>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</si>
  <si>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</si>
  <si>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</si>
  <si>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</si>
  <si>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</si>
  <si>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</si>
  <si>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</si>
  <si>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</si>
  <si>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</si>
  <si>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</si>
  <si>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</si>
  <si>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</si>
  <si>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</si>
  <si>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</si>
  <si>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</si>
  <si>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</si>
  <si>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</si>
  <si>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</si>
  <si>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</si>
  <si>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</si>
  <si>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</si>
  <si>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</si>
  <si>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</si>
  <si>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</si>
  <si>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</si>
  <si>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</si>
  <si>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</si>
  <si>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</si>
  <si>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</si>
  <si>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</si>
  <si>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</si>
  <si>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</si>
  <si>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</si>
  <si>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</si>
  <si>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</si>
  <si>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</si>
  <si>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</si>
  <si>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</si>
  <si>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</si>
  <si>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</si>
  <si>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</si>
  <si>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</si>
  <si>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</si>
  <si>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</si>
  <si>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</si>
  <si>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</si>
  <si>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</si>
  <si>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</si>
  <si>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</si>
  <si>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</si>
  <si>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</si>
  <si>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</si>
  <si>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</si>
  <si>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</si>
  <si>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</si>
  <si>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</si>
  <si>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</si>
  <si>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</si>
  <si>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</si>
  <si>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</si>
  <si>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</si>
  <si>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</si>
  <si>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</si>
  <si>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</si>
  <si>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</si>
  <si>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</si>
  <si>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</si>
  <si>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</si>
  <si>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</si>
  <si>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</si>
  <si>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</si>
  <si>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</si>
  <si>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</si>
  <si>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</si>
  <si>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</si>
  <si>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</si>
  <si>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</si>
  <si>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</si>
  <si>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</si>
  <si>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</si>
  <si>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</si>
  <si>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</si>
  <si>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</si>
  <si>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</si>
  <si>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</si>
  <si>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</si>
  <si>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</si>
  <si>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</si>
  <si>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</si>
  <si>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</si>
  <si>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</si>
  <si>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</si>
  <si>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</si>
  <si>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</si>
  <si>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</si>
  <si>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</si>
  <si>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</si>
  <si>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</si>
  <si>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</si>
  <si>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</si>
  <si>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</si>
  <si>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</si>
  <si>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</si>
  <si>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</si>
  <si>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</si>
  <si>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</si>
  <si>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</si>
  <si>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</si>
  <si>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</si>
  <si>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</si>
  <si>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</si>
  <si>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</si>
  <si>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</si>
  <si>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</si>
  <si>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</si>
  <si>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</si>
  <si>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</si>
  <si>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</si>
  <si>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</si>
  <si>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</si>
  <si>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</si>
  <si>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</si>
  <si>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</si>
  <si>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</si>
  <si>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</si>
  <si>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</si>
  <si>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</si>
  <si>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</si>
  <si>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</si>
  <si>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</si>
  <si>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</si>
  <si>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</si>
  <si>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</si>
  <si>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</si>
  <si>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</si>
  <si>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</si>
  <si>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</si>
  <si>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</si>
  <si>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</si>
  <si>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</si>
  <si>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</si>
  <si>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</si>
  <si>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</si>
  <si>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</si>
  <si>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</si>
  <si>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</si>
  <si>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</si>
  <si>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</si>
  <si>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</si>
  <si>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</si>
  <si>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</si>
  <si>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</si>
  <si>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</si>
  <si>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</si>
  <si>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</si>
  <si>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</si>
  <si>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</si>
  <si>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</si>
  <si>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</si>
  <si>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</si>
  <si>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</si>
  <si>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</si>
  <si>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</si>
  <si>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</si>
  <si>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</si>
  <si>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</si>
  <si>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</si>
  <si>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</si>
  <si>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</si>
  <si>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</si>
  <si>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</si>
  <si>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</si>
  <si>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</si>
  <si>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</si>
  <si>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</si>
  <si>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</si>
  <si>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</si>
  <si>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</si>
  <si>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</si>
  <si>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</si>
  <si>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</si>
  <si>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</si>
  <si>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</si>
  <si>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</si>
  <si>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</si>
  <si>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</si>
  <si>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</si>
  <si>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</si>
  <si>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</si>
  <si>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</si>
  <si>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</si>
  <si>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</si>
  <si>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</si>
  <si>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</si>
  <si>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</si>
  <si>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</si>
  <si>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</si>
  <si>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</si>
  <si>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</si>
  <si>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</si>
  <si>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</si>
  <si>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</si>
  <si>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</si>
  <si>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</si>
  <si>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</si>
  <si>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</si>
  <si>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</si>
  <si>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</si>
  <si>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</si>
  <si>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</si>
  <si>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</si>
  <si>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</si>
  <si>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</si>
  <si>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</si>
  <si>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</si>
  <si>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</si>
  <si>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</si>
  <si>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</si>
  <si>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</si>
  <si>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</si>
  <si>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</si>
  <si>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</si>
  <si>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</si>
  <si>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</si>
  <si>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</si>
  <si>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</si>
  <si>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</si>
  <si>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</si>
  <si>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</si>
  <si>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</si>
  <si>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</si>
  <si>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</si>
  <si>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</si>
  <si>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</si>
  <si>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</si>
  <si>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</si>
  <si>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</si>
  <si>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</si>
  <si>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</si>
  <si>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</si>
  <si>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</si>
  <si>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</si>
  <si>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</si>
  <si>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</si>
  <si>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</si>
  <si>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</si>
  <si>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</si>
  <si>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</si>
  <si>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</si>
  <si>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</si>
  <si>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</si>
  <si>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</si>
  <si>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</si>
  <si>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</si>
  <si>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</si>
  <si>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</si>
  <si>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</si>
  <si>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</si>
  <si>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</si>
  <si>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</si>
  <si>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</si>
  <si>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</si>
  <si>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</si>
  <si>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</si>
  <si>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</si>
  <si>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</si>
  <si>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</si>
  <si>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</si>
  <si>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</si>
  <si>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</si>
  <si>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</si>
  <si>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</si>
  <si>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</si>
  <si>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</si>
  <si>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</si>
  <si>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</si>
  <si>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</si>
  <si>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</si>
  <si>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</si>
  <si>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</si>
  <si>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</si>
  <si>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</si>
  <si>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</si>
  <si>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</si>
  <si>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</si>
  <si>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</si>
  <si>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</si>
  <si>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</si>
  <si>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</si>
  <si>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</si>
  <si>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</si>
  <si>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</si>
  <si>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</si>
  <si>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</si>
  <si>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</si>
  <si>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</si>
  <si>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</si>
  <si>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</si>
  <si>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</si>
  <si>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</si>
  <si>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</si>
  <si>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</si>
  <si>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</si>
  <si>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</si>
  <si>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</si>
  <si>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</si>
  <si>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</si>
  <si>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</si>
  <si>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</si>
  <si>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</si>
  <si>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</si>
  <si>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</si>
  <si>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</si>
  <si>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</si>
  <si>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</si>
  <si>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</si>
  <si>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</si>
  <si>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</si>
  <si>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</si>
  <si>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</si>
  <si>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</si>
  <si>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</si>
  <si>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</si>
  <si>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</si>
  <si>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</si>
  <si>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</si>
  <si>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</si>
  <si>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</si>
  <si>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</si>
  <si>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</si>
  <si>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</si>
  <si>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</si>
  <si>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</si>
  <si>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</si>
  <si>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</si>
  <si>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</si>
  <si>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</si>
  <si>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</si>
  <si>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</si>
  <si>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</si>
  <si>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</si>
  <si>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</si>
  <si>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</si>
  <si>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</si>
  <si>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</si>
  <si>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</si>
  <si>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</si>
  <si>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</si>
  <si>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</si>
  <si>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</si>
  <si>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</si>
  <si>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</si>
  <si>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</si>
  <si>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</si>
  <si>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</si>
  <si>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</si>
  <si>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</si>
  <si>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</si>
  <si>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</si>
  <si>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</si>
  <si>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</si>
  <si>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</si>
  <si>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</si>
  <si>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</si>
  <si>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</si>
  <si>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</si>
  <si>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</si>
  <si>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</si>
  <si>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</si>
  <si>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</si>
  <si>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</si>
  <si>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</si>
  <si>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</si>
  <si>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</si>
  <si>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</si>
  <si>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</si>
  <si>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</si>
  <si>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</si>
  <si>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</si>
  <si>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</si>
  <si>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</si>
  <si>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</si>
  <si>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</si>
  <si>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</si>
  <si>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</si>
  <si>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</si>
  <si>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</si>
  <si>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</si>
  <si>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</si>
  <si>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</si>
  <si>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</si>
  <si>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</si>
  <si>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</si>
  <si>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</si>
  <si>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</si>
  <si>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</si>
  <si>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</si>
  <si>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</si>
  <si>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</si>
  <si>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</si>
  <si>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</si>
  <si>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</si>
  <si>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</si>
  <si>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</si>
  <si>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</si>
  <si>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</si>
  <si>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</si>
  <si>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</si>
  <si>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</si>
  <si>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</si>
  <si>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</si>
  <si>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</si>
  <si>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</si>
  <si>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</si>
  <si>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</si>
  <si>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</si>
  <si>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</si>
  <si>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</si>
  <si>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</si>
  <si>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</si>
  <si>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</si>
  <si>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</si>
  <si>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</si>
  <si>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</si>
  <si>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</si>
  <si>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</si>
  <si>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</si>
  <si>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</si>
  <si>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</si>
  <si>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</si>
  <si>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</si>
  <si>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</si>
  <si>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</si>
  <si>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</si>
  <si>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</si>
  <si>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</si>
  <si>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</si>
  <si>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</si>
  <si>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</si>
  <si>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</si>
  <si>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</si>
  <si>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</si>
  <si>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</si>
  <si>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</si>
  <si>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</si>
  <si>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</si>
  <si>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</si>
  <si>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</si>
  <si>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</si>
  <si>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</si>
  <si>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</si>
  <si>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</si>
  <si>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</si>
  <si>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</si>
  <si>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</si>
  <si>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</si>
  <si>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</si>
  <si>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</si>
  <si>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</si>
  <si>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</si>
  <si>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</si>
  <si>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</si>
  <si>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</si>
  <si>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</si>
  <si>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</si>
  <si>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</si>
  <si>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</si>
  <si>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</si>
  <si>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</si>
  <si>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</si>
  <si>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</si>
  <si>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</si>
  <si>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</si>
  <si>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</si>
  <si>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</si>
  <si>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</si>
  <si>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</si>
  <si>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</si>
  <si>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</si>
  <si>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</si>
  <si>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</si>
  <si>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</si>
  <si>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</si>
  <si>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</si>
  <si>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</si>
  <si>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</si>
  <si>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</si>
  <si>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</si>
  <si>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</si>
  <si>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</si>
  <si>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</si>
  <si>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</si>
  <si>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</si>
  <si>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</si>
  <si>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</si>
  <si>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</si>
  <si>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</si>
  <si>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</si>
  <si>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</si>
  <si>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</si>
  <si>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</si>
  <si>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</si>
  <si>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</si>
  <si>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</si>
  <si>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</si>
  <si>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</si>
  <si>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</si>
  <si>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</si>
  <si>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</si>
  <si>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</si>
  <si>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</si>
  <si>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</si>
  <si>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</si>
  <si>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</si>
  <si>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</si>
  <si>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</si>
  <si>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</si>
  <si>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</si>
  <si>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</si>
  <si>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</si>
  <si>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</si>
  <si>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</si>
  <si>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</si>
  <si>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</si>
  <si>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</si>
  <si>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</si>
  <si>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</si>
  <si>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</si>
  <si>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</si>
  <si>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</si>
  <si>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</si>
  <si>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</si>
  <si>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</si>
  <si>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</si>
  <si>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</si>
  <si>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</si>
  <si>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</si>
  <si>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</si>
  <si>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</si>
  <si>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</si>
  <si>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</si>
  <si>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</si>
  <si>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</si>
  <si>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</si>
  <si>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</si>
  <si>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</si>
  <si>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</si>
  <si>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</si>
  <si>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</si>
  <si>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</si>
  <si>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</si>
  <si>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</si>
  <si>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</si>
  <si>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</si>
  <si>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</si>
  <si>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</si>
  <si>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</si>
  <si>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</si>
  <si>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</si>
  <si>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</si>
  <si>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</si>
  <si>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</si>
  <si>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</si>
  <si>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</si>
  <si>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</si>
  <si>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</si>
  <si>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</si>
  <si>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</si>
  <si>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</si>
  <si>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</si>
  <si>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</si>
  <si>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</si>
  <si>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</si>
  <si>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</si>
  <si>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</si>
  <si>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</si>
  <si>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</si>
  <si>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</si>
  <si>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</si>
  <si>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</si>
  <si>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</si>
  <si>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</si>
  <si>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</si>
  <si>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</si>
  <si>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</si>
  <si>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</si>
  <si>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</si>
  <si>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</si>
  <si>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</si>
  <si>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</si>
  <si>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</si>
  <si>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</si>
  <si>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</si>
  <si>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</si>
  <si>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</si>
  <si>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</si>
  <si>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</si>
  <si>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</si>
  <si>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</si>
  <si>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</si>
  <si>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</si>
  <si>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</si>
  <si>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</si>
  <si>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</si>
  <si>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</si>
  <si>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</si>
  <si>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</si>
  <si>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</si>
  <si>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</si>
  <si>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</si>
  <si>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</si>
  <si>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</si>
  <si>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</si>
  <si>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</si>
  <si>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</si>
  <si>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</si>
  <si>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</si>
  <si>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</si>
  <si>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</si>
  <si>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</si>
  <si>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</si>
  <si>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</si>
  <si>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</si>
  <si>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</si>
  <si>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</si>
  <si>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</si>
  <si>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</si>
  <si>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</si>
  <si>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</si>
  <si>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</si>
  <si>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</si>
  <si>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</si>
  <si>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</si>
  <si>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</si>
  <si>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</si>
  <si>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</si>
  <si>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</si>
  <si>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</si>
  <si>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</si>
  <si>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</si>
  <si>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</si>
  <si>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</si>
  <si>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</si>
  <si>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</si>
  <si>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</si>
  <si>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</si>
  <si>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</si>
  <si>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</si>
  <si>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</si>
  <si>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</si>
  <si>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</si>
  <si>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</si>
  <si>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</si>
  <si>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</si>
  <si>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</si>
  <si>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</si>
  <si>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</si>
  <si>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</si>
  <si>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</si>
  <si>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</si>
  <si>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</si>
  <si>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</si>
  <si>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</si>
  <si>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</si>
  <si>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</si>
  <si>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</si>
  <si>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</si>
  <si>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</si>
  <si>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</si>
  <si>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</si>
  <si>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</si>
  <si>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</si>
  <si>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</si>
  <si>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</si>
  <si>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</si>
  <si>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</si>
  <si>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</si>
  <si>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</si>
  <si>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</si>
  <si>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</si>
  <si>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</si>
  <si>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</si>
  <si>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</si>
  <si>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</si>
  <si>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</si>
  <si>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</si>
  <si>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</si>
  <si>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</si>
  <si>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</si>
  <si>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</si>
  <si>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</si>
  <si>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</si>
  <si>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</si>
  <si>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</si>
  <si>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</si>
  <si>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</si>
  <si>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</si>
  <si>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</si>
  <si>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</si>
  <si>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</si>
  <si>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</si>
  <si>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</si>
  <si>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</si>
  <si>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</si>
  <si>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</si>
  <si>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</si>
  <si>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</si>
  <si>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</si>
  <si>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</si>
  <si>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</si>
  <si>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</si>
  <si>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</si>
  <si>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</si>
  <si>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</si>
  <si>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</si>
  <si>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</si>
  <si>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</si>
  <si>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</si>
  <si>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</si>
  <si>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</si>
  <si>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</si>
  <si>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</si>
  <si>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</si>
  <si>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</si>
  <si>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</si>
  <si>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</si>
  <si>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</si>
  <si>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</si>
  <si>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</si>
  <si>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</si>
  <si>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</si>
  <si>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</si>
  <si>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</si>
  <si>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</si>
  <si>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</si>
  <si>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</si>
  <si>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</si>
  <si>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</si>
  <si>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</si>
  <si>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</si>
  <si>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</si>
  <si>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</si>
  <si>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</si>
  <si>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</si>
  <si>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</si>
  <si>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</si>
  <si>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</si>
  <si>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</si>
  <si>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</si>
  <si>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</si>
  <si>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</si>
  <si>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</si>
  <si>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</si>
  <si>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</si>
  <si>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</si>
  <si>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</si>
  <si>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</si>
  <si>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</si>
  <si>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</si>
  <si>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</si>
  <si>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</si>
  <si>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</si>
  <si>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</si>
  <si>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</si>
  <si>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</si>
  <si>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</si>
  <si>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</si>
  <si>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</si>
  <si>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</si>
  <si>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</si>
  <si>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</si>
  <si>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</si>
  <si>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</si>
  <si>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</si>
  <si>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</si>
  <si>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</si>
  <si>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</si>
  <si>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</si>
  <si>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</si>
  <si>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</si>
  <si>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</si>
  <si>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</si>
  <si>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</si>
  <si>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</si>
  <si>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</si>
  <si>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</si>
  <si>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</si>
  <si>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</si>
  <si>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</si>
  <si>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</si>
  <si>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</si>
  <si>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</si>
  <si>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</si>
  <si>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</si>
  <si>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</si>
  <si>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</si>
  <si>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</si>
  <si>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</si>
  <si>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</si>
  <si>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</si>
  <si>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</si>
  <si>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</si>
  <si>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</si>
  <si>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</si>
  <si>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</si>
  <si>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</si>
  <si>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</si>
  <si>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</si>
  <si>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</si>
  <si>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</si>
  <si>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</si>
  <si>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</si>
  <si>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</si>
  <si>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</si>
  <si>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</si>
  <si>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</si>
  <si>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</si>
  <si>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</si>
  <si>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</si>
  <si>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</si>
  <si>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</si>
  <si>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</si>
  <si>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</si>
  <si>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</si>
  <si>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</si>
  <si>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</si>
  <si>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</si>
  <si>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</si>
  <si>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</si>
  <si>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</si>
  <si>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</si>
  <si>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</si>
  <si>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</si>
  <si>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</si>
  <si>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</si>
  <si>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</si>
  <si>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</si>
  <si>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</si>
  <si>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</si>
  <si>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</si>
  <si>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</si>
  <si>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</si>
  <si>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</si>
  <si>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</si>
  <si>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</si>
  <si>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</si>
  <si>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</si>
  <si>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</si>
  <si>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</si>
  <si>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</si>
  <si>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</si>
  <si>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</si>
  <si>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</si>
  <si>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</si>
  <si>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</si>
  <si>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</si>
  <si>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</si>
  <si>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</si>
  <si>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</si>
  <si>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</si>
  <si>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</si>
  <si>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</si>
  <si>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</si>
  <si>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</si>
  <si>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</si>
  <si>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</si>
  <si>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</si>
  <si>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</si>
  <si>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</si>
  <si>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</si>
  <si>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</si>
  <si>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</si>
  <si>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</si>
  <si>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</si>
  <si>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</si>
  <si>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</si>
  <si>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</si>
  <si>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</si>
  <si>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</si>
  <si>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</si>
  <si>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</si>
  <si>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</si>
  <si>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</si>
  <si>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</si>
  <si>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</si>
  <si>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</si>
  <si>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</si>
  <si>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</si>
  <si>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</si>
  <si>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</si>
  <si>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</si>
  <si>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</si>
  <si>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</si>
  <si>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</si>
  <si>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</si>
  <si>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</si>
  <si>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</si>
  <si>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</si>
  <si>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</si>
  <si>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</si>
  <si>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</si>
  <si>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</si>
  <si>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</si>
  <si>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</si>
  <si>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</si>
  <si>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</si>
  <si>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</si>
  <si>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</si>
  <si>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</si>
  <si>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</si>
  <si>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</si>
  <si>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</si>
  <si>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</si>
  <si>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</si>
  <si>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</si>
  <si>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</si>
  <si>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</si>
  <si>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</si>
  <si>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</si>
  <si>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</si>
  <si>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</si>
  <si>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</si>
  <si>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</si>
  <si>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</si>
  <si>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</si>
  <si>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</si>
  <si>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</si>
  <si>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</si>
  <si>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</si>
  <si>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</si>
  <si>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</si>
  <si>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</si>
  <si>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</si>
  <si>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</si>
  <si>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1962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</si>
  <si>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</si>
  <si>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</si>
  <si>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</si>
  <si>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</si>
  <si>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0CK_TCU</t>
    <phoneticPr fontId="2" type="noConversion"/>
  </si>
  <si>
    <t>927156AA</t>
    <phoneticPr fontId="2" type="noConversion"/>
  </si>
  <si>
    <t>제이오토(대구)_251114_190009.xlsx</t>
  </si>
  <si>
    <t>1962</t>
    <phoneticPr fontId="2" type="noConversion"/>
  </si>
  <si>
    <t>제이오토(대구)_251114_190142.xlsx</t>
  </si>
  <si>
    <t>0250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</si>
  <si>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</si>
  <si>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</si>
  <si>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</si>
  <si>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</si>
  <si>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</si>
  <si>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</si>
  <si>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</si>
  <si>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</si>
  <si>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</si>
  <si>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</si>
  <si>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</si>
  <si>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</si>
  <si>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</si>
  <si>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</si>
  <si>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</si>
  <si>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</si>
  <si>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</si>
  <si>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</si>
  <si>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</si>
  <si>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</si>
  <si>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</si>
  <si>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</si>
  <si>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</si>
  <si>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</si>
  <si>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</si>
  <si>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</si>
  <si>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삼호미션(전주)</t>
    <phoneticPr fontId="2" type="noConversion"/>
  </si>
  <si>
    <t>6F35_SOLENOID_PACK</t>
    <phoneticPr fontId="2" type="noConversion"/>
  </si>
  <si>
    <t>주문</t>
    <phoneticPr fontId="2" type="noConversion"/>
  </si>
  <si>
    <t>1363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</si>
  <si>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</si>
  <si>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</si>
  <si>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</si>
  <si>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</si>
  <si>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</si>
  <si>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</si>
  <si>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</si>
  <si>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</si>
  <si>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</si>
  <si>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</si>
  <si>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</si>
  <si>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</si>
  <si>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</si>
  <si>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</si>
  <si>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</si>
  <si>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</si>
  <si>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</si>
  <si>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</si>
  <si>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</si>
  <si>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</si>
  <si>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</si>
  <si>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</si>
  <si>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</si>
  <si>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</si>
  <si>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</si>
  <si>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</si>
  <si>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</si>
  <si>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</si>
  <si>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</si>
  <si>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</si>
  <si>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</si>
  <si>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</si>
  <si>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</si>
  <si>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</si>
  <si>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</si>
  <si>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</si>
  <si>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</si>
  <si>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</si>
  <si>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</si>
  <si>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</si>
  <si>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</si>
  <si>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</si>
  <si>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</si>
  <si>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</si>
  <si>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</si>
  <si>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</si>
  <si>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</si>
  <si>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</si>
  <si>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</si>
  <si>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</si>
  <si>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</si>
  <si>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</si>
  <si>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</si>
  <si>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</si>
  <si>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</si>
  <si>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</si>
  <si>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</si>
  <si>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</si>
  <si>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</si>
  <si>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</si>
  <si>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</si>
  <si>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</si>
  <si>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</si>
  <si>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</si>
  <si>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</si>
  <si>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</si>
  <si>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</si>
  <si>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</si>
  <si>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</si>
  <si>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</si>
  <si>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</si>
  <si>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</si>
  <si>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</si>
  <si>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</si>
  <si>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</si>
  <si>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</si>
  <si>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</si>
  <si>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</si>
  <si>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</si>
  <si>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</si>
  <si>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</si>
  <si>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</si>
  <si>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</si>
  <si>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</si>
  <si>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</si>
  <si>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</si>
  <si>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</si>
  <si>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</si>
  <si>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</si>
  <si>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</si>
  <si>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</si>
  <si>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</si>
  <si>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</si>
  <si>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</si>
  <si>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</si>
  <si>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</si>
  <si>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</si>
  <si>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</si>
  <si>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</si>
  <si>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</si>
  <si>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</si>
  <si>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</si>
  <si>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</si>
  <si>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</si>
  <si>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</si>
  <si>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</si>
  <si>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</si>
  <si>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</si>
  <si>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</si>
  <si>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</si>
  <si>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</si>
  <si>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</si>
  <si>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</si>
  <si>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</si>
  <si>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</si>
  <si>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</si>
  <si>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</si>
  <si>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</si>
  <si>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</si>
  <si>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</si>
  <si>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</si>
  <si>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</si>
  <si>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</si>
  <si>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</si>
  <si>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</si>
  <si>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</si>
  <si>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</si>
  <si>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</si>
  <si>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</si>
  <si>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</si>
  <si>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</si>
  <si>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</si>
  <si>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</si>
  <si>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</si>
  <si>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</si>
  <si>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</si>
  <si>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</si>
  <si>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</si>
  <si>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</si>
  <si>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</si>
  <si>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</si>
  <si>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</si>
  <si>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</si>
  <si>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</si>
  <si>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</si>
  <si>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</si>
  <si>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</si>
  <si>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</si>
  <si>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</si>
  <si>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</si>
  <si>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</si>
  <si>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</si>
  <si>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</si>
  <si>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</si>
  <si>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</si>
  <si>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</si>
  <si>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</si>
  <si>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</si>
  <si>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</si>
  <si>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</si>
  <si>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</si>
  <si>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</si>
  <si>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</si>
  <si>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</si>
  <si>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</si>
  <si>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</si>
  <si>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</si>
  <si>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</si>
  <si>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</si>
  <si>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</si>
  <si>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</si>
  <si>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</si>
  <si>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</si>
  <si>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</si>
  <si>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</si>
  <si>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</si>
  <si>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</si>
  <si>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</si>
  <si>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</si>
  <si>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</si>
  <si>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</si>
  <si>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</si>
  <si>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</si>
  <si>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</si>
  <si>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</si>
  <si>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</si>
  <si>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</si>
  <si>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</si>
  <si>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</si>
  <si>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</si>
  <si>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</si>
  <si>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</si>
  <si>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</si>
  <si>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</si>
  <si>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</si>
  <si>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</si>
  <si>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</si>
  <si>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</si>
  <si>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</si>
  <si>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</si>
  <si>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</si>
  <si>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</si>
  <si>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</si>
  <si>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</si>
  <si>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</si>
  <si>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</si>
  <si>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</si>
  <si>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</si>
  <si>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</si>
  <si>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</si>
  <si>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</si>
  <si>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</si>
  <si>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</si>
  <si>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</si>
  <si>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</si>
  <si>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</si>
  <si>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</si>
  <si>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</si>
  <si>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</si>
  <si>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</si>
  <si>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</si>
  <si>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</si>
  <si>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</si>
  <si>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</si>
  <si>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</si>
  <si>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</si>
  <si>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</si>
  <si>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</si>
  <si>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</si>
  <si>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</si>
  <si>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</si>
  <si>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</si>
  <si>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</si>
  <si>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</si>
  <si>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</si>
  <si>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</si>
  <si>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</si>
  <si>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</si>
  <si>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</si>
  <si>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</si>
  <si>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</si>
  <si>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</si>
  <si>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</si>
  <si>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</si>
  <si>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</si>
  <si>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</si>
  <si>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</si>
  <si>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</si>
  <si>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</si>
  <si>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</si>
  <si>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</si>
  <si>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</si>
  <si>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</si>
  <si>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</si>
  <si>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</si>
  <si>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</si>
  <si>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</si>
  <si>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</si>
  <si>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</si>
  <si>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</si>
  <si>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</si>
  <si>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</si>
  <si>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</si>
  <si>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</si>
  <si>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</si>
  <si>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</si>
  <si>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</si>
  <si>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</si>
  <si>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</si>
  <si>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</si>
  <si>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</si>
  <si>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</si>
  <si>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</si>
  <si>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</si>
  <si>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</si>
  <si>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</si>
  <si>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</si>
  <si>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</si>
  <si>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</si>
  <si>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</si>
  <si>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</si>
  <si>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</si>
  <si>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</si>
  <si>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</si>
  <si>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</si>
  <si>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</si>
  <si>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</si>
  <si>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</si>
  <si>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</si>
  <si>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</si>
  <si>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</si>
  <si>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</si>
  <si>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</si>
  <si>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</si>
  <si>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</si>
  <si>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</si>
  <si>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</si>
  <si>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</si>
  <si>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</si>
  <si>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</si>
  <si>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</si>
  <si>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WVWVWVWVW</t>
    <phoneticPr fontId="2" type="noConversion"/>
  </si>
  <si>
    <t>오류코드없음</t>
    <phoneticPr fontId="2" type="noConversion"/>
  </si>
  <si>
    <t>119모터스(화성)_260120_180621.xlsx</t>
  </si>
  <si>
    <t>119모터스(화성)_260120_180621.xlsx</t>
    <phoneticPr fontId="2" type="noConversion"/>
  </si>
  <si>
    <t>제품ID</t>
    <phoneticPr fontId="2" type="noConversion"/>
  </si>
  <si>
    <t>1</t>
    <phoneticPr fontId="2" type="noConversion"/>
  </si>
  <si>
    <t>반품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</si>
</sst>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353175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12014" y="611254"/>
          <a:ext cx="94965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7185" y="603488"/>
          <a:ext cx="925939" cy="288105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0365" y="1418738"/>
          <a:ext cx="190259" cy="19118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5346" y="1418076"/>
          <a:ext cx="190259" cy="19308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0365" y="1190138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0928" y="942975"/>
          <a:ext cx="1430522" cy="36456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0266" y="1421212"/>
          <a:ext cx="1431184" cy="37790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0928" y="1934274"/>
          <a:ext cx="143052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0171" y="1194114"/>
          <a:ext cx="190259" cy="18546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94113"/>
          <a:ext cx="190259" cy="18546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8227" y="2139822"/>
          <a:ext cx="190259" cy="19168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3902" y="96161"/>
          <a:ext cx="942395" cy="316385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60030" y="62882"/>
          <a:ext cx="909186" cy="29066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3830" y="53340"/>
          <a:ext cx="953742" cy="32922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3830" y="53340"/>
          <a:ext cx="953742" cy="32922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7170" y="76200"/>
          <a:ext cx="916828" cy="28307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12014" y="611254"/>
          <a:ext cx="94965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9944" y="94642"/>
          <a:ext cx="868128" cy="28357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60608" y="94642"/>
          <a:ext cx="901148" cy="28357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7185" y="603488"/>
          <a:ext cx="925939" cy="288105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0365" y="1418738"/>
          <a:ext cx="190259" cy="19118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5243" y="1419401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0365" y="1190138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2471" y="3324923"/>
          <a:ext cx="1429279" cy="36125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18279" y="94642"/>
          <a:ext cx="919395" cy="28357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2300" y="94642"/>
          <a:ext cx="927198" cy="28357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2063" y="94642"/>
          <a:ext cx="892728" cy="28357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9530" y="49530"/>
          <a:ext cx="948027" cy="32160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7.399999999999999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2365</v>
      </c>
    </row>
    <row r="4" spans="14:17">
      <c r="Q4" s="95" t="s">
        <v>3080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2365</v>
      </c>
      <c r="Q21" s="225"/>
    </row>
    <row r="22" spans="3:19">
      <c r="C22" s="95" t="s">
        <v>3580</v>
      </c>
    </row>
    <row r="23" spans="3:19"/>
    <row r="24" spans="3:19"/>
    <row r="25" spans="3:19"/>
    <row r="26" spans="3:19"/>
    <row r="27" spans="3:19"/>
    <row r="28" spans="3:19">
      <c r="S28" s="95" t="s">
        <v>2365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7.399999999999999"/>
  <cols>
    <col min="1" max="1" width="4.5" bestFit="1" customWidth="1"/>
    <col min="2" max="2" width="12.69921875" customWidth="1"/>
    <col min="3" max="3" width="16" customWidth="1"/>
    <col min="4" max="4" width="7.09765625" bestFit="1" customWidth="1"/>
    <col min="5" max="5" width="16" customWidth="1"/>
    <col min="6" max="6" width="20.59765625" bestFit="1" customWidth="1"/>
  </cols>
  <sheetData>
    <row r="1" spans="1:7">
      <c r="A1" s="179" t="s">
        <v>2</v>
      </c>
      <c r="B1" s="179" t="s">
        <v>14</v>
      </c>
      <c r="C1" s="179" t="s">
        <v>1620</v>
      </c>
      <c r="D1" s="179" t="s">
        <v>36</v>
      </c>
      <c r="E1" s="179" t="s">
        <v>1621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2002</v>
      </c>
      <c r="D2" t="s">
        <v>1996</v>
      </c>
      <c r="E2" s="224">
        <v>21000</v>
      </c>
    </row>
    <row r="3" spans="1:7">
      <c r="A3">
        <v>2</v>
      </c>
      <c r="B3" s="13">
        <v>45747</v>
      </c>
      <c r="C3" t="s">
        <v>2003</v>
      </c>
      <c r="D3" t="s">
        <v>2000</v>
      </c>
      <c r="E3" s="224">
        <v>48210</v>
      </c>
    </row>
    <row r="4" spans="1:7">
      <c r="A4">
        <v>3</v>
      </c>
      <c r="B4" s="13">
        <v>45749</v>
      </c>
      <c r="C4" t="s">
        <v>1999</v>
      </c>
      <c r="D4" t="s">
        <v>1999</v>
      </c>
      <c r="E4" s="224">
        <v>16600</v>
      </c>
      <c r="F4" t="s">
        <v>2004</v>
      </c>
    </row>
    <row r="5" spans="1:7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1145</v>
      </c>
    </row>
    <row r="25" spans="1:6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>
      <c r="A28">
        <v>27</v>
      </c>
      <c r="B28" s="13">
        <v>45778</v>
      </c>
      <c r="C28" t="s">
        <v>1992</v>
      </c>
      <c r="D28" t="s">
        <v>1996</v>
      </c>
      <c r="E28" s="224">
        <v>8000</v>
      </c>
    </row>
    <row r="29" spans="1:6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>
      <c r="A30">
        <v>29</v>
      </c>
      <c r="B30" s="13">
        <v>45779</v>
      </c>
      <c r="C30" t="s">
        <v>2069</v>
      </c>
      <c r="D30" t="s">
        <v>1995</v>
      </c>
      <c r="E30">
        <v>74100</v>
      </c>
      <c r="F30" t="s">
        <v>2070</v>
      </c>
    </row>
    <row r="31" spans="1:6">
      <c r="A31">
        <v>30</v>
      </c>
      <c r="B31" s="13">
        <v>45780</v>
      </c>
      <c r="C31" t="s">
        <v>2067</v>
      </c>
      <c r="D31" t="s">
        <v>1995</v>
      </c>
      <c r="E31">
        <v>7000</v>
      </c>
      <c r="F31" t="s">
        <v>2068</v>
      </c>
    </row>
    <row r="32" spans="1:6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>
      <c r="A34">
        <v>33</v>
      </c>
      <c r="B34" s="13">
        <v>45785</v>
      </c>
      <c r="C34" t="s">
        <v>2112</v>
      </c>
      <c r="D34" t="s">
        <v>1996</v>
      </c>
      <c r="E34">
        <v>14000</v>
      </c>
    </row>
    <row r="35" spans="1:6">
      <c r="A35">
        <v>34</v>
      </c>
      <c r="B35" s="13">
        <v>45786</v>
      </c>
      <c r="C35" t="s">
        <v>2112</v>
      </c>
      <c r="D35" t="s">
        <v>1996</v>
      </c>
      <c r="E35">
        <v>14000</v>
      </c>
    </row>
    <row r="36" spans="1:6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2114</v>
      </c>
    </row>
    <row r="37" spans="1:6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2112</v>
      </c>
      <c r="D39" t="s">
        <v>1996</v>
      </c>
      <c r="E39">
        <v>14000</v>
      </c>
    </row>
    <row r="40" spans="1:6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>
      <c r="A41">
        <v>40</v>
      </c>
      <c r="B41" s="13">
        <v>45790</v>
      </c>
      <c r="C41" t="s">
        <v>2165</v>
      </c>
      <c r="D41" t="s">
        <v>1999</v>
      </c>
      <c r="E41">
        <v>7000</v>
      </c>
      <c r="F41" t="s">
        <v>2166</v>
      </c>
    </row>
    <row r="42" spans="1:6">
      <c r="A42">
        <v>41</v>
      </c>
      <c r="B42" s="13">
        <v>45790</v>
      </c>
      <c r="C42" t="s">
        <v>2163</v>
      </c>
      <c r="D42" t="s">
        <v>1779</v>
      </c>
      <c r="E42">
        <v>14000</v>
      </c>
      <c r="F42" t="s">
        <v>2164</v>
      </c>
    </row>
    <row r="43" spans="1:6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2167</v>
      </c>
    </row>
    <row r="44" spans="1:6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2168</v>
      </c>
    </row>
    <row r="45" spans="1:6">
      <c r="A45">
        <v>44</v>
      </c>
      <c r="B45" s="13">
        <v>45791</v>
      </c>
      <c r="C45" t="s">
        <v>2171</v>
      </c>
      <c r="D45" t="s">
        <v>2000</v>
      </c>
      <c r="E45">
        <v>46590</v>
      </c>
    </row>
    <row r="46" spans="1:6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2162</v>
      </c>
    </row>
    <row r="47" spans="1:6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2167</v>
      </c>
    </row>
    <row r="48" spans="1:6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2203</v>
      </c>
    </row>
    <row r="49" spans="1:6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>
      <c r="A50">
        <v>49</v>
      </c>
      <c r="B50" s="13">
        <v>45794</v>
      </c>
      <c r="C50" t="s">
        <v>2230</v>
      </c>
      <c r="D50" t="s">
        <v>1779</v>
      </c>
      <c r="E50">
        <v>8000</v>
      </c>
      <c r="F50" t="s">
        <v>2231</v>
      </c>
    </row>
    <row r="51" spans="1:6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>
      <c r="A52">
        <v>51</v>
      </c>
      <c r="B52" s="13">
        <v>45796</v>
      </c>
      <c r="C52" t="s">
        <v>2171</v>
      </c>
      <c r="D52" t="s">
        <v>2000</v>
      </c>
      <c r="E52">
        <v>46300</v>
      </c>
    </row>
    <row r="53" spans="1:6">
      <c r="A53">
        <v>52</v>
      </c>
      <c r="B53" s="13">
        <v>45796</v>
      </c>
      <c r="C53" t="s">
        <v>2244</v>
      </c>
      <c r="D53" t="s">
        <v>1996</v>
      </c>
      <c r="E53">
        <v>1800</v>
      </c>
    </row>
    <row r="54" spans="1:6">
      <c r="A54">
        <v>53</v>
      </c>
      <c r="B54" s="13">
        <v>45797</v>
      </c>
      <c r="C54" t="s">
        <v>1992</v>
      </c>
      <c r="D54" t="s">
        <v>1996</v>
      </c>
      <c r="E54" s="224">
        <v>8000</v>
      </c>
    </row>
    <row r="55" spans="1:6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>
      <c r="A57">
        <v>56</v>
      </c>
      <c r="B57" s="13">
        <v>45799</v>
      </c>
      <c r="C57" t="s">
        <v>2299</v>
      </c>
      <c r="D57" t="s">
        <v>1997</v>
      </c>
      <c r="E57">
        <v>9500</v>
      </c>
    </row>
    <row r="58" spans="1:6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>
      <c r="A59">
        <v>58</v>
      </c>
      <c r="B59" s="13">
        <v>45803</v>
      </c>
      <c r="C59" t="s">
        <v>2300</v>
      </c>
      <c r="D59" t="s">
        <v>1996</v>
      </c>
      <c r="E59">
        <v>7500</v>
      </c>
    </row>
    <row r="60" spans="1:6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>
      <c r="A65">
        <v>64</v>
      </c>
      <c r="B65" s="13">
        <v>45807</v>
      </c>
      <c r="C65" t="s">
        <v>2326</v>
      </c>
      <c r="D65" t="s">
        <v>1779</v>
      </c>
      <c r="E65">
        <v>6000</v>
      </c>
      <c r="F65" t="s">
        <v>2168</v>
      </c>
    </row>
    <row r="66" spans="1:6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2404</v>
      </c>
    </row>
    <row r="70" spans="1:6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2404</v>
      </c>
    </row>
    <row r="71" spans="1:6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2168</v>
      </c>
    </row>
    <row r="72" spans="1:6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2441</v>
      </c>
    </row>
    <row r="73" spans="1:6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2442</v>
      </c>
    </row>
    <row r="74" spans="1:6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2443</v>
      </c>
    </row>
    <row r="75" spans="1:6">
      <c r="A75">
        <v>74</v>
      </c>
      <c r="B75" s="13">
        <v>45818</v>
      </c>
      <c r="C75" t="s">
        <v>2244</v>
      </c>
      <c r="D75" t="s">
        <v>1996</v>
      </c>
      <c r="E75">
        <v>2200</v>
      </c>
    </row>
    <row r="76" spans="1:6">
      <c r="A76">
        <v>75</v>
      </c>
      <c r="B76" s="13">
        <v>45818</v>
      </c>
      <c r="C76" t="s">
        <v>2230</v>
      </c>
      <c r="D76" t="s">
        <v>1631</v>
      </c>
      <c r="E76">
        <v>10000</v>
      </c>
      <c r="F76" t="s">
        <v>2444</v>
      </c>
    </row>
    <row r="77" spans="1:6">
      <c r="A77">
        <v>76</v>
      </c>
      <c r="B77" s="13">
        <v>45818</v>
      </c>
      <c r="C77" t="s">
        <v>2053</v>
      </c>
      <c r="D77" t="s">
        <v>1779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2163</v>
      </c>
      <c r="D78" t="s">
        <v>1779</v>
      </c>
      <c r="E78">
        <v>6000</v>
      </c>
      <c r="F78" t="s">
        <v>2473</v>
      </c>
    </row>
    <row r="79" spans="1:6">
      <c r="A79">
        <v>78</v>
      </c>
      <c r="B79" s="13">
        <v>45820</v>
      </c>
      <c r="C79" t="s">
        <v>2053</v>
      </c>
      <c r="D79" t="s">
        <v>1779</v>
      </c>
      <c r="E79" s="224">
        <v>6000</v>
      </c>
      <c r="F79" t="s">
        <v>1817</v>
      </c>
    </row>
    <row r="80" spans="1:6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2405</v>
      </c>
    </row>
    <row r="81" spans="1:6">
      <c r="A81">
        <v>80</v>
      </c>
      <c r="B81" s="13">
        <v>45824</v>
      </c>
      <c r="C81" t="s">
        <v>2171</v>
      </c>
      <c r="D81" t="s">
        <v>2000</v>
      </c>
      <c r="E81">
        <v>47970</v>
      </c>
    </row>
    <row r="82" spans="1:6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2505</v>
      </c>
    </row>
    <row r="84" spans="1:6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2512</v>
      </c>
    </row>
    <row r="85" spans="1:6">
      <c r="A85">
        <v>84</v>
      </c>
      <c r="B85" s="13">
        <v>45825</v>
      </c>
      <c r="C85" t="s">
        <v>2230</v>
      </c>
      <c r="D85" t="s">
        <v>1631</v>
      </c>
      <c r="E85">
        <v>9000</v>
      </c>
      <c r="F85" t="s">
        <v>2512</v>
      </c>
    </row>
    <row r="86" spans="1:6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2405</v>
      </c>
    </row>
    <row r="88" spans="1:6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2405</v>
      </c>
    </row>
    <row r="89" spans="1:6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2558</v>
      </c>
    </row>
    <row r="90" spans="1:6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2443</v>
      </c>
    </row>
    <row r="92" spans="1:6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2568</v>
      </c>
    </row>
    <row r="93" spans="1:6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2586</v>
      </c>
    </row>
    <row r="94" spans="1:6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2604</v>
      </c>
    </row>
    <row r="95" spans="1:6">
      <c r="A95">
        <v>94</v>
      </c>
      <c r="B95" s="13">
        <v>45829</v>
      </c>
      <c r="C95" t="s">
        <v>2171</v>
      </c>
      <c r="D95" t="s">
        <v>2000</v>
      </c>
      <c r="E95">
        <v>48750</v>
      </c>
    </row>
    <row r="96" spans="1:6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2497</v>
      </c>
    </row>
    <row r="97" spans="1:6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2497</v>
      </c>
    </row>
    <row r="98" spans="1:6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2067</v>
      </c>
      <c r="D99" t="s">
        <v>1995</v>
      </c>
      <c r="E99">
        <v>2200</v>
      </c>
      <c r="F99" t="s">
        <v>2623</v>
      </c>
    </row>
    <row r="100" spans="1:6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2638</v>
      </c>
    </row>
    <row r="103" spans="1:6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2642</v>
      </c>
    </row>
    <row r="105" spans="1:6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2642</v>
      </c>
    </row>
    <row r="106" spans="1:6">
      <c r="A106">
        <v>105</v>
      </c>
      <c r="B106" s="13">
        <v>45833</v>
      </c>
      <c r="C106" t="s">
        <v>2653</v>
      </c>
      <c r="D106" t="s">
        <v>2654</v>
      </c>
      <c r="E106">
        <v>24800</v>
      </c>
      <c r="F106" t="s">
        <v>2655</v>
      </c>
    </row>
    <row r="107" spans="1:6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>
      <c r="A108">
        <v>107</v>
      </c>
      <c r="B108" s="13">
        <v>45835</v>
      </c>
      <c r="C108" t="s">
        <v>2686</v>
      </c>
      <c r="D108" t="s">
        <v>1996</v>
      </c>
      <c r="E108">
        <v>22000</v>
      </c>
    </row>
    <row r="109" spans="1:6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2723</v>
      </c>
    </row>
    <row r="110" spans="1:6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2733</v>
      </c>
    </row>
    <row r="111" spans="1:6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2734</v>
      </c>
    </row>
    <row r="113" spans="1:6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>
      <c r="A114">
        <v>113</v>
      </c>
      <c r="B114" s="13">
        <v>45842</v>
      </c>
      <c r="C114" t="s">
        <v>2112</v>
      </c>
      <c r="D114" t="s">
        <v>1996</v>
      </c>
      <c r="E114">
        <v>24000</v>
      </c>
    </row>
    <row r="115" spans="1:6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2443</v>
      </c>
    </row>
    <row r="119" spans="1:6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2797</v>
      </c>
    </row>
    <row r="120" spans="1:6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2815</v>
      </c>
    </row>
    <row r="122" spans="1:6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2863</v>
      </c>
    </row>
    <row r="125" spans="1:6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19921875" style="135" customWidth="1"/>
    <col min="2" max="2" width="12.09765625" style="136" customWidth="1"/>
    <col min="3" max="3" width="31.69921875" style="137" customWidth="1"/>
    <col min="4" max="4" width="14.59765625" style="131" customWidth="1"/>
    <col min="5" max="5" width="18.5" style="200" customWidth="1"/>
    <col min="6" max="6" width="8.69921875" style="131" customWidth="1"/>
    <col min="7" max="7" width="13.19921875" style="200" customWidth="1"/>
    <col min="8" max="8" width="13.3984375" style="131" hidden="1" customWidth="1"/>
    <col min="9" max="9" width="14.09765625" style="131" customWidth="1"/>
    <col min="10" max="10" width="14.09765625" style="131" bestFit="1" customWidth="1"/>
    <col min="11" max="11" width="2" style="131" hidden="1" customWidth="1"/>
    <col min="12" max="14" width="9.69921875" style="131" hidden="1" customWidth="1"/>
    <col min="15" max="15" width="20.59765625" style="131" hidden="1" customWidth="1"/>
    <col min="16" max="16384" width="8.699218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09" t="s">
        <v>49</v>
      </c>
      <c r="C4" s="310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1971</v>
      </c>
      <c r="B6" s="168" t="s">
        <v>49</v>
      </c>
      <c r="C6" s="169" t="s">
        <v>1329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2311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2308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2309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1122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1167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1193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1122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1130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1" t="s">
        <v>87</v>
      </c>
      <c r="C28" s="312"/>
      <c r="D28" s="312"/>
      <c r="E28" s="313"/>
      <c r="F28" s="312"/>
      <c r="G28" s="31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7.399999999999999" zeroHeight="1"/>
  <cols>
    <col min="1" max="14" width="9" customWidth="1"/>
    <col min="15" max="15" width="7.1992187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17" t="s">
        <v>1554</v>
      </c>
      <c r="F6" s="317"/>
      <c r="G6" s="317"/>
      <c r="H6" s="317"/>
      <c r="I6" s="317"/>
      <c r="J6" s="317"/>
      <c r="K6" s="317"/>
    </row>
    <row r="7" spans="5:11"/>
    <row r="8" spans="5:11"/>
    <row r="9" spans="5:11">
      <c r="G9" s="314"/>
      <c r="H9" s="314"/>
      <c r="I9" s="314"/>
      <c r="J9" s="314"/>
    </row>
    <row r="10" spans="5:11" ht="33" customHeight="1">
      <c r="F10" s="116"/>
      <c r="G10" s="315"/>
      <c r="H10" s="316"/>
      <c r="I10" s="316"/>
      <c r="J10" s="316"/>
    </row>
    <row r="11" spans="5:11"/>
    <row r="12" spans="5:11" ht="32.25" customHeight="1">
      <c r="F12" s="117"/>
      <c r="G12" s="315" t="s">
        <v>1555</v>
      </c>
      <c r="H12" s="316"/>
      <c r="I12" s="316"/>
      <c r="J12" s="31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7.399999999999999"/>
  <cols>
    <col min="1" max="1" width="2.8984375" customWidth="1"/>
    <col min="2" max="2" width="5.19921875" bestFit="1" customWidth="1"/>
    <col min="3" max="3" width="2.5" customWidth="1"/>
    <col min="4" max="4" width="2.3984375" customWidth="1"/>
    <col min="5" max="5" width="6.19921875" customWidth="1"/>
    <col min="6" max="6" width="5.8984375" customWidth="1"/>
    <col min="7" max="7" width="6.5" customWidth="1"/>
    <col min="8" max="8" width="4.09765625" customWidth="1"/>
    <col min="9" max="9" width="1.699218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69921875" customWidth="1"/>
    <col min="16" max="16" width="4.09765625" customWidth="1"/>
    <col min="17" max="17" width="3.3984375" customWidth="1"/>
    <col min="18" max="18" width="4" customWidth="1"/>
    <col min="19" max="19" width="8" customWidth="1"/>
    <col min="20" max="20" width="4.5" customWidth="1"/>
    <col min="21" max="21" width="9.09765625" customWidth="1"/>
  </cols>
  <sheetData>
    <row r="1" spans="1:21" ht="24" customHeight="1" thickBot="1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1194</v>
      </c>
      <c r="R1" s="320"/>
      <c r="S1" s="321" t="s">
        <v>4282</v>
      </c>
      <c r="T1" s="321"/>
      <c r="U1" s="322"/>
    </row>
    <row r="2" spans="1:21">
      <c r="A2" s="323" t="s">
        <v>65</v>
      </c>
      <c r="B2" s="324"/>
      <c r="C2" s="325" t="s">
        <v>2219</v>
      </c>
      <c r="D2" s="326"/>
      <c r="E2" s="326"/>
      <c r="F2" s="326"/>
      <c r="G2" s="327"/>
      <c r="H2" s="325" t="s">
        <v>77</v>
      </c>
      <c r="I2" s="326"/>
      <c r="J2" s="326"/>
      <c r="K2" s="326"/>
      <c r="L2" s="326"/>
      <c r="M2" s="326"/>
      <c r="N2" s="326"/>
      <c r="O2" s="327"/>
      <c r="P2" s="328" t="s">
        <v>63</v>
      </c>
      <c r="Q2" s="329"/>
      <c r="R2" s="329"/>
      <c r="S2" s="324"/>
      <c r="T2" s="330">
        <v>46042</v>
      </c>
      <c r="U2" s="331"/>
    </row>
    <row r="3" spans="1:21" ht="24.9" customHeight="1">
      <c r="A3" s="341" t="s">
        <v>1164</v>
      </c>
      <c r="B3" s="37" t="s">
        <v>59</v>
      </c>
      <c r="C3" s="344" t="s">
        <v>3617</v>
      </c>
      <c r="D3" s="345"/>
      <c r="E3" s="345"/>
      <c r="F3" s="345"/>
      <c r="G3" s="345"/>
      <c r="H3" s="345"/>
      <c r="I3" s="345"/>
      <c r="J3" s="346"/>
      <c r="K3" s="347" t="s">
        <v>1165</v>
      </c>
      <c r="L3" s="37" t="s">
        <v>59</v>
      </c>
      <c r="M3" s="350" t="s">
        <v>964</v>
      </c>
      <c r="N3" s="351"/>
      <c r="O3" s="351"/>
      <c r="P3" s="351"/>
      <c r="Q3" s="351"/>
      <c r="R3" s="351"/>
      <c r="S3" s="351"/>
      <c r="T3" s="351"/>
      <c r="U3" s="352"/>
    </row>
    <row r="4" spans="1:21" ht="24.9" customHeight="1">
      <c r="A4" s="342"/>
      <c r="B4" s="37" t="s">
        <v>61</v>
      </c>
      <c r="C4" s="353"/>
      <c r="D4" s="354"/>
      <c r="E4" s="354"/>
      <c r="F4" s="354"/>
      <c r="G4" s="354"/>
      <c r="H4" s="354"/>
      <c r="I4" s="354"/>
      <c r="J4" s="355"/>
      <c r="K4" s="348"/>
      <c r="L4" s="37" t="s">
        <v>61</v>
      </c>
      <c r="M4" s="332" t="s">
        <v>962</v>
      </c>
      <c r="N4" s="333"/>
      <c r="O4" s="333"/>
      <c r="P4" s="333"/>
      <c r="Q4" s="333"/>
      <c r="R4" s="334"/>
      <c r="S4" s="38" t="s">
        <v>62</v>
      </c>
      <c r="T4" s="332" t="s">
        <v>73</v>
      </c>
      <c r="U4" s="335"/>
    </row>
    <row r="5" spans="1:21" ht="24.9" customHeight="1">
      <c r="A5" s="342"/>
      <c r="B5" s="38" t="s">
        <v>10</v>
      </c>
      <c r="C5" s="332" t="s">
        <v>3619</v>
      </c>
      <c r="D5" s="333"/>
      <c r="E5" s="333"/>
      <c r="F5" s="333"/>
      <c r="G5" s="333"/>
      <c r="H5" s="333"/>
      <c r="I5" s="333"/>
      <c r="J5" s="334"/>
      <c r="K5" s="348"/>
      <c r="L5" s="38" t="s">
        <v>10</v>
      </c>
      <c r="M5" s="332" t="s">
        <v>74</v>
      </c>
      <c r="N5" s="333"/>
      <c r="O5" s="333"/>
      <c r="P5" s="333"/>
      <c r="Q5" s="333"/>
      <c r="R5" s="333"/>
      <c r="S5" s="333"/>
      <c r="T5" s="333"/>
      <c r="U5" s="335"/>
    </row>
    <row r="6" spans="1:21" ht="24.9" customHeight="1">
      <c r="A6" s="343"/>
      <c r="B6" s="38" t="s">
        <v>75</v>
      </c>
      <c r="C6" s="332" t="s">
        <v>3618</v>
      </c>
      <c r="D6" s="333"/>
      <c r="E6" s="333"/>
      <c r="F6" s="333"/>
      <c r="G6" s="333"/>
      <c r="H6" s="333"/>
      <c r="I6" s="333"/>
      <c r="J6" s="334"/>
      <c r="K6" s="349"/>
      <c r="L6" s="38" t="s">
        <v>75</v>
      </c>
      <c r="M6" s="332" t="s">
        <v>66</v>
      </c>
      <c r="N6" s="333"/>
      <c r="O6" s="333"/>
      <c r="P6" s="333"/>
      <c r="Q6" s="333"/>
      <c r="R6" s="334"/>
      <c r="S6" s="38" t="s">
        <v>22</v>
      </c>
      <c r="T6" s="332" t="s">
        <v>4283</v>
      </c>
      <c r="U6" s="335"/>
    </row>
    <row r="7" spans="1:21" ht="15.75" customHeight="1">
      <c r="A7" s="336" t="s">
        <v>70</v>
      </c>
      <c r="B7" s="337"/>
      <c r="C7" s="337"/>
      <c r="D7" s="337"/>
      <c r="E7" s="338"/>
      <c r="F7" s="339" t="s">
        <v>44</v>
      </c>
      <c r="G7" s="337"/>
      <c r="H7" s="337"/>
      <c r="I7" s="338"/>
      <c r="J7" s="339" t="s">
        <v>42</v>
      </c>
      <c r="K7" s="337"/>
      <c r="L7" s="337"/>
      <c r="M7" s="337"/>
      <c r="N7" s="338"/>
      <c r="O7" s="337" t="s">
        <v>50</v>
      </c>
      <c r="P7" s="338"/>
      <c r="Q7" s="339" t="s">
        <v>69</v>
      </c>
      <c r="R7" s="337"/>
      <c r="S7" s="338"/>
      <c r="T7" s="339" t="s">
        <v>68</v>
      </c>
      <c r="U7" s="340"/>
    </row>
    <row r="8" spans="1:21" ht="15.6" customHeight="1">
      <c r="A8" s="365" t="s">
        <v>1215</v>
      </c>
      <c r="B8" s="366"/>
      <c r="C8" s="366"/>
      <c r="D8" s="366"/>
      <c r="E8" s="367"/>
      <c r="F8" s="368" t="s">
        <v>2158</v>
      </c>
      <c r="G8" s="369"/>
      <c r="H8" s="369"/>
      <c r="I8" s="370"/>
      <c r="J8" s="376">
        <v>1200000</v>
      </c>
      <c r="K8" s="376"/>
      <c r="L8" s="376"/>
      <c r="M8" s="376"/>
      <c r="N8" s="376"/>
      <c r="O8" s="377">
        <v>1</v>
      </c>
      <c r="P8" s="377"/>
      <c r="Q8" s="371"/>
      <c r="R8" s="372"/>
      <c r="S8" s="373"/>
      <c r="T8" s="374">
        <v>1200000</v>
      </c>
      <c r="U8" s="375"/>
    </row>
    <row r="9" spans="1:21" ht="15.6" customHeight="1">
      <c r="A9" s="356"/>
      <c r="B9" s="357"/>
      <c r="C9" s="357"/>
      <c r="D9" s="357"/>
      <c r="E9" s="358"/>
      <c r="F9" s="359"/>
      <c r="G9" s="357"/>
      <c r="H9" s="357"/>
      <c r="I9" s="358"/>
      <c r="J9" s="378"/>
      <c r="K9" s="378"/>
      <c r="L9" s="378"/>
      <c r="M9" s="378"/>
      <c r="N9" s="378"/>
      <c r="O9" s="379"/>
      <c r="P9" s="379"/>
      <c r="Q9" s="360"/>
      <c r="R9" s="361"/>
      <c r="S9" s="362"/>
      <c r="T9" s="363"/>
      <c r="U9" s="364"/>
    </row>
    <row r="10" spans="1:21" ht="15.6" customHeight="1">
      <c r="A10" s="356"/>
      <c r="B10" s="357"/>
      <c r="C10" s="357"/>
      <c r="D10" s="357"/>
      <c r="E10" s="358"/>
      <c r="F10" s="359"/>
      <c r="G10" s="357"/>
      <c r="H10" s="357"/>
      <c r="I10" s="358"/>
      <c r="J10" s="378"/>
      <c r="K10" s="378"/>
      <c r="L10" s="378"/>
      <c r="M10" s="378"/>
      <c r="N10" s="378"/>
      <c r="O10" s="379"/>
      <c r="P10" s="379"/>
      <c r="Q10" s="360"/>
      <c r="R10" s="361"/>
      <c r="S10" s="362"/>
      <c r="T10" s="363"/>
      <c r="U10" s="364"/>
    </row>
    <row r="11" spans="1:21" ht="15.6" customHeight="1">
      <c r="A11" s="356"/>
      <c r="B11" s="357"/>
      <c r="C11" s="357"/>
      <c r="D11" s="357"/>
      <c r="E11" s="358"/>
      <c r="F11" s="359"/>
      <c r="G11" s="357"/>
      <c r="H11" s="357"/>
      <c r="I11" s="358"/>
      <c r="J11" s="378"/>
      <c r="K11" s="378"/>
      <c r="L11" s="378"/>
      <c r="M11" s="378"/>
      <c r="N11" s="378"/>
      <c r="O11" s="379"/>
      <c r="P11" s="379"/>
      <c r="Q11" s="360"/>
      <c r="R11" s="361"/>
      <c r="S11" s="362"/>
      <c r="T11" s="363"/>
      <c r="U11" s="364"/>
    </row>
    <row r="12" spans="1:21" ht="15.6" customHeight="1">
      <c r="A12" s="356"/>
      <c r="B12" s="357"/>
      <c r="C12" s="357"/>
      <c r="D12" s="357"/>
      <c r="E12" s="358"/>
      <c r="F12" s="359"/>
      <c r="G12" s="357"/>
      <c r="H12" s="357"/>
      <c r="I12" s="358"/>
      <c r="J12" s="378"/>
      <c r="K12" s="378"/>
      <c r="L12" s="378"/>
      <c r="M12" s="378"/>
      <c r="N12" s="378"/>
      <c r="O12" s="379"/>
      <c r="P12" s="379"/>
      <c r="Q12" s="360"/>
      <c r="R12" s="361"/>
      <c r="S12" s="362"/>
      <c r="T12" s="363"/>
      <c r="U12" s="364"/>
    </row>
    <row r="13" spans="1:21" ht="15.6" customHeight="1">
      <c r="A13" s="356"/>
      <c r="B13" s="357"/>
      <c r="C13" s="357"/>
      <c r="D13" s="357"/>
      <c r="E13" s="358"/>
      <c r="F13" s="359"/>
      <c r="G13" s="357"/>
      <c r="H13" s="357"/>
      <c r="I13" s="358"/>
      <c r="J13" s="378"/>
      <c r="K13" s="378"/>
      <c r="L13" s="378"/>
      <c r="M13" s="378"/>
      <c r="N13" s="378"/>
      <c r="O13" s="379"/>
      <c r="P13" s="379"/>
      <c r="Q13" s="360"/>
      <c r="R13" s="361"/>
      <c r="S13" s="362"/>
      <c r="T13" s="363"/>
      <c r="U13" s="364"/>
    </row>
    <row r="14" spans="1:21" ht="15.6" customHeight="1">
      <c r="A14" s="356"/>
      <c r="B14" s="357"/>
      <c r="C14" s="357"/>
      <c r="D14" s="357"/>
      <c r="E14" s="358"/>
      <c r="F14" s="359"/>
      <c r="G14" s="357"/>
      <c r="H14" s="357"/>
      <c r="I14" s="358"/>
      <c r="J14" s="378"/>
      <c r="K14" s="378"/>
      <c r="L14" s="378"/>
      <c r="M14" s="378"/>
      <c r="N14" s="378"/>
      <c r="O14" s="379"/>
      <c r="P14" s="379"/>
      <c r="Q14" s="360"/>
      <c r="R14" s="361"/>
      <c r="S14" s="362"/>
      <c r="T14" s="363"/>
      <c r="U14" s="364"/>
    </row>
    <row r="15" spans="1:21" ht="15.6" customHeight="1" thickBot="1">
      <c r="A15" s="380"/>
      <c r="B15" s="381"/>
      <c r="C15" s="381"/>
      <c r="D15" s="381"/>
      <c r="E15" s="382"/>
      <c r="F15" s="383"/>
      <c r="G15" s="381"/>
      <c r="H15" s="381"/>
      <c r="I15" s="382"/>
      <c r="J15" s="389"/>
      <c r="K15" s="389"/>
      <c r="L15" s="389"/>
      <c r="M15" s="389"/>
      <c r="N15" s="389"/>
      <c r="O15" s="390"/>
      <c r="P15" s="390"/>
      <c r="Q15" s="384"/>
      <c r="R15" s="385"/>
      <c r="S15" s="386"/>
      <c r="T15" s="387"/>
      <c r="U15" s="388"/>
    </row>
    <row r="16" spans="1:21" ht="15" customHeight="1" thickTop="1">
      <c r="A16" s="391" t="s">
        <v>2313</v>
      </c>
      <c r="B16" s="392"/>
      <c r="C16" s="392"/>
      <c r="D16" s="392"/>
      <c r="E16" s="393"/>
      <c r="F16" s="400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1"/>
      <c r="R16" s="401"/>
      <c r="S16" s="401"/>
      <c r="T16" s="401"/>
      <c r="U16" s="402"/>
    </row>
    <row r="17" spans="1:21" ht="15" customHeight="1">
      <c r="A17" s="394"/>
      <c r="B17" s="395"/>
      <c r="C17" s="395"/>
      <c r="D17" s="395"/>
      <c r="E17" s="396"/>
      <c r="F17" s="403"/>
      <c r="G17" s="404"/>
      <c r="H17" s="404"/>
      <c r="I17" s="404"/>
      <c r="J17" s="404"/>
      <c r="K17" s="404"/>
      <c r="L17" s="404"/>
      <c r="M17" s="404"/>
      <c r="N17" s="404"/>
      <c r="O17" s="404"/>
      <c r="P17" s="404"/>
      <c r="Q17" s="404"/>
      <c r="R17" s="404"/>
      <c r="S17" s="404"/>
      <c r="T17" s="404"/>
      <c r="U17" s="405"/>
    </row>
    <row r="18" spans="1:21" ht="15" customHeight="1">
      <c r="A18" s="394"/>
      <c r="B18" s="395"/>
      <c r="C18" s="395"/>
      <c r="D18" s="395"/>
      <c r="E18" s="396"/>
      <c r="F18" s="403"/>
      <c r="G18" s="404"/>
      <c r="H18" s="404"/>
      <c r="I18" s="404"/>
      <c r="J18" s="404"/>
      <c r="K18" s="404"/>
      <c r="L18" s="404"/>
      <c r="M18" s="404"/>
      <c r="N18" s="404"/>
      <c r="O18" s="404"/>
      <c r="P18" s="404"/>
      <c r="Q18" s="404"/>
      <c r="R18" s="404"/>
      <c r="S18" s="404"/>
      <c r="T18" s="404"/>
      <c r="U18" s="405"/>
    </row>
    <row r="19" spans="1:21" ht="15" customHeight="1">
      <c r="A19" s="397"/>
      <c r="B19" s="398"/>
      <c r="C19" s="398"/>
      <c r="D19" s="398"/>
      <c r="E19" s="399"/>
      <c r="F19" s="406"/>
      <c r="G19" s="407"/>
      <c r="H19" s="407"/>
      <c r="I19" s="407"/>
      <c r="J19" s="407"/>
      <c r="K19" s="407"/>
      <c r="L19" s="407"/>
      <c r="M19" s="407"/>
      <c r="N19" s="407"/>
      <c r="O19" s="407"/>
      <c r="P19" s="407"/>
      <c r="Q19" s="407"/>
      <c r="R19" s="407"/>
      <c r="S19" s="407"/>
      <c r="T19" s="407"/>
      <c r="U19" s="408"/>
    </row>
    <row r="20" spans="1:21" ht="20.100000000000001" customHeight="1">
      <c r="A20" s="336" t="s">
        <v>80</v>
      </c>
      <c r="B20" s="337"/>
      <c r="C20" s="337"/>
      <c r="D20" s="337"/>
      <c r="E20" s="337"/>
      <c r="F20" s="415">
        <v>-9.9999999627470998E-2</v>
      </c>
      <c r="G20" s="415"/>
      <c r="H20" s="415"/>
      <c r="I20" s="416"/>
      <c r="J20" s="411">
        <f>SUM(J8:N19)</f>
        <v>1200000</v>
      </c>
      <c r="K20" s="412"/>
      <c r="L20" s="412"/>
      <c r="M20" s="412"/>
      <c r="N20" s="413"/>
      <c r="O20" s="449">
        <f>SUM(O8:P19)</f>
        <v>1</v>
      </c>
      <c r="P20" s="449"/>
      <c r="Q20" s="414">
        <f>SUM(Q8:S19)</f>
        <v>0</v>
      </c>
      <c r="R20" s="415"/>
      <c r="S20" s="416"/>
      <c r="T20" s="415">
        <f>SUM(T8:U15)</f>
        <v>1200000</v>
      </c>
      <c r="U20" s="417"/>
    </row>
    <row r="21" spans="1:21" ht="20.100000000000001" customHeight="1" thickBot="1">
      <c r="A21" s="439" t="s">
        <v>90</v>
      </c>
      <c r="B21" s="440"/>
      <c r="C21" s="440"/>
      <c r="D21" s="440"/>
      <c r="E21" s="440"/>
      <c r="F21" s="441">
        <f>F20+T20</f>
        <v>1199999.9000000004</v>
      </c>
      <c r="G21" s="441"/>
      <c r="H21" s="441"/>
      <c r="I21" s="442"/>
      <c r="J21" s="443" t="s">
        <v>965</v>
      </c>
      <c r="K21" s="440"/>
      <c r="L21" s="409" t="str">
        <f>T4</f>
        <v>장효주</v>
      </c>
      <c r="M21" s="409"/>
      <c r="N21" s="409"/>
      <c r="O21" s="443" t="s">
        <v>64</v>
      </c>
      <c r="P21" s="440"/>
      <c r="Q21" s="409" t="str">
        <f>C3</f>
        <v>119모터스(화성)</v>
      </c>
      <c r="R21" s="409"/>
      <c r="S21" s="409"/>
      <c r="T21" s="409"/>
      <c r="U21" s="410"/>
    </row>
    <row r="22" spans="1:21" ht="20.100000000000001" customHeight="1">
      <c r="A22" s="450" t="s">
        <v>4285</v>
      </c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20.100000000000001" customHeight="1" thickBot="1">
      <c r="A23" s="451"/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1"/>
      <c r="S23" s="451"/>
      <c r="T23" s="451"/>
      <c r="U23" s="451"/>
    </row>
    <row r="24" spans="1:21" ht="24" customHeight="1" thickBot="1">
      <c r="A24" s="318"/>
      <c r="B24" s="319"/>
      <c r="C24" s="319"/>
      <c r="D24" s="319"/>
      <c r="E24" s="319"/>
      <c r="F24" s="319"/>
      <c r="G24" s="319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0" t="s">
        <v>1194</v>
      </c>
      <c r="R24" s="320"/>
      <c r="S24" s="452" t="str">
        <f>S1</f>
        <v>WVWVWVWVW</v>
      </c>
      <c r="T24" s="452"/>
      <c r="U24" s="453"/>
    </row>
    <row r="25" spans="1:21">
      <c r="A25" s="323" t="s">
        <v>65</v>
      </c>
      <c r="B25" s="324"/>
      <c r="C25" s="325" t="str">
        <f>C2</f>
        <v>카카오뱅크 3333181865047</v>
      </c>
      <c r="D25" s="326"/>
      <c r="E25" s="326"/>
      <c r="F25" s="326"/>
      <c r="G25" s="327"/>
      <c r="H25" s="325" t="s">
        <v>76</v>
      </c>
      <c r="I25" s="326"/>
      <c r="J25" s="326"/>
      <c r="K25" s="326"/>
      <c r="L25" s="326"/>
      <c r="M25" s="326"/>
      <c r="N25" s="326"/>
      <c r="O25" s="327"/>
      <c r="P25" s="328" t="s">
        <v>63</v>
      </c>
      <c r="Q25" s="329"/>
      <c r="R25" s="329"/>
      <c r="S25" s="324"/>
      <c r="T25" s="330">
        <f>T2</f>
        <v>46042</v>
      </c>
      <c r="U25" s="331"/>
    </row>
    <row r="26" spans="1:21" ht="24.9" customHeight="1">
      <c r="A26" s="341" t="s">
        <v>1164</v>
      </c>
      <c r="B26" s="37" t="s">
        <v>59</v>
      </c>
      <c r="C26" s="344" t="str">
        <f>C3</f>
        <v>119모터스(화성)</v>
      </c>
      <c r="D26" s="345"/>
      <c r="E26" s="345"/>
      <c r="F26" s="345"/>
      <c r="G26" s="345"/>
      <c r="H26" s="345"/>
      <c r="I26" s="345"/>
      <c r="J26" s="346"/>
      <c r="K26" s="347" t="s">
        <v>1165</v>
      </c>
      <c r="L26" s="37" t="s">
        <v>59</v>
      </c>
      <c r="M26" s="350" t="s">
        <v>964</v>
      </c>
      <c r="N26" s="351"/>
      <c r="O26" s="351"/>
      <c r="P26" s="351"/>
      <c r="Q26" s="351"/>
      <c r="R26" s="351"/>
      <c r="S26" s="351"/>
      <c r="T26" s="351"/>
      <c r="U26" s="352"/>
    </row>
    <row r="27" spans="1:21" ht="24.9" customHeight="1">
      <c r="A27" s="342"/>
      <c r="B27" s="37" t="s">
        <v>61</v>
      </c>
      <c r="C27" s="418">
        <f>C4</f>
        <v>0</v>
      </c>
      <c r="D27" s="419"/>
      <c r="E27" s="419"/>
      <c r="F27" s="419"/>
      <c r="G27" s="419"/>
      <c r="H27" s="419"/>
      <c r="I27" s="419"/>
      <c r="J27" s="420"/>
      <c r="K27" s="348"/>
      <c r="L27" s="37" t="s">
        <v>61</v>
      </c>
      <c r="M27" s="332" t="s">
        <v>962</v>
      </c>
      <c r="N27" s="333"/>
      <c r="O27" s="333"/>
      <c r="P27" s="333"/>
      <c r="Q27" s="333"/>
      <c r="R27" s="334"/>
      <c r="S27" s="38" t="s">
        <v>62</v>
      </c>
      <c r="T27" s="332" t="s">
        <v>73</v>
      </c>
      <c r="U27" s="335"/>
    </row>
    <row r="28" spans="1:21" ht="24.9" customHeight="1">
      <c r="A28" s="342"/>
      <c r="B28" s="38" t="s">
        <v>10</v>
      </c>
      <c r="C28" s="332" t="str">
        <f>C5</f>
        <v>경기도 화성시 향남읍 두물안길2</v>
      </c>
      <c r="D28" s="333"/>
      <c r="E28" s="333"/>
      <c r="F28" s="333"/>
      <c r="G28" s="333"/>
      <c r="H28" s="333"/>
      <c r="I28" s="333"/>
      <c r="J28" s="334"/>
      <c r="K28" s="348"/>
      <c r="L28" s="38" t="s">
        <v>10</v>
      </c>
      <c r="M28" s="332" t="s">
        <v>74</v>
      </c>
      <c r="N28" s="333"/>
      <c r="O28" s="333"/>
      <c r="P28" s="333"/>
      <c r="Q28" s="333"/>
      <c r="R28" s="333"/>
      <c r="S28" s="333"/>
      <c r="T28" s="333"/>
      <c r="U28" s="335"/>
    </row>
    <row r="29" spans="1:21" ht="24.9" customHeight="1">
      <c r="A29" s="343"/>
      <c r="B29" s="38" t="s">
        <v>75</v>
      </c>
      <c r="C29" s="332" t="str">
        <f>C6</f>
        <v>010-5511-5207</v>
      </c>
      <c r="D29" s="333"/>
      <c r="E29" s="333"/>
      <c r="F29" s="333"/>
      <c r="G29" s="333"/>
      <c r="H29" s="333"/>
      <c r="I29" s="333"/>
      <c r="J29" s="334"/>
      <c r="K29" s="349"/>
      <c r="L29" s="38" t="s">
        <v>75</v>
      </c>
      <c r="M29" s="332" t="s">
        <v>66</v>
      </c>
      <c r="N29" s="333"/>
      <c r="O29" s="333"/>
      <c r="P29" s="333"/>
      <c r="Q29" s="333"/>
      <c r="R29" s="334"/>
      <c r="S29" s="38" t="s">
        <v>22</v>
      </c>
      <c r="T29" s="332" t="str">
        <f>T6</f>
        <v>오류코드없음</v>
      </c>
      <c r="U29" s="335"/>
    </row>
    <row r="30" spans="1:21" ht="15.6" customHeight="1">
      <c r="A30" s="336" t="s">
        <v>70</v>
      </c>
      <c r="B30" s="337"/>
      <c r="C30" s="337"/>
      <c r="D30" s="337"/>
      <c r="E30" s="338"/>
      <c r="F30" s="339" t="s">
        <v>44</v>
      </c>
      <c r="G30" s="337"/>
      <c r="H30" s="337"/>
      <c r="I30" s="338"/>
      <c r="J30" s="339" t="s">
        <v>42</v>
      </c>
      <c r="K30" s="337"/>
      <c r="L30" s="337"/>
      <c r="M30" s="337"/>
      <c r="N30" s="338"/>
      <c r="O30" s="337" t="s">
        <v>50</v>
      </c>
      <c r="P30" s="338"/>
      <c r="Q30" s="339" t="s">
        <v>69</v>
      </c>
      <c r="R30" s="337"/>
      <c r="S30" s="338"/>
      <c r="T30" s="339" t="s">
        <v>68</v>
      </c>
      <c r="U30" s="340"/>
    </row>
    <row r="31" spans="1:21" ht="15.6" customHeight="1">
      <c r="A31" s="426" t="str">
        <f>A8</f>
        <v>VGSNAG3</v>
      </c>
      <c r="B31" s="427"/>
      <c r="C31" s="427"/>
      <c r="D31" s="427"/>
      <c r="E31" s="427"/>
      <c r="F31" s="427" t="str">
        <f>F8</f>
        <v>A7252709011-1</v>
      </c>
      <c r="G31" s="427"/>
      <c r="H31" s="427"/>
      <c r="I31" s="427"/>
      <c r="J31" s="431">
        <f>J8</f>
        <v>1200000</v>
      </c>
      <c r="K31" s="431"/>
      <c r="L31" s="431"/>
      <c r="M31" s="431"/>
      <c r="N31" s="431"/>
      <c r="O31" s="431">
        <f>O8</f>
        <v>1</v>
      </c>
      <c r="P31" s="431"/>
      <c r="Q31" s="428">
        <f>Q8</f>
        <v>0</v>
      </c>
      <c r="R31" s="428"/>
      <c r="S31" s="428"/>
      <c r="T31" s="429">
        <f>T8</f>
        <v>1200000</v>
      </c>
      <c r="U31" s="430"/>
    </row>
    <row r="32" spans="1:21" ht="15.6" customHeight="1">
      <c r="A32" s="421">
        <f t="shared" ref="A32:A38" si="0">A9</f>
        <v>0</v>
      </c>
      <c r="B32" s="422"/>
      <c r="C32" s="422"/>
      <c r="D32" s="422"/>
      <c r="E32" s="422"/>
      <c r="F32" s="422">
        <f t="shared" ref="F32:F38" si="1">F9</f>
        <v>0</v>
      </c>
      <c r="G32" s="422"/>
      <c r="H32" s="422"/>
      <c r="I32" s="422"/>
      <c r="J32" s="432">
        <f t="shared" ref="J32:J38" si="2">J9</f>
        <v>0</v>
      </c>
      <c r="K32" s="432"/>
      <c r="L32" s="432"/>
      <c r="M32" s="432"/>
      <c r="N32" s="432"/>
      <c r="O32" s="432">
        <f t="shared" ref="O32:O38" si="3">O9</f>
        <v>0</v>
      </c>
      <c r="P32" s="432"/>
      <c r="Q32" s="423">
        <f t="shared" ref="Q32:Q38" si="4">Q9</f>
        <v>0</v>
      </c>
      <c r="R32" s="423"/>
      <c r="S32" s="423"/>
      <c r="T32" s="424">
        <f t="shared" ref="T32:T38" si="5">T9</f>
        <v>0</v>
      </c>
      <c r="U32" s="425"/>
    </row>
    <row r="33" spans="1:21" ht="15.6" customHeight="1">
      <c r="A33" s="421">
        <f t="shared" si="0"/>
        <v>0</v>
      </c>
      <c r="B33" s="422"/>
      <c r="C33" s="422"/>
      <c r="D33" s="422"/>
      <c r="E33" s="422"/>
      <c r="F33" s="422">
        <f t="shared" si="1"/>
        <v>0</v>
      </c>
      <c r="G33" s="422"/>
      <c r="H33" s="422"/>
      <c r="I33" s="422"/>
      <c r="J33" s="432">
        <f t="shared" si="2"/>
        <v>0</v>
      </c>
      <c r="K33" s="432"/>
      <c r="L33" s="432"/>
      <c r="M33" s="432"/>
      <c r="N33" s="432"/>
      <c r="O33" s="432">
        <f t="shared" si="3"/>
        <v>0</v>
      </c>
      <c r="P33" s="432"/>
      <c r="Q33" s="423">
        <f t="shared" si="4"/>
        <v>0</v>
      </c>
      <c r="R33" s="423"/>
      <c r="S33" s="423"/>
      <c r="T33" s="424">
        <f t="shared" si="5"/>
        <v>0</v>
      </c>
      <c r="U33" s="425"/>
    </row>
    <row r="34" spans="1:21" ht="15.6" customHeight="1">
      <c r="A34" s="421">
        <f t="shared" si="0"/>
        <v>0</v>
      </c>
      <c r="B34" s="422"/>
      <c r="C34" s="422"/>
      <c r="D34" s="422"/>
      <c r="E34" s="422"/>
      <c r="F34" s="422">
        <f t="shared" si="1"/>
        <v>0</v>
      </c>
      <c r="G34" s="422"/>
      <c r="H34" s="422"/>
      <c r="I34" s="422"/>
      <c r="J34" s="432">
        <f t="shared" si="2"/>
        <v>0</v>
      </c>
      <c r="K34" s="432"/>
      <c r="L34" s="432"/>
      <c r="M34" s="432"/>
      <c r="N34" s="432"/>
      <c r="O34" s="432">
        <f t="shared" si="3"/>
        <v>0</v>
      </c>
      <c r="P34" s="432"/>
      <c r="Q34" s="423">
        <f t="shared" si="4"/>
        <v>0</v>
      </c>
      <c r="R34" s="423"/>
      <c r="S34" s="423"/>
      <c r="T34" s="424">
        <f t="shared" si="5"/>
        <v>0</v>
      </c>
      <c r="U34" s="425"/>
    </row>
    <row r="35" spans="1:21" ht="15.6" customHeight="1">
      <c r="A35" s="421">
        <f t="shared" si="0"/>
        <v>0</v>
      </c>
      <c r="B35" s="422"/>
      <c r="C35" s="422"/>
      <c r="D35" s="422"/>
      <c r="E35" s="422"/>
      <c r="F35" s="422">
        <f t="shared" si="1"/>
        <v>0</v>
      </c>
      <c r="G35" s="422"/>
      <c r="H35" s="422"/>
      <c r="I35" s="422"/>
      <c r="J35" s="432">
        <f t="shared" si="2"/>
        <v>0</v>
      </c>
      <c r="K35" s="432"/>
      <c r="L35" s="432"/>
      <c r="M35" s="432"/>
      <c r="N35" s="432"/>
      <c r="O35" s="432">
        <f t="shared" si="3"/>
        <v>0</v>
      </c>
      <c r="P35" s="432"/>
      <c r="Q35" s="423">
        <f t="shared" si="4"/>
        <v>0</v>
      </c>
      <c r="R35" s="423"/>
      <c r="S35" s="423"/>
      <c r="T35" s="424">
        <f t="shared" si="5"/>
        <v>0</v>
      </c>
      <c r="U35" s="425"/>
    </row>
    <row r="36" spans="1:21" ht="15.6" customHeight="1">
      <c r="A36" s="421">
        <f t="shared" si="0"/>
        <v>0</v>
      </c>
      <c r="B36" s="422"/>
      <c r="C36" s="422"/>
      <c r="D36" s="422"/>
      <c r="E36" s="422"/>
      <c r="F36" s="422">
        <f t="shared" si="1"/>
        <v>0</v>
      </c>
      <c r="G36" s="422"/>
      <c r="H36" s="422"/>
      <c r="I36" s="422"/>
      <c r="J36" s="432">
        <f t="shared" si="2"/>
        <v>0</v>
      </c>
      <c r="K36" s="432"/>
      <c r="L36" s="432"/>
      <c r="M36" s="432"/>
      <c r="N36" s="432"/>
      <c r="O36" s="432">
        <f t="shared" si="3"/>
        <v>0</v>
      </c>
      <c r="P36" s="432"/>
      <c r="Q36" s="423">
        <f t="shared" si="4"/>
        <v>0</v>
      </c>
      <c r="R36" s="423"/>
      <c r="S36" s="423"/>
      <c r="T36" s="424">
        <f t="shared" si="5"/>
        <v>0</v>
      </c>
      <c r="U36" s="425"/>
    </row>
    <row r="37" spans="1:21" ht="15.6" customHeight="1">
      <c r="A37" s="421">
        <f t="shared" si="0"/>
        <v>0</v>
      </c>
      <c r="B37" s="422"/>
      <c r="C37" s="422"/>
      <c r="D37" s="422"/>
      <c r="E37" s="422"/>
      <c r="F37" s="422">
        <f t="shared" si="1"/>
        <v>0</v>
      </c>
      <c r="G37" s="422"/>
      <c r="H37" s="422"/>
      <c r="I37" s="422"/>
      <c r="J37" s="432">
        <f t="shared" si="2"/>
        <v>0</v>
      </c>
      <c r="K37" s="432"/>
      <c r="L37" s="432"/>
      <c r="M37" s="432"/>
      <c r="N37" s="432"/>
      <c r="O37" s="432">
        <f t="shared" si="3"/>
        <v>0</v>
      </c>
      <c r="P37" s="432"/>
      <c r="Q37" s="423">
        <f t="shared" si="4"/>
        <v>0</v>
      </c>
      <c r="R37" s="423"/>
      <c r="S37" s="423"/>
      <c r="T37" s="424">
        <f t="shared" si="5"/>
        <v>0</v>
      </c>
      <c r="U37" s="425"/>
    </row>
    <row r="38" spans="1:21" ht="15.6" customHeight="1" thickBot="1">
      <c r="A38" s="433">
        <f t="shared" si="0"/>
        <v>0</v>
      </c>
      <c r="B38" s="434"/>
      <c r="C38" s="434"/>
      <c r="D38" s="434"/>
      <c r="E38" s="434"/>
      <c r="F38" s="434">
        <f t="shared" si="1"/>
        <v>0</v>
      </c>
      <c r="G38" s="434"/>
      <c r="H38" s="434"/>
      <c r="I38" s="434"/>
      <c r="J38" s="438">
        <f t="shared" si="2"/>
        <v>0</v>
      </c>
      <c r="K38" s="438"/>
      <c r="L38" s="438"/>
      <c r="M38" s="438"/>
      <c r="N38" s="438"/>
      <c r="O38" s="438">
        <f t="shared" si="3"/>
        <v>0</v>
      </c>
      <c r="P38" s="438"/>
      <c r="Q38" s="435">
        <f t="shared" si="4"/>
        <v>0</v>
      </c>
      <c r="R38" s="435"/>
      <c r="S38" s="435"/>
      <c r="T38" s="436">
        <f t="shared" si="5"/>
        <v>0</v>
      </c>
      <c r="U38" s="437"/>
    </row>
    <row r="39" spans="1:21" ht="15" customHeight="1" thickTop="1">
      <c r="A39" s="391" t="s">
        <v>2313</v>
      </c>
      <c r="B39" s="392"/>
      <c r="C39" s="392"/>
      <c r="D39" s="392"/>
      <c r="E39" s="393"/>
      <c r="F39" s="400">
        <f>F16</f>
        <v>0</v>
      </c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  <c r="R39" s="401"/>
      <c r="S39" s="401"/>
      <c r="T39" s="401"/>
      <c r="U39" s="402"/>
    </row>
    <row r="40" spans="1:21" ht="15" customHeight="1">
      <c r="A40" s="394"/>
      <c r="B40" s="395"/>
      <c r="C40" s="395"/>
      <c r="D40" s="395"/>
      <c r="E40" s="396"/>
      <c r="F40" s="403"/>
      <c r="G40" s="404"/>
      <c r="H40" s="404"/>
      <c r="I40" s="404"/>
      <c r="J40" s="404"/>
      <c r="K40" s="404"/>
      <c r="L40" s="404"/>
      <c r="M40" s="404"/>
      <c r="N40" s="404"/>
      <c r="O40" s="404"/>
      <c r="P40" s="404"/>
      <c r="Q40" s="404"/>
      <c r="R40" s="404"/>
      <c r="S40" s="404"/>
      <c r="T40" s="404"/>
      <c r="U40" s="405"/>
    </row>
    <row r="41" spans="1:21" ht="15" customHeight="1">
      <c r="A41" s="394"/>
      <c r="B41" s="395"/>
      <c r="C41" s="395"/>
      <c r="D41" s="395"/>
      <c r="E41" s="396"/>
      <c r="F41" s="403"/>
      <c r="G41" s="404"/>
      <c r="H41" s="404"/>
      <c r="I41" s="404"/>
      <c r="J41" s="404"/>
      <c r="K41" s="404"/>
      <c r="L41" s="404"/>
      <c r="M41" s="404"/>
      <c r="N41" s="404"/>
      <c r="O41" s="404"/>
      <c r="P41" s="404"/>
      <c r="Q41" s="404"/>
      <c r="R41" s="404"/>
      <c r="S41" s="404"/>
      <c r="T41" s="404"/>
      <c r="U41" s="405"/>
    </row>
    <row r="42" spans="1:21" ht="15" customHeight="1">
      <c r="A42" s="397"/>
      <c r="B42" s="398"/>
      <c r="C42" s="398"/>
      <c r="D42" s="398"/>
      <c r="E42" s="399"/>
      <c r="F42" s="406"/>
      <c r="G42" s="407"/>
      <c r="H42" s="407"/>
      <c r="I42" s="407"/>
      <c r="J42" s="407"/>
      <c r="K42" s="407"/>
      <c r="L42" s="407"/>
      <c r="M42" s="407"/>
      <c r="N42" s="407"/>
      <c r="O42" s="407"/>
      <c r="P42" s="407"/>
      <c r="Q42" s="407"/>
      <c r="R42" s="407"/>
      <c r="S42" s="407"/>
      <c r="T42" s="407"/>
      <c r="U42" s="408"/>
    </row>
    <row r="43" spans="1:21" ht="20.100000000000001" customHeight="1">
      <c r="A43" s="336" t="s">
        <v>80</v>
      </c>
      <c r="B43" s="337"/>
      <c r="C43" s="337"/>
      <c r="D43" s="337"/>
      <c r="E43" s="337"/>
      <c r="F43" s="415">
        <f>F20</f>
        <v>-9.9999999627470998E-2</v>
      </c>
      <c r="G43" s="415"/>
      <c r="H43" s="415"/>
      <c r="I43" s="416"/>
      <c r="J43" s="411">
        <f>J20</f>
        <v>1200000</v>
      </c>
      <c r="K43" s="412"/>
      <c r="L43" s="412"/>
      <c r="M43" s="412"/>
      <c r="N43" s="413"/>
      <c r="O43" s="449">
        <f>O20</f>
        <v>1</v>
      </c>
      <c r="P43" s="449"/>
      <c r="Q43" s="414">
        <f>Q20</f>
        <v>0</v>
      </c>
      <c r="R43" s="415"/>
      <c r="S43" s="415"/>
      <c r="T43" s="415">
        <f>T20</f>
        <v>1200000</v>
      </c>
      <c r="U43" s="417"/>
    </row>
    <row r="44" spans="1:21" ht="20.100000000000001" customHeight="1" thickBot="1">
      <c r="A44" s="439" t="s">
        <v>90</v>
      </c>
      <c r="B44" s="440"/>
      <c r="C44" s="440"/>
      <c r="D44" s="440"/>
      <c r="E44" s="440"/>
      <c r="F44" s="441">
        <f>F21</f>
        <v>1199999.9000000004</v>
      </c>
      <c r="G44" s="441"/>
      <c r="H44" s="441"/>
      <c r="I44" s="442"/>
      <c r="J44" s="443" t="s">
        <v>965</v>
      </c>
      <c r="K44" s="440"/>
      <c r="L44" s="444" t="str">
        <f>T27</f>
        <v>장효주</v>
      </c>
      <c r="M44" s="444"/>
      <c r="N44" s="444"/>
      <c r="O44" s="443" t="s">
        <v>64</v>
      </c>
      <c r="P44" s="445"/>
      <c r="Q44" s="446" t="str">
        <f>Q21</f>
        <v>119모터스(화성)</v>
      </c>
      <c r="R44" s="447"/>
      <c r="S44" s="447"/>
      <c r="T44" s="447"/>
      <c r="U44" s="44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K2" sqref="K2"/>
    </sheetView>
  </sheetViews>
  <sheetFormatPr defaultRowHeight="17.399999999999999"/>
  <cols>
    <col min="1" max="1" width="3.69921875" style="47" bestFit="1" customWidth="1"/>
    <col min="2" max="2" width="12.69921875" style="47" customWidth="1"/>
    <col min="3" max="3" width="18.5" style="47" customWidth="1"/>
    <col min="4" max="4" width="11.09765625" style="47" customWidth="1"/>
    <col min="5" max="5" width="19.19921875" bestFit="1" customWidth="1"/>
    <col min="6" max="6" width="14.69921875" style="282" bestFit="1" customWidth="1"/>
    <col min="7" max="7" width="15" style="299" customWidth="1"/>
    <col min="8" max="8" width="8.8984375" customWidth="1"/>
    <col min="9" max="9" width="11.3984375" customWidth="1"/>
    <col min="10" max="10" width="12.8984375" customWidth="1"/>
    <col min="11" max="11" width="16.59765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2318</v>
      </c>
      <c r="C1" s="302" t="s">
        <v>49</v>
      </c>
      <c r="D1" s="302" t="s">
        <v>36</v>
      </c>
      <c r="E1" s="303" t="s">
        <v>1</v>
      </c>
      <c r="F1" s="304" t="s">
        <v>0</v>
      </c>
      <c r="G1" s="305" t="s">
        <v>47</v>
      </c>
      <c r="H1" s="306" t="s">
        <v>42</v>
      </c>
      <c r="I1" s="306" t="s">
        <v>50</v>
      </c>
      <c r="J1" s="303" t="s">
        <v>81</v>
      </c>
      <c r="K1" s="307" t="s">
        <v>3954</v>
      </c>
      <c r="L1" s="308" t="s">
        <v>3961</v>
      </c>
      <c r="M1" s="308" t="s">
        <v>3967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813"/>
  <sheetViews>
    <sheetView tabSelected="1" workbookViewId="0">
      <pane xSplit="1" ySplit="1" topLeftCell="B2789" activePane="bottomRight" state="frozen"/>
      <selection activeCell="N26" sqref="N26"/>
      <selection pane="topRight" activeCell="N26" sqref="N26"/>
      <selection pane="bottomLeft" activeCell="N26" sqref="N26"/>
      <selection pane="bottomRight" activeCell="L2808" sqref="L2808"/>
    </sheetView>
  </sheetViews>
  <sheetFormatPr defaultColWidth="9" defaultRowHeight="17.399999999999999"/>
  <cols>
    <col min="1" max="2" width="7.69921875" style="58" customWidth="1"/>
    <col min="3" max="3" width="12.19921875" style="257" customWidth="1"/>
    <col min="4" max="4" width="24.8984375" style="283" bestFit="1" customWidth="1"/>
    <col min="5" max="5" width="14" style="283" customWidth="1"/>
    <col min="6" max="6" width="13.19921875" style="286" customWidth="1"/>
    <col min="7" max="7" width="31.5" style="283" customWidth="1"/>
    <col min="8" max="8" width="15.19921875" style="262" customWidth="1"/>
    <col min="9" max="9" width="10" style="258" bestFit="1" customWidth="1"/>
    <col min="10" max="10" width="9.5" style="262" customWidth="1"/>
    <col min="11" max="12" width="13.19921875" style="259" customWidth="1"/>
    <col min="13" max="13" width="13.19921875" style="258" customWidth="1"/>
    <col min="14" max="14" width="11.09765625" style="258" customWidth="1"/>
    <col min="15" max="15" width="30.59765625" style="258" customWidth="1"/>
    <col min="16" max="17" width="32.09765625" style="283" customWidth="1"/>
    <col min="18" max="19" width="11.09765625" bestFit="1" customWidth="1"/>
    <col min="20" max="20" width="15.19921875" bestFit="1" customWidth="1"/>
  </cols>
  <sheetData>
    <row r="1" spans="1:18" s="59" customFormat="1">
      <c r="A1" s="252" t="s">
        <v>2</v>
      </c>
      <c r="B1" s="252" t="s">
        <v>4286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1122</v>
      </c>
      <c r="L1" s="255" t="s">
        <v>81</v>
      </c>
      <c r="M1" s="254" t="s">
        <v>58</v>
      </c>
      <c r="N1" s="254" t="s">
        <v>1666</v>
      </c>
      <c r="O1" s="254" t="s">
        <v>3961</v>
      </c>
      <c r="P1" s="254" t="s">
        <v>1167</v>
      </c>
      <c r="Q1" s="254" t="s">
        <v>4</v>
      </c>
      <c r="R1" s="97">
        <v>1941</v>
      </c>
    </row>
    <row r="2" spans="1:18">
      <c r="A2" s="264">
        <v>1</v>
      </c>
      <c r="B2" s="264"/>
      <c r="C2" s="257">
        <v>45723</v>
      </c>
      <c r="D2" s="283" t="s">
        <v>1298</v>
      </c>
      <c r="G2" s="283" t="s">
        <v>2697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1433</v>
      </c>
      <c r="G3" s="283" t="s">
        <v>1200</v>
      </c>
      <c r="H3" s="256" t="s">
        <v>1357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1433</v>
      </c>
      <c r="G4" s="283" t="s">
        <v>1143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3977</v>
      </c>
      <c r="G5" s="283" t="s">
        <v>3978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1395</v>
      </c>
      <c r="G6" s="283" t="s">
        <v>1135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1395</v>
      </c>
      <c r="G7" s="283" t="s">
        <v>1136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1395</v>
      </c>
      <c r="G8" s="283" t="s">
        <v>1142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1145</v>
      </c>
      <c r="G9" s="283" t="s">
        <v>1137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1438</v>
      </c>
      <c r="G10" s="283" t="s">
        <v>1200</v>
      </c>
      <c r="H10" s="256" t="s">
        <v>1357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1440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1395</v>
      </c>
      <c r="G12" s="283" t="s">
        <v>1138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1440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1440</v>
      </c>
      <c r="G14" s="283" t="s">
        <v>1124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1145</v>
      </c>
      <c r="G15" s="283" t="s">
        <v>4022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1145</v>
      </c>
      <c r="G16" s="283" t="s">
        <v>1134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1145</v>
      </c>
      <c r="G17" s="283" t="s">
        <v>1141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1445</v>
      </c>
      <c r="G18" s="283" t="s">
        <v>1147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1395</v>
      </c>
      <c r="G19" s="283" t="s">
        <v>1137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1448</v>
      </c>
      <c r="G20" s="283" t="s">
        <v>1148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1450</v>
      </c>
      <c r="E21" s="287"/>
      <c r="F21" s="288"/>
      <c r="G21" s="287" t="s">
        <v>1137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1452</v>
      </c>
      <c r="G22" s="283" t="s">
        <v>1151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1454</v>
      </c>
      <c r="G23" s="283" t="s">
        <v>1129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1395</v>
      </c>
      <c r="G24" s="283" t="s">
        <v>1200</v>
      </c>
      <c r="H24" s="256" t="s">
        <v>1357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1395</v>
      </c>
      <c r="G25" s="283" t="s">
        <v>1135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1440</v>
      </c>
      <c r="G26" s="283" t="s">
        <v>1131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1053</v>
      </c>
      <c r="G27" s="283" t="s">
        <v>1130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1082</v>
      </c>
      <c r="G28" s="283" t="s">
        <v>1129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1395</v>
      </c>
      <c r="G29" s="283" t="s">
        <v>1137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1395</v>
      </c>
      <c r="G30" s="283" t="s">
        <v>1128</v>
      </c>
      <c r="H30" s="262" t="s">
        <v>1460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1153</v>
      </c>
      <c r="G31" s="283" t="s">
        <v>1200</v>
      </c>
      <c r="H31" s="262" t="s">
        <v>1357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1463</v>
      </c>
      <c r="G32" s="283" t="s">
        <v>1160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1463</v>
      </c>
      <c r="G33" s="283" t="s">
        <v>1160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1463</v>
      </c>
      <c r="G34" s="283" t="s">
        <v>1161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1463</v>
      </c>
      <c r="G35" s="283" t="s">
        <v>1162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1465</v>
      </c>
      <c r="G36" s="283" t="s">
        <v>1256</v>
      </c>
      <c r="H36" s="262" t="s">
        <v>1255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1465</v>
      </c>
      <c r="G37" s="283" t="s">
        <v>1466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1007</v>
      </c>
      <c r="G38" s="283" t="s">
        <v>1262</v>
      </c>
      <c r="H38" s="262" t="s">
        <v>1261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1469</v>
      </c>
      <c r="G39" s="283" t="s">
        <v>1200</v>
      </c>
      <c r="H39" s="262" t="s">
        <v>1357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1395</v>
      </c>
      <c r="G40" s="283" t="s">
        <v>1471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1395</v>
      </c>
      <c r="G41" s="283" t="s">
        <v>1472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1170</v>
      </c>
      <c r="G42" s="283" t="s">
        <v>1137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1475</v>
      </c>
      <c r="G43" s="283" t="s">
        <v>1476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1026</v>
      </c>
      <c r="G44" s="283" t="s">
        <v>1478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1145</v>
      </c>
      <c r="G45" s="283" t="s">
        <v>1478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1481</v>
      </c>
      <c r="G46" s="283" t="s">
        <v>1482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1046</v>
      </c>
      <c r="G47" s="283" t="s">
        <v>1486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1465</v>
      </c>
      <c r="G48" s="283" t="s">
        <v>1488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1490</v>
      </c>
      <c r="G49" s="283" t="s">
        <v>1491</v>
      </c>
      <c r="H49" s="262" t="s">
        <v>1357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1490</v>
      </c>
      <c r="G50" s="283" t="s">
        <v>1492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1494</v>
      </c>
      <c r="G51" s="283" t="s">
        <v>1200</v>
      </c>
      <c r="H51" s="262" t="s">
        <v>1357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1395</v>
      </c>
      <c r="G52" s="283" t="s">
        <v>1213</v>
      </c>
      <c r="H52" s="262" t="s">
        <v>1212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1395</v>
      </c>
      <c r="G53" s="283" t="s">
        <v>1497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1053</v>
      </c>
      <c r="G54" s="283" t="s">
        <v>1499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1374</v>
      </c>
      <c r="G55" s="283" t="s">
        <v>1501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1374</v>
      </c>
      <c r="G56" s="283" t="s">
        <v>1502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1440</v>
      </c>
      <c r="G57" s="283" t="s">
        <v>1504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1440</v>
      </c>
      <c r="G58" s="283" t="s">
        <v>1505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1440</v>
      </c>
      <c r="G59" s="283" t="s">
        <v>1506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1234</v>
      </c>
      <c r="G60" s="283" t="s">
        <v>1202</v>
      </c>
      <c r="H60" s="262" t="s">
        <v>1201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1465</v>
      </c>
      <c r="G61" s="283" t="s">
        <v>1200</v>
      </c>
      <c r="H61" s="262" t="s">
        <v>1357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1224</v>
      </c>
      <c r="G62" s="283" t="s">
        <v>1499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1511</v>
      </c>
      <c r="G63" s="283" t="s">
        <v>1137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1513</v>
      </c>
      <c r="G64" s="283" t="s">
        <v>1514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1513</v>
      </c>
      <c r="G65" s="283" t="s">
        <v>1515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1517</v>
      </c>
      <c r="G66" s="283" t="s">
        <v>1520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1440</v>
      </c>
      <c r="G67" s="283" t="s">
        <v>4023</v>
      </c>
      <c r="H67" s="262" t="s">
        <v>1204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1440</v>
      </c>
      <c r="G68" s="283" t="s">
        <v>1404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1302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1234</v>
      </c>
      <c r="G70" s="283" t="s">
        <v>1200</v>
      </c>
      <c r="H70" s="262" t="s">
        <v>1357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1369</v>
      </c>
      <c r="G71" s="283" t="s">
        <v>1152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1170</v>
      </c>
      <c r="G72" s="283" t="s">
        <v>1200</v>
      </c>
      <c r="H72" s="262" t="s">
        <v>1357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1007</v>
      </c>
      <c r="G73" s="283" t="s">
        <v>1147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1528</v>
      </c>
      <c r="G74" s="283" t="s">
        <v>1199</v>
      </c>
      <c r="H74" s="262" t="s">
        <v>1198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1445</v>
      </c>
      <c r="G75" s="283" t="s">
        <v>1531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1145</v>
      </c>
      <c r="G76" s="283" t="s">
        <v>1200</v>
      </c>
      <c r="H76" s="262" t="s">
        <v>1357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1018</v>
      </c>
      <c r="G77" s="283" t="s">
        <v>1534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1440</v>
      </c>
      <c r="G78" s="283" t="s">
        <v>1131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1440</v>
      </c>
      <c r="G79" s="283" t="s">
        <v>1131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1537</v>
      </c>
      <c r="G80" s="283" t="s">
        <v>1538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1540</v>
      </c>
      <c r="G81" s="283" t="s">
        <v>1213</v>
      </c>
      <c r="H81" s="262" t="s">
        <v>1212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1018</v>
      </c>
      <c r="G82" s="283" t="s">
        <v>1200</v>
      </c>
      <c r="H82" s="262" t="s">
        <v>1357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1018</v>
      </c>
      <c r="G83" s="283" t="s">
        <v>1492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1387</v>
      </c>
      <c r="G84" s="283" t="s">
        <v>1200</v>
      </c>
      <c r="H84" s="262" t="s">
        <v>1357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1391</v>
      </c>
      <c r="G85" s="283" t="s">
        <v>1137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1007</v>
      </c>
      <c r="G86" s="283" t="s">
        <v>1545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1547</v>
      </c>
      <c r="G87" s="283" t="s">
        <v>1200</v>
      </c>
      <c r="H87" s="262" t="s">
        <v>1357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1547</v>
      </c>
      <c r="G88" s="283" t="s">
        <v>1492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1550</v>
      </c>
      <c r="G89" s="283" t="s">
        <v>1551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1550</v>
      </c>
      <c r="G90" s="283" t="s">
        <v>1200</v>
      </c>
      <c r="H90" s="262" t="s">
        <v>1357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978</v>
      </c>
      <c r="G91" s="283" t="s">
        <v>1557</v>
      </c>
      <c r="H91" s="262" t="s">
        <v>1219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1537</v>
      </c>
      <c r="G92" s="283" t="s">
        <v>1200</v>
      </c>
      <c r="H92" s="262" t="s">
        <v>1357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1537</v>
      </c>
      <c r="G93" s="283" t="s">
        <v>1135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979</v>
      </c>
      <c r="G94" s="283" t="s">
        <v>1199</v>
      </c>
      <c r="H94" s="262" t="s">
        <v>1198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979</v>
      </c>
      <c r="G95" s="283" t="s">
        <v>1571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1573</v>
      </c>
      <c r="G96" s="283" t="s">
        <v>1574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1573</v>
      </c>
      <c r="G97" s="283" t="s">
        <v>1515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1576</v>
      </c>
      <c r="G98" s="283" t="s">
        <v>1577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1576</v>
      </c>
      <c r="G99" s="283" t="s">
        <v>1646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1576</v>
      </c>
      <c r="G100" s="283" t="s">
        <v>1262</v>
      </c>
      <c r="H100" s="262" t="s">
        <v>1261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1015</v>
      </c>
      <c r="G101" s="283" t="s">
        <v>1200</v>
      </c>
      <c r="H101" s="262" t="s">
        <v>1357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1582</v>
      </c>
      <c r="G102" s="283" t="s">
        <v>1583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1582</v>
      </c>
      <c r="G103" s="283" t="s">
        <v>2517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1582</v>
      </c>
      <c r="G104" s="283" t="s">
        <v>1584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1582</v>
      </c>
      <c r="G105" s="283" t="s">
        <v>1585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1582</v>
      </c>
      <c r="G106" s="283" t="s">
        <v>1202</v>
      </c>
      <c r="H106" s="262" t="s">
        <v>1559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1463</v>
      </c>
      <c r="G107" s="283" t="s">
        <v>1588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987</v>
      </c>
      <c r="G108" s="283" t="s">
        <v>1200</v>
      </c>
      <c r="H108" s="262" t="s">
        <v>1357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987</v>
      </c>
      <c r="G109" s="283" t="s">
        <v>1492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987</v>
      </c>
      <c r="G110" s="283" t="s">
        <v>1108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987</v>
      </c>
      <c r="G111" s="283" t="s">
        <v>1163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1592</v>
      </c>
      <c r="G112" s="283" t="s">
        <v>1200</v>
      </c>
      <c r="H112" s="262" t="s">
        <v>1357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1594</v>
      </c>
      <c r="G113" s="283" t="s">
        <v>1152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1448</v>
      </c>
      <c r="G114" s="283" t="s">
        <v>4022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1448</v>
      </c>
      <c r="G115" s="283" t="s">
        <v>1256</v>
      </c>
      <c r="H115" s="262" t="s">
        <v>1255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1448</v>
      </c>
      <c r="G116" s="283" t="s">
        <v>1134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1448</v>
      </c>
      <c r="G117" s="283" t="s">
        <v>1596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1598</v>
      </c>
      <c r="G118" s="283" t="s">
        <v>1599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1599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1602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1573</v>
      </c>
      <c r="G121" s="283" t="s">
        <v>2517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1573</v>
      </c>
      <c r="G122" s="283" t="s">
        <v>1623</v>
      </c>
      <c r="H122" s="262" t="s">
        <v>1622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1573</v>
      </c>
      <c r="G123" s="283" t="s">
        <v>2517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1573</v>
      </c>
      <c r="G124" s="283" t="s">
        <v>1623</v>
      </c>
      <c r="H124" s="262" t="s">
        <v>1622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1573</v>
      </c>
      <c r="G125" s="283" t="s">
        <v>1625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1445</v>
      </c>
      <c r="G126" s="283" t="s">
        <v>1632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1537</v>
      </c>
      <c r="G127" s="283" t="s">
        <v>1200</v>
      </c>
      <c r="H127" s="262" t="s">
        <v>1357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1537</v>
      </c>
      <c r="G128" s="283" t="s">
        <v>1492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1537</v>
      </c>
      <c r="G129" s="283" t="s">
        <v>1635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1395</v>
      </c>
      <c r="G130" s="283" t="s">
        <v>1639</v>
      </c>
      <c r="H130" s="262" t="s">
        <v>1197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1018</v>
      </c>
      <c r="G131" s="283" t="s">
        <v>1640</v>
      </c>
      <c r="H131" s="262" t="s">
        <v>1198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1018</v>
      </c>
      <c r="G132" s="283" t="s">
        <v>1571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1654</v>
      </c>
      <c r="G133" s="283" t="s">
        <v>1657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1659</v>
      </c>
      <c r="G134" s="283" t="s">
        <v>1660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1537</v>
      </c>
      <c r="G135" s="283" t="s">
        <v>1662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1445</v>
      </c>
      <c r="G136" s="283" t="s">
        <v>1664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1667</v>
      </c>
      <c r="G137" s="283" t="s">
        <v>1670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1672</v>
      </c>
      <c r="G138" s="283" t="s">
        <v>1137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1440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1440</v>
      </c>
      <c r="G140" s="283" t="s">
        <v>1680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1440</v>
      </c>
      <c r="G141" s="283" t="s">
        <v>1681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1440</v>
      </c>
      <c r="G142" s="283" t="s">
        <v>1684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1440</v>
      </c>
      <c r="G143" s="283" t="s">
        <v>1685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1440</v>
      </c>
      <c r="G144" s="283" t="s">
        <v>1686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1329</v>
      </c>
      <c r="G145" s="283" t="s">
        <v>1823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1465</v>
      </c>
      <c r="G146" s="283" t="s">
        <v>1691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1718</v>
      </c>
      <c r="G147" s="283" t="s">
        <v>1713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1718</v>
      </c>
      <c r="G148" s="283" t="s">
        <v>1712</v>
      </c>
      <c r="H148" s="262" t="s">
        <v>1711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1718</v>
      </c>
      <c r="G149" s="283" t="s">
        <v>1699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1718</v>
      </c>
      <c r="G150" s="283" t="s">
        <v>1701</v>
      </c>
      <c r="H150" s="262" t="s">
        <v>1700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1718</v>
      </c>
      <c r="G151" s="283" t="s">
        <v>1262</v>
      </c>
      <c r="H151" s="262" t="s">
        <v>1261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1537</v>
      </c>
      <c r="G152" s="283" t="s">
        <v>1740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1576</v>
      </c>
      <c r="G153" s="283" t="s">
        <v>1742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1395</v>
      </c>
      <c r="G154" s="283" t="s">
        <v>1200</v>
      </c>
      <c r="H154" s="262" t="s">
        <v>1357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1395</v>
      </c>
      <c r="G155" s="283" t="s">
        <v>1492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1743</v>
      </c>
      <c r="G156" s="283" t="s">
        <v>1744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1145</v>
      </c>
      <c r="G157" s="283" t="s">
        <v>4023</v>
      </c>
      <c r="H157" s="262" t="s">
        <v>1204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1145</v>
      </c>
      <c r="G158" s="283" t="s">
        <v>1638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1718</v>
      </c>
      <c r="G159" s="283" t="s">
        <v>2517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1053</v>
      </c>
      <c r="G160" s="283" t="s">
        <v>1202</v>
      </c>
      <c r="H160" s="262" t="s">
        <v>1559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1786</v>
      </c>
      <c r="G161" s="283" t="s">
        <v>1790</v>
      </c>
      <c r="H161" s="262" t="s">
        <v>1132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1786</v>
      </c>
      <c r="G162" s="283" t="s">
        <v>4023</v>
      </c>
      <c r="H162" s="262" t="s">
        <v>1204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1786</v>
      </c>
      <c r="G163" s="283" t="s">
        <v>1792</v>
      </c>
      <c r="H163" s="262" t="s">
        <v>1791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1718</v>
      </c>
      <c r="G164" s="283" t="s">
        <v>1256</v>
      </c>
      <c r="H164" s="262" t="s">
        <v>1255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1718</v>
      </c>
      <c r="G165" s="283" t="s">
        <v>2517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1395</v>
      </c>
      <c r="G166" s="283" t="s">
        <v>1200</v>
      </c>
      <c r="H166" s="262" t="s">
        <v>1748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1475</v>
      </c>
      <c r="G167" s="283" t="s">
        <v>1796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1445</v>
      </c>
      <c r="G168" s="283" t="s">
        <v>1798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1445</v>
      </c>
      <c r="G169" s="283" t="s">
        <v>1571</v>
      </c>
      <c r="H169" s="262" t="s">
        <v>1799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1801</v>
      </c>
      <c r="G170" s="283" t="s">
        <v>1639</v>
      </c>
      <c r="H170" s="262" t="s">
        <v>1197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1018</v>
      </c>
      <c r="G171" s="283" t="s">
        <v>1713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1805</v>
      </c>
      <c r="G172" s="283" t="s">
        <v>1760</v>
      </c>
      <c r="H172" s="262" t="s">
        <v>1762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1805</v>
      </c>
      <c r="G173" s="283" t="s">
        <v>1760</v>
      </c>
      <c r="H173" s="262" t="s">
        <v>1759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1576</v>
      </c>
      <c r="G174" s="283" t="s">
        <v>4023</v>
      </c>
      <c r="H174" s="262" t="s">
        <v>1204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1808</v>
      </c>
      <c r="G175" s="283" t="s">
        <v>1739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1718</v>
      </c>
      <c r="G176" s="283" t="s">
        <v>1256</v>
      </c>
      <c r="H176" s="262" t="s">
        <v>1255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1718</v>
      </c>
      <c r="G177" s="283" t="s">
        <v>1819</v>
      </c>
      <c r="H177" s="262" t="s">
        <v>1818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1718</v>
      </c>
      <c r="G178" s="283" t="s">
        <v>1792</v>
      </c>
      <c r="H178" s="262" t="s">
        <v>1791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1537</v>
      </c>
      <c r="G179" s="283" t="s">
        <v>1740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1454</v>
      </c>
      <c r="G180" s="283" t="s">
        <v>1740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1801</v>
      </c>
      <c r="G181" s="283" t="s">
        <v>4023</v>
      </c>
      <c r="H181" s="262" t="s">
        <v>1204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1465</v>
      </c>
      <c r="G182" s="283" t="s">
        <v>1835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1834</v>
      </c>
      <c r="G183" s="283" t="s">
        <v>1837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1018</v>
      </c>
      <c r="G184" s="283" t="s">
        <v>1200</v>
      </c>
      <c r="H184" s="262" t="s">
        <v>1748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1018</v>
      </c>
      <c r="G185" s="283" t="s">
        <v>1492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1573</v>
      </c>
      <c r="G186" s="283" t="s">
        <v>1200</v>
      </c>
      <c r="H186" s="262" t="s">
        <v>1748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1018</v>
      </c>
      <c r="G187" s="283" t="s">
        <v>1701</v>
      </c>
      <c r="H187" s="262" t="s">
        <v>1700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1018</v>
      </c>
      <c r="G188" s="283" t="s">
        <v>1713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1018</v>
      </c>
      <c r="G189" s="283" t="s">
        <v>1792</v>
      </c>
      <c r="H189" s="262" t="s">
        <v>1791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1018</v>
      </c>
      <c r="G190" s="283" t="s">
        <v>1819</v>
      </c>
      <c r="H190" s="262" t="s">
        <v>1818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1843</v>
      </c>
      <c r="G191" s="283" t="s">
        <v>1846</v>
      </c>
      <c r="H191" s="262" t="s">
        <v>1845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1145</v>
      </c>
      <c r="G192" s="283" t="s">
        <v>1851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1053</v>
      </c>
      <c r="G193" s="283" t="s">
        <v>1202</v>
      </c>
      <c r="H193" s="262" t="s">
        <v>1201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1018</v>
      </c>
      <c r="G194" s="283" t="s">
        <v>2517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1018</v>
      </c>
      <c r="G195" s="283" t="s">
        <v>1638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1805</v>
      </c>
      <c r="G196" s="283" t="s">
        <v>1855</v>
      </c>
      <c r="H196" s="262" t="s">
        <v>3647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1857</v>
      </c>
      <c r="G197" s="283" t="s">
        <v>1858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1863</v>
      </c>
      <c r="G198" s="283" t="s">
        <v>1152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1863</v>
      </c>
      <c r="G199" s="283" t="s">
        <v>1865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1866</v>
      </c>
      <c r="G200" s="283" t="s">
        <v>1152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1866</v>
      </c>
      <c r="G201" s="283" t="s">
        <v>1868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1872</v>
      </c>
      <c r="G202" s="283" t="s">
        <v>1739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1718</v>
      </c>
      <c r="G203" s="283" t="s">
        <v>1870</v>
      </c>
      <c r="H203" s="262" t="s">
        <v>1869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1667</v>
      </c>
      <c r="G204" s="283" t="s">
        <v>1640</v>
      </c>
      <c r="H204" s="262" t="s">
        <v>1198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1805</v>
      </c>
      <c r="G205" s="283" t="s">
        <v>1760</v>
      </c>
      <c r="H205" s="262" t="s">
        <v>1762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1805</v>
      </c>
      <c r="G206" s="283" t="s">
        <v>1760</v>
      </c>
      <c r="H206" s="262" t="s">
        <v>1759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1886</v>
      </c>
      <c r="G207" s="283" t="s">
        <v>1889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1890</v>
      </c>
      <c r="G208" s="283" t="s">
        <v>1200</v>
      </c>
      <c r="H208" s="262" t="s">
        <v>1748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978</v>
      </c>
      <c r="G209" s="283" t="s">
        <v>1200</v>
      </c>
      <c r="H209" s="262" t="s">
        <v>1748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978</v>
      </c>
      <c r="G210" s="283" t="s">
        <v>1200</v>
      </c>
      <c r="H210" s="262" t="s">
        <v>1748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1594</v>
      </c>
      <c r="G211" s="283" t="s">
        <v>4023</v>
      </c>
      <c r="H211" s="262" t="s">
        <v>1204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1576</v>
      </c>
      <c r="G212" s="283" t="s">
        <v>1898</v>
      </c>
      <c r="H212" s="262" t="s">
        <v>1897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1395</v>
      </c>
      <c r="G213" s="283" t="s">
        <v>1912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1537</v>
      </c>
      <c r="G214" s="283" t="s">
        <v>1915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1438</v>
      </c>
      <c r="G215" s="283" t="s">
        <v>1138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1667</v>
      </c>
      <c r="G216" s="283" t="s">
        <v>1200</v>
      </c>
      <c r="H216" s="262" t="s">
        <v>1748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1667</v>
      </c>
      <c r="G217" s="283" t="s">
        <v>1492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1718</v>
      </c>
      <c r="G218" s="283" t="s">
        <v>1922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1718</v>
      </c>
      <c r="G219" s="283" t="s">
        <v>1262</v>
      </c>
      <c r="H219" s="262" t="s">
        <v>1261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1594</v>
      </c>
      <c r="G220" s="283" t="s">
        <v>1577</v>
      </c>
      <c r="H220" s="262" t="s">
        <v>1919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1927</v>
      </c>
      <c r="G221" s="283" t="s">
        <v>1792</v>
      </c>
      <c r="H221" s="262" t="s">
        <v>1791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1927</v>
      </c>
      <c r="G222" s="283" t="s">
        <v>4023</v>
      </c>
      <c r="H222" s="262" t="s">
        <v>1204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1927</v>
      </c>
      <c r="G223" s="283" t="s">
        <v>1898</v>
      </c>
      <c r="H223" s="262" t="s">
        <v>1897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1938</v>
      </c>
      <c r="G224" s="283" t="s">
        <v>1930</v>
      </c>
      <c r="H224" s="262" t="s">
        <v>1929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1938</v>
      </c>
      <c r="G225" s="283" t="s">
        <v>1931</v>
      </c>
      <c r="H225" s="262" t="s">
        <v>1932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1395</v>
      </c>
      <c r="G226" s="283" t="s">
        <v>1740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1395</v>
      </c>
      <c r="G227" s="283" t="s">
        <v>1545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1576</v>
      </c>
      <c r="G228" s="283" t="s">
        <v>4023</v>
      </c>
      <c r="H228" s="262" t="s">
        <v>1204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1573</v>
      </c>
      <c r="G229" s="283" t="s">
        <v>2517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1573</v>
      </c>
      <c r="G230" s="283" t="s">
        <v>1640</v>
      </c>
      <c r="H230" s="262" t="s">
        <v>1198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1573</v>
      </c>
      <c r="G231" s="283" t="s">
        <v>1571</v>
      </c>
      <c r="H231" s="262" t="s">
        <v>1799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1718</v>
      </c>
      <c r="G232" s="283" t="s">
        <v>1949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1445</v>
      </c>
      <c r="G233" s="283" t="s">
        <v>1953</v>
      </c>
      <c r="H233" s="262" t="s">
        <v>1952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1445</v>
      </c>
      <c r="G234" s="283" t="s">
        <v>1571</v>
      </c>
      <c r="H234" s="262" t="s">
        <v>1799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1594</v>
      </c>
      <c r="G235" s="283" t="s">
        <v>2572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1957</v>
      </c>
      <c r="G236" s="283" t="s">
        <v>1855</v>
      </c>
      <c r="H236" s="262" t="s">
        <v>3647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1957</v>
      </c>
      <c r="G237" s="283" t="s">
        <v>1961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1957</v>
      </c>
      <c r="G238" s="283" t="s">
        <v>1962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1957</v>
      </c>
      <c r="G239" s="283" t="s">
        <v>4023</v>
      </c>
      <c r="H239" s="262" t="s">
        <v>1204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1957</v>
      </c>
      <c r="G240" s="283" t="s">
        <v>1638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1957</v>
      </c>
      <c r="G241" s="283" t="s">
        <v>1792</v>
      </c>
      <c r="H241" s="262" t="s">
        <v>1791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1550</v>
      </c>
      <c r="G242" s="283" t="s">
        <v>1701</v>
      </c>
      <c r="H242" s="262" t="s">
        <v>1700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1440</v>
      </c>
      <c r="G243" s="283" t="s">
        <v>1713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1440</v>
      </c>
      <c r="G244" s="283" t="s">
        <v>1969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1440</v>
      </c>
      <c r="G245" s="283" t="s">
        <v>1970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1387</v>
      </c>
      <c r="G246" s="283" t="s">
        <v>1531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1973</v>
      </c>
      <c r="G247" s="283" t="s">
        <v>1974</v>
      </c>
      <c r="H247" s="262" t="s">
        <v>1195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1976</v>
      </c>
      <c r="G248" s="283" t="s">
        <v>1819</v>
      </c>
      <c r="H248" s="262" t="s">
        <v>1818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1976</v>
      </c>
      <c r="G249" s="283" t="s">
        <v>1256</v>
      </c>
      <c r="H249" s="262" t="s">
        <v>1255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1976</v>
      </c>
      <c r="G250" s="283" t="s">
        <v>4023</v>
      </c>
      <c r="H250" s="262" t="s">
        <v>1204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1927</v>
      </c>
      <c r="G251" s="283" t="s">
        <v>1124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1445</v>
      </c>
      <c r="G252" s="283" t="s">
        <v>1124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1786</v>
      </c>
      <c r="G253" s="283" t="s">
        <v>4023</v>
      </c>
      <c r="H253" s="262" t="s">
        <v>1204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1440</v>
      </c>
      <c r="G254" s="283" t="s">
        <v>1981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1805</v>
      </c>
      <c r="G255" s="283" t="s">
        <v>1492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1299</v>
      </c>
      <c r="G256" s="283" t="s">
        <v>1124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1342</v>
      </c>
      <c r="G257" s="283" t="s">
        <v>1666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1517</v>
      </c>
      <c r="G258" s="283" t="s">
        <v>1520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1517</v>
      </c>
      <c r="G259" s="283" t="s">
        <v>1124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1440</v>
      </c>
      <c r="G260" s="283" t="s">
        <v>1531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1145</v>
      </c>
      <c r="G261" s="283" t="s">
        <v>1713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1053</v>
      </c>
      <c r="G262" s="283" t="s">
        <v>1202</v>
      </c>
      <c r="H262" s="262" t="s">
        <v>1988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1053</v>
      </c>
      <c r="G263" s="283" t="s">
        <v>1124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1528</v>
      </c>
      <c r="G264" s="283" t="s">
        <v>1739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1440</v>
      </c>
      <c r="G265" s="283" t="s">
        <v>1994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2011</v>
      </c>
      <c r="G266" s="283" t="s">
        <v>1792</v>
      </c>
      <c r="H266" s="262" t="s">
        <v>1791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2011</v>
      </c>
      <c r="G267" s="283" t="s">
        <v>1819</v>
      </c>
      <c r="H267" s="262" t="s">
        <v>1818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2011</v>
      </c>
      <c r="G268" s="283" t="s">
        <v>2009</v>
      </c>
      <c r="H268" s="262" t="s">
        <v>2008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2011</v>
      </c>
      <c r="G269" s="283" t="s">
        <v>4023</v>
      </c>
      <c r="H269" s="262" t="s">
        <v>1204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2011</v>
      </c>
      <c r="G270" s="283" t="s">
        <v>2010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2011</v>
      </c>
      <c r="G271" s="283" t="s">
        <v>1638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2011</v>
      </c>
      <c r="G272" s="283" t="s">
        <v>1898</v>
      </c>
      <c r="H272" s="262" t="s">
        <v>1897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1805</v>
      </c>
      <c r="G273" s="283" t="s">
        <v>1124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1718</v>
      </c>
      <c r="G274" s="283" t="s">
        <v>1200</v>
      </c>
      <c r="H274" s="262" t="s">
        <v>1748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1718</v>
      </c>
      <c r="G275" s="283" t="s">
        <v>1492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2020</v>
      </c>
      <c r="G276" s="283" t="s">
        <v>2019</v>
      </c>
      <c r="H276" s="262" t="s">
        <v>2018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1976</v>
      </c>
      <c r="G277" s="283" t="s">
        <v>1639</v>
      </c>
      <c r="H277" s="262" t="s">
        <v>1197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1743</v>
      </c>
      <c r="G278" s="283" t="s">
        <v>2023</v>
      </c>
      <c r="H278" s="262" t="s">
        <v>1212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1976</v>
      </c>
      <c r="G279" s="283" t="s">
        <v>1262</v>
      </c>
      <c r="H279" s="262" t="s">
        <v>1261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1976</v>
      </c>
      <c r="G280" s="283" t="s">
        <v>1701</v>
      </c>
      <c r="H280" s="262" t="s">
        <v>1700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1976</v>
      </c>
      <c r="G281" s="283" t="s">
        <v>2025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1976</v>
      </c>
      <c r="G282" s="283" t="s">
        <v>1792</v>
      </c>
      <c r="H282" s="262" t="s">
        <v>1791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1007</v>
      </c>
      <c r="G283" s="283" t="s">
        <v>1545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1440</v>
      </c>
      <c r="G284" s="283" t="s">
        <v>2028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2030</v>
      </c>
      <c r="G285" s="283" t="s">
        <v>2033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2035</v>
      </c>
      <c r="G286" s="283" t="s">
        <v>1640</v>
      </c>
      <c r="H286" s="262" t="s">
        <v>1198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2035</v>
      </c>
      <c r="G287" s="283" t="s">
        <v>1571</v>
      </c>
      <c r="H287" s="262" t="s">
        <v>1799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2035</v>
      </c>
      <c r="G288" s="283" t="s">
        <v>1717</v>
      </c>
      <c r="H288" s="262" t="s">
        <v>1716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1046</v>
      </c>
      <c r="G289" s="283" t="s">
        <v>2039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1573</v>
      </c>
      <c r="G290" s="283" t="s">
        <v>1739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2042</v>
      </c>
      <c r="G291" s="283" t="s">
        <v>2045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1550</v>
      </c>
      <c r="G292" s="283" t="s">
        <v>1210</v>
      </c>
      <c r="H292" s="262" t="s">
        <v>1209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1035</v>
      </c>
      <c r="G293" s="283" t="s">
        <v>1666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2049</v>
      </c>
      <c r="G294" s="283" t="s">
        <v>1666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1573</v>
      </c>
      <c r="G295" s="283" t="s">
        <v>1124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2035</v>
      </c>
      <c r="G296" s="283" t="s">
        <v>1124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1145</v>
      </c>
      <c r="G297" s="283" t="s">
        <v>1124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1976</v>
      </c>
      <c r="G298" s="283" t="s">
        <v>4023</v>
      </c>
      <c r="H298" s="262" t="s">
        <v>1204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1976</v>
      </c>
      <c r="G299" s="283" t="s">
        <v>1124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1537</v>
      </c>
      <c r="G300" s="283" t="s">
        <v>1124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1185</v>
      </c>
      <c r="G301" s="283" t="s">
        <v>1666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1973</v>
      </c>
      <c r="G302" s="283" t="s">
        <v>1124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1440</v>
      </c>
      <c r="G303" s="283" t="s">
        <v>1124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1463</v>
      </c>
      <c r="G304" s="283" t="s">
        <v>1124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2011</v>
      </c>
      <c r="G305" s="283" t="s">
        <v>1124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1395</v>
      </c>
      <c r="G306" s="283" t="s">
        <v>1124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1576</v>
      </c>
      <c r="G307" s="283" t="s">
        <v>1640</v>
      </c>
      <c r="H307" s="262" t="s">
        <v>1198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1576</v>
      </c>
      <c r="G308" s="283" t="s">
        <v>1571</v>
      </c>
      <c r="H308" s="262" t="s">
        <v>1799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1576</v>
      </c>
      <c r="G309" s="283" t="s">
        <v>2052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1550</v>
      </c>
      <c r="G310" s="283" t="s">
        <v>1124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2030</v>
      </c>
      <c r="G311" s="283" t="s">
        <v>1124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1718</v>
      </c>
      <c r="G312" s="283" t="s">
        <v>1713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1576</v>
      </c>
      <c r="G313" s="283" t="s">
        <v>1262</v>
      </c>
      <c r="H313" s="262" t="s">
        <v>1261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1973</v>
      </c>
      <c r="G314" s="283" t="s">
        <v>1974</v>
      </c>
      <c r="H314" s="262" t="s">
        <v>1195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1395</v>
      </c>
      <c r="G315" s="289" t="s">
        <v>2517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1395</v>
      </c>
      <c r="G316" s="283" t="s">
        <v>1152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1973</v>
      </c>
      <c r="G317" s="283" t="s">
        <v>1666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1576</v>
      </c>
      <c r="G318" s="283" t="s">
        <v>2073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1957</v>
      </c>
      <c r="G319" s="283" t="s">
        <v>2071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2074</v>
      </c>
      <c r="G320" s="283" t="s">
        <v>1202</v>
      </c>
      <c r="H320" s="262" t="s">
        <v>1201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1007</v>
      </c>
      <c r="G321" s="283" t="s">
        <v>1713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1537</v>
      </c>
      <c r="G322" s="283" t="s">
        <v>2019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1395</v>
      </c>
      <c r="G323" s="283" t="s">
        <v>1200</v>
      </c>
      <c r="H323" s="262" t="s">
        <v>1748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1465</v>
      </c>
      <c r="G324" s="283" t="s">
        <v>1492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1395</v>
      </c>
      <c r="G325" s="283" t="s">
        <v>2080</v>
      </c>
      <c r="H325" s="262" t="s">
        <v>1748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1957</v>
      </c>
      <c r="G326" s="283" t="s">
        <v>1124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1302</v>
      </c>
      <c r="G327" s="283" t="s">
        <v>1639</v>
      </c>
      <c r="H327" s="262" t="s">
        <v>1197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1302</v>
      </c>
      <c r="G328" s="283" t="s">
        <v>4023</v>
      </c>
      <c r="H328" s="262" t="s">
        <v>1204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2085</v>
      </c>
      <c r="G329" s="283" t="s">
        <v>1640</v>
      </c>
      <c r="H329" s="262" t="s">
        <v>1198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2085</v>
      </c>
      <c r="G330" s="283" t="s">
        <v>1571</v>
      </c>
      <c r="H330" s="262" t="s">
        <v>1799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1302</v>
      </c>
      <c r="G331" s="283" t="s">
        <v>1124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1007</v>
      </c>
      <c r="G332" s="283" t="s">
        <v>1124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1550</v>
      </c>
      <c r="G333" s="283" t="s">
        <v>1124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2085</v>
      </c>
      <c r="G334" s="283" t="s">
        <v>1124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1395</v>
      </c>
      <c r="G335" s="283" t="s">
        <v>2087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1395</v>
      </c>
      <c r="G336" s="283" t="s">
        <v>1545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2085</v>
      </c>
      <c r="G337" s="283" t="s">
        <v>1640</v>
      </c>
      <c r="H337" s="262" t="s">
        <v>1198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2085</v>
      </c>
      <c r="G338" s="283" t="s">
        <v>1571</v>
      </c>
      <c r="H338" s="262" t="s">
        <v>1799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2091</v>
      </c>
      <c r="G339" s="283" t="s">
        <v>1640</v>
      </c>
      <c r="H339" s="262" t="s">
        <v>1198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2091</v>
      </c>
      <c r="G340" s="283" t="s">
        <v>1571</v>
      </c>
      <c r="H340" s="262" t="s">
        <v>1799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2091</v>
      </c>
      <c r="G341" s="283" t="s">
        <v>1717</v>
      </c>
      <c r="H341" s="262" t="s">
        <v>1716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2091</v>
      </c>
      <c r="G342" s="283" t="s">
        <v>1124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2085</v>
      </c>
      <c r="G343" s="283" t="s">
        <v>1124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1324</v>
      </c>
      <c r="G344" s="283" t="s">
        <v>2207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1718</v>
      </c>
      <c r="G345" s="283" t="s">
        <v>1128</v>
      </c>
      <c r="H345" s="262" t="s">
        <v>1460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2074</v>
      </c>
      <c r="G346" s="283" t="s">
        <v>1124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1465</v>
      </c>
      <c r="G347" s="283" t="s">
        <v>1124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1718</v>
      </c>
      <c r="G348" s="283" t="s">
        <v>1124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1528</v>
      </c>
      <c r="G349" s="283" t="s">
        <v>1124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1046</v>
      </c>
      <c r="G350" s="283" t="s">
        <v>1124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1302</v>
      </c>
      <c r="G351" s="283" t="s">
        <v>1961</v>
      </c>
      <c r="H351" s="262" t="s">
        <v>2105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2011</v>
      </c>
      <c r="G352" s="283" t="s">
        <v>2103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1277</v>
      </c>
      <c r="G353" s="283" t="s">
        <v>2336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1277</v>
      </c>
      <c r="G354" s="283" t="s">
        <v>2083</v>
      </c>
      <c r="H354" s="262" t="s">
        <v>2337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1786</v>
      </c>
      <c r="G355" s="283" t="s">
        <v>1124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1302</v>
      </c>
      <c r="G356" s="283" t="s">
        <v>1742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2011</v>
      </c>
      <c r="G357" s="283" t="s">
        <v>1742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1786</v>
      </c>
      <c r="G358" s="283" t="s">
        <v>1742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2302</v>
      </c>
      <c r="G359" s="283" t="s">
        <v>1491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2302</v>
      </c>
      <c r="G360" s="283" t="s">
        <v>1124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1440</v>
      </c>
      <c r="G361" s="283" t="s">
        <v>2087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1973</v>
      </c>
      <c r="G362" s="283" t="s">
        <v>1200</v>
      </c>
      <c r="H362" s="262" t="s">
        <v>1748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1594</v>
      </c>
      <c r="G363" s="283" t="s">
        <v>4023</v>
      </c>
      <c r="H363" s="262" t="s">
        <v>1204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1450</v>
      </c>
      <c r="G364" s="283" t="s">
        <v>2122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1450</v>
      </c>
      <c r="G365" s="283" t="s">
        <v>2123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1145</v>
      </c>
      <c r="G366" s="283" t="s">
        <v>2125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2129</v>
      </c>
      <c r="G367" s="283" t="s">
        <v>1640</v>
      </c>
      <c r="H367" s="262" t="s">
        <v>1198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1395</v>
      </c>
      <c r="G368" s="283" t="s">
        <v>2133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2129</v>
      </c>
      <c r="G369" s="283" t="s">
        <v>1124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1594</v>
      </c>
      <c r="G370" s="283" t="s">
        <v>1124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1445</v>
      </c>
      <c r="G371" s="283" t="s">
        <v>1138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1445</v>
      </c>
      <c r="G372" s="283" t="s">
        <v>2087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1927</v>
      </c>
      <c r="G373" s="283" t="s">
        <v>2087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1927</v>
      </c>
      <c r="G374" s="283" t="s">
        <v>1545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1326</v>
      </c>
      <c r="G375" s="283" t="s">
        <v>2159</v>
      </c>
      <c r="H375" s="262" t="s">
        <v>2158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1786</v>
      </c>
      <c r="G376" s="283" t="s">
        <v>4023</v>
      </c>
      <c r="H376" s="262" t="s">
        <v>1204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2141</v>
      </c>
      <c r="G377" s="283" t="s">
        <v>1699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2145</v>
      </c>
      <c r="G378" s="283" t="s">
        <v>1713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1395</v>
      </c>
      <c r="G379" s="283" t="s">
        <v>2148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1302</v>
      </c>
      <c r="G380" s="283" t="s">
        <v>2151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2141</v>
      </c>
      <c r="G381" s="283" t="s">
        <v>1124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1667</v>
      </c>
      <c r="G382" s="283" t="s">
        <v>2154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1374</v>
      </c>
      <c r="G383" s="283" t="s">
        <v>2156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1973</v>
      </c>
      <c r="G384" s="283" t="s">
        <v>1124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1374</v>
      </c>
      <c r="G385" s="283" t="s">
        <v>1124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1718</v>
      </c>
      <c r="G386" s="283" t="s">
        <v>2033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1718</v>
      </c>
      <c r="G387" s="283" t="s">
        <v>2160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1445</v>
      </c>
      <c r="G388" s="283" t="s">
        <v>1124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1302</v>
      </c>
      <c r="G389" s="283" t="s">
        <v>1124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2167</v>
      </c>
      <c r="G390" s="283" t="s">
        <v>1128</v>
      </c>
      <c r="H390" s="262" t="s">
        <v>1460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1018</v>
      </c>
      <c r="G391" s="283" t="s">
        <v>2517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1786</v>
      </c>
      <c r="G392" s="283" t="s">
        <v>1739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1594</v>
      </c>
      <c r="G393" s="283" t="s">
        <v>1200</v>
      </c>
      <c r="H393" s="262" t="s">
        <v>1357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1594</v>
      </c>
      <c r="G394" s="283" t="s">
        <v>1124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1576</v>
      </c>
      <c r="G395" s="283" t="s">
        <v>2183</v>
      </c>
      <c r="H395" s="262" t="s">
        <v>1204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2085</v>
      </c>
      <c r="G396" s="283" t="s">
        <v>2176</v>
      </c>
      <c r="H396" s="262" t="s">
        <v>1198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2085</v>
      </c>
      <c r="G397" s="283" t="s">
        <v>2177</v>
      </c>
      <c r="H397" s="262" t="s">
        <v>1799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2085</v>
      </c>
      <c r="G398" s="283" t="s">
        <v>1124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1537</v>
      </c>
      <c r="G399" s="283" t="s">
        <v>2006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2097</v>
      </c>
      <c r="G400" s="283" t="s">
        <v>1124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1743</v>
      </c>
      <c r="G401" s="283" t="s">
        <v>2186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2211</v>
      </c>
      <c r="G402" s="283" t="s">
        <v>2209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1866</v>
      </c>
      <c r="G403" s="283" t="s">
        <v>2176</v>
      </c>
      <c r="H403" s="262" t="s">
        <v>1198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1866</v>
      </c>
      <c r="G404" s="283" t="s">
        <v>2177</v>
      </c>
      <c r="H404" s="262" t="s">
        <v>1799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1866</v>
      </c>
      <c r="G405" s="283" t="s">
        <v>4024</v>
      </c>
      <c r="H405" s="262" t="s">
        <v>2213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1866</v>
      </c>
      <c r="G406" s="283" t="s">
        <v>1124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2091</v>
      </c>
      <c r="G407" s="283" t="s">
        <v>4024</v>
      </c>
      <c r="H407" s="262" t="s">
        <v>2213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1927</v>
      </c>
      <c r="G408" s="283" t="s">
        <v>1124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1743</v>
      </c>
      <c r="G409" s="283" t="s">
        <v>2186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1743</v>
      </c>
      <c r="G410" s="283" t="s">
        <v>2184</v>
      </c>
      <c r="H410" s="262" t="s">
        <v>1255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1743</v>
      </c>
      <c r="G411" s="283" t="s">
        <v>2188</v>
      </c>
      <c r="H411" s="262" t="s">
        <v>1818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1866</v>
      </c>
      <c r="G412" s="283" t="s">
        <v>2224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1866</v>
      </c>
      <c r="G413" s="283" t="s">
        <v>1124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1843</v>
      </c>
      <c r="G414" s="283" t="s">
        <v>2226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1743</v>
      </c>
      <c r="G415" s="283" t="s">
        <v>1515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1743</v>
      </c>
      <c r="G416" s="283" t="s">
        <v>1531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1053</v>
      </c>
      <c r="G417" s="283" t="s">
        <v>1531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1285</v>
      </c>
      <c r="G418" s="283" t="s">
        <v>2240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1281</v>
      </c>
      <c r="G419" s="283" t="s">
        <v>2251</v>
      </c>
      <c r="H419" s="262" t="s">
        <v>2250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1843</v>
      </c>
      <c r="G420" s="283" t="s">
        <v>1742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1667</v>
      </c>
      <c r="G421" s="283" t="s">
        <v>1124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1465</v>
      </c>
      <c r="G422" s="283" t="s">
        <v>1124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1718</v>
      </c>
      <c r="G423" s="283" t="s">
        <v>2176</v>
      </c>
      <c r="H423" s="262" t="s">
        <v>1198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1718</v>
      </c>
      <c r="G424" s="283" t="s">
        <v>2177</v>
      </c>
      <c r="H424" s="262" t="s">
        <v>1799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1718</v>
      </c>
      <c r="G425" s="283" t="s">
        <v>2179</v>
      </c>
      <c r="H425" s="262" t="s">
        <v>1716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1718</v>
      </c>
      <c r="G426" s="283" t="s">
        <v>2237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1387</v>
      </c>
      <c r="G427" s="283" t="s">
        <v>2033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1440</v>
      </c>
      <c r="G428" s="283" t="s">
        <v>2241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1145</v>
      </c>
      <c r="G429" s="283" t="s">
        <v>2242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1053</v>
      </c>
      <c r="G430" s="283" t="s">
        <v>1200</v>
      </c>
      <c r="H430" s="262" t="s">
        <v>1748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1053</v>
      </c>
      <c r="G431" s="283" t="s">
        <v>1124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1015</v>
      </c>
      <c r="G432" s="283" t="s">
        <v>2182</v>
      </c>
      <c r="H432" s="262" t="s">
        <v>1197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1283</v>
      </c>
      <c r="G433" s="283" t="s">
        <v>1642</v>
      </c>
      <c r="H433" s="262" t="s">
        <v>2343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1857</v>
      </c>
      <c r="G434" s="283" t="s">
        <v>2182</v>
      </c>
      <c r="H434" s="262" t="s">
        <v>1197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2091</v>
      </c>
      <c r="G435" s="283" t="s">
        <v>1124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2235</v>
      </c>
      <c r="G436" s="283" t="s">
        <v>1124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1387</v>
      </c>
      <c r="G437" s="283" t="s">
        <v>1124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1550</v>
      </c>
      <c r="G438" s="283" t="s">
        <v>2252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2254</v>
      </c>
      <c r="G439" s="283" t="s">
        <v>2174</v>
      </c>
      <c r="H439" s="262" t="s">
        <v>1460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1667</v>
      </c>
      <c r="G440" s="283" t="s">
        <v>2198</v>
      </c>
      <c r="H440" s="262" t="s">
        <v>1952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1667</v>
      </c>
      <c r="G441" s="283" t="s">
        <v>2177</v>
      </c>
      <c r="H441" s="262" t="s">
        <v>1799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1667</v>
      </c>
      <c r="G442" s="283" t="s">
        <v>2199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2257</v>
      </c>
      <c r="G443" s="283" t="s">
        <v>2176</v>
      </c>
      <c r="H443" s="262" t="s">
        <v>1198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2257</v>
      </c>
      <c r="G444" s="283" t="s">
        <v>2177</v>
      </c>
      <c r="H444" s="262" t="s">
        <v>1799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1857</v>
      </c>
      <c r="G445" s="283" t="s">
        <v>2176</v>
      </c>
      <c r="H445" s="262" t="s">
        <v>1198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1857</v>
      </c>
      <c r="G446" s="283" t="s">
        <v>2177</v>
      </c>
      <c r="H446" s="262" t="s">
        <v>1799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2257</v>
      </c>
      <c r="G447" s="283" t="s">
        <v>1124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2254</v>
      </c>
      <c r="G448" s="283" t="s">
        <v>1124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1450</v>
      </c>
      <c r="G449" s="283" t="s">
        <v>1124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1007</v>
      </c>
      <c r="G450" s="283" t="s">
        <v>1124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1395</v>
      </c>
      <c r="G451" s="283" t="s">
        <v>1699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1053</v>
      </c>
      <c r="G452" s="283" t="s">
        <v>1531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1550</v>
      </c>
      <c r="G453" s="283" t="s">
        <v>1262</v>
      </c>
      <c r="H453" s="262" t="s">
        <v>1261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1445</v>
      </c>
      <c r="G454" s="283" t="s">
        <v>2263</v>
      </c>
      <c r="H454" s="262" t="s">
        <v>1195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1475</v>
      </c>
      <c r="G455" s="283" t="s">
        <v>1739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1053</v>
      </c>
      <c r="G456" s="283" t="s">
        <v>1124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1445</v>
      </c>
      <c r="G457" s="283" t="s">
        <v>1124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1053</v>
      </c>
      <c r="G458" s="283" t="s">
        <v>1202</v>
      </c>
      <c r="H458" s="262" t="s">
        <v>1201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2273</v>
      </c>
      <c r="G459" s="283" t="s">
        <v>1715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1718</v>
      </c>
      <c r="G460" s="283" t="s">
        <v>2517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1448</v>
      </c>
      <c r="G461" s="283" t="s">
        <v>1740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1018</v>
      </c>
      <c r="G462" s="283" t="s">
        <v>2517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1018</v>
      </c>
      <c r="G463" s="283" t="s">
        <v>2186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1018</v>
      </c>
      <c r="G464" s="283" t="s">
        <v>2180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1018</v>
      </c>
      <c r="G465" s="283" t="s">
        <v>2188</v>
      </c>
      <c r="H465" s="262" t="s">
        <v>1818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1540</v>
      </c>
      <c r="G466" s="283" t="s">
        <v>2286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1540</v>
      </c>
      <c r="G467" s="283" t="s">
        <v>1742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1550</v>
      </c>
      <c r="G468" s="283" t="s">
        <v>1124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2288</v>
      </c>
      <c r="G469" s="283" t="s">
        <v>2193</v>
      </c>
      <c r="H469" s="262" t="s">
        <v>1195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2288</v>
      </c>
      <c r="G470" s="283" t="s">
        <v>1124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1145</v>
      </c>
      <c r="G471" s="283" t="s">
        <v>1124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1395</v>
      </c>
      <c r="G472" s="283" t="s">
        <v>1739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1550</v>
      </c>
      <c r="G473" s="283" t="s">
        <v>1124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1667</v>
      </c>
      <c r="G474" s="283" t="s">
        <v>1124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1015</v>
      </c>
      <c r="G475" s="283" t="s">
        <v>1124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1573</v>
      </c>
      <c r="G476" s="283" t="s">
        <v>2183</v>
      </c>
      <c r="H476" s="262" t="s">
        <v>1204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1573</v>
      </c>
      <c r="G477" s="283" t="s">
        <v>2186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1573</v>
      </c>
      <c r="G478" s="283" t="s">
        <v>2187</v>
      </c>
      <c r="H478" s="262" t="s">
        <v>1791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2302</v>
      </c>
      <c r="G479" s="283" t="s">
        <v>2295</v>
      </c>
      <c r="H479" s="262" t="s">
        <v>1748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2302</v>
      </c>
      <c r="G480" s="283" t="s">
        <v>1492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1018</v>
      </c>
      <c r="G481" s="283" t="s">
        <v>2184</v>
      </c>
      <c r="H481" s="262" t="s">
        <v>1255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1667</v>
      </c>
      <c r="G482" s="283" t="s">
        <v>1492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1857</v>
      </c>
      <c r="G483" s="283" t="s">
        <v>1124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1582</v>
      </c>
      <c r="G484" s="283" t="s">
        <v>2174</v>
      </c>
      <c r="H484" s="262" t="s">
        <v>1460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2302</v>
      </c>
      <c r="G485" s="283" t="s">
        <v>1124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1667</v>
      </c>
      <c r="G486" s="283" t="s">
        <v>1124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1475</v>
      </c>
      <c r="G487" s="283" t="s">
        <v>1755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1576</v>
      </c>
      <c r="G488" s="283" t="s">
        <v>1124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1718</v>
      </c>
      <c r="G489" s="283" t="s">
        <v>1740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1573</v>
      </c>
      <c r="G490" s="283" t="s">
        <v>1531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1786</v>
      </c>
      <c r="G491" s="283" t="s">
        <v>1124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1053</v>
      </c>
      <c r="G492" s="283" t="s">
        <v>1124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1369</v>
      </c>
      <c r="G493" s="283" t="s">
        <v>1739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1537</v>
      </c>
      <c r="G494" s="283" t="s">
        <v>1130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1537</v>
      </c>
      <c r="G495" s="283" t="s">
        <v>2312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2144</v>
      </c>
      <c r="G496" s="283" t="s">
        <v>1851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1395</v>
      </c>
      <c r="G497" s="283" t="s">
        <v>2314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1743</v>
      </c>
      <c r="G498" s="283" t="s">
        <v>1124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1582</v>
      </c>
      <c r="G499" s="283" t="s">
        <v>1124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1890</v>
      </c>
      <c r="G500" s="283" t="s">
        <v>2316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1053</v>
      </c>
      <c r="G501" s="283" t="s">
        <v>2039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2315</v>
      </c>
      <c r="G502" s="283" t="s">
        <v>2193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2315</v>
      </c>
      <c r="G503" s="283" t="s">
        <v>1124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2317</v>
      </c>
      <c r="G504" s="283" t="s">
        <v>1713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1890</v>
      </c>
      <c r="G505" s="283" t="s">
        <v>1124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2272</v>
      </c>
      <c r="G506" s="283" t="s">
        <v>1124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2317</v>
      </c>
      <c r="G507" s="283" t="s">
        <v>1124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1743</v>
      </c>
      <c r="G508" s="283" t="s">
        <v>2295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1743</v>
      </c>
      <c r="G509" s="283" t="s">
        <v>1492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1743</v>
      </c>
      <c r="G510" s="283" t="s">
        <v>1515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1387</v>
      </c>
      <c r="G511" s="283" t="s">
        <v>2517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1395</v>
      </c>
      <c r="G512" s="283" t="s">
        <v>2023</v>
      </c>
      <c r="H512" s="262" t="s">
        <v>1212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1537</v>
      </c>
      <c r="G513" s="283" t="s">
        <v>1124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2347</v>
      </c>
      <c r="G514" s="283" t="s">
        <v>1719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1053</v>
      </c>
      <c r="G515" s="283" t="s">
        <v>1200</v>
      </c>
      <c r="H515" s="262" t="s">
        <v>1748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2211</v>
      </c>
      <c r="G516" s="283" t="s">
        <v>3066</v>
      </c>
      <c r="H516" s="262" t="s">
        <v>2323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2097</v>
      </c>
      <c r="G517" s="283" t="s">
        <v>1200</v>
      </c>
      <c r="H517" s="262" t="s">
        <v>1748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2097</v>
      </c>
      <c r="G518" s="283" t="s">
        <v>2333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1743</v>
      </c>
      <c r="G519" s="283" t="s">
        <v>1124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2109</v>
      </c>
      <c r="G520" s="283" t="s">
        <v>1124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1234</v>
      </c>
      <c r="G521" s="283" t="s">
        <v>2338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1302</v>
      </c>
      <c r="G522" s="283" t="s">
        <v>2174</v>
      </c>
      <c r="H522" s="262" t="s">
        <v>1460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1576</v>
      </c>
      <c r="G523" s="283" t="s">
        <v>2052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1369</v>
      </c>
      <c r="G524" s="283" t="s">
        <v>1124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1332</v>
      </c>
      <c r="G525" s="283" t="s">
        <v>1811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1573</v>
      </c>
      <c r="G526" s="283" t="s">
        <v>1742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1448</v>
      </c>
      <c r="G527" s="283" t="s">
        <v>1742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2328</v>
      </c>
      <c r="G528" s="283" t="s">
        <v>1742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1387</v>
      </c>
      <c r="G529" s="283" t="s">
        <v>1742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1475</v>
      </c>
      <c r="G530" s="283" t="s">
        <v>1742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1302</v>
      </c>
      <c r="G531" s="283" t="s">
        <v>1124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2356</v>
      </c>
      <c r="G532" s="283" t="s">
        <v>1215</v>
      </c>
      <c r="H532" s="262" t="s">
        <v>2158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1537</v>
      </c>
      <c r="G533" s="283" t="s">
        <v>1262</v>
      </c>
      <c r="H533" s="262" t="s">
        <v>1261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2288</v>
      </c>
      <c r="G534" s="283" t="s">
        <v>2183</v>
      </c>
      <c r="H534" s="262" t="s">
        <v>1204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2288</v>
      </c>
      <c r="G535" s="283" t="s">
        <v>2186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2288</v>
      </c>
      <c r="G536" s="283" t="s">
        <v>1124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1452</v>
      </c>
      <c r="G537" s="283" t="s">
        <v>1713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1395</v>
      </c>
      <c r="G538" s="283" t="s">
        <v>1124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1537</v>
      </c>
      <c r="G539" s="283" t="s">
        <v>1200</v>
      </c>
      <c r="H539" s="262" t="s">
        <v>1748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1537</v>
      </c>
      <c r="G540" s="283" t="s">
        <v>1492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1537</v>
      </c>
      <c r="G541" s="283" t="s">
        <v>1699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2254</v>
      </c>
      <c r="G542" s="283" t="s">
        <v>2192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987</v>
      </c>
      <c r="G543" s="283" t="s">
        <v>1124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1279</v>
      </c>
      <c r="G544" s="283" t="s">
        <v>2382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1445</v>
      </c>
      <c r="G545" s="283" t="s">
        <v>2358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2370</v>
      </c>
      <c r="G546" s="283" t="s">
        <v>2369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1445</v>
      </c>
      <c r="G547" s="283" t="s">
        <v>1124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1015</v>
      </c>
      <c r="G548" s="283" t="s">
        <v>1124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1594</v>
      </c>
      <c r="G549" s="283" t="s">
        <v>2192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2376</v>
      </c>
      <c r="G550" s="283" t="s">
        <v>1254</v>
      </c>
      <c r="H550" s="262" t="s">
        <v>1253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1452</v>
      </c>
      <c r="G551" s="283" t="s">
        <v>1124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2381</v>
      </c>
      <c r="G552" s="283" t="s">
        <v>1124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2375</v>
      </c>
      <c r="G553" s="283" t="s">
        <v>1124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1576</v>
      </c>
      <c r="G554" s="283" t="s">
        <v>1531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1576</v>
      </c>
      <c r="G555" s="283" t="s">
        <v>1545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1718</v>
      </c>
      <c r="G556" s="283" t="s">
        <v>1124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1718</v>
      </c>
      <c r="G557" s="283" t="s">
        <v>2384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1537</v>
      </c>
      <c r="G558" s="283" t="s">
        <v>2183</v>
      </c>
      <c r="H558" s="262" t="s">
        <v>1204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1537</v>
      </c>
      <c r="G559" s="283" t="s">
        <v>2186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1537</v>
      </c>
      <c r="G560" s="283" t="s">
        <v>2184</v>
      </c>
      <c r="H560" s="262" t="s">
        <v>1255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1537</v>
      </c>
      <c r="G561" s="283" t="s">
        <v>2188</v>
      </c>
      <c r="H561" s="262" t="s">
        <v>1818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1537</v>
      </c>
      <c r="G562" s="283" t="s">
        <v>2187</v>
      </c>
      <c r="H562" s="262" t="s">
        <v>1791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1594</v>
      </c>
      <c r="G563" s="283" t="s">
        <v>1124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1452</v>
      </c>
      <c r="G564" s="283" t="s">
        <v>1713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1145</v>
      </c>
      <c r="G565" s="283" t="s">
        <v>2391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1145</v>
      </c>
      <c r="G566" s="283" t="s">
        <v>2187</v>
      </c>
      <c r="H566" s="262" t="s">
        <v>1791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1145</v>
      </c>
      <c r="G567" s="283" t="s">
        <v>2190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1145</v>
      </c>
      <c r="G568" s="283" t="s">
        <v>2392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1576</v>
      </c>
      <c r="G569" s="283" t="s">
        <v>1124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2400</v>
      </c>
      <c r="G570" s="283" t="s">
        <v>2399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1718</v>
      </c>
      <c r="G571" s="283" t="s">
        <v>2183</v>
      </c>
      <c r="H571" s="262" t="s">
        <v>1204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1058</v>
      </c>
      <c r="G572" s="283" t="s">
        <v>2424</v>
      </c>
      <c r="H572" s="262" t="s">
        <v>1211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2356</v>
      </c>
      <c r="G573" s="283" t="s">
        <v>2251</v>
      </c>
      <c r="H573" s="262" t="s">
        <v>2250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2356</v>
      </c>
      <c r="G574" s="283" t="s">
        <v>2051</v>
      </c>
      <c r="H574" s="262" t="s">
        <v>2429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1145</v>
      </c>
      <c r="G575" s="283" t="s">
        <v>2408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1145</v>
      </c>
      <c r="G576" s="283" t="s">
        <v>1870</v>
      </c>
      <c r="H576" s="262" t="s">
        <v>2409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1718</v>
      </c>
      <c r="G577" s="283" t="s">
        <v>1739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1018</v>
      </c>
      <c r="G578" s="283" t="s">
        <v>2413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1440</v>
      </c>
      <c r="G579" s="283" t="s">
        <v>2192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1395</v>
      </c>
      <c r="G580" s="283" t="s">
        <v>2192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1576</v>
      </c>
      <c r="G581" s="283" t="s">
        <v>2183</v>
      </c>
      <c r="H581" s="262" t="s">
        <v>1204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1576</v>
      </c>
      <c r="G582" s="283" t="s">
        <v>2184</v>
      </c>
      <c r="H582" s="262" t="s">
        <v>1255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1270</v>
      </c>
      <c r="G583" s="283" t="s">
        <v>2430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1573</v>
      </c>
      <c r="G584" s="283" t="s">
        <v>2418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1573</v>
      </c>
      <c r="G585" s="283" t="s">
        <v>2420</v>
      </c>
      <c r="H585" s="262" t="s">
        <v>2419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1573</v>
      </c>
      <c r="G586" s="283" t="s">
        <v>2422</v>
      </c>
      <c r="H586" s="262" t="s">
        <v>2421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1573</v>
      </c>
      <c r="G587" s="283" t="s">
        <v>2188</v>
      </c>
      <c r="H587" s="262" t="s">
        <v>1818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2405</v>
      </c>
      <c r="G588" s="283" t="s">
        <v>1124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1440</v>
      </c>
      <c r="G589" s="283" t="s">
        <v>2425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1440</v>
      </c>
      <c r="G590" s="283" t="s">
        <v>2426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1440</v>
      </c>
      <c r="G591" s="283" t="s">
        <v>2427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1440</v>
      </c>
      <c r="G592" s="283" t="s">
        <v>2428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987</v>
      </c>
      <c r="G593" s="283" t="s">
        <v>1124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2254</v>
      </c>
      <c r="G594" s="283" t="s">
        <v>1124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1053</v>
      </c>
      <c r="G595" s="283" t="s">
        <v>1124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1395</v>
      </c>
      <c r="G596" s="283" t="s">
        <v>2335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2097</v>
      </c>
      <c r="G597" s="283" t="s">
        <v>1124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1592</v>
      </c>
      <c r="G598" s="283" t="s">
        <v>1124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2360</v>
      </c>
      <c r="G599" s="283" t="s">
        <v>2446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1743</v>
      </c>
      <c r="G600" s="283" t="s">
        <v>2186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1743</v>
      </c>
      <c r="G601" s="283" t="s">
        <v>2184</v>
      </c>
      <c r="H601" s="262" t="s">
        <v>1255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1298</v>
      </c>
      <c r="G602" s="283" t="s">
        <v>2717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1302</v>
      </c>
      <c r="G603" s="283" t="s">
        <v>2450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1302</v>
      </c>
      <c r="G604" s="283" t="s">
        <v>2100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1573</v>
      </c>
      <c r="G605" s="283" t="s">
        <v>2572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1573</v>
      </c>
      <c r="G606" s="283" t="s">
        <v>1515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1440</v>
      </c>
      <c r="G607" s="283" t="s">
        <v>2453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2315</v>
      </c>
      <c r="G608" s="283" t="s">
        <v>2455</v>
      </c>
      <c r="H608" s="262" t="s">
        <v>1195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1890</v>
      </c>
      <c r="G609" s="283" t="s">
        <v>1200</v>
      </c>
      <c r="H609" s="262" t="s">
        <v>1357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1440</v>
      </c>
      <c r="G610" s="283" t="s">
        <v>2458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1452</v>
      </c>
      <c r="G611" s="283" t="s">
        <v>1124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2460</v>
      </c>
      <c r="G612" s="283" t="s">
        <v>2461</v>
      </c>
      <c r="H612" s="262" t="s">
        <v>1208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1302</v>
      </c>
      <c r="G613" s="283" t="s">
        <v>1124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1018</v>
      </c>
      <c r="G614" s="283" t="s">
        <v>1124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2471</v>
      </c>
      <c r="G615" s="283" t="s">
        <v>1200</v>
      </c>
      <c r="H615" s="262" t="s">
        <v>1748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1448</v>
      </c>
      <c r="G616" s="283" t="s">
        <v>1202</v>
      </c>
      <c r="H616" s="262" t="s">
        <v>1201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1369</v>
      </c>
      <c r="G617" s="283" t="s">
        <v>1732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2462</v>
      </c>
      <c r="G618" s="283" t="s">
        <v>1713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1445</v>
      </c>
      <c r="G619" s="283" t="s">
        <v>1200</v>
      </c>
      <c r="H619" s="262" t="s">
        <v>1748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2360</v>
      </c>
      <c r="G620" s="283" t="s">
        <v>1124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2462</v>
      </c>
      <c r="G621" s="283" t="s">
        <v>1124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2315</v>
      </c>
      <c r="G622" s="283" t="s">
        <v>1124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1445</v>
      </c>
      <c r="G623" s="283" t="s">
        <v>1124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1484</v>
      </c>
      <c r="G624" s="283" t="s">
        <v>2176</v>
      </c>
      <c r="H624" s="262" t="s">
        <v>1198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1484</v>
      </c>
      <c r="G625" s="283" t="s">
        <v>2177</v>
      </c>
      <c r="H625" s="262" t="s">
        <v>1799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1469</v>
      </c>
      <c r="G626" s="283" t="s">
        <v>2192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1475</v>
      </c>
      <c r="G627" s="283" t="s">
        <v>1202</v>
      </c>
      <c r="H627" s="262" t="s">
        <v>1201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2471</v>
      </c>
      <c r="G628" s="283" t="s">
        <v>1124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2144</v>
      </c>
      <c r="G629" s="283" t="s">
        <v>1124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2481</v>
      </c>
      <c r="G630" s="283" t="s">
        <v>1713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1890</v>
      </c>
      <c r="G631" s="283" t="s">
        <v>1124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1082</v>
      </c>
      <c r="G632" s="283" t="s">
        <v>1124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1018</v>
      </c>
      <c r="G633" s="283" t="s">
        <v>2187</v>
      </c>
      <c r="H633" s="262" t="s">
        <v>1791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1018</v>
      </c>
      <c r="G634" s="283" t="s">
        <v>2188</v>
      </c>
      <c r="H634" s="262" t="s">
        <v>1818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1805</v>
      </c>
      <c r="G635" s="283" t="s">
        <v>2174</v>
      </c>
      <c r="H635" s="262" t="s">
        <v>1460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1976</v>
      </c>
      <c r="G636" s="283" t="s">
        <v>2182</v>
      </c>
      <c r="H636" s="262" t="s">
        <v>1197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2491</v>
      </c>
      <c r="G637" s="283" t="s">
        <v>2176</v>
      </c>
      <c r="H637" s="262" t="s">
        <v>1198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2491</v>
      </c>
      <c r="G638" s="283" t="s">
        <v>2177</v>
      </c>
      <c r="H638" s="262" t="s">
        <v>1799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1326</v>
      </c>
      <c r="G639" s="283" t="s">
        <v>2683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1465</v>
      </c>
      <c r="G640" s="283" t="s">
        <v>2495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1490</v>
      </c>
      <c r="G641" s="283" t="s">
        <v>2295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1490</v>
      </c>
      <c r="G642" s="283" t="s">
        <v>1492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2491</v>
      </c>
      <c r="G643" s="283" t="s">
        <v>1124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1976</v>
      </c>
      <c r="G644" s="283" t="s">
        <v>1124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1395</v>
      </c>
      <c r="G645" s="283" t="s">
        <v>1739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2481</v>
      </c>
      <c r="G646" s="283" t="s">
        <v>1124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1537</v>
      </c>
      <c r="G647" s="283" t="s">
        <v>1739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1046</v>
      </c>
      <c r="G648" s="283" t="s">
        <v>1124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1450</v>
      </c>
      <c r="G649" s="283" t="s">
        <v>2123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1490</v>
      </c>
      <c r="G650" s="283" t="s">
        <v>1124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1018</v>
      </c>
      <c r="G651" s="283" t="s">
        <v>1557</v>
      </c>
      <c r="H651" s="262" t="s">
        <v>1764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1018</v>
      </c>
      <c r="G652" s="283" t="s">
        <v>2506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2695</v>
      </c>
      <c r="G653" s="283" t="s">
        <v>2696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1018</v>
      </c>
      <c r="G654" s="283" t="s">
        <v>1733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1395</v>
      </c>
      <c r="G655" s="283" t="s">
        <v>1739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1465</v>
      </c>
      <c r="G656" s="283" t="s">
        <v>1124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1475</v>
      </c>
      <c r="G657" s="283" t="s">
        <v>1124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1374</v>
      </c>
      <c r="G658" s="283" t="s">
        <v>1200</v>
      </c>
      <c r="H658" s="262" t="s">
        <v>1748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1374</v>
      </c>
      <c r="G659" s="283" t="s">
        <v>1492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1374</v>
      </c>
      <c r="G660" s="283" t="s">
        <v>1515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1374</v>
      </c>
      <c r="G661" s="283" t="s">
        <v>1124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1537</v>
      </c>
      <c r="G662" s="283" t="s">
        <v>2550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1537</v>
      </c>
      <c r="G663" s="283" t="s">
        <v>2552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1395</v>
      </c>
      <c r="G664" s="283" t="s">
        <v>1739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2553</v>
      </c>
      <c r="G665" s="283" t="s">
        <v>2174</v>
      </c>
      <c r="H665" s="262" t="s">
        <v>1460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2553</v>
      </c>
      <c r="G666" s="283" t="s">
        <v>1124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1448</v>
      </c>
      <c r="G667" s="283" t="s">
        <v>1124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2695</v>
      </c>
      <c r="G668" s="283" t="s">
        <v>1823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1395</v>
      </c>
      <c r="G669" s="283" t="s">
        <v>2561</v>
      </c>
      <c r="H669" s="262" t="s">
        <v>2560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1301</v>
      </c>
      <c r="G670" s="283" t="s">
        <v>2234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2773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1973</v>
      </c>
      <c r="G671" s="283" t="s">
        <v>2193</v>
      </c>
      <c r="H671" s="262" t="s">
        <v>1195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1973</v>
      </c>
      <c r="G672" s="283" t="s">
        <v>1515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1973</v>
      </c>
      <c r="G673" s="283" t="s">
        <v>2193</v>
      </c>
      <c r="H673" s="262" t="s">
        <v>1195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2288</v>
      </c>
      <c r="G674" s="283" t="s">
        <v>2033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2288</v>
      </c>
      <c r="G675" s="283" t="s">
        <v>1124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1450</v>
      </c>
      <c r="G676" s="283" t="s">
        <v>1124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1973</v>
      </c>
      <c r="G677" s="283" t="s">
        <v>1124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1718</v>
      </c>
      <c r="G678" s="283" t="s">
        <v>2325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1395</v>
      </c>
      <c r="G679" s="283" t="s">
        <v>1200</v>
      </c>
      <c r="H679" s="262" t="s">
        <v>1748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1395</v>
      </c>
      <c r="G680" s="283" t="s">
        <v>1846</v>
      </c>
      <c r="H680" s="262" t="s">
        <v>1845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1973</v>
      </c>
      <c r="G681" s="283" t="s">
        <v>2572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1445</v>
      </c>
      <c r="G682" s="283" t="s">
        <v>1200</v>
      </c>
      <c r="H682" s="262" t="s">
        <v>1748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2553</v>
      </c>
      <c r="G683" s="283" t="s">
        <v>1200</v>
      </c>
      <c r="H683" s="262" t="s">
        <v>1748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2553</v>
      </c>
      <c r="G684" s="283" t="s">
        <v>1124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1395</v>
      </c>
      <c r="G685" s="283" t="s">
        <v>2176</v>
      </c>
      <c r="H685" s="262" t="s">
        <v>1198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1395</v>
      </c>
      <c r="G686" s="283" t="s">
        <v>2177</v>
      </c>
      <c r="H686" s="262" t="s">
        <v>1799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1440</v>
      </c>
      <c r="G687" s="283" t="s">
        <v>2174</v>
      </c>
      <c r="H687" s="262" t="s">
        <v>1460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1332</v>
      </c>
      <c r="G688" s="283" t="s">
        <v>2652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2405</v>
      </c>
      <c r="G689" s="283" t="s">
        <v>2023</v>
      </c>
      <c r="H689" s="262" t="s">
        <v>1212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1573</v>
      </c>
      <c r="G690" s="283" t="s">
        <v>2582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1573</v>
      </c>
      <c r="G691" s="283" t="s">
        <v>1755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1573</v>
      </c>
      <c r="G692" s="283" t="s">
        <v>2108</v>
      </c>
      <c r="H692" s="262" t="s">
        <v>2577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1573</v>
      </c>
      <c r="G693" s="283" t="s">
        <v>2584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1973</v>
      </c>
      <c r="G694" s="283" t="s">
        <v>1124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1805</v>
      </c>
      <c r="G695" s="283" t="s">
        <v>1124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1317</v>
      </c>
      <c r="G696" s="283" t="s">
        <v>2251</v>
      </c>
      <c r="H696" s="262" t="s">
        <v>2250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1317</v>
      </c>
      <c r="G697" s="283" t="s">
        <v>2607</v>
      </c>
      <c r="H697" s="262" t="s">
        <v>1751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2405</v>
      </c>
      <c r="G698" s="283" t="s">
        <v>1124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1537</v>
      </c>
      <c r="G699" s="283" t="s">
        <v>1124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1576</v>
      </c>
      <c r="G700" s="283" t="s">
        <v>1200</v>
      </c>
      <c r="H700" s="262" t="s">
        <v>1748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1576</v>
      </c>
      <c r="G701" s="283" t="s">
        <v>1701</v>
      </c>
      <c r="H701" s="262" t="s">
        <v>1700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2211</v>
      </c>
      <c r="G702" s="283" t="s">
        <v>1215</v>
      </c>
      <c r="H702" s="262" t="s">
        <v>2158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2211</v>
      </c>
      <c r="G703" s="283" t="s">
        <v>2333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1537</v>
      </c>
      <c r="G704" s="283" t="s">
        <v>1200</v>
      </c>
      <c r="H704" s="262" t="s">
        <v>1748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1537</v>
      </c>
      <c r="G705" s="283" t="s">
        <v>1699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1537</v>
      </c>
      <c r="G706" s="283" t="s">
        <v>1492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2597</v>
      </c>
      <c r="G707" s="283" t="s">
        <v>1200</v>
      </c>
      <c r="H707" s="262" t="s">
        <v>1748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2597</v>
      </c>
      <c r="G708" s="283" t="s">
        <v>1515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1576</v>
      </c>
      <c r="G709" s="283" t="s">
        <v>1262</v>
      </c>
      <c r="H709" s="262" t="s">
        <v>1261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1445</v>
      </c>
      <c r="G710" s="283" t="s">
        <v>1124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1576</v>
      </c>
      <c r="G711" s="283" t="s">
        <v>1124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2605</v>
      </c>
      <c r="G712" s="283" t="s">
        <v>1713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2605</v>
      </c>
      <c r="G713" s="283" t="s">
        <v>1742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2592</v>
      </c>
      <c r="G714" s="283" t="s">
        <v>1124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1582</v>
      </c>
      <c r="G715" s="283" t="s">
        <v>1739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2667</v>
      </c>
      <c r="G716" s="283" t="s">
        <v>2668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1718</v>
      </c>
      <c r="G717" s="283" t="s">
        <v>2611</v>
      </c>
      <c r="H717" s="262" t="s">
        <v>2610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1743</v>
      </c>
      <c r="G718" s="283" t="s">
        <v>1124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2597</v>
      </c>
      <c r="G719" s="283" t="s">
        <v>1124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2613</v>
      </c>
      <c r="G720" s="283" t="s">
        <v>1202</v>
      </c>
      <c r="H720" s="262" t="s">
        <v>1559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2613</v>
      </c>
      <c r="G721" s="283" t="s">
        <v>1124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2618</v>
      </c>
      <c r="G722" s="283" t="s">
        <v>2617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983</v>
      </c>
      <c r="G723" s="283" t="s">
        <v>1683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1440</v>
      </c>
      <c r="G724" s="283" t="s">
        <v>2620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1145</v>
      </c>
      <c r="G725" s="283" t="s">
        <v>1492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1145</v>
      </c>
      <c r="G726" s="283" t="s">
        <v>2624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1576</v>
      </c>
      <c r="G727" s="283" t="s">
        <v>2176</v>
      </c>
      <c r="H727" s="262" t="s">
        <v>1198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1576</v>
      </c>
      <c r="G728" s="283" t="s">
        <v>2177</v>
      </c>
      <c r="H728" s="262" t="s">
        <v>1799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1301</v>
      </c>
      <c r="G729" s="283" t="s">
        <v>1215</v>
      </c>
      <c r="H729" s="262" t="s">
        <v>2158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1301</v>
      </c>
      <c r="G730" s="283" t="s">
        <v>2665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2627</v>
      </c>
      <c r="G731" s="283" t="s">
        <v>1492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1718</v>
      </c>
      <c r="G732" s="283" t="s">
        <v>2182</v>
      </c>
      <c r="H732" s="262" t="s">
        <v>1197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1537</v>
      </c>
      <c r="G733" s="283" t="s">
        <v>2177</v>
      </c>
      <c r="H733" s="262" t="s">
        <v>1799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1046</v>
      </c>
      <c r="G734" s="283" t="s">
        <v>2176</v>
      </c>
      <c r="H734" s="262" t="s">
        <v>1198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1046</v>
      </c>
      <c r="G735" s="283" t="s">
        <v>2177</v>
      </c>
      <c r="H735" s="262" t="s">
        <v>1799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979</v>
      </c>
      <c r="G736" s="283" t="s">
        <v>1577</v>
      </c>
      <c r="H736" s="262" t="s">
        <v>1919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1890</v>
      </c>
      <c r="G737" s="283" t="s">
        <v>1200</v>
      </c>
      <c r="H737" s="262" t="s">
        <v>1748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1309</v>
      </c>
      <c r="G738" s="283" t="s">
        <v>2649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2638</v>
      </c>
      <c r="G739" s="283" t="s">
        <v>2295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1594</v>
      </c>
      <c r="G740" s="283" t="s">
        <v>1124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1053</v>
      </c>
      <c r="G741" s="283" t="s">
        <v>1138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1582</v>
      </c>
      <c r="G742" s="283" t="s">
        <v>1739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2638</v>
      </c>
      <c r="G743" s="283" t="s">
        <v>1124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2627</v>
      </c>
      <c r="G744" s="283" t="s">
        <v>1124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1313</v>
      </c>
      <c r="G745" s="283" t="s">
        <v>2662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1326</v>
      </c>
      <c r="G746" s="283" t="s">
        <v>2658</v>
      </c>
      <c r="H746" s="262" t="s">
        <v>1729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1718</v>
      </c>
      <c r="G747" s="283" t="s">
        <v>2659</v>
      </c>
      <c r="H747" s="262" t="s">
        <v>1791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1395</v>
      </c>
      <c r="G748" s="283" t="s">
        <v>2176</v>
      </c>
      <c r="H748" s="262" t="s">
        <v>1198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1395</v>
      </c>
      <c r="G749" s="283" t="s">
        <v>2177</v>
      </c>
      <c r="H749" s="262" t="s">
        <v>1799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979</v>
      </c>
      <c r="G750" s="283" t="s">
        <v>1124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1395</v>
      </c>
      <c r="G751" s="283" t="s">
        <v>1699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1298</v>
      </c>
      <c r="G752" s="283" t="s">
        <v>2664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1015</v>
      </c>
      <c r="G753" s="283" t="s">
        <v>2666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2497</v>
      </c>
      <c r="G754" s="283" t="s">
        <v>1124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2471</v>
      </c>
      <c r="G755" s="283" t="s">
        <v>1124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1395</v>
      </c>
      <c r="G756" s="283" t="s">
        <v>2286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1053</v>
      </c>
      <c r="G757" s="283" t="s">
        <v>2198</v>
      </c>
      <c r="H757" s="262" t="s">
        <v>1952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1053</v>
      </c>
      <c r="G758" s="283" t="s">
        <v>2177</v>
      </c>
      <c r="H758" s="262" t="s">
        <v>1799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1053</v>
      </c>
      <c r="G759" s="283" t="s">
        <v>2675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1374</v>
      </c>
      <c r="G760" s="283" t="s">
        <v>1713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1374</v>
      </c>
      <c r="G761" s="283" t="s">
        <v>1851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1286</v>
      </c>
      <c r="G762" s="283" t="s">
        <v>2905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1053</v>
      </c>
      <c r="G763" s="283" t="s">
        <v>2176</v>
      </c>
      <c r="H763" s="262" t="s">
        <v>1198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1053</v>
      </c>
      <c r="G764" s="283" t="s">
        <v>2177</v>
      </c>
      <c r="H764" s="262" t="s">
        <v>1799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1053</v>
      </c>
      <c r="G765" s="283" t="s">
        <v>1124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1573</v>
      </c>
      <c r="G766" s="283" t="s">
        <v>1202</v>
      </c>
      <c r="H766" s="262" t="s">
        <v>1201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1469</v>
      </c>
      <c r="G767" s="283" t="s">
        <v>1124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1718</v>
      </c>
      <c r="G768" s="283" t="s">
        <v>1557</v>
      </c>
      <c r="H768" s="262" t="s">
        <v>2692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1469</v>
      </c>
      <c r="G769" s="283" t="s">
        <v>2192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1582</v>
      </c>
      <c r="G770" s="283" t="s">
        <v>1124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2288</v>
      </c>
      <c r="G771" s="283" t="s">
        <v>1740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2618</v>
      </c>
      <c r="G772" s="283" t="s">
        <v>1124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1332</v>
      </c>
      <c r="G773" s="283" t="s">
        <v>2251</v>
      </c>
      <c r="H773" s="262" t="s">
        <v>2250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1082</v>
      </c>
      <c r="G774" s="283" t="s">
        <v>2708</v>
      </c>
      <c r="H774" s="262" t="s">
        <v>2707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2714</v>
      </c>
      <c r="G775" s="283" t="s">
        <v>2333</v>
      </c>
      <c r="H775" s="262" t="s">
        <v>2715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1440</v>
      </c>
      <c r="G776" s="283" t="s">
        <v>2176</v>
      </c>
      <c r="H776" s="262" t="s">
        <v>1198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1440</v>
      </c>
      <c r="G777" s="283" t="s">
        <v>2177</v>
      </c>
      <c r="H777" s="262" t="s">
        <v>1799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1718</v>
      </c>
      <c r="G778" s="283" t="s">
        <v>2184</v>
      </c>
      <c r="H778" s="262" t="s">
        <v>1255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1976</v>
      </c>
      <c r="G779" s="283" t="s">
        <v>2176</v>
      </c>
      <c r="H779" s="262" t="s">
        <v>1198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1976</v>
      </c>
      <c r="G780" s="283" t="s">
        <v>2177</v>
      </c>
      <c r="H780" s="262" t="s">
        <v>1799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1463</v>
      </c>
      <c r="G781" s="283" t="s">
        <v>2174</v>
      </c>
      <c r="H781" s="262" t="s">
        <v>1460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2699</v>
      </c>
      <c r="G782" s="283" t="s">
        <v>1124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1890</v>
      </c>
      <c r="G783" s="283" t="s">
        <v>1124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2288</v>
      </c>
      <c r="G784" s="283" t="s">
        <v>1124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1537</v>
      </c>
      <c r="G785" s="283" t="s">
        <v>1124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1573</v>
      </c>
      <c r="G786" s="283" t="s">
        <v>1124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1576</v>
      </c>
      <c r="G787" s="283" t="s">
        <v>1124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1145</v>
      </c>
      <c r="G788" s="283" t="s">
        <v>1124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1294</v>
      </c>
      <c r="G789" s="283" t="s">
        <v>1666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1374</v>
      </c>
      <c r="G790" s="283" t="s">
        <v>2718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1046</v>
      </c>
      <c r="G791" s="283" t="s">
        <v>1124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2720</v>
      </c>
      <c r="G792" s="283" t="s">
        <v>2719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1475</v>
      </c>
      <c r="G793" s="283" t="s">
        <v>1740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1576</v>
      </c>
      <c r="G794" s="283" t="s">
        <v>1202</v>
      </c>
      <c r="H794" s="262" t="s">
        <v>1201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1369</v>
      </c>
      <c r="G795" s="283" t="s">
        <v>1742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1286</v>
      </c>
      <c r="G796" s="283" t="s">
        <v>2725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1395</v>
      </c>
      <c r="G797" s="283" t="s">
        <v>1124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1395</v>
      </c>
      <c r="G798" s="283" t="s">
        <v>2726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2727</v>
      </c>
      <c r="G799" s="283" t="s">
        <v>2338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1440</v>
      </c>
      <c r="G800" s="283" t="s">
        <v>1699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1440</v>
      </c>
      <c r="G801" s="283" t="s">
        <v>2662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2727</v>
      </c>
      <c r="G802" s="283" t="s">
        <v>1124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1976</v>
      </c>
      <c r="G803" s="283" t="s">
        <v>1124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2735</v>
      </c>
      <c r="G804" s="283" t="s">
        <v>2295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2737</v>
      </c>
      <c r="G805" s="283" t="s">
        <v>1200</v>
      </c>
      <c r="H805" s="262" t="s">
        <v>1748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2737</v>
      </c>
      <c r="G806" s="283" t="s">
        <v>2742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1576</v>
      </c>
      <c r="G807" s="283" t="s">
        <v>1124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1576</v>
      </c>
      <c r="G808" s="283" t="s">
        <v>1262</v>
      </c>
      <c r="H808" s="262" t="s">
        <v>1261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1957</v>
      </c>
      <c r="G809" s="283" t="s">
        <v>2176</v>
      </c>
      <c r="H809" s="262" t="s">
        <v>1198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1957</v>
      </c>
      <c r="G810" s="283" t="s">
        <v>2177</v>
      </c>
      <c r="H810" s="262" t="s">
        <v>1799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1957</v>
      </c>
      <c r="G811" s="283" t="s">
        <v>4024</v>
      </c>
      <c r="H811" s="262" t="s">
        <v>2213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1957</v>
      </c>
      <c r="G812" s="283" t="s">
        <v>2179</v>
      </c>
      <c r="H812" s="262" t="s">
        <v>1716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1324</v>
      </c>
      <c r="G813" s="283" t="s">
        <v>1215</v>
      </c>
      <c r="H813" s="262" t="s">
        <v>2158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1046</v>
      </c>
      <c r="G814" s="283" t="s">
        <v>2176</v>
      </c>
      <c r="H814" s="262" t="s">
        <v>1198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1046</v>
      </c>
      <c r="G815" s="283" t="s">
        <v>2177</v>
      </c>
      <c r="H815" s="262" t="s">
        <v>1799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2720</v>
      </c>
      <c r="G816" s="283" t="s">
        <v>1124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2757</v>
      </c>
      <c r="G817" s="283" t="s">
        <v>1557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1805</v>
      </c>
      <c r="G818" s="283" t="s">
        <v>1492</v>
      </c>
      <c r="H818" s="262" t="s">
        <v>2674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2257</v>
      </c>
      <c r="G819" s="283" t="s">
        <v>1200</v>
      </c>
      <c r="H819" s="262" t="s">
        <v>1748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1283</v>
      </c>
      <c r="G820" s="283" t="s">
        <v>1215</v>
      </c>
      <c r="H820" s="262" t="s">
        <v>2158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2757</v>
      </c>
      <c r="G821" s="283" t="s">
        <v>1124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2257</v>
      </c>
      <c r="G822" s="283" t="s">
        <v>1124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1957</v>
      </c>
      <c r="G823" s="283" t="s">
        <v>1124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2764</v>
      </c>
      <c r="G824" s="283" t="s">
        <v>2251</v>
      </c>
      <c r="H824" s="262" t="s">
        <v>2250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2764</v>
      </c>
      <c r="G825" s="283" t="s">
        <v>2607</v>
      </c>
      <c r="H825" s="262" t="s">
        <v>1751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1082</v>
      </c>
      <c r="G826" s="283" t="s">
        <v>1124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2767</v>
      </c>
      <c r="G827" s="283" t="s">
        <v>1124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1082</v>
      </c>
      <c r="G828" s="283" t="s">
        <v>2726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1594</v>
      </c>
      <c r="G829" s="283" t="s">
        <v>1200</v>
      </c>
      <c r="H829" s="262" t="s">
        <v>1748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1576</v>
      </c>
      <c r="G830" s="283" t="s">
        <v>1701</v>
      </c>
      <c r="H830" s="262" t="s">
        <v>1700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1286</v>
      </c>
      <c r="G831" s="283" t="s">
        <v>2572</v>
      </c>
      <c r="H831" s="262" t="s">
        <v>2571</v>
      </c>
      <c r="I831" s="258">
        <v>1500000</v>
      </c>
      <c r="J831" s="262">
        <v>1</v>
      </c>
      <c r="L831" s="259" t="s">
        <v>2902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1145</v>
      </c>
      <c r="G832" s="283" t="s">
        <v>1200</v>
      </c>
      <c r="H832" s="262" t="s">
        <v>1748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2735</v>
      </c>
      <c r="G833" s="283" t="s">
        <v>1124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1469</v>
      </c>
      <c r="G834" s="283" t="s">
        <v>1124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1805</v>
      </c>
      <c r="G835" s="283" t="s">
        <v>1124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1594</v>
      </c>
      <c r="G836" s="283" t="s">
        <v>1124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1718</v>
      </c>
      <c r="G837" s="283" t="s">
        <v>1124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1537</v>
      </c>
      <c r="G838" s="283" t="s">
        <v>1200</v>
      </c>
      <c r="H838" s="262" t="s">
        <v>1748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1537</v>
      </c>
      <c r="G839" s="283" t="s">
        <v>1492</v>
      </c>
      <c r="H839" s="262" t="s">
        <v>2674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1018</v>
      </c>
      <c r="G840" s="283" t="s">
        <v>1124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1440</v>
      </c>
      <c r="G841" s="283" t="s">
        <v>1501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1440</v>
      </c>
      <c r="G842" s="283" t="s">
        <v>1502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1475</v>
      </c>
      <c r="G843" s="283" t="s">
        <v>2413</v>
      </c>
      <c r="H843" s="262" t="s">
        <v>2743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2784</v>
      </c>
      <c r="G844" s="283" t="s">
        <v>2176</v>
      </c>
      <c r="H844" s="262" t="s">
        <v>1198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2784</v>
      </c>
      <c r="G845" s="283" t="s">
        <v>2177</v>
      </c>
      <c r="H845" s="262" t="s">
        <v>1799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2592</v>
      </c>
      <c r="G846" s="283" t="s">
        <v>2176</v>
      </c>
      <c r="H846" s="262" t="s">
        <v>1198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2592</v>
      </c>
      <c r="G847" s="283" t="s">
        <v>2177</v>
      </c>
      <c r="H847" s="262" t="s">
        <v>1799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2778</v>
      </c>
      <c r="G848" s="283" t="s">
        <v>2176</v>
      </c>
      <c r="H848" s="262" t="s">
        <v>1198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2778</v>
      </c>
      <c r="G849" s="283" t="s">
        <v>2177</v>
      </c>
      <c r="H849" s="262" t="s">
        <v>1799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1145</v>
      </c>
      <c r="G850" s="283" t="s">
        <v>2395</v>
      </c>
      <c r="H850" s="262" t="s">
        <v>2394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1145</v>
      </c>
      <c r="G851" s="283" t="s">
        <v>2408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1866</v>
      </c>
      <c r="G852" s="283" t="s">
        <v>2182</v>
      </c>
      <c r="H852" s="262" t="s">
        <v>1197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1440</v>
      </c>
      <c r="G853" s="283" t="s">
        <v>2183</v>
      </c>
      <c r="H853" s="262" t="s">
        <v>1204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1440</v>
      </c>
      <c r="G854" s="283" t="s">
        <v>2186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1718</v>
      </c>
      <c r="G855" s="283" t="s">
        <v>2794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2778</v>
      </c>
      <c r="G856" s="283" t="s">
        <v>1124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2784</v>
      </c>
      <c r="G857" s="283" t="s">
        <v>1124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1866</v>
      </c>
      <c r="G858" s="283" t="s">
        <v>1124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1718</v>
      </c>
      <c r="G859" s="283" t="s">
        <v>2796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1576</v>
      </c>
      <c r="G860" s="283" t="s">
        <v>1124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1395</v>
      </c>
      <c r="G861" s="283" t="s">
        <v>1739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1395</v>
      </c>
      <c r="G862" s="283" t="s">
        <v>2183</v>
      </c>
      <c r="H862" s="262" t="s">
        <v>1204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1395</v>
      </c>
      <c r="G863" s="283" t="s">
        <v>2184</v>
      </c>
      <c r="H863" s="262" t="s">
        <v>1255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1395</v>
      </c>
      <c r="G864" s="283" t="s">
        <v>2188</v>
      </c>
      <c r="H864" s="262" t="s">
        <v>1818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1395</v>
      </c>
      <c r="G865" s="283" t="s">
        <v>2187</v>
      </c>
      <c r="H865" s="262" t="s">
        <v>1791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2784</v>
      </c>
      <c r="G866" s="283" t="s">
        <v>2800</v>
      </c>
      <c r="H866" s="262" t="s">
        <v>2799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2784</v>
      </c>
      <c r="G867" s="283" t="s">
        <v>2179</v>
      </c>
      <c r="H867" s="262" t="s">
        <v>1716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1537</v>
      </c>
      <c r="G868" s="283" t="s">
        <v>1200</v>
      </c>
      <c r="H868" s="262" t="s">
        <v>1748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1537</v>
      </c>
      <c r="G869" s="283" t="s">
        <v>1492</v>
      </c>
      <c r="H869" s="262" t="s">
        <v>2674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1805</v>
      </c>
      <c r="G870" s="283" t="s">
        <v>1760</v>
      </c>
      <c r="H870" s="262" t="s">
        <v>1762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1805</v>
      </c>
      <c r="G871" s="283" t="s">
        <v>1760</v>
      </c>
      <c r="H871" s="262" t="s">
        <v>1759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2804</v>
      </c>
      <c r="G872" s="283" t="s">
        <v>1732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1015</v>
      </c>
      <c r="G873" s="283" t="s">
        <v>2809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1582</v>
      </c>
      <c r="G874" s="283" t="s">
        <v>1200</v>
      </c>
      <c r="H874" s="262" t="s">
        <v>1748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1573</v>
      </c>
      <c r="G875" s="283" t="s">
        <v>2182</v>
      </c>
      <c r="H875" s="262" t="s">
        <v>1197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1573</v>
      </c>
      <c r="G876" s="283" t="s">
        <v>2186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1573</v>
      </c>
      <c r="G877" s="283" t="s">
        <v>2187</v>
      </c>
      <c r="H877" s="262" t="s">
        <v>1791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1573</v>
      </c>
      <c r="G878" s="283" t="s">
        <v>1515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1573</v>
      </c>
      <c r="G879" s="283" t="s">
        <v>2183</v>
      </c>
      <c r="H879" s="262" t="s">
        <v>1204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1145</v>
      </c>
      <c r="G880" s="283" t="s">
        <v>1200</v>
      </c>
      <c r="H880" s="262" t="s">
        <v>1748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2592</v>
      </c>
      <c r="G881" s="283" t="s">
        <v>1124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2784</v>
      </c>
      <c r="G882" s="283" t="s">
        <v>1124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1395</v>
      </c>
      <c r="G883" s="283" t="s">
        <v>1739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2405</v>
      </c>
      <c r="G884" s="283" t="s">
        <v>2023</v>
      </c>
      <c r="H884" s="262" t="s">
        <v>1212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2254</v>
      </c>
      <c r="G885" s="283" t="s">
        <v>2179</v>
      </c>
      <c r="H885" s="262" t="s">
        <v>1716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1440</v>
      </c>
      <c r="G886" s="283" t="s">
        <v>2176</v>
      </c>
      <c r="H886" s="262" t="s">
        <v>1198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1440</v>
      </c>
      <c r="G887" s="283" t="s">
        <v>2177</v>
      </c>
      <c r="H887" s="262" t="s">
        <v>1799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1718</v>
      </c>
      <c r="G888" s="283" t="s">
        <v>2325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1743</v>
      </c>
      <c r="G889" s="283" t="s">
        <v>2295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1743</v>
      </c>
      <c r="G890" s="283" t="s">
        <v>1515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2254</v>
      </c>
      <c r="G891" s="283" t="s">
        <v>1124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2804</v>
      </c>
      <c r="G892" s="283" t="s">
        <v>1124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1582</v>
      </c>
      <c r="G893" s="283" t="s">
        <v>1124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2405</v>
      </c>
      <c r="G894" s="283" t="s">
        <v>1124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2720</v>
      </c>
      <c r="G895" s="283" t="s">
        <v>2183</v>
      </c>
      <c r="H895" s="262" t="s">
        <v>1204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2720</v>
      </c>
      <c r="G896" s="283" t="s">
        <v>2186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2720</v>
      </c>
      <c r="G897" s="283" t="s">
        <v>1898</v>
      </c>
      <c r="H897" s="262" t="s">
        <v>1897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2315</v>
      </c>
      <c r="G898" s="283" t="s">
        <v>2831</v>
      </c>
      <c r="H898" s="262" t="s">
        <v>1988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1395</v>
      </c>
      <c r="G899" s="283" t="s">
        <v>2100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1026</v>
      </c>
      <c r="G900" s="283" t="s">
        <v>2192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1015</v>
      </c>
      <c r="G901" s="283" t="s">
        <v>1200</v>
      </c>
      <c r="H901" s="262" t="s">
        <v>1748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1015</v>
      </c>
      <c r="G902" s="283" t="s">
        <v>2835</v>
      </c>
      <c r="H902" s="262" t="s">
        <v>2745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1015</v>
      </c>
      <c r="G903" s="283" t="s">
        <v>2408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1015</v>
      </c>
      <c r="G904" s="283" t="s">
        <v>1124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1573</v>
      </c>
      <c r="G905" s="283" t="s">
        <v>2842</v>
      </c>
      <c r="H905" s="262" t="s">
        <v>2841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1573</v>
      </c>
      <c r="G906" s="283" t="s">
        <v>2844</v>
      </c>
      <c r="H906" s="262" t="s">
        <v>2840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1576</v>
      </c>
      <c r="G907" s="283" t="s">
        <v>2176</v>
      </c>
      <c r="H907" s="262" t="s">
        <v>1198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1576</v>
      </c>
      <c r="G908" s="283" t="s">
        <v>2177</v>
      </c>
      <c r="H908" s="262" t="s">
        <v>1799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1395</v>
      </c>
      <c r="G909" s="283" t="s">
        <v>1739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1454</v>
      </c>
      <c r="G910" s="283" t="s">
        <v>2744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1445</v>
      </c>
      <c r="G911" s="283" t="s">
        <v>1531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1582</v>
      </c>
      <c r="G912" s="283" t="s">
        <v>1200</v>
      </c>
      <c r="H912" s="262" t="s">
        <v>1748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1582</v>
      </c>
      <c r="G913" s="283" t="s">
        <v>1492</v>
      </c>
      <c r="H913" s="262" t="s">
        <v>2674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1582</v>
      </c>
      <c r="G914" s="283" t="s">
        <v>1733</v>
      </c>
      <c r="H914" s="262" t="s">
        <v>2829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1582</v>
      </c>
      <c r="G915" s="283" t="s">
        <v>2828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2855</v>
      </c>
      <c r="G916" s="283" t="s">
        <v>2251</v>
      </c>
      <c r="H916" s="262" t="s">
        <v>2250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2855</v>
      </c>
      <c r="G917" s="283" t="s">
        <v>2607</v>
      </c>
      <c r="H917" s="262" t="s">
        <v>1751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1283</v>
      </c>
      <c r="G918" s="283" t="s">
        <v>1666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2853</v>
      </c>
      <c r="G919" s="283" t="s">
        <v>1124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1445</v>
      </c>
      <c r="G920" s="283" t="s">
        <v>1124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1594</v>
      </c>
      <c r="G921" s="283" t="s">
        <v>2856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2315</v>
      </c>
      <c r="G922" s="283" t="s">
        <v>1124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1594</v>
      </c>
      <c r="G923" s="283" t="s">
        <v>1124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2720</v>
      </c>
      <c r="G924" s="283" t="s">
        <v>2182</v>
      </c>
      <c r="H924" s="262" t="s">
        <v>1197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2860</v>
      </c>
      <c r="G925" s="283" t="s">
        <v>1666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1582</v>
      </c>
      <c r="G926" s="283" t="s">
        <v>1124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2903</v>
      </c>
      <c r="G927" s="283" t="s">
        <v>2649</v>
      </c>
      <c r="I927" s="258">
        <v>1750000</v>
      </c>
      <c r="J927" s="262">
        <v>1</v>
      </c>
      <c r="L927" s="259" t="s">
        <v>2904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2868</v>
      </c>
      <c r="G928" s="283" t="s">
        <v>2379</v>
      </c>
      <c r="H928" s="262" t="s">
        <v>2871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1395</v>
      </c>
      <c r="G929" s="283" t="s">
        <v>1739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2405</v>
      </c>
      <c r="G930" s="283" t="s">
        <v>2023</v>
      </c>
      <c r="H930" s="262" t="s">
        <v>1212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2906</v>
      </c>
      <c r="Q930" s="262" t="s">
        <v>2906</v>
      </c>
    </row>
    <row r="931" spans="1:17">
      <c r="A931" s="264">
        <v>930</v>
      </c>
      <c r="B931" s="264"/>
      <c r="C931" s="257">
        <v>45852</v>
      </c>
      <c r="D931" s="283" t="s">
        <v>2315</v>
      </c>
      <c r="G931" s="283" t="s">
        <v>2831</v>
      </c>
      <c r="H931" s="262" t="s">
        <v>1201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1594</v>
      </c>
      <c r="G932" s="283" t="s">
        <v>1202</v>
      </c>
      <c r="H932" s="262" t="s">
        <v>1203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1440</v>
      </c>
      <c r="G933" s="283" t="s">
        <v>2176</v>
      </c>
      <c r="H933" s="262" t="s">
        <v>1198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1440</v>
      </c>
      <c r="G934" s="283" t="s">
        <v>2177</v>
      </c>
      <c r="H934" s="262" t="s">
        <v>1799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1594</v>
      </c>
      <c r="G935" s="283" t="s">
        <v>1124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2315</v>
      </c>
      <c r="G936" s="283" t="s">
        <v>1124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2903</v>
      </c>
      <c r="G937" s="283" t="s">
        <v>1666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2405</v>
      </c>
      <c r="G938" s="283" t="s">
        <v>2176</v>
      </c>
      <c r="H938" s="262" t="s">
        <v>1198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2405</v>
      </c>
      <c r="G939" s="283" t="s">
        <v>2177</v>
      </c>
      <c r="H939" s="262" t="s">
        <v>1799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1015</v>
      </c>
      <c r="G940" s="283" t="s">
        <v>1202</v>
      </c>
      <c r="H940" s="262" t="s">
        <v>1203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2891</v>
      </c>
      <c r="G941" s="283" t="s">
        <v>2176</v>
      </c>
      <c r="H941" s="262" t="s">
        <v>1198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2891</v>
      </c>
      <c r="G942" s="283" t="s">
        <v>2177</v>
      </c>
      <c r="H942" s="262" t="s">
        <v>1799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2891</v>
      </c>
      <c r="G943" s="283" t="s">
        <v>4024</v>
      </c>
      <c r="H943" s="262" t="s">
        <v>2213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2315</v>
      </c>
      <c r="G944" s="283" t="s">
        <v>2174</v>
      </c>
      <c r="H944" s="262" t="s">
        <v>1460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1286</v>
      </c>
      <c r="G945" s="283" t="s">
        <v>2572</v>
      </c>
      <c r="H945" s="262" t="s">
        <v>2571</v>
      </c>
      <c r="I945" s="258">
        <v>1500000</v>
      </c>
      <c r="J945" s="262">
        <v>1</v>
      </c>
      <c r="L945" s="259" t="s">
        <v>2902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1145</v>
      </c>
      <c r="G946" s="283" t="s">
        <v>1713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1452</v>
      </c>
      <c r="G947" s="283" t="s">
        <v>1713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2885</v>
      </c>
      <c r="G948" s="283" t="s">
        <v>2192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2885</v>
      </c>
      <c r="G949" s="283" t="s">
        <v>2899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1718</v>
      </c>
      <c r="G950" s="283" t="s">
        <v>2708</v>
      </c>
      <c r="H950" s="262" t="s">
        <v>2707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2891</v>
      </c>
      <c r="G951" s="283" t="s">
        <v>1124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2315</v>
      </c>
      <c r="G952" s="283" t="s">
        <v>1124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2405</v>
      </c>
      <c r="G953" s="283" t="s">
        <v>1124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2288</v>
      </c>
      <c r="G954" s="283" t="s">
        <v>2183</v>
      </c>
      <c r="H954" s="262" t="s">
        <v>1204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2288</v>
      </c>
      <c r="G955" s="283" t="s">
        <v>2186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1801</v>
      </c>
      <c r="G956" s="283" t="s">
        <v>2908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1667</v>
      </c>
      <c r="G957" s="283" t="s">
        <v>2176</v>
      </c>
      <c r="H957" s="262" t="s">
        <v>1198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1667</v>
      </c>
      <c r="G958" s="283" t="s">
        <v>2177</v>
      </c>
      <c r="H958" s="262" t="s">
        <v>1799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2911</v>
      </c>
      <c r="G959" s="283" t="s">
        <v>2176</v>
      </c>
      <c r="H959" s="262" t="s">
        <v>1198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2288</v>
      </c>
      <c r="G960" s="283" t="s">
        <v>1124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2911</v>
      </c>
      <c r="G961" s="283" t="s">
        <v>1124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1463</v>
      </c>
      <c r="G962" s="283" t="s">
        <v>1124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1046</v>
      </c>
      <c r="G963" s="283" t="s">
        <v>1124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2885</v>
      </c>
      <c r="G964" s="283" t="s">
        <v>1124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2868</v>
      </c>
      <c r="G965" s="283" t="s">
        <v>1124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2097</v>
      </c>
      <c r="G966" s="283" t="s">
        <v>1124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1018</v>
      </c>
      <c r="G967" s="283" t="s">
        <v>2914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1018</v>
      </c>
      <c r="G968" s="283" t="s">
        <v>2915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1018</v>
      </c>
      <c r="G969" s="283" t="s">
        <v>2919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1463</v>
      </c>
      <c r="G970" s="283" t="s">
        <v>2921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2618</v>
      </c>
      <c r="G971" s="283" t="s">
        <v>2286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1395</v>
      </c>
      <c r="G972" s="283" t="s">
        <v>2176</v>
      </c>
      <c r="H972" s="262" t="s">
        <v>1198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1330</v>
      </c>
      <c r="G973" s="283" t="s">
        <v>2212</v>
      </c>
      <c r="H973" s="262" t="s">
        <v>1756</v>
      </c>
      <c r="I973" s="258">
        <v>510000</v>
      </c>
      <c r="J973" s="262">
        <v>1</v>
      </c>
      <c r="L973" s="259" t="s">
        <v>2980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1330</v>
      </c>
      <c r="G974" s="283" t="s">
        <v>2981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2930</v>
      </c>
      <c r="G975" s="283" t="s">
        <v>2176</v>
      </c>
      <c r="H975" s="262" t="s">
        <v>1198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2930</v>
      </c>
      <c r="G976" s="283" t="s">
        <v>2933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1475</v>
      </c>
      <c r="G977" s="283" t="s">
        <v>2935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2937</v>
      </c>
      <c r="G978" s="283" t="s">
        <v>1557</v>
      </c>
      <c r="H978" s="262" t="s">
        <v>1219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2937</v>
      </c>
      <c r="G979" s="283" t="s">
        <v>2938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1843</v>
      </c>
      <c r="G980" s="283" t="s">
        <v>2183</v>
      </c>
      <c r="H980" s="262" t="s">
        <v>1204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1976</v>
      </c>
      <c r="G981" s="283" t="s">
        <v>1200</v>
      </c>
      <c r="H981" s="262" t="s">
        <v>1748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1976</v>
      </c>
      <c r="G982" s="283" t="s">
        <v>1200</v>
      </c>
      <c r="H982" s="262" t="s">
        <v>1748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2937</v>
      </c>
      <c r="G983" s="283" t="s">
        <v>1666</v>
      </c>
      <c r="H983" s="262" t="s">
        <v>1219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2930</v>
      </c>
      <c r="G984" s="283" t="s">
        <v>1666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2315</v>
      </c>
      <c r="G985" s="283" t="s">
        <v>2176</v>
      </c>
      <c r="H985" s="262" t="s">
        <v>1198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1805</v>
      </c>
      <c r="G986" s="283" t="s">
        <v>1124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2618</v>
      </c>
      <c r="G987" s="283" t="s">
        <v>1124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2605</v>
      </c>
      <c r="G988" s="283" t="s">
        <v>2947</v>
      </c>
      <c r="H988" s="262" t="s">
        <v>1748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2254</v>
      </c>
      <c r="G989" s="283" t="s">
        <v>2950</v>
      </c>
      <c r="H989" s="262" t="s">
        <v>2949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1550</v>
      </c>
      <c r="G990" s="283" t="s">
        <v>1262</v>
      </c>
      <c r="H990" s="262" t="s">
        <v>1261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1145</v>
      </c>
      <c r="G991" s="283" t="s">
        <v>2953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1145</v>
      </c>
      <c r="G992" s="283" t="s">
        <v>1502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2605</v>
      </c>
      <c r="G993" s="283" t="s">
        <v>1124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2254</v>
      </c>
      <c r="G994" s="283" t="s">
        <v>1124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1465</v>
      </c>
      <c r="G995" s="283" t="s">
        <v>2399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1452</v>
      </c>
      <c r="G996" s="283" t="s">
        <v>1124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1537</v>
      </c>
      <c r="G997" s="283" t="s">
        <v>2183</v>
      </c>
      <c r="H997" s="262" t="s">
        <v>1204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1537</v>
      </c>
      <c r="G998" s="283" t="s">
        <v>2184</v>
      </c>
      <c r="H998" s="262" t="s">
        <v>1255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1537</v>
      </c>
      <c r="G999" s="283" t="s">
        <v>2187</v>
      </c>
      <c r="H999" s="262" t="s">
        <v>1791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1537</v>
      </c>
      <c r="G1000" s="283" t="s">
        <v>2188</v>
      </c>
      <c r="H1000" s="262" t="s">
        <v>1818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1808</v>
      </c>
      <c r="G1001" s="283" t="s">
        <v>1739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1808</v>
      </c>
      <c r="G1002" s="283" t="s">
        <v>1515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1018</v>
      </c>
      <c r="G1003" s="283" t="s">
        <v>2087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2959</v>
      </c>
      <c r="G1004" s="283" t="s">
        <v>2183</v>
      </c>
      <c r="H1004" s="262" t="s">
        <v>1204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1718</v>
      </c>
      <c r="G1005" s="283" t="s">
        <v>1713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2966</v>
      </c>
      <c r="G1006" s="283" t="s">
        <v>1215</v>
      </c>
      <c r="H1006" s="262" t="s">
        <v>2158</v>
      </c>
      <c r="I1006" s="258">
        <v>1200000</v>
      </c>
      <c r="J1006" s="262">
        <v>1</v>
      </c>
      <c r="L1006" s="259" t="s">
        <v>2967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2885</v>
      </c>
      <c r="G1007" s="283" t="s">
        <v>1124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2959</v>
      </c>
      <c r="G1008" s="283" t="s">
        <v>1124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1395</v>
      </c>
      <c r="G1009" s="283" t="s">
        <v>2087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1395</v>
      </c>
      <c r="G1010" s="283" t="s">
        <v>2970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1743</v>
      </c>
      <c r="G1011" s="283" t="s">
        <v>1202</v>
      </c>
      <c r="H1011" s="262" t="s">
        <v>1201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1805</v>
      </c>
      <c r="G1012" s="283" t="s">
        <v>1492</v>
      </c>
      <c r="H1012" s="262" t="s">
        <v>2674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1843</v>
      </c>
      <c r="G1013" s="283" t="s">
        <v>2185</v>
      </c>
      <c r="H1013" s="262" t="s">
        <v>1197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1463</v>
      </c>
      <c r="G1014" s="283" t="s">
        <v>2176</v>
      </c>
      <c r="H1014" s="262" t="s">
        <v>1198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1463</v>
      </c>
      <c r="G1015" s="283" t="s">
        <v>2177</v>
      </c>
      <c r="H1015" s="262" t="s">
        <v>1799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1053</v>
      </c>
      <c r="G1016" s="283" t="s">
        <v>2176</v>
      </c>
      <c r="H1016" s="262" t="s">
        <v>1198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1053</v>
      </c>
      <c r="G1017" s="283" t="s">
        <v>2177</v>
      </c>
      <c r="H1017" s="262" t="s">
        <v>1799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1053</v>
      </c>
      <c r="G1018" s="283" t="s">
        <v>2179</v>
      </c>
      <c r="H1018" s="262" t="s">
        <v>1716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2315</v>
      </c>
      <c r="G1019" s="283" t="s">
        <v>2176</v>
      </c>
      <c r="H1019" s="262" t="s">
        <v>1198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2315</v>
      </c>
      <c r="G1020" s="283" t="s">
        <v>2978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1843</v>
      </c>
      <c r="G1021" s="283" t="s">
        <v>2979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1805</v>
      </c>
      <c r="G1022" s="283" t="s">
        <v>1124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1053</v>
      </c>
      <c r="G1023" s="283" t="s">
        <v>1124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1445</v>
      </c>
      <c r="G1024" s="283" t="s">
        <v>1124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1395</v>
      </c>
      <c r="G1025" s="283" t="s">
        <v>2176</v>
      </c>
      <c r="H1025" s="262" t="s">
        <v>1198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1395</v>
      </c>
      <c r="G1026" s="283" t="s">
        <v>2177</v>
      </c>
      <c r="H1026" s="262" t="s">
        <v>1799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1395</v>
      </c>
      <c r="G1027" s="283" t="s">
        <v>1545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1156</v>
      </c>
      <c r="G1028" s="283" t="s">
        <v>2668</v>
      </c>
      <c r="I1028" s="258">
        <v>1600000</v>
      </c>
      <c r="J1028" s="262">
        <v>1</v>
      </c>
      <c r="L1028" s="259" t="s">
        <v>2995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1454</v>
      </c>
      <c r="G1029" s="283" t="s">
        <v>2176</v>
      </c>
      <c r="H1029" s="262" t="s">
        <v>1198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1454</v>
      </c>
      <c r="G1030" s="283" t="s">
        <v>2177</v>
      </c>
      <c r="H1030" s="262" t="s">
        <v>1799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1445</v>
      </c>
      <c r="G1031" s="283" t="s">
        <v>2183</v>
      </c>
      <c r="H1031" s="262" t="s">
        <v>1204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1445</v>
      </c>
      <c r="G1032" s="283" t="s">
        <v>2186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1576</v>
      </c>
      <c r="G1033" s="283" t="s">
        <v>1262</v>
      </c>
      <c r="H1033" s="262" t="s">
        <v>1261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1440</v>
      </c>
      <c r="G1034" s="283" t="s">
        <v>2989</v>
      </c>
      <c r="H1034" s="262" t="s">
        <v>2990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2467</v>
      </c>
      <c r="G1035" s="283" t="s">
        <v>2668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1284</v>
      </c>
      <c r="G1036" s="283" t="s">
        <v>3065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1023</v>
      </c>
      <c r="G1037" s="283" t="s">
        <v>2251</v>
      </c>
      <c r="H1037" s="262" t="s">
        <v>2250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1023</v>
      </c>
      <c r="G1038" s="283" t="s">
        <v>2607</v>
      </c>
      <c r="H1038" s="262" t="s">
        <v>1751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1454</v>
      </c>
      <c r="G1039" s="283" t="s">
        <v>2996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1808</v>
      </c>
      <c r="G1040" s="283" t="s">
        <v>1124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2381</v>
      </c>
      <c r="G1041" s="283" t="s">
        <v>2999</v>
      </c>
      <c r="H1041" s="262" t="s">
        <v>3000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1976</v>
      </c>
      <c r="G1042" s="283" t="s">
        <v>1712</v>
      </c>
      <c r="H1042" s="262" t="s">
        <v>1711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1594</v>
      </c>
      <c r="G1043" s="283" t="s">
        <v>1200</v>
      </c>
      <c r="H1043" s="262" t="s">
        <v>1748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979</v>
      </c>
      <c r="G1044" s="283" t="s">
        <v>3005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1082</v>
      </c>
      <c r="G1045" s="283" t="s">
        <v>2176</v>
      </c>
      <c r="H1045" s="262" t="s">
        <v>1198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1082</v>
      </c>
      <c r="G1046" s="283" t="s">
        <v>2177</v>
      </c>
      <c r="H1046" s="262" t="s">
        <v>1799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979</v>
      </c>
      <c r="G1047" s="283" t="s">
        <v>1124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1866</v>
      </c>
      <c r="G1048" s="283" t="s">
        <v>1124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2381</v>
      </c>
      <c r="G1049" s="283" t="s">
        <v>1124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1465</v>
      </c>
      <c r="G1050" s="283" t="s">
        <v>1200</v>
      </c>
      <c r="H1050" s="262" t="s">
        <v>1357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1445</v>
      </c>
      <c r="G1051" s="283" t="s">
        <v>1742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1440</v>
      </c>
      <c r="G1052" s="283" t="s">
        <v>2174</v>
      </c>
      <c r="H1052" s="262" t="s">
        <v>1460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1594</v>
      </c>
      <c r="G1053" s="283" t="s">
        <v>1742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2993</v>
      </c>
      <c r="G1054" s="283" t="s">
        <v>1124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1082</v>
      </c>
      <c r="G1055" s="283" t="s">
        <v>1124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1743</v>
      </c>
      <c r="G1056" s="283" t="s">
        <v>1124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1053</v>
      </c>
      <c r="G1057" s="283" t="s">
        <v>2100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1395</v>
      </c>
      <c r="G1058" s="283" t="s">
        <v>1733</v>
      </c>
      <c r="H1058" s="262" t="s">
        <v>2829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1395</v>
      </c>
      <c r="G1059" s="283" t="s">
        <v>2914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1743</v>
      </c>
      <c r="G1060" s="283" t="s">
        <v>1732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1843</v>
      </c>
      <c r="G1061" s="283" t="s">
        <v>2185</v>
      </c>
      <c r="H1061" s="262" t="s">
        <v>1197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1667</v>
      </c>
      <c r="G1062" s="283" t="s">
        <v>1825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1469</v>
      </c>
      <c r="G1063" s="283" t="s">
        <v>2183</v>
      </c>
      <c r="H1063" s="262" t="s">
        <v>1204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3017</v>
      </c>
      <c r="G1064" s="283" t="s">
        <v>1855</v>
      </c>
      <c r="H1064" s="262" t="s">
        <v>3647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1540</v>
      </c>
      <c r="G1065" s="283" t="s">
        <v>2182</v>
      </c>
      <c r="H1065" s="262" t="s">
        <v>1197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1857</v>
      </c>
      <c r="G1066" s="283" t="s">
        <v>2176</v>
      </c>
      <c r="H1066" s="262" t="s">
        <v>1198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1857</v>
      </c>
      <c r="G1067" s="283" t="s">
        <v>2177</v>
      </c>
      <c r="H1067" s="262" t="s">
        <v>1799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1743</v>
      </c>
      <c r="G1068" s="283" t="s">
        <v>2413</v>
      </c>
      <c r="H1068" s="262" t="s">
        <v>2743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1743</v>
      </c>
      <c r="G1069" s="283" t="s">
        <v>1515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1445</v>
      </c>
      <c r="G1070" s="283" t="s">
        <v>1200</v>
      </c>
      <c r="H1070" s="262" t="s">
        <v>1748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3017</v>
      </c>
      <c r="G1071" s="283" t="s">
        <v>1742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3025</v>
      </c>
      <c r="G1072" s="283" t="s">
        <v>2176</v>
      </c>
      <c r="H1072" s="262" t="s">
        <v>1198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3025</v>
      </c>
      <c r="G1073" s="283" t="s">
        <v>2177</v>
      </c>
      <c r="H1073" s="262" t="s">
        <v>1799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3025</v>
      </c>
      <c r="G1074" s="283" t="s">
        <v>1742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1445</v>
      </c>
      <c r="G1075" s="283" t="s">
        <v>1742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1667</v>
      </c>
      <c r="G1076" s="283" t="s">
        <v>1742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1540</v>
      </c>
      <c r="G1077" s="283" t="s">
        <v>1742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1454</v>
      </c>
      <c r="G1078" s="283" t="s">
        <v>1742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1843</v>
      </c>
      <c r="G1079" s="283" t="s">
        <v>1742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1976</v>
      </c>
      <c r="G1080" s="283" t="s">
        <v>1742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1053</v>
      </c>
      <c r="G1081" s="283" t="s">
        <v>1742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1015</v>
      </c>
      <c r="G1082" s="283" t="s">
        <v>1742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1576</v>
      </c>
      <c r="G1083" s="283" t="s">
        <v>2979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1440</v>
      </c>
      <c r="G1084" s="283" t="s">
        <v>3056</v>
      </c>
      <c r="H1084" s="262" t="s">
        <v>3055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1786</v>
      </c>
      <c r="G1085" s="283" t="s">
        <v>2176</v>
      </c>
      <c r="H1085" s="262" t="s">
        <v>1198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1786</v>
      </c>
      <c r="G1086" s="283" t="s">
        <v>2177</v>
      </c>
      <c r="H1086" s="262" t="s">
        <v>1799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1082</v>
      </c>
      <c r="G1087" s="283" t="s">
        <v>2182</v>
      </c>
      <c r="H1087" s="262" t="s">
        <v>1197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1302</v>
      </c>
      <c r="G1088" s="283" t="s">
        <v>2183</v>
      </c>
      <c r="H1088" s="262" t="s">
        <v>1204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1302</v>
      </c>
      <c r="G1089" s="283" t="s">
        <v>2186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1302</v>
      </c>
      <c r="G1090" s="283" t="s">
        <v>2187</v>
      </c>
      <c r="H1090" s="262" t="s">
        <v>1791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1302</v>
      </c>
      <c r="G1091" s="283" t="s">
        <v>2517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1801</v>
      </c>
      <c r="G1092" s="283" t="s">
        <v>2611</v>
      </c>
      <c r="H1092" s="262" t="s">
        <v>2610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2911</v>
      </c>
      <c r="G1093" s="283" t="s">
        <v>1200</v>
      </c>
      <c r="H1093" s="262" t="s">
        <v>1748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1718</v>
      </c>
      <c r="G1094" s="283" t="s">
        <v>3066</v>
      </c>
      <c r="H1094" s="262" t="s">
        <v>2323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1440</v>
      </c>
      <c r="G1095" s="283" t="s">
        <v>2176</v>
      </c>
      <c r="H1095" s="262" t="s">
        <v>1198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1440</v>
      </c>
      <c r="G1096" s="283" t="s">
        <v>2177</v>
      </c>
      <c r="H1096" s="262" t="s">
        <v>1799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1440</v>
      </c>
      <c r="G1097" s="283" t="s">
        <v>1545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1801</v>
      </c>
      <c r="G1098" s="283" t="s">
        <v>1124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2911</v>
      </c>
      <c r="G1099" s="283" t="s">
        <v>1124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1302</v>
      </c>
      <c r="G1100" s="283" t="s">
        <v>1742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1973</v>
      </c>
      <c r="G1101" s="283" t="s">
        <v>2176</v>
      </c>
      <c r="H1101" s="262" t="s">
        <v>1198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1973</v>
      </c>
      <c r="G1102" s="283" t="s">
        <v>2177</v>
      </c>
      <c r="H1102" s="262" t="s">
        <v>1799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1805</v>
      </c>
      <c r="G1103" s="283" t="s">
        <v>2176</v>
      </c>
      <c r="H1103" s="262" t="s">
        <v>1198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1805</v>
      </c>
      <c r="G1104" s="283" t="s">
        <v>2177</v>
      </c>
      <c r="H1104" s="262" t="s">
        <v>1799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2784</v>
      </c>
      <c r="G1105" s="283" t="s">
        <v>4024</v>
      </c>
      <c r="H1105" s="262" t="s">
        <v>2213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1801</v>
      </c>
      <c r="G1106" s="283" t="s">
        <v>3070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1573</v>
      </c>
      <c r="G1107" s="283" t="s">
        <v>2914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3073</v>
      </c>
      <c r="G1108" s="283" t="s">
        <v>1200</v>
      </c>
      <c r="H1108" s="262" t="s">
        <v>1748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2315</v>
      </c>
      <c r="G1109" s="283" t="s">
        <v>2914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1667</v>
      </c>
      <c r="G1110" s="283" t="s">
        <v>1124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2720</v>
      </c>
      <c r="G1111" s="283" t="s">
        <v>1124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2315</v>
      </c>
      <c r="G1112" s="283" t="s">
        <v>1124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1973</v>
      </c>
      <c r="G1113" s="283" t="s">
        <v>1124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2784</v>
      </c>
      <c r="G1114" s="283" t="s">
        <v>1124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3073</v>
      </c>
      <c r="G1115" s="283" t="s">
        <v>1124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1448</v>
      </c>
      <c r="G1116" s="283" t="s">
        <v>1124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1082</v>
      </c>
      <c r="G1117" s="283" t="s">
        <v>1124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2315</v>
      </c>
      <c r="G1118" s="283" t="s">
        <v>1124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1469</v>
      </c>
      <c r="G1119" s="283" t="s">
        <v>2176</v>
      </c>
      <c r="H1119" s="262" t="s">
        <v>1198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1786</v>
      </c>
      <c r="G1120" s="283" t="s">
        <v>2176</v>
      </c>
      <c r="H1120" s="262" t="s">
        <v>1198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1786</v>
      </c>
      <c r="G1121" s="283" t="s">
        <v>2177</v>
      </c>
      <c r="H1121" s="262" t="s">
        <v>1799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1494</v>
      </c>
      <c r="G1122" s="283" t="s">
        <v>1200</v>
      </c>
      <c r="H1122" s="262" t="s">
        <v>1748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1494</v>
      </c>
      <c r="G1123" s="283" t="s">
        <v>1515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1667</v>
      </c>
      <c r="G1124" s="283" t="s">
        <v>2561</v>
      </c>
      <c r="H1124" s="262" t="s">
        <v>2560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1576</v>
      </c>
      <c r="G1125" s="283" t="s">
        <v>1262</v>
      </c>
      <c r="H1125" s="262" t="s">
        <v>1261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1395</v>
      </c>
      <c r="G1126" s="283" t="s">
        <v>1124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1857</v>
      </c>
      <c r="G1127" s="283" t="s">
        <v>1124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1550</v>
      </c>
      <c r="G1128" s="283" t="s">
        <v>1124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1494</v>
      </c>
      <c r="G1129" s="283" t="s">
        <v>1124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1573</v>
      </c>
      <c r="G1130" s="283" t="s">
        <v>1124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1145</v>
      </c>
      <c r="G1131" s="283" t="s">
        <v>1124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1469</v>
      </c>
      <c r="G1132" s="283" t="s">
        <v>2183</v>
      </c>
      <c r="H1132" s="262" t="s">
        <v>1204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3089</v>
      </c>
      <c r="G1133" s="283" t="s">
        <v>1202</v>
      </c>
      <c r="H1133" s="262" t="s">
        <v>1201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1938</v>
      </c>
      <c r="G1134" s="283" t="s">
        <v>2176</v>
      </c>
      <c r="H1134" s="262" t="s">
        <v>1198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1938</v>
      </c>
      <c r="G1135" s="283" t="s">
        <v>2177</v>
      </c>
      <c r="H1135" s="262" t="s">
        <v>1799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1395</v>
      </c>
      <c r="G1136" s="283" t="s">
        <v>2176</v>
      </c>
      <c r="H1136" s="262" t="s">
        <v>1198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1395</v>
      </c>
      <c r="G1137" s="283" t="s">
        <v>2177</v>
      </c>
      <c r="H1137" s="262" t="s">
        <v>1799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1537</v>
      </c>
      <c r="G1138" s="283" t="s">
        <v>1124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1938</v>
      </c>
      <c r="G1139" s="283" t="s">
        <v>1124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1469</v>
      </c>
      <c r="G1140" s="283" t="s">
        <v>1124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3089</v>
      </c>
      <c r="G1141" s="283" t="s">
        <v>1124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1718</v>
      </c>
      <c r="G1142" s="283" t="s">
        <v>1712</v>
      </c>
      <c r="H1142" s="262" t="s">
        <v>1711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1326</v>
      </c>
      <c r="G1143" s="283" t="s">
        <v>3106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1469</v>
      </c>
      <c r="G1144" s="283" t="s">
        <v>1124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1805</v>
      </c>
      <c r="G1145" s="283" t="s">
        <v>1124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1801</v>
      </c>
      <c r="G1146" s="283" t="s">
        <v>1124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1469</v>
      </c>
      <c r="G1147" s="283" t="s">
        <v>2176</v>
      </c>
      <c r="H1147" s="262" t="s">
        <v>1198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1469</v>
      </c>
      <c r="G1148" s="283" t="s">
        <v>2176</v>
      </c>
      <c r="H1148" s="262" t="s">
        <v>1198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2144</v>
      </c>
      <c r="G1149" s="283" t="s">
        <v>1713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1015</v>
      </c>
      <c r="G1150" s="283" t="s">
        <v>1855</v>
      </c>
      <c r="H1150" s="262" t="s">
        <v>3647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1743</v>
      </c>
      <c r="G1151" s="283" t="s">
        <v>1742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1743</v>
      </c>
      <c r="G1152" s="283" t="s">
        <v>2186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1743</v>
      </c>
      <c r="G1153" s="283" t="s">
        <v>2187</v>
      </c>
      <c r="H1153" s="262" t="s">
        <v>1791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2141</v>
      </c>
      <c r="G1154" s="283" t="s">
        <v>2835</v>
      </c>
      <c r="H1154" s="262" t="s">
        <v>2745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1463</v>
      </c>
      <c r="G1155" s="283" t="s">
        <v>2190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1592</v>
      </c>
      <c r="G1156" s="283" t="s">
        <v>1202</v>
      </c>
      <c r="H1156" s="262" t="s">
        <v>1203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2405</v>
      </c>
      <c r="G1157" s="283" t="s">
        <v>2413</v>
      </c>
      <c r="H1157" s="262" t="s">
        <v>2743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3111</v>
      </c>
      <c r="G1158" s="283" t="s">
        <v>2192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1395</v>
      </c>
      <c r="G1159" s="283" t="s">
        <v>1200</v>
      </c>
      <c r="H1159" s="262" t="s">
        <v>1748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1395</v>
      </c>
      <c r="G1160" s="283" t="s">
        <v>2183</v>
      </c>
      <c r="H1160" s="262" t="s">
        <v>1204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1395</v>
      </c>
      <c r="G1161" s="283" t="s">
        <v>2187</v>
      </c>
      <c r="H1161" s="262" t="s">
        <v>1791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1973</v>
      </c>
      <c r="G1162" s="283" t="s">
        <v>1200</v>
      </c>
      <c r="H1162" s="262" t="s">
        <v>1748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1973</v>
      </c>
      <c r="G1163" s="283" t="s">
        <v>3112</v>
      </c>
      <c r="H1163" s="262" t="s">
        <v>1748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1550</v>
      </c>
      <c r="G1164" s="283" t="s">
        <v>3113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1550</v>
      </c>
      <c r="G1165" s="283" t="s">
        <v>3114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1550</v>
      </c>
      <c r="G1166" s="283" t="s">
        <v>3115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1440</v>
      </c>
      <c r="G1167" s="283" t="s">
        <v>2176</v>
      </c>
      <c r="H1167" s="262" t="s">
        <v>1198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1440</v>
      </c>
      <c r="G1168" s="283" t="s">
        <v>2177</v>
      </c>
      <c r="H1168" s="262" t="s">
        <v>1799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1973</v>
      </c>
      <c r="G1169" s="283" t="s">
        <v>1124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3111</v>
      </c>
      <c r="G1170" s="283" t="s">
        <v>1124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2144</v>
      </c>
      <c r="G1171" s="283" t="s">
        <v>1124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1469</v>
      </c>
      <c r="G1172" s="283" t="s">
        <v>1124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2405</v>
      </c>
      <c r="G1173" s="283" t="s">
        <v>1124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1490</v>
      </c>
      <c r="G1174" s="283" t="s">
        <v>1200</v>
      </c>
      <c r="H1174" s="262" t="s">
        <v>1748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1026</v>
      </c>
      <c r="G1175" s="283" t="s">
        <v>2108</v>
      </c>
      <c r="H1175" s="262" t="s">
        <v>2577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3116</v>
      </c>
      <c r="G1176" s="283" t="s">
        <v>2176</v>
      </c>
      <c r="H1176" s="262" t="s">
        <v>1198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3116</v>
      </c>
      <c r="G1177" s="283" t="s">
        <v>2177</v>
      </c>
      <c r="H1177" s="262" t="s">
        <v>1799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1145</v>
      </c>
      <c r="G1178" s="283" t="s">
        <v>3129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1805</v>
      </c>
      <c r="G1179" s="283" t="s">
        <v>1492</v>
      </c>
      <c r="H1179" s="262" t="s">
        <v>2674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1312</v>
      </c>
      <c r="G1180" s="283" t="s">
        <v>1422</v>
      </c>
      <c r="H1180" s="262" t="s">
        <v>3138</v>
      </c>
      <c r="I1180" s="258">
        <v>1300000</v>
      </c>
      <c r="J1180" s="262">
        <v>1</v>
      </c>
      <c r="L1180" s="259" t="s">
        <v>3139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2141</v>
      </c>
      <c r="G1181" s="283" t="s">
        <v>2192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2141</v>
      </c>
      <c r="G1182" s="283" t="s">
        <v>2899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1573</v>
      </c>
      <c r="G1183" s="283" t="s">
        <v>3135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1743</v>
      </c>
      <c r="G1184" s="283" t="s">
        <v>2192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1743</v>
      </c>
      <c r="G1185" s="283" t="s">
        <v>1515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3116</v>
      </c>
      <c r="G1186" s="283" t="s">
        <v>1124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2141</v>
      </c>
      <c r="G1187" s="283" t="s">
        <v>1124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3132</v>
      </c>
      <c r="G1188" s="283" t="s">
        <v>1124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1440</v>
      </c>
      <c r="G1189" s="283" t="s">
        <v>2800</v>
      </c>
      <c r="H1189" s="262" t="s">
        <v>2799</v>
      </c>
      <c r="I1189" s="258">
        <v>250000</v>
      </c>
      <c r="J1189" s="262">
        <v>1</v>
      </c>
      <c r="M1189" s="258">
        <v>250000</v>
      </c>
      <c r="P1189" s="262" t="s">
        <v>3140</v>
      </c>
      <c r="Q1189" s="262" t="s">
        <v>3140</v>
      </c>
    </row>
    <row r="1190" spans="1:17">
      <c r="A1190" s="264">
        <v>1189</v>
      </c>
      <c r="B1190" s="264"/>
      <c r="C1190" s="257">
        <v>45876</v>
      </c>
      <c r="D1190" s="283" t="s">
        <v>1440</v>
      </c>
      <c r="G1190" s="283" t="s">
        <v>2179</v>
      </c>
      <c r="H1190" s="262" t="s">
        <v>1716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2778</v>
      </c>
      <c r="G1191" s="283" t="s">
        <v>2176</v>
      </c>
      <c r="H1191" s="262" t="s">
        <v>1198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2778</v>
      </c>
      <c r="G1192" s="283" t="s">
        <v>2177</v>
      </c>
      <c r="H1192" s="262" t="s">
        <v>1799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2405</v>
      </c>
      <c r="G1193" s="283" t="s">
        <v>2413</v>
      </c>
      <c r="H1193" s="262" t="s">
        <v>2743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2405</v>
      </c>
      <c r="G1194" s="283" t="s">
        <v>3144</v>
      </c>
      <c r="H1194" s="262" t="s">
        <v>2743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1490</v>
      </c>
      <c r="G1195" s="283" t="s">
        <v>1124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1475</v>
      </c>
      <c r="G1196" s="283" t="s">
        <v>1124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1718</v>
      </c>
      <c r="G1197" s="283" t="s">
        <v>1124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2778</v>
      </c>
      <c r="G1198" s="283" t="s">
        <v>1124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2405</v>
      </c>
      <c r="G1199" s="283" t="s">
        <v>1124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3145</v>
      </c>
      <c r="G1200" s="283" t="s">
        <v>1492</v>
      </c>
      <c r="H1200" s="262" t="s">
        <v>2674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3145</v>
      </c>
      <c r="G1201" s="283" t="s">
        <v>1515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3145</v>
      </c>
      <c r="G1202" s="283" t="s">
        <v>1124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3147</v>
      </c>
      <c r="G1203" s="283" t="s">
        <v>2295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3147</v>
      </c>
      <c r="G1204" s="283" t="s">
        <v>1124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1018</v>
      </c>
      <c r="G1205" s="283" t="s">
        <v>2828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1018</v>
      </c>
      <c r="G1206" s="283" t="s">
        <v>3155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1018</v>
      </c>
      <c r="G1207" s="283" t="s">
        <v>1262</v>
      </c>
      <c r="H1207" s="262" t="s">
        <v>1261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3157</v>
      </c>
      <c r="G1208" s="283" t="s">
        <v>2176</v>
      </c>
      <c r="H1208" s="262" t="s">
        <v>1198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3157</v>
      </c>
      <c r="G1209" s="283" t="s">
        <v>2177</v>
      </c>
      <c r="H1209" s="262" t="s">
        <v>1799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1463</v>
      </c>
      <c r="G1210" s="283" t="s">
        <v>1124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2315</v>
      </c>
      <c r="G1211" s="283" t="s">
        <v>1202</v>
      </c>
      <c r="H1211" s="262" t="s">
        <v>1203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1743</v>
      </c>
      <c r="G1212" s="283" t="s">
        <v>2184</v>
      </c>
      <c r="H1212" s="262" t="s">
        <v>1255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1743</v>
      </c>
      <c r="G1213" s="283" t="s">
        <v>2188</v>
      </c>
      <c r="H1213" s="262" t="s">
        <v>1818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1576</v>
      </c>
      <c r="G1214" s="283" t="s">
        <v>1202</v>
      </c>
      <c r="H1214" s="262" t="s">
        <v>1559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1490</v>
      </c>
      <c r="G1215" s="283" t="s">
        <v>2379</v>
      </c>
      <c r="H1215" s="262" t="s">
        <v>3162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1395</v>
      </c>
      <c r="G1216" s="283" t="s">
        <v>1200</v>
      </c>
      <c r="H1216" s="262" t="s">
        <v>1748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1395</v>
      </c>
      <c r="G1217" s="283" t="s">
        <v>1492</v>
      </c>
      <c r="H1217" s="262" t="s">
        <v>2674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1395</v>
      </c>
      <c r="G1218" s="283" t="s">
        <v>2835</v>
      </c>
      <c r="H1218" s="262" t="s">
        <v>2745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1890</v>
      </c>
      <c r="G1219" s="283" t="s">
        <v>1200</v>
      </c>
      <c r="H1219" s="262" t="s">
        <v>1748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2911</v>
      </c>
      <c r="G1220" s="283" t="s">
        <v>2176</v>
      </c>
      <c r="H1220" s="262" t="s">
        <v>1198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2911</v>
      </c>
      <c r="G1221" s="283" t="s">
        <v>1124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1463</v>
      </c>
      <c r="G1222" s="283" t="s">
        <v>2023</v>
      </c>
      <c r="H1222" s="262" t="s">
        <v>1212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1469</v>
      </c>
      <c r="G1223" s="283" t="s">
        <v>2183</v>
      </c>
      <c r="H1223" s="262" t="s">
        <v>1204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2315</v>
      </c>
      <c r="G1224" s="283" t="s">
        <v>2770</v>
      </c>
      <c r="H1224" s="262" t="s">
        <v>1209</v>
      </c>
      <c r="I1224" s="258">
        <v>1500000</v>
      </c>
      <c r="J1224" s="262">
        <v>1</v>
      </c>
      <c r="M1224" s="258">
        <v>1500000</v>
      </c>
      <c r="P1224" s="262" t="s">
        <v>3171</v>
      </c>
      <c r="Q1224" s="262" t="s">
        <v>3171</v>
      </c>
    </row>
    <row r="1225" spans="1:17">
      <c r="A1225" s="264">
        <v>1224</v>
      </c>
      <c r="B1225" s="264"/>
      <c r="C1225" s="257">
        <v>45881</v>
      </c>
      <c r="D1225" s="283" t="s">
        <v>1023</v>
      </c>
      <c r="G1225" s="283" t="s">
        <v>2461</v>
      </c>
      <c r="H1225" s="262" t="s">
        <v>1208</v>
      </c>
      <c r="I1225" s="258">
        <v>1500000</v>
      </c>
      <c r="J1225" s="262">
        <v>1</v>
      </c>
      <c r="M1225" s="258">
        <v>1500000</v>
      </c>
      <c r="P1225" s="277" t="s">
        <v>3173</v>
      </c>
      <c r="Q1225" s="277" t="s">
        <v>3173</v>
      </c>
    </row>
    <row r="1226" spans="1:17">
      <c r="A1226" s="264">
        <v>1225</v>
      </c>
      <c r="B1226" s="264"/>
      <c r="C1226" s="257">
        <v>45881</v>
      </c>
      <c r="D1226" s="283" t="s">
        <v>1667</v>
      </c>
      <c r="G1226" s="283" t="s">
        <v>1124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2315</v>
      </c>
      <c r="G1227" s="283" t="s">
        <v>1124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1805</v>
      </c>
      <c r="G1228" s="283" t="s">
        <v>1124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3157</v>
      </c>
      <c r="G1229" s="283" t="s">
        <v>1124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1801</v>
      </c>
      <c r="G1230" s="283" t="s">
        <v>2183</v>
      </c>
      <c r="H1230" s="262" t="s">
        <v>1204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1801</v>
      </c>
      <c r="G1231" s="283" t="s">
        <v>2184</v>
      </c>
      <c r="H1231" s="262" t="s">
        <v>1255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1576</v>
      </c>
      <c r="G1232" s="283" t="s">
        <v>2183</v>
      </c>
      <c r="H1232" s="262" t="s">
        <v>1204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1395</v>
      </c>
      <c r="G1233" s="283" t="s">
        <v>2413</v>
      </c>
      <c r="H1233" s="262" t="s">
        <v>2743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1395</v>
      </c>
      <c r="G1234" s="283" t="s">
        <v>2183</v>
      </c>
      <c r="H1234" s="262" t="s">
        <v>1204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1395</v>
      </c>
      <c r="G1235" s="283" t="s">
        <v>2188</v>
      </c>
      <c r="H1235" s="262" t="s">
        <v>1818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1395</v>
      </c>
      <c r="G1236" s="283" t="s">
        <v>2187</v>
      </c>
      <c r="H1236" s="262" t="s">
        <v>1791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1573</v>
      </c>
      <c r="G1237" s="283" t="s">
        <v>2183</v>
      </c>
      <c r="H1237" s="262" t="s">
        <v>1204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1573</v>
      </c>
      <c r="G1238" s="283" t="s">
        <v>2186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1573</v>
      </c>
      <c r="G1239" s="283" t="s">
        <v>2187</v>
      </c>
      <c r="H1239" s="262" t="s">
        <v>1791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1573</v>
      </c>
      <c r="G1240" s="283" t="s">
        <v>2188</v>
      </c>
      <c r="H1240" s="262" t="s">
        <v>1818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1573</v>
      </c>
      <c r="G1241" s="283" t="s">
        <v>2190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1018</v>
      </c>
      <c r="G1242" s="283" t="s">
        <v>2184</v>
      </c>
      <c r="H1242" s="262" t="s">
        <v>1255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1018</v>
      </c>
      <c r="G1243" s="283" t="s">
        <v>2186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1018</v>
      </c>
      <c r="G1244" s="283" t="s">
        <v>2188</v>
      </c>
      <c r="H1244" s="262" t="s">
        <v>1818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1018</v>
      </c>
      <c r="G1245" s="283" t="s">
        <v>2187</v>
      </c>
      <c r="H1245" s="262" t="s">
        <v>1791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3182</v>
      </c>
      <c r="G1246" s="283" t="s">
        <v>1200</v>
      </c>
      <c r="H1246" s="262" t="s">
        <v>1748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3182</v>
      </c>
      <c r="G1247" s="283" t="s">
        <v>1492</v>
      </c>
      <c r="H1247" s="262" t="s">
        <v>2674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3179</v>
      </c>
      <c r="G1248" s="283" t="s">
        <v>3187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3182</v>
      </c>
      <c r="G1249" s="283" t="s">
        <v>1124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3179</v>
      </c>
      <c r="G1250" s="283" t="s">
        <v>1124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1286</v>
      </c>
      <c r="G1251" s="283" t="s">
        <v>1642</v>
      </c>
      <c r="H1251" s="262" t="s">
        <v>2343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3203</v>
      </c>
      <c r="Q1251" s="262" t="s">
        <v>3203</v>
      </c>
    </row>
    <row r="1252" spans="1:17">
      <c r="A1252" s="264">
        <v>1251</v>
      </c>
      <c r="B1252" s="264"/>
      <c r="C1252" s="257">
        <v>45883</v>
      </c>
      <c r="D1252" s="283" t="s">
        <v>1490</v>
      </c>
      <c r="G1252" s="283" t="s">
        <v>1124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1475</v>
      </c>
      <c r="G1253" s="283" t="s">
        <v>2183</v>
      </c>
      <c r="H1253" s="262" t="s">
        <v>1204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1475</v>
      </c>
      <c r="G1254" s="283" t="s">
        <v>2184</v>
      </c>
      <c r="H1254" s="262" t="s">
        <v>1255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1475</v>
      </c>
      <c r="G1255" s="283" t="s">
        <v>2188</v>
      </c>
      <c r="H1255" s="262" t="s">
        <v>1818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1576</v>
      </c>
      <c r="G1256" s="283" t="s">
        <v>3192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987</v>
      </c>
      <c r="G1257" s="283" t="s">
        <v>2176</v>
      </c>
      <c r="H1257" s="262" t="s">
        <v>1198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1026</v>
      </c>
      <c r="G1258" s="283" t="s">
        <v>2183</v>
      </c>
      <c r="H1258" s="262" t="s">
        <v>1204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1224</v>
      </c>
      <c r="G1259" s="283" t="s">
        <v>2182</v>
      </c>
      <c r="H1259" s="262" t="s">
        <v>1197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3195</v>
      </c>
      <c r="Q1259" s="262" t="s">
        <v>3195</v>
      </c>
    </row>
    <row r="1260" spans="1:17">
      <c r="A1260" s="264">
        <v>1259</v>
      </c>
      <c r="B1260" s="264"/>
      <c r="C1260" s="257">
        <v>45883</v>
      </c>
      <c r="D1260" s="283" t="s">
        <v>3197</v>
      </c>
      <c r="G1260" s="283" t="s">
        <v>1739</v>
      </c>
      <c r="I1260" s="258">
        <v>600000</v>
      </c>
      <c r="J1260" s="262">
        <v>1</v>
      </c>
      <c r="M1260" s="258">
        <v>600000</v>
      </c>
      <c r="P1260" s="262" t="s">
        <v>3198</v>
      </c>
      <c r="Q1260" s="262" t="s">
        <v>3198</v>
      </c>
    </row>
    <row r="1261" spans="1:17">
      <c r="A1261" s="264">
        <v>1260</v>
      </c>
      <c r="B1261" s="264"/>
      <c r="C1261" s="257">
        <v>45883</v>
      </c>
      <c r="D1261" s="283" t="s">
        <v>1317</v>
      </c>
      <c r="G1261" s="283" t="s">
        <v>3327</v>
      </c>
      <c r="H1261" s="262" t="s">
        <v>3328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1018</v>
      </c>
      <c r="G1262" s="283" t="s">
        <v>1124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1224</v>
      </c>
      <c r="G1263" s="283" t="s">
        <v>1124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987</v>
      </c>
      <c r="G1264" s="283" t="s">
        <v>1124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2405</v>
      </c>
      <c r="G1265" s="283" t="s">
        <v>2675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1890</v>
      </c>
      <c r="G1266" s="283" t="s">
        <v>1124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1330</v>
      </c>
      <c r="G1267" s="283" t="s">
        <v>3214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1395</v>
      </c>
      <c r="G1268" s="283" t="s">
        <v>2646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3206</v>
      </c>
      <c r="G1269" s="283" t="s">
        <v>2295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3206</v>
      </c>
      <c r="G1270" s="283" t="s">
        <v>2835</v>
      </c>
      <c r="H1270" s="262" t="s">
        <v>2745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1718</v>
      </c>
      <c r="G1271" s="283" t="s">
        <v>2183</v>
      </c>
      <c r="H1271" s="262" t="s">
        <v>1204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1718</v>
      </c>
      <c r="G1272" s="283" t="s">
        <v>2184</v>
      </c>
      <c r="H1272" s="262" t="s">
        <v>1255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3197</v>
      </c>
      <c r="G1273" s="283" t="s">
        <v>1124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2405</v>
      </c>
      <c r="G1274" s="283" t="s">
        <v>1124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1445</v>
      </c>
      <c r="G1275" s="283" t="s">
        <v>1124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1395</v>
      </c>
      <c r="G1276" s="283" t="s">
        <v>1739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1475</v>
      </c>
      <c r="G1277" s="283" t="s">
        <v>2183</v>
      </c>
      <c r="H1277" s="262" t="s">
        <v>1204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1475</v>
      </c>
      <c r="G1278" s="283" t="s">
        <v>2184</v>
      </c>
      <c r="H1278" s="262" t="s">
        <v>1255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1475</v>
      </c>
      <c r="G1279" s="283" t="s">
        <v>2188</v>
      </c>
      <c r="H1279" s="262" t="s">
        <v>1818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1475</v>
      </c>
      <c r="G1280" s="283" t="s">
        <v>2187</v>
      </c>
      <c r="H1280" s="262" t="s">
        <v>1791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1475</v>
      </c>
      <c r="G1281" s="283" t="s">
        <v>1200</v>
      </c>
      <c r="H1281" s="262" t="s">
        <v>1748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1475</v>
      </c>
      <c r="G1282" s="283" t="s">
        <v>1492</v>
      </c>
      <c r="H1282" s="262" t="s">
        <v>2674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1440</v>
      </c>
      <c r="G1283" s="283" t="s">
        <v>2192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1440</v>
      </c>
      <c r="G1284" s="283" t="s">
        <v>2052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1463</v>
      </c>
      <c r="G1285" s="283" t="s">
        <v>3218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1463</v>
      </c>
      <c r="G1286" s="283" t="s">
        <v>3218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3219</v>
      </c>
      <c r="Q1286" s="262" t="s">
        <v>3219</v>
      </c>
    </row>
    <row r="1287" spans="1:17">
      <c r="A1287" s="264">
        <v>1286</v>
      </c>
      <c r="B1287" s="264"/>
      <c r="C1287" s="257">
        <v>45887</v>
      </c>
      <c r="D1287" s="283" t="s">
        <v>1330</v>
      </c>
      <c r="G1287" s="283" t="s">
        <v>1215</v>
      </c>
      <c r="H1287" s="262" t="s">
        <v>2158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1973</v>
      </c>
      <c r="G1288" s="283" t="s">
        <v>2176</v>
      </c>
      <c r="H1288" s="262" t="s">
        <v>1198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3223</v>
      </c>
      <c r="Q1288" s="262" t="s">
        <v>3223</v>
      </c>
    </row>
    <row r="1289" spans="1:17">
      <c r="A1289" s="264">
        <v>1288</v>
      </c>
      <c r="B1289" s="264"/>
      <c r="C1289" s="257">
        <v>45887</v>
      </c>
      <c r="D1289" s="283" t="s">
        <v>1315</v>
      </c>
      <c r="G1289" s="283" t="s">
        <v>1719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1594</v>
      </c>
      <c r="G1290" s="283" t="s">
        <v>2176</v>
      </c>
      <c r="H1290" s="262" t="s">
        <v>1198</v>
      </c>
      <c r="I1290" s="258">
        <v>1500000</v>
      </c>
      <c r="J1290" s="262">
        <v>1</v>
      </c>
      <c r="M1290" s="258">
        <v>1500000</v>
      </c>
      <c r="P1290" s="262" t="s">
        <v>3225</v>
      </c>
      <c r="Q1290" s="262" t="s">
        <v>3225</v>
      </c>
    </row>
    <row r="1291" spans="1:17">
      <c r="A1291" s="264">
        <v>1290</v>
      </c>
      <c r="B1291" s="264"/>
      <c r="C1291" s="257">
        <v>45887</v>
      </c>
      <c r="D1291" s="283" t="s">
        <v>1973</v>
      </c>
      <c r="G1291" s="283" t="s">
        <v>1124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1450</v>
      </c>
      <c r="G1292" s="283" t="s">
        <v>2176</v>
      </c>
      <c r="H1292" s="262" t="s">
        <v>1198</v>
      </c>
      <c r="I1292" s="258">
        <v>1550000</v>
      </c>
      <c r="J1292" s="262">
        <v>1</v>
      </c>
      <c r="M1292" s="258">
        <v>1550000</v>
      </c>
      <c r="P1292" s="262" t="s">
        <v>3227</v>
      </c>
      <c r="Q1292" s="262" t="s">
        <v>3227</v>
      </c>
    </row>
    <row r="1293" spans="1:17">
      <c r="A1293" s="264">
        <v>1292</v>
      </c>
      <c r="B1293" s="264"/>
      <c r="C1293" s="257">
        <v>45887</v>
      </c>
      <c r="D1293" s="283" t="s">
        <v>3206</v>
      </c>
      <c r="G1293" s="283" t="s">
        <v>1124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1445</v>
      </c>
      <c r="G1294" s="283" t="s">
        <v>1124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1573</v>
      </c>
      <c r="G1295" s="283" t="s">
        <v>2841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1573</v>
      </c>
      <c r="G1296" s="283" t="s">
        <v>2770</v>
      </c>
      <c r="H1296" s="262" t="s">
        <v>1209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3229</v>
      </c>
      <c r="Q1296" s="262" t="s">
        <v>3229</v>
      </c>
    </row>
    <row r="1297" spans="1:17">
      <c r="A1297" s="264">
        <v>1296</v>
      </c>
      <c r="B1297" s="264"/>
      <c r="C1297" s="257">
        <v>45888</v>
      </c>
      <c r="D1297" s="283" t="s">
        <v>1573</v>
      </c>
      <c r="G1297" s="283" t="s">
        <v>1515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1395</v>
      </c>
      <c r="G1298" s="283" t="s">
        <v>2023</v>
      </c>
      <c r="H1298" s="262" t="s">
        <v>1212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1469</v>
      </c>
      <c r="G1299" s="283" t="s">
        <v>2286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1594</v>
      </c>
      <c r="G1300" s="283" t="s">
        <v>1200</v>
      </c>
      <c r="H1300" s="262" t="s">
        <v>1748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1395</v>
      </c>
      <c r="G1301" s="283" t="s">
        <v>1739</v>
      </c>
      <c r="I1301" s="258">
        <v>650000</v>
      </c>
      <c r="J1301" s="262">
        <v>1</v>
      </c>
      <c r="M1301" s="258">
        <v>650000</v>
      </c>
      <c r="P1301" s="262" t="s">
        <v>3234</v>
      </c>
      <c r="Q1301" s="262" t="s">
        <v>3234</v>
      </c>
    </row>
    <row r="1302" spans="1:17">
      <c r="A1302" s="264">
        <v>1301</v>
      </c>
      <c r="B1302" s="264"/>
      <c r="C1302" s="257">
        <v>45888</v>
      </c>
      <c r="D1302" s="283" t="s">
        <v>1594</v>
      </c>
      <c r="G1302" s="283" t="s">
        <v>1124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2605</v>
      </c>
      <c r="G1303" s="283" t="s">
        <v>1124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1026</v>
      </c>
      <c r="G1304" s="283" t="s">
        <v>2182</v>
      </c>
      <c r="H1304" s="262" t="s">
        <v>1197</v>
      </c>
      <c r="I1304" s="258">
        <v>1400000</v>
      </c>
      <c r="J1304" s="262">
        <v>1</v>
      </c>
      <c r="M1304" s="258">
        <v>1400000</v>
      </c>
      <c r="P1304" s="262" t="s">
        <v>3236</v>
      </c>
      <c r="Q1304" s="262" t="s">
        <v>3236</v>
      </c>
    </row>
    <row r="1305" spans="1:17">
      <c r="A1305" s="264">
        <v>1304</v>
      </c>
      <c r="B1305" s="264"/>
      <c r="C1305" s="257">
        <v>45889</v>
      </c>
      <c r="D1305" s="283" t="s">
        <v>1537</v>
      </c>
      <c r="G1305" s="283" t="s">
        <v>1739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1046</v>
      </c>
      <c r="G1306" s="283" t="s">
        <v>2176</v>
      </c>
      <c r="H1306" s="262" t="s">
        <v>1198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1046</v>
      </c>
      <c r="G1307" s="283" t="s">
        <v>2177</v>
      </c>
      <c r="H1307" s="262" t="s">
        <v>1799</v>
      </c>
      <c r="I1307" s="258">
        <v>50000</v>
      </c>
      <c r="J1307" s="262">
        <v>1</v>
      </c>
      <c r="M1307" s="258">
        <v>50000</v>
      </c>
      <c r="P1307" s="262" t="s">
        <v>3240</v>
      </c>
      <c r="Q1307" s="262" t="s">
        <v>3240</v>
      </c>
    </row>
    <row r="1308" spans="1:17">
      <c r="A1308" s="264">
        <v>1307</v>
      </c>
      <c r="B1308" s="264"/>
      <c r="C1308" s="257">
        <v>45889</v>
      </c>
      <c r="D1308" s="283" t="s">
        <v>2553</v>
      </c>
      <c r="G1308" s="283" t="s">
        <v>1739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2257</v>
      </c>
      <c r="G1309" s="283" t="s">
        <v>1200</v>
      </c>
      <c r="H1309" s="262" t="s">
        <v>1748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2362</v>
      </c>
      <c r="G1310" s="283" t="s">
        <v>3243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1374</v>
      </c>
      <c r="G1311" s="283" t="s">
        <v>1713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2911</v>
      </c>
      <c r="G1312" s="283" t="s">
        <v>2286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1576</v>
      </c>
      <c r="G1313" s="283" t="s">
        <v>1740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1576</v>
      </c>
      <c r="G1314" s="283" t="s">
        <v>1262</v>
      </c>
      <c r="H1314" s="262" t="s">
        <v>1261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2553</v>
      </c>
      <c r="G1315" s="283" t="s">
        <v>2174</v>
      </c>
      <c r="H1315" s="262" t="s">
        <v>1460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1718</v>
      </c>
      <c r="G1316" s="283" t="s">
        <v>1202</v>
      </c>
      <c r="H1316" s="262" t="s">
        <v>1203</v>
      </c>
      <c r="I1316" s="258">
        <v>1200000</v>
      </c>
      <c r="J1316" s="262">
        <v>1</v>
      </c>
      <c r="M1316" s="258">
        <v>1200000</v>
      </c>
      <c r="P1316" s="262" t="s">
        <v>3249</v>
      </c>
      <c r="Q1316" s="262" t="s">
        <v>3249</v>
      </c>
    </row>
    <row r="1317" spans="1:17">
      <c r="A1317" s="264">
        <v>1316</v>
      </c>
      <c r="B1317" s="264"/>
      <c r="C1317" s="257">
        <v>45890</v>
      </c>
      <c r="D1317" s="283" t="s">
        <v>1395</v>
      </c>
      <c r="G1317" s="283" t="s">
        <v>2176</v>
      </c>
      <c r="H1317" s="262" t="s">
        <v>1198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1395</v>
      </c>
      <c r="G1318" s="283" t="s">
        <v>3251</v>
      </c>
      <c r="J1318" s="262">
        <v>1</v>
      </c>
      <c r="N1318" s="258">
        <v>-600000</v>
      </c>
      <c r="P1318" s="262" t="s">
        <v>3252</v>
      </c>
      <c r="Q1318" s="262" t="s">
        <v>3252</v>
      </c>
    </row>
    <row r="1319" spans="1:17">
      <c r="A1319" s="264">
        <v>1318</v>
      </c>
      <c r="B1319" s="264"/>
      <c r="C1319" s="257">
        <v>45890</v>
      </c>
      <c r="D1319" s="283" t="s">
        <v>1395</v>
      </c>
      <c r="G1319" s="283" t="s">
        <v>2177</v>
      </c>
      <c r="H1319" s="262" t="s">
        <v>1799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3116</v>
      </c>
      <c r="G1320" s="283" t="s">
        <v>2413</v>
      </c>
      <c r="H1320" s="262" t="s">
        <v>2743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2911</v>
      </c>
      <c r="G1321" s="283" t="s">
        <v>1124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3116</v>
      </c>
      <c r="G1322" s="283" t="s">
        <v>1124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2257</v>
      </c>
      <c r="G1323" s="283" t="s">
        <v>1124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2553</v>
      </c>
      <c r="G1324" s="283" t="s">
        <v>1124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1450</v>
      </c>
      <c r="G1325" s="283" t="s">
        <v>1124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2853</v>
      </c>
      <c r="G1326" s="283" t="s">
        <v>2809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1808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1808</v>
      </c>
      <c r="G1328" s="283" t="s">
        <v>2183</v>
      </c>
      <c r="H1328" s="262" t="s">
        <v>1204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3257</v>
      </c>
      <c r="Q1328" s="262" t="s">
        <v>3257</v>
      </c>
    </row>
    <row r="1329" spans="1:17">
      <c r="A1329" s="264">
        <v>1328</v>
      </c>
      <c r="B1329" s="264"/>
      <c r="C1329" s="257">
        <v>45891</v>
      </c>
      <c r="D1329" s="283" t="s">
        <v>3259</v>
      </c>
      <c r="G1329" s="283" t="s">
        <v>3262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1315</v>
      </c>
      <c r="G1330" s="283" t="s">
        <v>1719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3265</v>
      </c>
      <c r="G1331" s="283" t="s">
        <v>3266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3267</v>
      </c>
      <c r="Q1331" s="262" t="s">
        <v>3267</v>
      </c>
    </row>
    <row r="1332" spans="1:17">
      <c r="A1332" s="264">
        <v>1331</v>
      </c>
      <c r="B1332" s="264"/>
      <c r="C1332" s="257">
        <v>45891</v>
      </c>
      <c r="D1332" s="283" t="s">
        <v>3259</v>
      </c>
      <c r="G1332" s="283" t="s">
        <v>1124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3265</v>
      </c>
      <c r="G1333" s="283" t="s">
        <v>1124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2853</v>
      </c>
      <c r="G1334" s="283" t="s">
        <v>1124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2553</v>
      </c>
      <c r="G1335" s="283" t="s">
        <v>1124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1007</v>
      </c>
      <c r="G1336" s="283" t="s">
        <v>1713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2605</v>
      </c>
      <c r="G1337" s="283" t="s">
        <v>1742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1374</v>
      </c>
      <c r="G1338" s="283" t="s">
        <v>1742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1026</v>
      </c>
      <c r="G1339" s="283" t="s">
        <v>1124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1007</v>
      </c>
      <c r="G1340" s="283" t="s">
        <v>1124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1395</v>
      </c>
      <c r="G1341" s="283" t="s">
        <v>1740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1395</v>
      </c>
      <c r="G1342" s="283" t="s">
        <v>1200</v>
      </c>
      <c r="H1342" s="262" t="s">
        <v>1748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1395</v>
      </c>
      <c r="G1343" s="283" t="s">
        <v>2835</v>
      </c>
      <c r="H1343" s="262" t="s">
        <v>2745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1395</v>
      </c>
      <c r="G1344" s="283" t="s">
        <v>2183</v>
      </c>
      <c r="H1344" s="262" t="s">
        <v>1204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1395</v>
      </c>
      <c r="G1345" s="283" t="s">
        <v>2184</v>
      </c>
      <c r="H1345" s="262" t="s">
        <v>1255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1395</v>
      </c>
      <c r="G1346" s="283" t="s">
        <v>2187</v>
      </c>
      <c r="H1346" s="262" t="s">
        <v>1791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1395</v>
      </c>
      <c r="G1347" s="283" t="s">
        <v>2188</v>
      </c>
      <c r="H1347" s="262" t="s">
        <v>1818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1801</v>
      </c>
      <c r="G1348" s="283" t="s">
        <v>2183</v>
      </c>
      <c r="H1348" s="262" t="s">
        <v>1204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1801</v>
      </c>
      <c r="G1349" s="283" t="s">
        <v>2184</v>
      </c>
      <c r="H1349" s="262" t="s">
        <v>1255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1801</v>
      </c>
      <c r="G1350" s="283" t="s">
        <v>2187</v>
      </c>
      <c r="H1350" s="262" t="s">
        <v>1791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1801</v>
      </c>
      <c r="G1351" s="283" t="s">
        <v>2188</v>
      </c>
      <c r="H1351" s="262" t="s">
        <v>1818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3116</v>
      </c>
      <c r="G1352" s="283" t="s">
        <v>3279</v>
      </c>
      <c r="H1352" s="262" t="s">
        <v>3280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2911</v>
      </c>
      <c r="G1353" s="283" t="s">
        <v>2133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1573</v>
      </c>
      <c r="G1354" s="283" t="s">
        <v>2914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2288</v>
      </c>
      <c r="G1355" s="283" t="s">
        <v>3066</v>
      </c>
      <c r="H1355" s="262" t="s">
        <v>2323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2553</v>
      </c>
      <c r="G1356" s="283" t="s">
        <v>2023</v>
      </c>
      <c r="H1356" s="262" t="s">
        <v>1212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2553</v>
      </c>
      <c r="G1357" s="283" t="s">
        <v>1736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3287</v>
      </c>
      <c r="G1358" s="283" t="s">
        <v>2176</v>
      </c>
      <c r="H1358" s="262" t="s">
        <v>1198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3287</v>
      </c>
      <c r="G1359" s="283" t="s">
        <v>2176</v>
      </c>
      <c r="H1359" s="262" t="s">
        <v>1198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987</v>
      </c>
      <c r="G1360" s="283" t="s">
        <v>1739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2405</v>
      </c>
      <c r="G1361" s="283" t="s">
        <v>3294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2302</v>
      </c>
      <c r="G1362" s="283" t="s">
        <v>2295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1573</v>
      </c>
      <c r="G1363" s="283" t="s">
        <v>2183</v>
      </c>
      <c r="H1363" s="262" t="s">
        <v>1204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1270</v>
      </c>
      <c r="G1364" s="283" t="s">
        <v>2981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1573</v>
      </c>
      <c r="G1365" s="283" t="s">
        <v>2187</v>
      </c>
      <c r="H1365" s="262" t="s">
        <v>1791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1573</v>
      </c>
      <c r="G1366" s="283" t="s">
        <v>2188</v>
      </c>
      <c r="H1366" s="262" t="s">
        <v>1818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1573</v>
      </c>
      <c r="G1367" s="283" t="s">
        <v>2190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1573</v>
      </c>
      <c r="G1368" s="283" t="s">
        <v>2183</v>
      </c>
      <c r="H1368" s="262" t="s">
        <v>1204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1573</v>
      </c>
      <c r="G1369" s="283" t="s">
        <v>2186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1573</v>
      </c>
      <c r="G1370" s="283" t="s">
        <v>2187</v>
      </c>
      <c r="H1370" s="262" t="s">
        <v>1791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1573</v>
      </c>
      <c r="G1371" s="283" t="s">
        <v>2188</v>
      </c>
      <c r="H1371" s="262" t="s">
        <v>1818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1573</v>
      </c>
      <c r="G1372" s="283" t="s">
        <v>2190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1015</v>
      </c>
      <c r="G1373" s="283" t="s">
        <v>2183</v>
      </c>
      <c r="H1373" s="262" t="s">
        <v>1204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2211</v>
      </c>
      <c r="G1374" s="283" t="s">
        <v>2981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1440</v>
      </c>
      <c r="G1375" s="283" t="s">
        <v>3300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1440</v>
      </c>
      <c r="G1376" s="283" t="s">
        <v>3301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1576</v>
      </c>
      <c r="G1377" s="283" t="s">
        <v>1124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2405</v>
      </c>
      <c r="G1378" s="283" t="s">
        <v>1124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987</v>
      </c>
      <c r="G1379" s="283" t="s">
        <v>1124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2288</v>
      </c>
      <c r="G1380" s="283" t="s">
        <v>1124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2911</v>
      </c>
      <c r="G1381" s="283" t="s">
        <v>1124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3287</v>
      </c>
      <c r="G1382" s="283" t="s">
        <v>1124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1537</v>
      </c>
      <c r="G1383" s="283" t="s">
        <v>1915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1465</v>
      </c>
      <c r="G1384" s="283" t="s">
        <v>1912</v>
      </c>
      <c r="H1384" s="262" t="s">
        <v>2050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1015</v>
      </c>
      <c r="G1385" s="283" t="s">
        <v>2182</v>
      </c>
      <c r="H1385" s="262" t="s">
        <v>1197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1576</v>
      </c>
      <c r="G1386" s="283" t="s">
        <v>3306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1440</v>
      </c>
      <c r="G1387" s="283" t="s">
        <v>2183</v>
      </c>
      <c r="H1387" s="262" t="s">
        <v>1204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1440</v>
      </c>
      <c r="G1388" s="283" t="s">
        <v>2186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1440</v>
      </c>
      <c r="G1389" s="283" t="s">
        <v>2187</v>
      </c>
      <c r="H1389" s="262" t="s">
        <v>1791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1440</v>
      </c>
      <c r="G1390" s="283" t="s">
        <v>1713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2853</v>
      </c>
      <c r="G1391" s="283" t="s">
        <v>3310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2853</v>
      </c>
      <c r="G1392" s="283" t="s">
        <v>1515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2853</v>
      </c>
      <c r="G1393" s="283" t="s">
        <v>1124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1786</v>
      </c>
      <c r="G1394" s="283" t="s">
        <v>1124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2302</v>
      </c>
      <c r="G1395" s="283" t="s">
        <v>1124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1337</v>
      </c>
      <c r="G1396" s="283" t="s">
        <v>1215</v>
      </c>
      <c r="H1396" s="262" t="s">
        <v>2158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1469</v>
      </c>
      <c r="G1397" s="283" t="s">
        <v>3314</v>
      </c>
      <c r="H1397" s="262" t="s">
        <v>3315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3111</v>
      </c>
      <c r="G1398" s="283" t="s">
        <v>2174</v>
      </c>
      <c r="H1398" s="262" t="s">
        <v>1460</v>
      </c>
      <c r="I1398" s="258">
        <v>2500000</v>
      </c>
      <c r="J1398" s="262">
        <v>1</v>
      </c>
      <c r="M1398" s="258">
        <v>2500000</v>
      </c>
      <c r="P1398" s="262" t="s">
        <v>3317</v>
      </c>
      <c r="Q1398" s="262" t="s">
        <v>3317</v>
      </c>
    </row>
    <row r="1399" spans="1:17">
      <c r="A1399" s="264">
        <v>1398</v>
      </c>
      <c r="B1399" s="264"/>
      <c r="C1399" s="257">
        <v>45896</v>
      </c>
      <c r="D1399" s="283" t="s">
        <v>1743</v>
      </c>
      <c r="G1399" s="283" t="s">
        <v>2192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1082</v>
      </c>
      <c r="G1400" s="283" t="s">
        <v>2413</v>
      </c>
      <c r="H1400" s="262" t="s">
        <v>2743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2463</v>
      </c>
      <c r="G1401" s="283" t="s">
        <v>1719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2553</v>
      </c>
      <c r="G1402" s="283" t="s">
        <v>3322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3111</v>
      </c>
      <c r="G1403" s="283" t="s">
        <v>1124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1337</v>
      </c>
      <c r="G1404" s="283" t="s">
        <v>1666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2462</v>
      </c>
      <c r="G1405" s="283" t="s">
        <v>1124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3116</v>
      </c>
      <c r="G1406" s="283" t="s">
        <v>1124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2592</v>
      </c>
      <c r="G1407" s="283" t="s">
        <v>1124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1283</v>
      </c>
      <c r="G1408" s="283" t="s">
        <v>3336</v>
      </c>
      <c r="I1408" s="258">
        <v>2500000</v>
      </c>
      <c r="J1408" s="262">
        <v>1</v>
      </c>
      <c r="L1408" s="259" t="s">
        <v>3337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1786</v>
      </c>
      <c r="G1409" s="283" t="s">
        <v>1739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1145</v>
      </c>
      <c r="G1410" s="283" t="s">
        <v>2408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1046</v>
      </c>
      <c r="G1411" s="283" t="s">
        <v>2193</v>
      </c>
      <c r="H1411" s="262" t="s">
        <v>1195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1170</v>
      </c>
      <c r="G1412" s="283" t="s">
        <v>1557</v>
      </c>
      <c r="H1412" s="262" t="s">
        <v>1764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1170</v>
      </c>
      <c r="G1413" s="283" t="s">
        <v>1515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1573</v>
      </c>
      <c r="G1414" s="283" t="s">
        <v>2914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1718</v>
      </c>
      <c r="G1415" s="283" t="s">
        <v>2176</v>
      </c>
      <c r="H1415" s="262" t="s">
        <v>1198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1718</v>
      </c>
      <c r="G1416" s="283" t="s">
        <v>2177</v>
      </c>
      <c r="H1416" s="262" t="s">
        <v>1799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1469</v>
      </c>
      <c r="G1417" s="283" t="s">
        <v>1124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1537</v>
      </c>
      <c r="G1418" s="283" t="s">
        <v>1124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1465</v>
      </c>
      <c r="G1419" s="283" t="s">
        <v>2399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1465</v>
      </c>
      <c r="G1420" s="283" t="s">
        <v>1124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1145</v>
      </c>
      <c r="G1421" s="283" t="s">
        <v>1124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1475</v>
      </c>
      <c r="G1422" s="283" t="s">
        <v>1124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1808</v>
      </c>
      <c r="G1423" s="283" t="s">
        <v>1124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1023</v>
      </c>
      <c r="G1424" s="283" t="s">
        <v>2212</v>
      </c>
      <c r="H1424" s="262" t="s">
        <v>1756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2993</v>
      </c>
      <c r="G1425" s="283" t="s">
        <v>3339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1023</v>
      </c>
      <c r="G1426" s="283" t="s">
        <v>2981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1023</v>
      </c>
      <c r="G1427" s="283" t="s">
        <v>3361</v>
      </c>
      <c r="H1427" s="262" t="s">
        <v>1728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1023</v>
      </c>
      <c r="G1428" s="283" t="s">
        <v>2658</v>
      </c>
      <c r="H1428" s="262" t="s">
        <v>1729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1023</v>
      </c>
      <c r="G1429" s="283" t="s">
        <v>2430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1035</v>
      </c>
      <c r="G1430" s="283" t="s">
        <v>2430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1035</v>
      </c>
      <c r="G1431" s="283" t="s">
        <v>2981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1035</v>
      </c>
      <c r="G1432" s="283" t="s">
        <v>3481</v>
      </c>
      <c r="H1432" s="262" t="s">
        <v>1778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1035</v>
      </c>
      <c r="G1433" s="283" t="s">
        <v>3482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1035</v>
      </c>
      <c r="G1434" s="283" t="s">
        <v>3483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1718</v>
      </c>
      <c r="G1435" s="283" t="s">
        <v>2174</v>
      </c>
      <c r="H1435" s="262" t="s">
        <v>1460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3197</v>
      </c>
      <c r="G1436" s="283" t="s">
        <v>1739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3197</v>
      </c>
      <c r="G1437" s="283" t="s">
        <v>1124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2903</v>
      </c>
      <c r="G1438" s="283" t="s">
        <v>2652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3362</v>
      </c>
      <c r="Q1438" s="262" t="s">
        <v>3362</v>
      </c>
    </row>
    <row r="1439" spans="1:17">
      <c r="A1439" s="264">
        <v>1438</v>
      </c>
      <c r="B1439" s="264"/>
      <c r="C1439" s="257">
        <v>45899</v>
      </c>
      <c r="D1439" s="283" t="s">
        <v>1743</v>
      </c>
      <c r="G1439" s="283" t="s">
        <v>2295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1550</v>
      </c>
      <c r="G1440" s="283" t="s">
        <v>1124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1573</v>
      </c>
      <c r="G1441" s="283" t="s">
        <v>1742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1170</v>
      </c>
      <c r="G1442" s="283" t="s">
        <v>1742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1395</v>
      </c>
      <c r="G1443" s="283" t="s">
        <v>1124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1082</v>
      </c>
      <c r="G1444" s="283" t="s">
        <v>1124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1718</v>
      </c>
      <c r="G1445" s="283" t="s">
        <v>1124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1801</v>
      </c>
      <c r="G1446" s="283" t="s">
        <v>1124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1395</v>
      </c>
      <c r="G1447" s="283" t="s">
        <v>1200</v>
      </c>
      <c r="H1447" s="262" t="s">
        <v>1748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1395</v>
      </c>
      <c r="G1448" s="283" t="s">
        <v>1492</v>
      </c>
      <c r="H1448" s="262" t="s">
        <v>2674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1395</v>
      </c>
      <c r="G1449" s="283" t="s">
        <v>2835</v>
      </c>
      <c r="H1449" s="262" t="s">
        <v>2745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1395</v>
      </c>
      <c r="G1450" s="283" t="s">
        <v>2295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1395</v>
      </c>
      <c r="G1451" s="283" t="s">
        <v>1262</v>
      </c>
      <c r="H1451" s="262" t="s">
        <v>1261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1395</v>
      </c>
      <c r="G1452" s="283" t="s">
        <v>1701</v>
      </c>
      <c r="H1452" s="262" t="s">
        <v>1700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1035</v>
      </c>
      <c r="G1453" s="283" t="s">
        <v>3484</v>
      </c>
      <c r="H1453" s="262" t="s">
        <v>3485</v>
      </c>
      <c r="I1453" s="258">
        <v>800000</v>
      </c>
      <c r="J1453" s="262">
        <v>1</v>
      </c>
      <c r="M1453" s="258">
        <v>800000</v>
      </c>
      <c r="P1453" s="262" t="s">
        <v>3486</v>
      </c>
      <c r="Q1453" s="262" t="s">
        <v>3486</v>
      </c>
    </row>
    <row r="1454" spans="1:17">
      <c r="A1454" s="264">
        <v>1453</v>
      </c>
      <c r="B1454" s="264"/>
      <c r="C1454" s="257">
        <v>45901</v>
      </c>
      <c r="D1454" s="283" t="s">
        <v>1469</v>
      </c>
      <c r="G1454" s="283" t="s">
        <v>2176</v>
      </c>
      <c r="H1454" s="262" t="s">
        <v>1198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1808</v>
      </c>
      <c r="G1455" s="283" t="s">
        <v>1202</v>
      </c>
      <c r="H1455" s="262" t="s">
        <v>1559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1808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1440</v>
      </c>
      <c r="G1457" s="283" t="s">
        <v>2192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2757</v>
      </c>
      <c r="G1458" s="283" t="s">
        <v>2800</v>
      </c>
      <c r="H1458" s="262" t="s">
        <v>2799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2757</v>
      </c>
      <c r="G1459" s="283" t="s">
        <v>2179</v>
      </c>
      <c r="H1459" s="262" t="s">
        <v>1716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3346</v>
      </c>
      <c r="G1460" s="283" t="s">
        <v>3056</v>
      </c>
      <c r="H1460" s="262" t="s">
        <v>3055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1440</v>
      </c>
      <c r="G1461" s="283" t="s">
        <v>2176</v>
      </c>
      <c r="H1461" s="262" t="s">
        <v>1198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2993</v>
      </c>
      <c r="G1462" s="283" t="s">
        <v>1124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2757</v>
      </c>
      <c r="G1463" s="283" t="s">
        <v>1124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3346</v>
      </c>
      <c r="G1464" s="283" t="s">
        <v>1124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2864</v>
      </c>
      <c r="G1465" s="283" t="s">
        <v>1124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1046</v>
      </c>
      <c r="G1466" s="283" t="s">
        <v>1124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1170</v>
      </c>
      <c r="G1467" s="283" t="s">
        <v>2295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1973</v>
      </c>
      <c r="G1468" s="283" t="s">
        <v>2192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2993</v>
      </c>
      <c r="G1469" s="283" t="s">
        <v>2176</v>
      </c>
      <c r="H1469" s="262" t="s">
        <v>1198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2993</v>
      </c>
      <c r="G1470" s="283" t="s">
        <v>2177</v>
      </c>
      <c r="H1470" s="262" t="s">
        <v>1799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1145</v>
      </c>
      <c r="G1471" s="283" t="s">
        <v>2188</v>
      </c>
      <c r="H1471" s="262" t="s">
        <v>1818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1573</v>
      </c>
      <c r="G1472" s="283" t="s">
        <v>1739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1490</v>
      </c>
      <c r="G1473" s="283" t="s">
        <v>3369</v>
      </c>
      <c r="H1473" s="262" t="s">
        <v>1203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1007</v>
      </c>
      <c r="G1474" s="283" t="s">
        <v>1713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1973</v>
      </c>
      <c r="G1475" s="283" t="s">
        <v>1124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1808</v>
      </c>
      <c r="G1476" s="283" t="s">
        <v>1124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1018</v>
      </c>
      <c r="G1477" s="283" t="s">
        <v>1742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1786</v>
      </c>
      <c r="G1478" s="283" t="s">
        <v>2176</v>
      </c>
      <c r="H1478" s="262" t="s">
        <v>1198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1786</v>
      </c>
      <c r="G1479" s="283" t="s">
        <v>2177</v>
      </c>
      <c r="H1479" s="262" t="s">
        <v>1799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1463</v>
      </c>
      <c r="G1480" s="283" t="s">
        <v>1492</v>
      </c>
      <c r="H1480" s="262" t="s">
        <v>2674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1440</v>
      </c>
      <c r="G1481" s="283" t="s">
        <v>2183</v>
      </c>
      <c r="H1481" s="262" t="s">
        <v>1204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1440</v>
      </c>
      <c r="G1482" s="283" t="s">
        <v>2186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1170</v>
      </c>
      <c r="G1483" s="283" t="s">
        <v>1557</v>
      </c>
      <c r="H1483" s="262" t="s">
        <v>1764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1170</v>
      </c>
      <c r="G1484" s="283" t="s">
        <v>3375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1494</v>
      </c>
      <c r="G1485" s="283" t="s">
        <v>3377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1576</v>
      </c>
      <c r="G1486" s="283" t="s">
        <v>2183</v>
      </c>
      <c r="H1486" s="262" t="s">
        <v>1204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1576</v>
      </c>
      <c r="G1487" s="283" t="s">
        <v>2186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3287</v>
      </c>
      <c r="G1488" s="283" t="s">
        <v>2176</v>
      </c>
      <c r="H1488" s="262" t="s">
        <v>1198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1330</v>
      </c>
      <c r="G1489" s="283" t="s">
        <v>3444</v>
      </c>
      <c r="H1489" s="262" t="s">
        <v>3445</v>
      </c>
      <c r="I1489" s="258">
        <v>1850000</v>
      </c>
      <c r="J1489" s="262">
        <v>1</v>
      </c>
      <c r="L1489" s="259" t="s">
        <v>3446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2467</v>
      </c>
      <c r="G1490" s="283" t="s">
        <v>1966</v>
      </c>
      <c r="H1490" s="262" t="s">
        <v>1643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3388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1743</v>
      </c>
      <c r="G1492" s="283" t="s">
        <v>1858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2467</v>
      </c>
      <c r="G1493" s="283" t="s">
        <v>3603</v>
      </c>
      <c r="I1493" s="258">
        <v>150000</v>
      </c>
      <c r="J1493" s="262">
        <v>1</v>
      </c>
      <c r="L1493" s="259" t="s">
        <v>3604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1843</v>
      </c>
      <c r="G1494" s="283" t="s">
        <v>2809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3395</v>
      </c>
      <c r="Q1494" s="262" t="s">
        <v>3395</v>
      </c>
    </row>
    <row r="1495" spans="1:17">
      <c r="A1495" s="264">
        <v>1494</v>
      </c>
      <c r="B1495" s="264"/>
      <c r="C1495" s="257">
        <v>45903</v>
      </c>
      <c r="D1495" s="283" t="s">
        <v>1743</v>
      </c>
      <c r="G1495" s="283" t="s">
        <v>1515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1743</v>
      </c>
      <c r="G1496" s="283" t="s">
        <v>1515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1290</v>
      </c>
      <c r="G1497" s="283" t="s">
        <v>3428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1494</v>
      </c>
      <c r="G1498" s="283" t="s">
        <v>1796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3287</v>
      </c>
      <c r="G1499" s="283" t="s">
        <v>1796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2315</v>
      </c>
      <c r="G1500" s="283" t="s">
        <v>1796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3397</v>
      </c>
      <c r="G1501" s="283" t="s">
        <v>1557</v>
      </c>
      <c r="H1501" s="262" t="s">
        <v>1764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1469</v>
      </c>
      <c r="G1502" s="283" t="s">
        <v>1664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1490</v>
      </c>
      <c r="G1503" s="283" t="s">
        <v>2295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1490</v>
      </c>
      <c r="G1504" s="283" t="s">
        <v>1492</v>
      </c>
      <c r="H1504" s="262" t="s">
        <v>2674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1490</v>
      </c>
      <c r="G1505" s="283" t="s">
        <v>3414</v>
      </c>
      <c r="H1505" s="262" t="s">
        <v>3413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3404</v>
      </c>
      <c r="G1506" s="283" t="s">
        <v>2408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3404</v>
      </c>
      <c r="G1507" s="283" t="s">
        <v>1262</v>
      </c>
      <c r="H1507" s="262" t="s">
        <v>1261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1475</v>
      </c>
      <c r="G1508" s="283" t="s">
        <v>1739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2911</v>
      </c>
      <c r="G1509" s="283" t="s">
        <v>2133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1469</v>
      </c>
      <c r="G1510" s="283" t="s">
        <v>2176</v>
      </c>
      <c r="H1510" s="262" t="s">
        <v>1198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1718</v>
      </c>
      <c r="G1511" s="283" t="s">
        <v>2087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1475</v>
      </c>
      <c r="G1512" s="283" t="s">
        <v>1124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3397</v>
      </c>
      <c r="G1513" s="283" t="s">
        <v>1124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2911</v>
      </c>
      <c r="G1514" s="283" t="s">
        <v>1124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1490</v>
      </c>
      <c r="G1515" s="283" t="s">
        <v>3429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1843</v>
      </c>
      <c r="G1516" s="283" t="s">
        <v>1742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1743</v>
      </c>
      <c r="G1517" s="283" t="s">
        <v>3430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1015</v>
      </c>
      <c r="G1518" s="283" t="s">
        <v>3431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1015</v>
      </c>
      <c r="G1519" s="283" t="s">
        <v>2182</v>
      </c>
      <c r="H1519" s="262" t="s">
        <v>1197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3432</v>
      </c>
      <c r="Q1519" s="283" t="s">
        <v>3432</v>
      </c>
    </row>
    <row r="1520" spans="1:17">
      <c r="A1520" s="264">
        <v>1519</v>
      </c>
      <c r="B1520" s="264"/>
      <c r="C1520" s="257">
        <v>45905</v>
      </c>
      <c r="D1520" s="283" t="s">
        <v>1463</v>
      </c>
      <c r="G1520" s="283" t="s">
        <v>2154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1018</v>
      </c>
      <c r="G1521" s="283" t="s">
        <v>1200</v>
      </c>
      <c r="H1521" s="262" t="s">
        <v>1748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1440</v>
      </c>
      <c r="G1522" s="283" t="s">
        <v>2028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1440</v>
      </c>
      <c r="G1523" s="283" t="s">
        <v>2828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1440</v>
      </c>
      <c r="G1524" s="283" t="s">
        <v>3435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1302</v>
      </c>
      <c r="G1525" s="283" t="s">
        <v>3047</v>
      </c>
      <c r="H1525" s="262" t="s">
        <v>1948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1718</v>
      </c>
      <c r="G1526" s="283" t="s">
        <v>3438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1718</v>
      </c>
      <c r="G1527" s="283" t="s">
        <v>1545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3145</v>
      </c>
      <c r="G1528" s="283" t="s">
        <v>1755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3145</v>
      </c>
      <c r="G1529" s="283" t="s">
        <v>2108</v>
      </c>
      <c r="H1529" s="262" t="s">
        <v>2577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3448</v>
      </c>
      <c r="E1530" s="282"/>
      <c r="G1530" s="283" t="s">
        <v>4024</v>
      </c>
      <c r="H1530" s="262" t="s">
        <v>2213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1395</v>
      </c>
      <c r="G1531" s="283" t="s">
        <v>1200</v>
      </c>
      <c r="H1531" s="262" t="s">
        <v>1748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1395</v>
      </c>
      <c r="G1532" s="283" t="s">
        <v>2835</v>
      </c>
      <c r="H1532" s="262" t="s">
        <v>2745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1445</v>
      </c>
      <c r="G1533" s="283" t="s">
        <v>1124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1469</v>
      </c>
      <c r="G1534" s="283" t="s">
        <v>1742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3145</v>
      </c>
      <c r="G1535" s="283" t="s">
        <v>1742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3448</v>
      </c>
      <c r="E1536" s="282"/>
      <c r="G1536" s="283" t="s">
        <v>1742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1469</v>
      </c>
      <c r="G1537" s="283" t="s">
        <v>2183</v>
      </c>
      <c r="H1537" s="262" t="s">
        <v>1204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3404</v>
      </c>
      <c r="G1538" s="283" t="s">
        <v>1742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3455</v>
      </c>
      <c r="G1539" s="283" t="s">
        <v>3462</v>
      </c>
      <c r="H1539" s="262" t="s">
        <v>1204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3455</v>
      </c>
      <c r="G1540" s="283" t="s">
        <v>2186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3455</v>
      </c>
      <c r="G1541" s="283" t="s">
        <v>2187</v>
      </c>
      <c r="H1541" s="262" t="s">
        <v>1791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3455</v>
      </c>
      <c r="G1542" s="283" t="s">
        <v>2188</v>
      </c>
      <c r="H1542" s="262" t="s">
        <v>1818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2993</v>
      </c>
      <c r="G1543" s="283" t="s">
        <v>3465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3458</v>
      </c>
      <c r="G1544" s="283" t="s">
        <v>3467</v>
      </c>
      <c r="H1544" s="262" t="s">
        <v>1559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3455</v>
      </c>
      <c r="G1545" s="283" t="s">
        <v>1124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3458</v>
      </c>
      <c r="G1546" s="283" t="s">
        <v>1796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1302</v>
      </c>
      <c r="G1547" s="283" t="s">
        <v>1796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1592</v>
      </c>
      <c r="G1548" s="283" t="s">
        <v>1796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1490</v>
      </c>
      <c r="G1549" s="283" t="s">
        <v>3469</v>
      </c>
      <c r="H1549" s="262" t="s">
        <v>1203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1582</v>
      </c>
      <c r="G1550" s="283" t="s">
        <v>2103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1302</v>
      </c>
      <c r="G1551" s="283" t="s">
        <v>3462</v>
      </c>
      <c r="H1551" s="262" t="s">
        <v>1204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1302</v>
      </c>
      <c r="G1552" s="283" t="s">
        <v>2186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1302</v>
      </c>
      <c r="G1553" s="283" t="s">
        <v>2187</v>
      </c>
      <c r="H1553" s="262" t="s">
        <v>1791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1302</v>
      </c>
      <c r="G1554" s="283" t="s">
        <v>2188</v>
      </c>
      <c r="H1554" s="262" t="s">
        <v>1818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1576</v>
      </c>
      <c r="G1555" s="283" t="s">
        <v>3462</v>
      </c>
      <c r="H1555" s="262" t="s">
        <v>1204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1667</v>
      </c>
      <c r="G1556" s="283" t="s">
        <v>3475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1053</v>
      </c>
      <c r="G1557" s="283" t="s">
        <v>2133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1475</v>
      </c>
      <c r="G1558" s="283" t="s">
        <v>3462</v>
      </c>
      <c r="H1558" s="262" t="s">
        <v>1204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1475</v>
      </c>
      <c r="G1559" s="283" t="s">
        <v>2184</v>
      </c>
      <c r="H1559" s="262" t="s">
        <v>1255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1475</v>
      </c>
      <c r="G1560" s="283" t="s">
        <v>2188</v>
      </c>
      <c r="H1560" s="262" t="s">
        <v>1818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1475</v>
      </c>
      <c r="G1561" s="283" t="s">
        <v>2187</v>
      </c>
      <c r="H1561" s="262" t="s">
        <v>1791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1395</v>
      </c>
      <c r="G1562" s="283" t="s">
        <v>1739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1053</v>
      </c>
      <c r="G1563" s="283" t="s">
        <v>1796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1550</v>
      </c>
      <c r="G1564" s="283" t="s">
        <v>1124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1302</v>
      </c>
      <c r="G1565" s="283" t="s">
        <v>1124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1170</v>
      </c>
      <c r="G1566" s="283" t="s">
        <v>1124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983</v>
      </c>
      <c r="G1567" s="283" t="s">
        <v>2652</v>
      </c>
      <c r="I1567" s="258">
        <v>1100000</v>
      </c>
      <c r="J1567" s="262">
        <v>1</v>
      </c>
      <c r="L1567" s="259" t="s">
        <v>3511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2405</v>
      </c>
      <c r="G1568" s="283" t="s">
        <v>2185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987</v>
      </c>
      <c r="G1569" s="283" t="s">
        <v>2182</v>
      </c>
      <c r="H1569" s="262" t="s">
        <v>1197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2462</v>
      </c>
      <c r="G1570" s="283" t="s">
        <v>1713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1863</v>
      </c>
      <c r="G1571" s="283" t="s">
        <v>2193</v>
      </c>
      <c r="H1571" s="262" t="s">
        <v>1195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1863</v>
      </c>
      <c r="G1572" s="283" t="s">
        <v>1124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2462</v>
      </c>
      <c r="G1573" s="283" t="s">
        <v>1124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987</v>
      </c>
      <c r="G1574" s="283" t="s">
        <v>1124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1445</v>
      </c>
      <c r="G1575" s="283" t="s">
        <v>3463</v>
      </c>
      <c r="H1575" s="262" t="s">
        <v>1204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1667</v>
      </c>
      <c r="G1576" s="283" t="s">
        <v>1200</v>
      </c>
      <c r="H1576" s="262" t="s">
        <v>1748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1667</v>
      </c>
      <c r="G1577" s="283" t="s">
        <v>1492</v>
      </c>
      <c r="H1577" s="262" t="s">
        <v>2674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1156</v>
      </c>
      <c r="G1578" s="283" t="s">
        <v>3484</v>
      </c>
      <c r="H1578" s="262" t="s">
        <v>3485</v>
      </c>
      <c r="I1578" s="258">
        <v>150000</v>
      </c>
      <c r="J1578" s="262">
        <v>1</v>
      </c>
      <c r="M1578" s="258">
        <v>150000</v>
      </c>
      <c r="P1578" s="283" t="s">
        <v>3645</v>
      </c>
      <c r="Q1578" s="283" t="s">
        <v>3486</v>
      </c>
    </row>
    <row r="1579" spans="1:17">
      <c r="A1579" s="264">
        <v>1578</v>
      </c>
      <c r="B1579" s="264"/>
      <c r="C1579" s="257">
        <v>45910</v>
      </c>
      <c r="D1579" s="283" t="s">
        <v>1537</v>
      </c>
      <c r="G1579" s="283" t="s">
        <v>1200</v>
      </c>
      <c r="H1579" s="262" t="s">
        <v>1748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1537</v>
      </c>
      <c r="G1580" s="283" t="s">
        <v>2662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3496</v>
      </c>
      <c r="G1581" s="283" t="s">
        <v>3462</v>
      </c>
      <c r="H1581" s="262" t="s">
        <v>1204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1440</v>
      </c>
      <c r="G1582" s="283" t="s">
        <v>3435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3388</v>
      </c>
      <c r="G1583" s="283" t="s">
        <v>2176</v>
      </c>
      <c r="H1583" s="262" t="s">
        <v>1198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3388</v>
      </c>
      <c r="G1584" s="283" t="s">
        <v>2177</v>
      </c>
      <c r="H1584" s="262" t="s">
        <v>1799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1440</v>
      </c>
      <c r="G1585" s="283" t="s">
        <v>3300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1302</v>
      </c>
      <c r="G1586" s="283" t="s">
        <v>2190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2778</v>
      </c>
      <c r="G1587" s="283" t="s">
        <v>2286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1786</v>
      </c>
      <c r="G1588" s="283" t="s">
        <v>2190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1786</v>
      </c>
      <c r="G1589" s="283" t="s">
        <v>3462</v>
      </c>
      <c r="H1589" s="262" t="s">
        <v>1204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1786</v>
      </c>
      <c r="G1590" s="283" t="s">
        <v>2188</v>
      </c>
      <c r="H1590" s="262" t="s">
        <v>1818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1786</v>
      </c>
      <c r="G1591" s="283" t="s">
        <v>2187</v>
      </c>
      <c r="H1591" s="262" t="s">
        <v>1791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1786</v>
      </c>
      <c r="G1592" s="283" t="s">
        <v>1515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1463</v>
      </c>
      <c r="G1593" s="283" t="s">
        <v>1124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3388</v>
      </c>
      <c r="G1594" s="283" t="s">
        <v>1124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1302</v>
      </c>
      <c r="G1595" s="283" t="s">
        <v>1124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1445</v>
      </c>
      <c r="G1596" s="283" t="s">
        <v>1124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2405</v>
      </c>
      <c r="G1597" s="283" t="s">
        <v>1124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1582</v>
      </c>
      <c r="G1598" s="283" t="s">
        <v>1124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2778</v>
      </c>
      <c r="G1599" s="283" t="s">
        <v>1124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3496</v>
      </c>
      <c r="G1600" s="283" t="s">
        <v>1124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1463</v>
      </c>
      <c r="G1601" s="283" t="s">
        <v>3218</v>
      </c>
      <c r="H1601" s="262" t="s">
        <v>3513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1082</v>
      </c>
      <c r="G1602" s="283" t="s">
        <v>2176</v>
      </c>
      <c r="H1602" s="262" t="s">
        <v>1198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1082</v>
      </c>
      <c r="G1603" s="283" t="s">
        <v>2177</v>
      </c>
      <c r="H1603" s="262" t="s">
        <v>1799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1808</v>
      </c>
      <c r="G1604" s="283" t="s">
        <v>1202</v>
      </c>
      <c r="H1604" s="262" t="s">
        <v>1201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987</v>
      </c>
      <c r="G1605" s="283" t="s">
        <v>2391</v>
      </c>
      <c r="H1605" s="262" t="s">
        <v>2882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1445</v>
      </c>
      <c r="G1606" s="283" t="s">
        <v>3377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1445</v>
      </c>
      <c r="G1607" s="283" t="s">
        <v>1545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1445</v>
      </c>
      <c r="G1608" s="283" t="s">
        <v>3520</v>
      </c>
      <c r="H1608" s="262" t="s">
        <v>3519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1395</v>
      </c>
      <c r="G1609" s="283" t="s">
        <v>2408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1786</v>
      </c>
      <c r="G1610" s="283" t="s">
        <v>3377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1786</v>
      </c>
      <c r="G1611" s="283" t="s">
        <v>1515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3111</v>
      </c>
      <c r="G1612" s="283" t="s">
        <v>1739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1576</v>
      </c>
      <c r="G1613" s="283" t="s">
        <v>1124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987</v>
      </c>
      <c r="G1614" s="283" t="s">
        <v>1124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3111</v>
      </c>
      <c r="G1615" s="283" t="s">
        <v>1124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1469</v>
      </c>
      <c r="G1616" s="283" t="s">
        <v>2192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1667</v>
      </c>
      <c r="G1617" s="283" t="s">
        <v>2413</v>
      </c>
      <c r="H1617" s="262" t="s">
        <v>2743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1718</v>
      </c>
      <c r="G1618" s="283" t="s">
        <v>1531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2911</v>
      </c>
      <c r="G1619" s="283" t="s">
        <v>2935</v>
      </c>
      <c r="H1619" s="262" t="s">
        <v>3113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1718</v>
      </c>
      <c r="G1620" s="283" t="s">
        <v>3531</v>
      </c>
      <c r="H1620" s="262" t="s">
        <v>2323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1465</v>
      </c>
      <c r="G1621" s="283" t="s">
        <v>2185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3534</v>
      </c>
      <c r="G1622" s="283" t="s">
        <v>3271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1337</v>
      </c>
      <c r="G1623" s="283" t="s">
        <v>1666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1445</v>
      </c>
      <c r="G1624" s="283" t="s">
        <v>1124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3534</v>
      </c>
      <c r="G1625" s="283" t="s">
        <v>1124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1718</v>
      </c>
      <c r="G1626" s="283" t="s">
        <v>1740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1445</v>
      </c>
      <c r="G1627" s="283" t="s">
        <v>1200</v>
      </c>
      <c r="H1627" s="262" t="s">
        <v>1748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1976</v>
      </c>
      <c r="G1628" s="283" t="s">
        <v>1202</v>
      </c>
      <c r="H1628" s="262" t="s">
        <v>1203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1976</v>
      </c>
      <c r="G1629" s="283" t="s">
        <v>2908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1053</v>
      </c>
      <c r="G1630" s="283" t="s">
        <v>2176</v>
      </c>
      <c r="H1630" s="262" t="s">
        <v>1198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1053</v>
      </c>
      <c r="G1631" s="283" t="s">
        <v>2177</v>
      </c>
      <c r="H1631" s="262" t="s">
        <v>1799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1857</v>
      </c>
      <c r="G1632" s="283" t="s">
        <v>3538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1395</v>
      </c>
      <c r="G1633" s="283" t="s">
        <v>1739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1145</v>
      </c>
      <c r="G1634" s="283" t="s">
        <v>1713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1440</v>
      </c>
      <c r="G1635" s="283" t="s">
        <v>2191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1440</v>
      </c>
      <c r="G1636" s="283" t="s">
        <v>3547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1576</v>
      </c>
      <c r="G1637" s="283" t="s">
        <v>2052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1743</v>
      </c>
      <c r="G1638" s="283" t="s">
        <v>1124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2618</v>
      </c>
      <c r="G1639" s="283" t="s">
        <v>1742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1976</v>
      </c>
      <c r="G1640" s="283" t="s">
        <v>1742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1667</v>
      </c>
      <c r="G1641" s="283" t="s">
        <v>1742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1576</v>
      </c>
      <c r="G1642" s="283" t="s">
        <v>3462</v>
      </c>
      <c r="H1642" s="262" t="s">
        <v>1204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2288</v>
      </c>
      <c r="G1643" s="283" t="s">
        <v>3462</v>
      </c>
      <c r="H1643" s="262" t="s">
        <v>1204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1976</v>
      </c>
      <c r="G1644" s="283" t="s">
        <v>1202</v>
      </c>
      <c r="H1644" s="262" t="s">
        <v>1203</v>
      </c>
      <c r="I1644" s="258">
        <v>1200000</v>
      </c>
      <c r="J1644" s="262">
        <v>1</v>
      </c>
      <c r="M1644" s="258">
        <v>1200000</v>
      </c>
      <c r="P1644" s="283" t="s">
        <v>3550</v>
      </c>
      <c r="Q1644" s="283" t="s">
        <v>3550</v>
      </c>
    </row>
    <row r="1645" spans="1:17">
      <c r="A1645" s="264">
        <v>1644</v>
      </c>
      <c r="B1645" s="264"/>
      <c r="C1645" s="257">
        <v>45916</v>
      </c>
      <c r="D1645" s="283" t="s">
        <v>1440</v>
      </c>
      <c r="G1645" s="283" t="s">
        <v>2192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1450</v>
      </c>
      <c r="G1646" s="283" t="s">
        <v>2133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1015</v>
      </c>
      <c r="G1647" s="283" t="s">
        <v>1202</v>
      </c>
      <c r="H1647" s="262" t="s">
        <v>1988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1718</v>
      </c>
      <c r="G1648" s="283" t="s">
        <v>1545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987</v>
      </c>
      <c r="G1649" s="283" t="s">
        <v>2190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1490</v>
      </c>
      <c r="G1650" s="283" t="s">
        <v>2295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1445</v>
      </c>
      <c r="G1651" s="283" t="s">
        <v>1124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2288</v>
      </c>
      <c r="G1652" s="283" t="s">
        <v>1124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1490</v>
      </c>
      <c r="G1653" s="283" t="s">
        <v>1742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987</v>
      </c>
      <c r="G1654" s="283" t="s">
        <v>1742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1469</v>
      </c>
      <c r="G1655" s="283" t="s">
        <v>1124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1465</v>
      </c>
      <c r="G1656" s="283" t="s">
        <v>1742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1808</v>
      </c>
      <c r="G1657" s="283" t="s">
        <v>1124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3563</v>
      </c>
      <c r="G1658" s="283" t="s">
        <v>3462</v>
      </c>
      <c r="H1658" s="262" t="s">
        <v>1204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1801</v>
      </c>
      <c r="G1659" s="283" t="s">
        <v>3462</v>
      </c>
      <c r="H1659" s="262" t="s">
        <v>1204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1801</v>
      </c>
      <c r="G1660" s="283" t="s">
        <v>2182</v>
      </c>
      <c r="H1660" s="262" t="s">
        <v>1197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1801</v>
      </c>
      <c r="G1661" s="283" t="s">
        <v>2184</v>
      </c>
      <c r="H1661" s="262" t="s">
        <v>1255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1801</v>
      </c>
      <c r="G1662" s="283" t="s">
        <v>2188</v>
      </c>
      <c r="H1662" s="262" t="s">
        <v>1818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1743</v>
      </c>
      <c r="G1663" s="283" t="s">
        <v>2295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1743</v>
      </c>
      <c r="G1664" s="283" t="s">
        <v>2186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1743</v>
      </c>
      <c r="G1665" s="283" t="s">
        <v>2186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1743</v>
      </c>
      <c r="G1666" s="283" t="s">
        <v>1515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1718</v>
      </c>
      <c r="G1667" s="283" t="s">
        <v>3573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1718</v>
      </c>
      <c r="G1668" s="283" t="s">
        <v>1712</v>
      </c>
      <c r="H1668" s="262" t="s">
        <v>1711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2141</v>
      </c>
      <c r="G1669" s="283" t="s">
        <v>3462</v>
      </c>
      <c r="H1669" s="262" t="s">
        <v>1204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2141</v>
      </c>
      <c r="G1670" s="283" t="s">
        <v>2182</v>
      </c>
      <c r="H1670" s="262" t="s">
        <v>1197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2141</v>
      </c>
      <c r="G1671" s="283" t="s">
        <v>2187</v>
      </c>
      <c r="H1671" s="262" t="s">
        <v>1791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2144</v>
      </c>
      <c r="G1672" s="283" t="s">
        <v>1713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1667</v>
      </c>
      <c r="G1673" s="283" t="s">
        <v>2286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1976</v>
      </c>
      <c r="G1674" s="283" t="s">
        <v>1124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1395</v>
      </c>
      <c r="G1675" s="283" t="s">
        <v>3573</v>
      </c>
      <c r="H1675" s="262" t="s">
        <v>3583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1026</v>
      </c>
      <c r="G1676" s="283" t="s">
        <v>2800</v>
      </c>
      <c r="H1676" s="262" t="s">
        <v>2799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1026</v>
      </c>
      <c r="G1677" s="283" t="s">
        <v>2179</v>
      </c>
      <c r="H1677" s="262" t="s">
        <v>1716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1463</v>
      </c>
      <c r="G1678" s="283" t="s">
        <v>2675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1469</v>
      </c>
      <c r="G1679" s="283" t="s">
        <v>1200</v>
      </c>
      <c r="H1679" s="262" t="s">
        <v>1748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3116</v>
      </c>
      <c r="G1680" s="283" t="s">
        <v>2039</v>
      </c>
      <c r="H1680" s="262" t="s">
        <v>3593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1927</v>
      </c>
      <c r="G1681" s="283" t="s">
        <v>3038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1927</v>
      </c>
      <c r="G1682" s="283" t="s">
        <v>2899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3447</v>
      </c>
      <c r="G1683" s="283" t="s">
        <v>3585</v>
      </c>
      <c r="H1683" s="262" t="s">
        <v>3584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1440</v>
      </c>
      <c r="G1684" s="283" t="s">
        <v>2023</v>
      </c>
      <c r="H1684" s="262" t="s">
        <v>1212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1440</v>
      </c>
      <c r="G1685" s="283" t="s">
        <v>3582</v>
      </c>
      <c r="H1685" s="262" t="s">
        <v>3581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1440</v>
      </c>
      <c r="G1686" s="283" t="s">
        <v>3573</v>
      </c>
      <c r="H1686" s="262" t="s">
        <v>3583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1743</v>
      </c>
      <c r="G1687" s="283" t="s">
        <v>3579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2804</v>
      </c>
      <c r="G1688" s="283" t="s">
        <v>1531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3111</v>
      </c>
      <c r="G1689" s="283" t="s">
        <v>2192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2699</v>
      </c>
      <c r="G1690" s="283" t="s">
        <v>1557</v>
      </c>
      <c r="H1690" s="262" t="s">
        <v>2692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2699</v>
      </c>
      <c r="G1691" s="283" t="s">
        <v>1733</v>
      </c>
      <c r="H1691" s="262" t="s">
        <v>2829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2467</v>
      </c>
      <c r="G1692" s="283" t="s">
        <v>2333</v>
      </c>
      <c r="H1692" s="262" t="s">
        <v>2715</v>
      </c>
      <c r="I1692" s="258">
        <v>350000</v>
      </c>
      <c r="J1692" s="262">
        <v>2</v>
      </c>
      <c r="L1692" s="259" t="s">
        <v>3612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3111</v>
      </c>
      <c r="G1693" s="283" t="s">
        <v>1124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1450</v>
      </c>
      <c r="G1694" s="283" t="s">
        <v>1124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2144</v>
      </c>
      <c r="G1695" s="283" t="s">
        <v>1124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3447</v>
      </c>
      <c r="G1696" s="283" t="s">
        <v>1124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3563</v>
      </c>
      <c r="G1697" s="283" t="s">
        <v>1124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1082</v>
      </c>
      <c r="G1698" s="283" t="s">
        <v>1124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1082</v>
      </c>
      <c r="G1699" s="283" t="s">
        <v>2179</v>
      </c>
      <c r="H1699" s="262" t="s">
        <v>1716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1395</v>
      </c>
      <c r="G1700" s="283" t="s">
        <v>1739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1018</v>
      </c>
      <c r="G1701" s="283" t="s">
        <v>3573</v>
      </c>
      <c r="H1701" s="262" t="s">
        <v>3583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2737</v>
      </c>
      <c r="G1702" s="283" t="s">
        <v>3609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1018</v>
      </c>
      <c r="G1703" s="283" t="s">
        <v>3611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2804</v>
      </c>
      <c r="G1704" s="283" t="s">
        <v>1124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3116</v>
      </c>
      <c r="G1705" s="283" t="s">
        <v>1124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1053</v>
      </c>
      <c r="G1706" s="283" t="s">
        <v>1124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2699</v>
      </c>
      <c r="G1707" s="283" t="s">
        <v>1124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2315</v>
      </c>
      <c r="G1708" s="283" t="s">
        <v>1124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2737</v>
      </c>
      <c r="G1709" s="283" t="s">
        <v>1124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1927</v>
      </c>
      <c r="G1710" s="283" t="s">
        <v>1124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1786</v>
      </c>
      <c r="G1711" s="283" t="s">
        <v>1124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1805</v>
      </c>
      <c r="G1712" s="283" t="s">
        <v>1492</v>
      </c>
      <c r="H1712" s="262" t="s">
        <v>2674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1667</v>
      </c>
      <c r="G1713" s="283" t="s">
        <v>1124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3617</v>
      </c>
      <c r="G1714" s="283" t="s">
        <v>1422</v>
      </c>
      <c r="H1714" s="262" t="s">
        <v>3693</v>
      </c>
      <c r="I1714" s="258">
        <v>1300000</v>
      </c>
      <c r="J1714" s="262">
        <v>1</v>
      </c>
      <c r="L1714" s="259" t="s">
        <v>3139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1973</v>
      </c>
      <c r="G1715" s="283" t="s">
        <v>2176</v>
      </c>
      <c r="H1715" s="262" t="s">
        <v>1198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1973</v>
      </c>
      <c r="G1716" s="283" t="s">
        <v>2177</v>
      </c>
      <c r="H1716" s="262" t="s">
        <v>1799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1576</v>
      </c>
      <c r="G1717" s="283" t="s">
        <v>2184</v>
      </c>
      <c r="H1717" s="262" t="s">
        <v>1255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1463</v>
      </c>
      <c r="G1718" s="283" t="s">
        <v>1858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1438</v>
      </c>
      <c r="G1719" s="283" t="s">
        <v>1492</v>
      </c>
      <c r="H1719" s="262" t="s">
        <v>2674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2405</v>
      </c>
      <c r="G1720" s="283" t="s">
        <v>1202</v>
      </c>
      <c r="H1720" s="262" t="s">
        <v>1988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2405</v>
      </c>
      <c r="G1721" s="283" t="s">
        <v>2675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2405</v>
      </c>
      <c r="G1722" s="283" t="s">
        <v>1557</v>
      </c>
      <c r="H1722" s="262" t="s">
        <v>1219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1026</v>
      </c>
      <c r="G1723" s="283" t="s">
        <v>2176</v>
      </c>
      <c r="H1723" s="262" t="s">
        <v>1198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1026</v>
      </c>
      <c r="G1724" s="283" t="s">
        <v>2177</v>
      </c>
      <c r="H1724" s="262" t="s">
        <v>1799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1973</v>
      </c>
      <c r="G1725" s="283" t="s">
        <v>1742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1438</v>
      </c>
      <c r="G1726" s="283" t="s">
        <v>1742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2993</v>
      </c>
      <c r="G1727" s="283" t="s">
        <v>1742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1082</v>
      </c>
      <c r="G1728" s="283" t="s">
        <v>1742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2405</v>
      </c>
      <c r="G1729" s="283" t="s">
        <v>1124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1053</v>
      </c>
      <c r="G1730" s="283" t="s">
        <v>2198</v>
      </c>
      <c r="H1730" s="262" t="s">
        <v>1952</v>
      </c>
      <c r="I1730" s="258">
        <v>1800000</v>
      </c>
      <c r="J1730" s="262">
        <v>1</v>
      </c>
      <c r="M1730" s="258">
        <v>1800000</v>
      </c>
      <c r="P1730" s="283" t="s">
        <v>3632</v>
      </c>
      <c r="Q1730" s="283" t="s">
        <v>3632</v>
      </c>
    </row>
    <row r="1731" spans="1:17">
      <c r="A1731" s="264">
        <v>1730</v>
      </c>
      <c r="B1731" s="264"/>
      <c r="C1731" s="257">
        <v>45923</v>
      </c>
      <c r="D1731" s="283" t="s">
        <v>1053</v>
      </c>
      <c r="G1731" s="283" t="s">
        <v>2177</v>
      </c>
      <c r="H1731" s="262" t="s">
        <v>1799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1018</v>
      </c>
      <c r="G1732" s="283" t="s">
        <v>3573</v>
      </c>
      <c r="H1732" s="262" t="s">
        <v>3583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1007</v>
      </c>
      <c r="G1733" s="283" t="s">
        <v>1531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1857</v>
      </c>
      <c r="G1734" s="283" t="s">
        <v>2192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1448</v>
      </c>
      <c r="G1735" s="283" t="s">
        <v>2413</v>
      </c>
      <c r="H1735" s="262" t="s">
        <v>2743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1654</v>
      </c>
      <c r="G1736" s="283" t="s">
        <v>1202</v>
      </c>
      <c r="H1736" s="262" t="s">
        <v>1559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1015</v>
      </c>
      <c r="G1737" s="283" t="s">
        <v>3462</v>
      </c>
      <c r="H1737" s="262" t="s">
        <v>1204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1015</v>
      </c>
      <c r="G1738" s="283" t="s">
        <v>2186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1015</v>
      </c>
      <c r="G1739" s="283" t="s">
        <v>2184</v>
      </c>
      <c r="H1739" s="262" t="s">
        <v>1255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1015</v>
      </c>
      <c r="G1740" s="283" t="s">
        <v>2188</v>
      </c>
      <c r="H1740" s="262" t="s">
        <v>1818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1015</v>
      </c>
      <c r="G1741" s="283" t="s">
        <v>2187</v>
      </c>
      <c r="H1741" s="262" t="s">
        <v>1791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1053</v>
      </c>
      <c r="G1742" s="283" t="s">
        <v>3639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1007</v>
      </c>
      <c r="G1743" s="283" t="s">
        <v>3641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1654</v>
      </c>
      <c r="G1744" s="283" t="s">
        <v>1124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1537</v>
      </c>
      <c r="G1745" s="283" t="s">
        <v>1739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1156</v>
      </c>
      <c r="G1746" s="283" t="s">
        <v>3644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1082</v>
      </c>
      <c r="G1747" s="283" t="s">
        <v>3643</v>
      </c>
      <c r="H1747" s="262" t="s">
        <v>1198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1387</v>
      </c>
      <c r="G1748" s="283" t="s">
        <v>1855</v>
      </c>
      <c r="H1748" s="262" t="s">
        <v>3647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987</v>
      </c>
      <c r="G1749" s="283" t="s">
        <v>3573</v>
      </c>
      <c r="H1749" s="262" t="s">
        <v>3583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1395</v>
      </c>
      <c r="G1750" s="283" t="s">
        <v>2770</v>
      </c>
      <c r="H1750" s="262" t="s">
        <v>1209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2737</v>
      </c>
      <c r="G1751" s="283" t="s">
        <v>1531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1445</v>
      </c>
      <c r="G1752" s="283" t="s">
        <v>1739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987</v>
      </c>
      <c r="G1753" s="283" t="s">
        <v>1124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1857</v>
      </c>
      <c r="G1754" s="283" t="s">
        <v>1124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1445</v>
      </c>
      <c r="G1755" s="283" t="s">
        <v>1124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1026</v>
      </c>
      <c r="G1756" s="283" t="s">
        <v>1124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1433</v>
      </c>
      <c r="G1757" s="283" t="s">
        <v>1124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1448</v>
      </c>
      <c r="G1758" s="283" t="s">
        <v>1124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1387</v>
      </c>
      <c r="G1759" s="283" t="s">
        <v>1124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2911</v>
      </c>
      <c r="G1760" s="283" t="s">
        <v>1124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1801</v>
      </c>
      <c r="G1761" s="283" t="s">
        <v>2184</v>
      </c>
      <c r="H1761" s="262" t="s">
        <v>1255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1801</v>
      </c>
      <c r="G1762" s="283" t="s">
        <v>2188</v>
      </c>
      <c r="H1762" s="262" t="s">
        <v>1818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1801</v>
      </c>
      <c r="G1763" s="283" t="s">
        <v>2187</v>
      </c>
      <c r="H1763" s="262" t="s">
        <v>1791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1170</v>
      </c>
      <c r="G1764" s="283" t="s">
        <v>2033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1395</v>
      </c>
      <c r="G1765" s="283" t="s">
        <v>2413</v>
      </c>
      <c r="H1765" s="262" t="s">
        <v>2743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1537</v>
      </c>
      <c r="G1766" s="283" t="s">
        <v>2087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1537</v>
      </c>
      <c r="G1767" s="283" t="s">
        <v>1545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3701</v>
      </c>
      <c r="G1768" s="283">
        <v>2703900</v>
      </c>
      <c r="H1768" s="262" t="s">
        <v>3702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3701</v>
      </c>
      <c r="G1769" s="283" t="s">
        <v>1742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3704</v>
      </c>
      <c r="G1770" s="283" t="s">
        <v>1531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3704</v>
      </c>
      <c r="G1771" s="283" t="s">
        <v>1742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1805</v>
      </c>
      <c r="G1772" s="283" t="s">
        <v>1742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2737</v>
      </c>
      <c r="G1773" s="283" t="s">
        <v>3709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1957</v>
      </c>
      <c r="G1774" s="283" t="s">
        <v>1912</v>
      </c>
      <c r="H1774" s="262" t="s">
        <v>2050</v>
      </c>
      <c r="I1774" s="258">
        <v>1000000</v>
      </c>
      <c r="J1774" s="262">
        <v>1</v>
      </c>
      <c r="M1774" s="258">
        <v>1000000</v>
      </c>
      <c r="P1774" s="283" t="s">
        <v>3710</v>
      </c>
      <c r="Q1774" s="283" t="s">
        <v>3710</v>
      </c>
    </row>
    <row r="1775" spans="1:17">
      <c r="A1775" s="264">
        <v>1774</v>
      </c>
      <c r="B1775" s="264"/>
      <c r="C1775" s="257">
        <v>45929</v>
      </c>
      <c r="D1775" s="283" t="s">
        <v>2254</v>
      </c>
      <c r="G1775" s="283" t="s">
        <v>2174</v>
      </c>
      <c r="H1775" s="262" t="s">
        <v>1460</v>
      </c>
      <c r="I1775" s="258" t="s">
        <v>3714</v>
      </c>
      <c r="J1775" s="262">
        <v>1</v>
      </c>
      <c r="M1775" s="258">
        <v>0</v>
      </c>
      <c r="P1775" s="283" t="s">
        <v>3715</v>
      </c>
      <c r="Q1775" s="283" t="s">
        <v>3715</v>
      </c>
    </row>
    <row r="1776" spans="1:17">
      <c r="A1776" s="264">
        <v>1775</v>
      </c>
      <c r="B1776" s="264"/>
      <c r="C1776" s="257">
        <v>45929</v>
      </c>
      <c r="D1776" s="283" t="s">
        <v>1801</v>
      </c>
      <c r="G1776" s="283" t="s">
        <v>3721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1463</v>
      </c>
      <c r="G1777" s="283" t="s">
        <v>3038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1463</v>
      </c>
      <c r="G1778" s="283" t="s">
        <v>2182</v>
      </c>
      <c r="H1778" s="262" t="s">
        <v>1197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3723</v>
      </c>
      <c r="Q1778" s="283" t="s">
        <v>3723</v>
      </c>
    </row>
    <row r="1779" spans="1:17">
      <c r="A1779" s="264">
        <v>1778</v>
      </c>
      <c r="B1779" s="264"/>
      <c r="C1779" s="257">
        <v>45929</v>
      </c>
      <c r="D1779" s="283" t="s">
        <v>1743</v>
      </c>
      <c r="G1779" s="283" t="s">
        <v>2186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1743</v>
      </c>
      <c r="G1780" s="283" t="s">
        <v>2186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1743</v>
      </c>
      <c r="G1781" s="283" t="s">
        <v>2187</v>
      </c>
      <c r="H1781" s="262" t="s">
        <v>1791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2853</v>
      </c>
      <c r="G1782" s="283" t="s">
        <v>3047</v>
      </c>
      <c r="H1782" s="262" t="s">
        <v>1948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1387</v>
      </c>
      <c r="G1783" s="283" t="s">
        <v>3047</v>
      </c>
      <c r="H1783" s="262" t="s">
        <v>1948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1957</v>
      </c>
      <c r="G1784" s="283" t="s">
        <v>1501</v>
      </c>
      <c r="I1784" s="258">
        <v>1000000</v>
      </c>
      <c r="J1784" s="262">
        <v>1</v>
      </c>
      <c r="M1784" s="258">
        <v>1000000</v>
      </c>
      <c r="P1784" s="283" t="s">
        <v>3728</v>
      </c>
      <c r="Q1784" s="283" t="s">
        <v>3728</v>
      </c>
    </row>
    <row r="1785" spans="1:17">
      <c r="A1785" s="264">
        <v>1784</v>
      </c>
      <c r="B1785" s="264"/>
      <c r="C1785" s="257">
        <v>45929</v>
      </c>
      <c r="D1785" s="283" t="s">
        <v>3265</v>
      </c>
      <c r="G1785" s="283" t="s">
        <v>1557</v>
      </c>
      <c r="H1785" s="262" t="s">
        <v>1764</v>
      </c>
      <c r="I1785" s="258">
        <v>1000000</v>
      </c>
      <c r="J1785" s="262">
        <v>1</v>
      </c>
      <c r="M1785" s="258">
        <v>1000000</v>
      </c>
      <c r="P1785" s="283" t="s">
        <v>3730</v>
      </c>
      <c r="Q1785" s="283" t="s">
        <v>3730</v>
      </c>
    </row>
    <row r="1786" spans="1:17">
      <c r="A1786" s="264">
        <v>1785</v>
      </c>
      <c r="B1786" s="264"/>
      <c r="C1786" s="257">
        <v>45929</v>
      </c>
      <c r="D1786" s="283" t="s">
        <v>3458</v>
      </c>
      <c r="G1786" s="283" t="s">
        <v>1202</v>
      </c>
      <c r="H1786" s="262" t="s">
        <v>1201</v>
      </c>
      <c r="I1786" s="258">
        <v>600000</v>
      </c>
      <c r="J1786" s="262">
        <v>1</v>
      </c>
      <c r="M1786" s="258">
        <v>600000</v>
      </c>
      <c r="P1786" s="283" t="s">
        <v>3732</v>
      </c>
      <c r="Q1786" s="283" t="s">
        <v>3732</v>
      </c>
    </row>
    <row r="1787" spans="1:17">
      <c r="A1787" s="264">
        <v>1786</v>
      </c>
      <c r="B1787" s="264"/>
      <c r="C1787" s="257">
        <v>45929</v>
      </c>
      <c r="D1787" s="283" t="s">
        <v>1718</v>
      </c>
      <c r="G1787" s="283" t="s">
        <v>2835</v>
      </c>
      <c r="H1787" s="262" t="s">
        <v>2745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1395</v>
      </c>
      <c r="G1788" s="283" t="s">
        <v>1739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1537</v>
      </c>
      <c r="G1789" s="283" t="s">
        <v>1200</v>
      </c>
      <c r="H1789" s="262" t="s">
        <v>1748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1537</v>
      </c>
      <c r="G1790" s="283" t="s">
        <v>1492</v>
      </c>
      <c r="H1790" s="262" t="s">
        <v>2674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1294</v>
      </c>
      <c r="G1791" s="283" t="s">
        <v>2251</v>
      </c>
      <c r="H1791" s="262" t="s">
        <v>2250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1294</v>
      </c>
      <c r="G1792" s="283" t="s">
        <v>2607</v>
      </c>
      <c r="H1792" s="262" t="s">
        <v>1751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1294</v>
      </c>
      <c r="G1793" s="283" t="s">
        <v>4025</v>
      </c>
      <c r="H1793" s="262" t="s">
        <v>1714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1537</v>
      </c>
      <c r="G1794" s="283" t="s">
        <v>2100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1537</v>
      </c>
      <c r="G1795" s="283" t="s">
        <v>1262</v>
      </c>
      <c r="H1795" s="262" t="s">
        <v>1261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1440</v>
      </c>
      <c r="G1796" s="283" t="s">
        <v>3739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1145</v>
      </c>
      <c r="G1797" s="283" t="s">
        <v>1124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1957</v>
      </c>
      <c r="G1798" s="283" t="s">
        <v>1124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1170</v>
      </c>
      <c r="G1799" s="283" t="s">
        <v>1124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3265</v>
      </c>
      <c r="G1800" s="283" t="s">
        <v>1124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3458</v>
      </c>
      <c r="G1801" s="283" t="s">
        <v>1124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1387</v>
      </c>
      <c r="G1802" s="283" t="s">
        <v>1124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2144</v>
      </c>
      <c r="G1803" s="283" t="s">
        <v>1713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1537</v>
      </c>
      <c r="G1804" s="283" t="s">
        <v>2039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2618</v>
      </c>
      <c r="G1805" s="283" t="s">
        <v>3751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1395</v>
      </c>
      <c r="G1806" s="283" t="s">
        <v>1262</v>
      </c>
      <c r="H1806" s="262" t="s">
        <v>1261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1463</v>
      </c>
      <c r="G1807" s="283" t="s">
        <v>1492</v>
      </c>
      <c r="H1807" s="262" t="s">
        <v>2674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1718</v>
      </c>
      <c r="G1808" s="283" t="s">
        <v>1148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1743</v>
      </c>
      <c r="G1809" s="283" t="s">
        <v>2184</v>
      </c>
      <c r="H1809" s="262" t="s">
        <v>1255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3742</v>
      </c>
      <c r="G1810" s="283" t="s">
        <v>2681</v>
      </c>
      <c r="H1810" s="263">
        <v>2820403</v>
      </c>
      <c r="I1810" s="258">
        <v>1600000</v>
      </c>
      <c r="J1810" s="262">
        <v>1</v>
      </c>
      <c r="L1810" s="259" t="s">
        <v>2995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3742</v>
      </c>
      <c r="G1811" s="283" t="s">
        <v>1666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2144</v>
      </c>
      <c r="G1812" s="283" t="s">
        <v>1124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2853</v>
      </c>
      <c r="G1813" s="283" t="s">
        <v>1124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1573</v>
      </c>
      <c r="G1814" s="283" t="s">
        <v>1124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1469</v>
      </c>
      <c r="G1815" s="283" t="s">
        <v>3758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1395</v>
      </c>
      <c r="G1816" s="283" t="s">
        <v>3759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1743</v>
      </c>
      <c r="G1817" s="283" t="s">
        <v>3760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1537</v>
      </c>
      <c r="G1818" s="283" t="s">
        <v>3761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3763</v>
      </c>
      <c r="G1819" s="283" t="s">
        <v>3764</v>
      </c>
      <c r="H1819" s="262" t="s">
        <v>2269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1843</v>
      </c>
      <c r="G1820" s="283" t="s">
        <v>3462</v>
      </c>
      <c r="H1820" s="262" t="s">
        <v>1204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1843</v>
      </c>
      <c r="G1821" s="283" t="s">
        <v>1124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1743</v>
      </c>
      <c r="G1822" s="283" t="s">
        <v>2188</v>
      </c>
      <c r="H1822" s="262" t="s">
        <v>1818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1886</v>
      </c>
      <c r="G1823" s="283" t="s">
        <v>1200</v>
      </c>
      <c r="H1823" s="262" t="s">
        <v>1748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1015</v>
      </c>
      <c r="G1824" s="283" t="s">
        <v>1200</v>
      </c>
      <c r="H1824" s="262" t="s">
        <v>1748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1886</v>
      </c>
      <c r="G1825" s="283" t="s">
        <v>3641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1866</v>
      </c>
      <c r="G1826" s="283" t="s">
        <v>3792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3794</v>
      </c>
      <c r="G1827" s="283" t="s">
        <v>3462</v>
      </c>
      <c r="H1827" s="262" t="s">
        <v>1204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3794</v>
      </c>
      <c r="G1828" s="283" t="s">
        <v>1124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1015</v>
      </c>
      <c r="G1829" s="283" t="s">
        <v>3796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1718</v>
      </c>
      <c r="G1830" s="283" t="s">
        <v>2184</v>
      </c>
      <c r="H1830" s="262" t="s">
        <v>1255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1718</v>
      </c>
      <c r="G1831" s="283" t="s">
        <v>2187</v>
      </c>
      <c r="H1831" s="262" t="s">
        <v>1791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1786</v>
      </c>
      <c r="G1832" s="283" t="s">
        <v>1200</v>
      </c>
      <c r="H1832" s="262" t="s">
        <v>1748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1395</v>
      </c>
      <c r="G1833" s="283" t="s">
        <v>2103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1395</v>
      </c>
      <c r="G1834" s="283" t="s">
        <v>3803</v>
      </c>
      <c r="H1834" s="262" t="s">
        <v>3802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3797</v>
      </c>
      <c r="G1835" s="283" t="s">
        <v>2174</v>
      </c>
      <c r="H1835" s="262" t="s">
        <v>1460</v>
      </c>
      <c r="I1835" s="258">
        <v>1500000</v>
      </c>
      <c r="J1835" s="262">
        <v>1</v>
      </c>
      <c r="M1835" s="258">
        <v>1500000</v>
      </c>
      <c r="P1835" s="283" t="s">
        <v>3807</v>
      </c>
      <c r="Q1835" s="283" t="s">
        <v>3807</v>
      </c>
    </row>
    <row r="1836" spans="1:17">
      <c r="A1836" s="264">
        <v>1835</v>
      </c>
      <c r="B1836" s="264"/>
      <c r="C1836" s="257">
        <v>45932</v>
      </c>
      <c r="D1836" s="283" t="s">
        <v>2141</v>
      </c>
      <c r="G1836" s="283" t="s">
        <v>2192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2141</v>
      </c>
      <c r="G1837" s="283" t="s">
        <v>3810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3797</v>
      </c>
      <c r="G1838" s="283" t="s">
        <v>3811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1718</v>
      </c>
      <c r="G1839" s="283" t="s">
        <v>3812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1475</v>
      </c>
      <c r="G1840" s="283" t="s">
        <v>3813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1866</v>
      </c>
      <c r="G1841" s="283" t="s">
        <v>3814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2141</v>
      </c>
      <c r="G1842" s="283" t="s">
        <v>1545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1927</v>
      </c>
      <c r="G1843" s="283" t="s">
        <v>3120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1927</v>
      </c>
      <c r="G1844" s="283" t="s">
        <v>2033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2618</v>
      </c>
      <c r="G1845" s="283" t="s">
        <v>3820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1576</v>
      </c>
      <c r="G1846" s="283" t="s">
        <v>2185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1440</v>
      </c>
      <c r="G1847" s="283" t="s">
        <v>1981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1302</v>
      </c>
      <c r="G1848" s="283" t="s">
        <v>2174</v>
      </c>
      <c r="H1848" s="262" t="s">
        <v>1460</v>
      </c>
      <c r="I1848" s="258">
        <v>0</v>
      </c>
      <c r="J1848" s="262">
        <v>1</v>
      </c>
      <c r="M1848" s="258">
        <v>0</v>
      </c>
      <c r="P1848" s="283" t="s">
        <v>3827</v>
      </c>
      <c r="Q1848" s="283" t="s">
        <v>3827</v>
      </c>
    </row>
    <row r="1849" spans="1:17">
      <c r="A1849" s="264">
        <v>1848</v>
      </c>
      <c r="B1849" s="264"/>
      <c r="C1849" s="257">
        <v>45940</v>
      </c>
      <c r="D1849" s="283" t="s">
        <v>1053</v>
      </c>
      <c r="G1849" s="283" t="s">
        <v>3828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1743</v>
      </c>
      <c r="G1850" s="283" t="s">
        <v>2915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1743</v>
      </c>
      <c r="G1851" s="283" t="s">
        <v>2914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1743</v>
      </c>
      <c r="G1852" s="283" t="s">
        <v>3830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1573</v>
      </c>
      <c r="G1853" s="283" t="s">
        <v>2794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1573</v>
      </c>
      <c r="G1854" s="283" t="s">
        <v>1755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1573</v>
      </c>
      <c r="G1855" s="283" t="s">
        <v>3614</v>
      </c>
      <c r="H1855" s="262" t="s">
        <v>3613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1294</v>
      </c>
      <c r="G1856" s="283" t="s">
        <v>4025</v>
      </c>
      <c r="H1856" s="262" t="s">
        <v>1714</v>
      </c>
      <c r="I1856" s="258">
        <v>250000</v>
      </c>
      <c r="J1856" s="262">
        <v>1</v>
      </c>
      <c r="M1856" s="258">
        <v>0</v>
      </c>
      <c r="P1856" s="295" t="s">
        <v>3835</v>
      </c>
      <c r="Q1856" s="295" t="s">
        <v>3835</v>
      </c>
    </row>
    <row r="1857" spans="1:14">
      <c r="A1857" s="264">
        <v>1856</v>
      </c>
      <c r="B1857" s="264"/>
      <c r="C1857" s="257">
        <v>45940</v>
      </c>
      <c r="D1857" s="283" t="s">
        <v>1369</v>
      </c>
      <c r="G1857" s="283" t="s">
        <v>2176</v>
      </c>
      <c r="H1857" s="262" t="s">
        <v>1198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1369</v>
      </c>
      <c r="G1858" s="283" t="s">
        <v>2177</v>
      </c>
      <c r="H1858" s="262" t="s">
        <v>1799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1015</v>
      </c>
      <c r="G1859" s="283" t="s">
        <v>2023</v>
      </c>
      <c r="H1859" s="262" t="s">
        <v>1212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3397</v>
      </c>
      <c r="G1860" s="283" t="s">
        <v>2176</v>
      </c>
      <c r="H1860" s="262" t="s">
        <v>1198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3397</v>
      </c>
      <c r="G1861" s="283" t="s">
        <v>2177</v>
      </c>
      <c r="H1861" s="262" t="s">
        <v>1799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1170</v>
      </c>
      <c r="G1862" s="283" t="s">
        <v>1739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2481</v>
      </c>
      <c r="G1863" s="283" t="s">
        <v>1713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3794</v>
      </c>
      <c r="G1864" s="283" t="s">
        <v>3462</v>
      </c>
      <c r="H1864" s="262" t="s">
        <v>1204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1594</v>
      </c>
      <c r="G1865" s="283" t="s">
        <v>1200</v>
      </c>
      <c r="H1865" s="262" t="s">
        <v>1748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1528</v>
      </c>
      <c r="G1866" s="283" t="s">
        <v>1200</v>
      </c>
      <c r="H1866" s="262" t="s">
        <v>1748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1528</v>
      </c>
      <c r="G1867" s="283" t="s">
        <v>2835</v>
      </c>
      <c r="H1867" s="262" t="s">
        <v>2745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2141</v>
      </c>
      <c r="G1868" s="283" t="s">
        <v>3845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1594</v>
      </c>
      <c r="G1869" s="283" t="s">
        <v>3846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3794</v>
      </c>
      <c r="G1870" s="283" t="s">
        <v>3847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2481</v>
      </c>
      <c r="G1871" s="283" t="s">
        <v>3849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3397</v>
      </c>
      <c r="G1872" s="283" t="s">
        <v>3850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1786</v>
      </c>
      <c r="G1873" s="283" t="s">
        <v>1515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2993</v>
      </c>
      <c r="G1874" s="283" t="s">
        <v>1200</v>
      </c>
      <c r="H1874" s="262" t="s">
        <v>1748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1718</v>
      </c>
      <c r="G1875" s="283" t="s">
        <v>1740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1374</v>
      </c>
      <c r="G1876" s="283" t="s">
        <v>2176</v>
      </c>
      <c r="H1876" s="262" t="s">
        <v>1198</v>
      </c>
      <c r="I1876" s="258">
        <v>0</v>
      </c>
      <c r="J1876" s="262">
        <v>1</v>
      </c>
      <c r="M1876" s="258">
        <v>0</v>
      </c>
      <c r="P1876" s="283" t="s">
        <v>3860</v>
      </c>
      <c r="Q1876" s="283" t="s">
        <v>3860</v>
      </c>
    </row>
    <row r="1877" spans="1:17">
      <c r="A1877" s="264">
        <v>1876</v>
      </c>
      <c r="B1877" s="264"/>
      <c r="C1877" s="257">
        <v>45943</v>
      </c>
      <c r="D1877" s="283" t="s">
        <v>1528</v>
      </c>
      <c r="G1877" s="283" t="s">
        <v>1124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1395</v>
      </c>
      <c r="G1878" s="283" t="s">
        <v>1739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1374</v>
      </c>
      <c r="G1879" s="283" t="s">
        <v>3858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3862</v>
      </c>
      <c r="Q1879" s="283" t="s">
        <v>3862</v>
      </c>
    </row>
    <row r="1880" spans="1:17">
      <c r="A1880" s="264">
        <v>1879</v>
      </c>
      <c r="B1880" s="264"/>
      <c r="C1880" s="257">
        <v>45943</v>
      </c>
      <c r="D1880" s="283" t="s">
        <v>3864</v>
      </c>
      <c r="G1880" s="283" t="s">
        <v>3462</v>
      </c>
      <c r="H1880" s="262" t="s">
        <v>1204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1576</v>
      </c>
      <c r="G1881" s="283" t="s">
        <v>2408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2613</v>
      </c>
      <c r="G1882" s="283" t="s">
        <v>3462</v>
      </c>
      <c r="H1882" s="262" t="s">
        <v>1204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2613</v>
      </c>
      <c r="G1883" s="283" t="s">
        <v>3339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3870</v>
      </c>
      <c r="G1884" s="283" t="s">
        <v>2179</v>
      </c>
      <c r="H1884" s="262" t="s">
        <v>1716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3870</v>
      </c>
      <c r="G1885" s="283" t="s">
        <v>2177</v>
      </c>
      <c r="H1885" s="262" t="s">
        <v>1799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3265</v>
      </c>
      <c r="G1886" s="283" t="s">
        <v>1557</v>
      </c>
      <c r="H1886" s="262" t="s">
        <v>2692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2613</v>
      </c>
      <c r="G1887" s="283" t="s">
        <v>3874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3870</v>
      </c>
      <c r="G1888" s="283" t="s">
        <v>3876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1018</v>
      </c>
      <c r="G1889" s="283" t="s">
        <v>3878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1170</v>
      </c>
      <c r="G1890" s="283" t="s">
        <v>3880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3265</v>
      </c>
      <c r="G1891" s="283" t="s">
        <v>3882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3864</v>
      </c>
      <c r="G1892" s="283" t="s">
        <v>3884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1863</v>
      </c>
      <c r="G1893" s="283" t="s">
        <v>1739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1035</v>
      </c>
      <c r="G1894" s="283" t="s">
        <v>1215</v>
      </c>
      <c r="H1894" s="262" t="s">
        <v>2158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1035</v>
      </c>
      <c r="E1895" s="283" t="s">
        <v>3892</v>
      </c>
      <c r="G1895" s="283" t="s">
        <v>2333</v>
      </c>
      <c r="H1895" s="262" t="s">
        <v>2715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1463</v>
      </c>
      <c r="E1896" s="283" t="s">
        <v>3926</v>
      </c>
      <c r="F1896" s="286" t="s">
        <v>3919</v>
      </c>
      <c r="G1896" s="283" t="s">
        <v>1796</v>
      </c>
      <c r="K1896" s="259">
        <v>1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1395</v>
      </c>
      <c r="E1897" s="283" t="s">
        <v>3926</v>
      </c>
      <c r="F1897" s="286" t="s">
        <v>3919</v>
      </c>
      <c r="G1897" s="283" t="s">
        <v>1545</v>
      </c>
      <c r="H1897" s="262">
        <v>24152333903</v>
      </c>
      <c r="I1897" s="258">
        <v>50000</v>
      </c>
      <c r="J1897" s="262">
        <v>1</v>
      </c>
      <c r="K1897" s="259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1395</v>
      </c>
      <c r="E1898" s="283" t="s">
        <v>3926</v>
      </c>
      <c r="F1898" s="286" t="s">
        <v>3917</v>
      </c>
      <c r="G1898" s="283" t="s">
        <v>2087</v>
      </c>
      <c r="H1898" s="262">
        <v>1068298046</v>
      </c>
      <c r="I1898" s="258">
        <v>450000</v>
      </c>
      <c r="J1898" s="262">
        <v>1</v>
      </c>
      <c r="K1898" s="259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1395</v>
      </c>
      <c r="E1899" s="283" t="s">
        <v>3926</v>
      </c>
      <c r="F1899" s="286" t="s">
        <v>3919</v>
      </c>
      <c r="G1899" s="283" t="s">
        <v>4026</v>
      </c>
      <c r="H1899" s="262">
        <v>1068327224</v>
      </c>
      <c r="I1899" s="258">
        <v>80000</v>
      </c>
      <c r="J1899" s="262">
        <v>1</v>
      </c>
      <c r="K1899" s="259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1395</v>
      </c>
      <c r="E1900" s="283" t="s">
        <v>3926</v>
      </c>
      <c r="F1900" s="286" t="s">
        <v>3918</v>
      </c>
      <c r="G1900" s="283" t="s">
        <v>3042</v>
      </c>
      <c r="H1900" s="262">
        <v>24137542885</v>
      </c>
      <c r="I1900" s="258">
        <v>20000</v>
      </c>
      <c r="J1900" s="262">
        <v>1</v>
      </c>
      <c r="K1900" s="259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3986</v>
      </c>
      <c r="E1901" s="283" t="s">
        <v>3925</v>
      </c>
      <c r="F1901" s="286" t="s">
        <v>3926</v>
      </c>
      <c r="G1901" s="283" t="s">
        <v>1200</v>
      </c>
      <c r="H1901" s="262" t="s">
        <v>1748</v>
      </c>
      <c r="I1901" s="258">
        <v>1200000</v>
      </c>
      <c r="J1901" s="262">
        <v>1</v>
      </c>
      <c r="K1901" s="259">
        <v>1200000</v>
      </c>
      <c r="L1901" s="259">
        <v>120000</v>
      </c>
      <c r="M1901" s="258">
        <v>1320000</v>
      </c>
      <c r="O1901" s="258" t="s">
        <v>1749</v>
      </c>
    </row>
    <row r="1902" spans="1:15">
      <c r="A1902" s="264">
        <v>1901</v>
      </c>
      <c r="B1902" s="264"/>
      <c r="C1902" s="257">
        <v>45944</v>
      </c>
      <c r="D1902" s="283" t="s">
        <v>1582</v>
      </c>
      <c r="E1902" s="283" t="s">
        <v>3925</v>
      </c>
      <c r="F1902" s="286" t="s">
        <v>3926</v>
      </c>
      <c r="G1902" s="283" t="s">
        <v>2908</v>
      </c>
      <c r="H1902" s="262">
        <v>24046895</v>
      </c>
      <c r="I1902" s="258">
        <v>130000</v>
      </c>
      <c r="J1902" s="262">
        <v>1</v>
      </c>
      <c r="K1902" s="259">
        <v>1200000</v>
      </c>
      <c r="L1902" s="259">
        <v>13000</v>
      </c>
      <c r="M1902" s="258">
        <v>143000</v>
      </c>
      <c r="O1902" s="258" t="s">
        <v>1749</v>
      </c>
    </row>
    <row r="1903" spans="1:15">
      <c r="A1903" s="264">
        <v>1902</v>
      </c>
      <c r="B1903" s="264"/>
      <c r="C1903" s="257">
        <v>45944</v>
      </c>
      <c r="D1903" s="283" t="s">
        <v>1801</v>
      </c>
      <c r="E1903" s="283" t="s">
        <v>3926</v>
      </c>
      <c r="F1903" s="286" t="s">
        <v>3918</v>
      </c>
      <c r="G1903" s="283" t="s">
        <v>3218</v>
      </c>
      <c r="H1903" s="262" t="s">
        <v>3513</v>
      </c>
      <c r="I1903" s="258">
        <v>1200000</v>
      </c>
      <c r="J1903" s="262">
        <v>1</v>
      </c>
      <c r="K1903" s="259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1035</v>
      </c>
      <c r="E1904" s="283" t="s">
        <v>3926</v>
      </c>
      <c r="F1904" s="286" t="s">
        <v>3918</v>
      </c>
      <c r="G1904" s="283" t="s">
        <v>1724</v>
      </c>
      <c r="H1904" s="262" t="s">
        <v>1723</v>
      </c>
      <c r="I1904" s="258">
        <v>50000</v>
      </c>
      <c r="J1904" s="262">
        <v>5</v>
      </c>
      <c r="K1904" s="259">
        <v>1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1576</v>
      </c>
      <c r="E1905" s="283" t="s">
        <v>3926</v>
      </c>
      <c r="F1905" s="286" t="s">
        <v>3918</v>
      </c>
      <c r="G1905" s="283" t="s">
        <v>3462</v>
      </c>
      <c r="H1905" s="262" t="s">
        <v>1204</v>
      </c>
      <c r="I1905" s="258">
        <v>526364</v>
      </c>
      <c r="J1905" s="262">
        <v>1</v>
      </c>
      <c r="K1905" s="259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1576</v>
      </c>
      <c r="E1906" s="283" t="s">
        <v>3926</v>
      </c>
      <c r="F1906" s="286" t="s">
        <v>3918</v>
      </c>
      <c r="G1906" s="283" t="s">
        <v>2184</v>
      </c>
      <c r="H1906" s="262" t="s">
        <v>1255</v>
      </c>
      <c r="I1906" s="258">
        <v>130000</v>
      </c>
      <c r="J1906" s="262">
        <v>1</v>
      </c>
      <c r="K1906" s="259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3111</v>
      </c>
      <c r="E1907" s="283" t="s">
        <v>3926</v>
      </c>
      <c r="F1907" s="286" t="s">
        <v>3918</v>
      </c>
      <c r="G1907" s="283" t="s">
        <v>2193</v>
      </c>
      <c r="H1907" s="262" t="s">
        <v>1195</v>
      </c>
      <c r="J1907" s="262">
        <v>1</v>
      </c>
      <c r="K1907" s="259">
        <v>1</v>
      </c>
      <c r="M1907" s="258">
        <v>0</v>
      </c>
      <c r="Q1907" s="283" t="s">
        <v>4241</v>
      </c>
    </row>
    <row r="1908" spans="1:17">
      <c r="A1908" s="264">
        <v>1907</v>
      </c>
      <c r="B1908" s="264"/>
      <c r="C1908" s="257">
        <v>45944</v>
      </c>
      <c r="D1908" s="283" t="s">
        <v>2993</v>
      </c>
      <c r="E1908" s="283" t="s">
        <v>3926</v>
      </c>
      <c r="F1908" s="286" t="s">
        <v>3917</v>
      </c>
      <c r="G1908" s="283" t="s">
        <v>1124</v>
      </c>
      <c r="K1908" s="259">
        <v>1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1395</v>
      </c>
      <c r="E1909" s="283" t="s">
        <v>3926</v>
      </c>
      <c r="F1909" s="286" t="s">
        <v>3919</v>
      </c>
      <c r="G1909" s="283" t="s">
        <v>4027</v>
      </c>
      <c r="H1909" s="262" t="s">
        <v>4028</v>
      </c>
      <c r="I1909" s="258">
        <v>1000000</v>
      </c>
      <c r="J1909" s="262">
        <v>1</v>
      </c>
      <c r="K1909" s="259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1927</v>
      </c>
      <c r="E1910" s="283" t="s">
        <v>3926</v>
      </c>
      <c r="F1910" s="286" t="s">
        <v>3940</v>
      </c>
      <c r="G1910" s="283" t="s">
        <v>2198</v>
      </c>
      <c r="H1910" s="262" t="s">
        <v>1952</v>
      </c>
      <c r="I1910" s="258">
        <v>1900000</v>
      </c>
      <c r="J1910" s="262">
        <v>1</v>
      </c>
      <c r="K1910" s="259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1927</v>
      </c>
      <c r="F1911" s="286" t="s">
        <v>3940</v>
      </c>
      <c r="G1911" s="283" t="s">
        <v>2177</v>
      </c>
      <c r="H1911" s="262" t="s">
        <v>1799</v>
      </c>
      <c r="I1911" s="258">
        <v>50000</v>
      </c>
      <c r="J1911" s="262">
        <v>1</v>
      </c>
      <c r="K1911" s="259">
        <v>1</v>
      </c>
      <c r="M1911" s="258">
        <v>50000</v>
      </c>
      <c r="Q1911" s="283" t="s">
        <v>4242</v>
      </c>
    </row>
    <row r="1912" spans="1:17">
      <c r="A1912" s="58">
        <v>1912</v>
      </c>
      <c r="C1912" s="257">
        <v>45945</v>
      </c>
      <c r="D1912" s="283" t="s">
        <v>1463</v>
      </c>
      <c r="F1912" s="286" t="s">
        <v>3940</v>
      </c>
      <c r="G1912" s="283" t="s">
        <v>2198</v>
      </c>
      <c r="H1912" s="262" t="s">
        <v>1952</v>
      </c>
      <c r="I1912" s="258">
        <v>1800000</v>
      </c>
      <c r="J1912" s="262">
        <v>1</v>
      </c>
      <c r="K1912" s="259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1463</v>
      </c>
      <c r="E1913" s="283" t="s">
        <v>3926</v>
      </c>
      <c r="F1913" s="286" t="s">
        <v>3940</v>
      </c>
      <c r="G1913" s="283" t="s">
        <v>2177</v>
      </c>
      <c r="H1913" s="262" t="s">
        <v>1799</v>
      </c>
      <c r="I1913" s="258">
        <v>50000</v>
      </c>
      <c r="J1913" s="262">
        <v>1</v>
      </c>
      <c r="K1913" s="259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1463</v>
      </c>
      <c r="E1914" s="283" t="s">
        <v>3926</v>
      </c>
      <c r="F1914" s="286" t="s">
        <v>3950</v>
      </c>
      <c r="G1914" s="283" t="s">
        <v>2675</v>
      </c>
      <c r="I1914" s="258">
        <v>200000</v>
      </c>
      <c r="J1914" s="262">
        <v>1</v>
      </c>
      <c r="K1914" s="259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1277</v>
      </c>
      <c r="E1915" s="283" t="s">
        <v>3926</v>
      </c>
      <c r="F1915" s="286" t="s">
        <v>3934</v>
      </c>
      <c r="G1915" s="283" t="s">
        <v>2652</v>
      </c>
      <c r="I1915" s="258">
        <v>1100000</v>
      </c>
      <c r="J1915" s="262">
        <v>1</v>
      </c>
      <c r="K1915" s="259">
        <v>1</v>
      </c>
      <c r="L1915" s="259" t="s">
        <v>3511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1277</v>
      </c>
      <c r="E1916" s="283" t="s">
        <v>3926</v>
      </c>
      <c r="F1916" s="286" t="s">
        <v>3900</v>
      </c>
      <c r="G1916" s="283" t="s">
        <v>1947</v>
      </c>
      <c r="H1916" s="262" t="s">
        <v>4029</v>
      </c>
      <c r="I1916" s="258">
        <v>1000000</v>
      </c>
      <c r="J1916" s="262">
        <v>1</v>
      </c>
      <c r="K1916" s="259">
        <v>1</v>
      </c>
      <c r="L1916" s="259" t="s">
        <v>4240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3987</v>
      </c>
      <c r="E1917" s="283" t="s">
        <v>3926</v>
      </c>
      <c r="F1917" s="286" t="s">
        <v>3901</v>
      </c>
      <c r="G1917" s="283" t="s">
        <v>1739</v>
      </c>
      <c r="I1917" s="258">
        <v>650000</v>
      </c>
      <c r="J1917" s="262">
        <v>1</v>
      </c>
      <c r="K1917" s="259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1786</v>
      </c>
      <c r="E1918" s="283" t="s">
        <v>3926</v>
      </c>
      <c r="F1918" s="286" t="s">
        <v>3950</v>
      </c>
      <c r="G1918" s="283" t="s">
        <v>1739</v>
      </c>
      <c r="I1918" s="258">
        <v>650000</v>
      </c>
      <c r="J1918" s="262">
        <v>1</v>
      </c>
      <c r="K1918" s="259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1786</v>
      </c>
      <c r="E1919" s="283" t="s">
        <v>3926</v>
      </c>
      <c r="F1919" s="286">
        <v>1004</v>
      </c>
      <c r="G1919" s="283" t="s">
        <v>1515</v>
      </c>
      <c r="I1919" s="258">
        <v>30000</v>
      </c>
      <c r="J1919" s="262">
        <v>1</v>
      </c>
      <c r="K1919" s="259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1046</v>
      </c>
      <c r="E1920" s="283" t="s">
        <v>3979</v>
      </c>
      <c r="F1920" s="286" t="s">
        <v>3980</v>
      </c>
      <c r="G1920" s="283" t="s">
        <v>1739</v>
      </c>
      <c r="I1920" s="258">
        <v>1100000</v>
      </c>
      <c r="J1920" s="262">
        <v>1</v>
      </c>
      <c r="K1920" s="259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1490</v>
      </c>
      <c r="E1921" s="283" t="s">
        <v>3926</v>
      </c>
      <c r="F1921" s="286" t="s">
        <v>3918</v>
      </c>
      <c r="G1921" s="283" t="s">
        <v>1492</v>
      </c>
      <c r="H1921" s="262" t="s">
        <v>2674</v>
      </c>
      <c r="I1921" s="258">
        <v>350000</v>
      </c>
      <c r="J1921" s="262">
        <v>2</v>
      </c>
      <c r="K1921" s="259">
        <v>1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1445</v>
      </c>
      <c r="E1922" s="283" t="s">
        <v>3926</v>
      </c>
      <c r="F1922" s="286" t="s">
        <v>3901</v>
      </c>
      <c r="G1922" s="283" t="s">
        <v>3462</v>
      </c>
      <c r="H1922" s="262" t="s">
        <v>1204</v>
      </c>
      <c r="I1922" s="258">
        <v>526364</v>
      </c>
      <c r="J1922" s="262">
        <v>1</v>
      </c>
      <c r="K1922" s="259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1445</v>
      </c>
      <c r="E1923" s="283" t="s">
        <v>3926</v>
      </c>
      <c r="F1923" s="286" t="s">
        <v>3900</v>
      </c>
      <c r="G1923" s="283" t="s">
        <v>4030</v>
      </c>
      <c r="I1923" s="258">
        <v>600000</v>
      </c>
      <c r="J1923" s="262">
        <v>1</v>
      </c>
      <c r="K1923" s="259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1445</v>
      </c>
      <c r="F1924" s="286" t="s">
        <v>3900</v>
      </c>
      <c r="G1924" s="283" t="s">
        <v>2186</v>
      </c>
      <c r="H1924" s="262">
        <v>50229</v>
      </c>
      <c r="I1924" s="258">
        <v>70000</v>
      </c>
      <c r="J1924" s="262">
        <v>1</v>
      </c>
      <c r="K1924" s="259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1445</v>
      </c>
      <c r="F1925" s="286" t="s">
        <v>3916</v>
      </c>
      <c r="G1925" s="283" t="s">
        <v>2188</v>
      </c>
      <c r="H1925" s="262" t="s">
        <v>1818</v>
      </c>
      <c r="I1925" s="258">
        <v>10000</v>
      </c>
      <c r="J1925" s="262">
        <v>2</v>
      </c>
      <c r="K1925" s="259">
        <v>1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1445</v>
      </c>
      <c r="E1926" s="283" t="s">
        <v>3926</v>
      </c>
      <c r="F1926" s="286" t="s">
        <v>3915</v>
      </c>
      <c r="G1926" s="283" t="s">
        <v>2187</v>
      </c>
      <c r="H1926" s="262" t="s">
        <v>1791</v>
      </c>
      <c r="I1926" s="258">
        <v>35000</v>
      </c>
      <c r="J1926" s="262">
        <v>1</v>
      </c>
      <c r="K1926" s="259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1863</v>
      </c>
      <c r="E1927" s="283" t="s">
        <v>3926</v>
      </c>
      <c r="F1927" s="286" t="s">
        <v>3950</v>
      </c>
      <c r="G1927" s="283" t="s">
        <v>4031</v>
      </c>
      <c r="K1927" s="259">
        <v>1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1927</v>
      </c>
      <c r="E1928" s="283" t="s">
        <v>3926</v>
      </c>
      <c r="F1928" s="286" t="s">
        <v>3900</v>
      </c>
      <c r="G1928" s="283" t="s">
        <v>4032</v>
      </c>
      <c r="K1928" s="259">
        <v>1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3987</v>
      </c>
      <c r="E1929" s="283" t="s">
        <v>3926</v>
      </c>
      <c r="F1929" s="286" t="s">
        <v>3917</v>
      </c>
      <c r="G1929" s="283" t="s">
        <v>4033</v>
      </c>
      <c r="K1929" s="259">
        <v>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1469</v>
      </c>
      <c r="E1930" s="283" t="s">
        <v>3926</v>
      </c>
      <c r="F1930" s="286" t="s">
        <v>3919</v>
      </c>
      <c r="G1930" s="283" t="s">
        <v>3462</v>
      </c>
      <c r="H1930" s="262" t="s">
        <v>1204</v>
      </c>
      <c r="I1930" s="258">
        <v>520000</v>
      </c>
      <c r="J1930" s="262">
        <v>2</v>
      </c>
      <c r="K1930" s="259">
        <v>1</v>
      </c>
      <c r="M1930" s="258">
        <v>1040000</v>
      </c>
      <c r="P1930" s="283" t="s">
        <v>3969</v>
      </c>
    </row>
    <row r="1931" spans="1:16">
      <c r="A1931" s="58">
        <v>1931</v>
      </c>
      <c r="C1931" s="257">
        <v>45946</v>
      </c>
      <c r="D1931" s="283" t="s">
        <v>1481</v>
      </c>
      <c r="E1931" s="283" t="s">
        <v>3926</v>
      </c>
      <c r="F1931" s="286" t="s">
        <v>3901</v>
      </c>
      <c r="G1931" s="283" t="s">
        <v>1148</v>
      </c>
      <c r="H1931" s="262">
        <v>2830506</v>
      </c>
      <c r="I1931" s="258">
        <v>1750000</v>
      </c>
      <c r="J1931" s="262">
        <v>1</v>
      </c>
      <c r="K1931" s="259">
        <v>1</v>
      </c>
      <c r="M1931" s="258">
        <v>1750000</v>
      </c>
      <c r="O1931" s="258" t="s">
        <v>3972</v>
      </c>
      <c r="P1931" s="283" t="s">
        <v>3969</v>
      </c>
    </row>
    <row r="1932" spans="1:16">
      <c r="A1932" s="58">
        <v>1932</v>
      </c>
      <c r="C1932" s="257">
        <v>45946</v>
      </c>
      <c r="D1932" s="283" t="s">
        <v>1594</v>
      </c>
      <c r="E1932" s="283" t="s">
        <v>3925</v>
      </c>
      <c r="F1932" s="286" t="s">
        <v>3901</v>
      </c>
      <c r="G1932" s="283" t="s">
        <v>1200</v>
      </c>
      <c r="H1932" s="262" t="s">
        <v>1748</v>
      </c>
      <c r="I1932" s="258">
        <v>1000000</v>
      </c>
      <c r="J1932" s="262">
        <v>1</v>
      </c>
      <c r="K1932" s="259">
        <v>1</v>
      </c>
      <c r="M1932" s="258">
        <v>1000000</v>
      </c>
      <c r="P1932" s="283" t="s">
        <v>3972</v>
      </c>
    </row>
    <row r="1933" spans="1:16">
      <c r="A1933" s="58">
        <v>1933</v>
      </c>
      <c r="C1933" s="257">
        <v>45946</v>
      </c>
      <c r="D1933" s="283" t="s">
        <v>3988</v>
      </c>
      <c r="F1933" s="286">
        <v>117812</v>
      </c>
      <c r="G1933" s="283" t="s">
        <v>2192</v>
      </c>
      <c r="H1933" s="262">
        <v>2820403</v>
      </c>
      <c r="I1933" s="258">
        <v>1600000</v>
      </c>
      <c r="J1933" s="262">
        <v>1</v>
      </c>
      <c r="K1933" s="259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3794</v>
      </c>
      <c r="E1934" s="283" t="s">
        <v>3925</v>
      </c>
      <c r="F1934" s="286" t="s">
        <v>3911</v>
      </c>
      <c r="G1934" s="283" t="s">
        <v>1739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3975</v>
      </c>
      <c r="P1934" s="283" t="s">
        <v>3965</v>
      </c>
    </row>
    <row r="1935" spans="1:16">
      <c r="A1935" s="58">
        <v>1935</v>
      </c>
      <c r="C1935" s="257">
        <v>45946</v>
      </c>
      <c r="D1935" s="283" t="s">
        <v>1786</v>
      </c>
      <c r="E1935" s="283" t="s">
        <v>3925</v>
      </c>
      <c r="F1935" s="286" t="s">
        <v>3901</v>
      </c>
      <c r="G1935" s="283" t="s">
        <v>4034</v>
      </c>
      <c r="I1935" s="258">
        <v>1000000</v>
      </c>
      <c r="J1935" s="262">
        <v>1</v>
      </c>
      <c r="M1935" s="258">
        <v>1000000</v>
      </c>
      <c r="P1935" s="283" t="s">
        <v>3965</v>
      </c>
    </row>
    <row r="1936" spans="1:16">
      <c r="A1936" s="58">
        <v>1936</v>
      </c>
      <c r="C1936" s="257">
        <v>45946</v>
      </c>
      <c r="D1936" s="283" t="s">
        <v>1481</v>
      </c>
      <c r="E1936" s="283" t="s">
        <v>3925</v>
      </c>
      <c r="F1936" s="286" t="s">
        <v>3900</v>
      </c>
      <c r="G1936" s="283" t="s">
        <v>4035</v>
      </c>
      <c r="N1936" s="258">
        <v>-1750000</v>
      </c>
      <c r="O1936" s="258" t="s">
        <v>3982</v>
      </c>
      <c r="P1936" s="283" t="s">
        <v>3965</v>
      </c>
    </row>
    <row r="1937" spans="1:16">
      <c r="A1937" s="58">
        <v>1937</v>
      </c>
      <c r="C1937" s="257">
        <v>45946</v>
      </c>
      <c r="D1937" s="283" t="s">
        <v>1594</v>
      </c>
      <c r="E1937" s="283" t="s">
        <v>3925</v>
      </c>
      <c r="F1937" s="286" t="s">
        <v>3918</v>
      </c>
      <c r="G1937" s="283" t="s">
        <v>3846</v>
      </c>
      <c r="N1937" s="258">
        <v>-1000000</v>
      </c>
      <c r="O1937" s="258" t="s">
        <v>3984</v>
      </c>
      <c r="P1937" s="283" t="s">
        <v>3965</v>
      </c>
    </row>
    <row r="1938" spans="1:16">
      <c r="A1938" s="58">
        <v>1938</v>
      </c>
      <c r="C1938" s="257">
        <v>45946</v>
      </c>
      <c r="D1938" s="283" t="s">
        <v>3794</v>
      </c>
      <c r="G1938" s="283" t="s">
        <v>4036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3988</v>
      </c>
      <c r="G1939" s="283" t="s">
        <v>4037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1927</v>
      </c>
      <c r="E1940" s="283" t="s">
        <v>4288</v>
      </c>
      <c r="G1940" s="283" t="s">
        <v>4032</v>
      </c>
      <c r="I1940" s="258">
        <v>11</v>
      </c>
      <c r="M1940" s="258">
        <v>11</v>
      </c>
      <c r="N1940" s="258">
        <v>11</v>
      </c>
    </row>
    <row r="1941" spans="1:16">
      <c r="A1941" s="58">
        <v>1941</v>
      </c>
      <c r="C1941" s="257">
        <v>45947</v>
      </c>
      <c r="D1941" s="283" t="s">
        <v>1465</v>
      </c>
      <c r="G1941" s="283" t="s">
        <v>1200</v>
      </c>
      <c r="H1941" s="262" t="s">
        <v>1748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1465</v>
      </c>
      <c r="G1942" s="283" t="s">
        <v>4038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1145</v>
      </c>
      <c r="G1943" s="283" t="s">
        <v>2190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1145</v>
      </c>
      <c r="G1944" s="283" t="s">
        <v>2188</v>
      </c>
      <c r="H1944" s="262" t="s">
        <v>1818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1145</v>
      </c>
      <c r="G1945" s="283" t="s">
        <v>4039</v>
      </c>
      <c r="H1945" s="262" t="s">
        <v>1204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1145</v>
      </c>
      <c r="G1946" s="283" t="s">
        <v>1713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1576</v>
      </c>
      <c r="G1947" s="283" t="s">
        <v>4040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1786</v>
      </c>
      <c r="G1948" s="283" t="s">
        <v>1825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1973</v>
      </c>
      <c r="G1949" s="283" t="s">
        <v>1200</v>
      </c>
      <c r="H1949" s="262" t="s">
        <v>1748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1973</v>
      </c>
      <c r="G1950" s="283" t="s">
        <v>1124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1866</v>
      </c>
      <c r="G1951" s="283" t="s">
        <v>1912</v>
      </c>
      <c r="H1951" s="262" t="s">
        <v>2050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3989</v>
      </c>
      <c r="G1952" s="283" t="s">
        <v>1851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3989</v>
      </c>
      <c r="G1953" s="283" t="s">
        <v>1713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1315</v>
      </c>
      <c r="G1954" s="283" t="s">
        <v>1719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1576</v>
      </c>
      <c r="G1955" s="283" t="s">
        <v>4041</v>
      </c>
      <c r="H1955" s="262" t="s">
        <v>2743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3989</v>
      </c>
      <c r="G1956" s="283" t="s">
        <v>1124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1866</v>
      </c>
      <c r="G1957" s="283" t="s">
        <v>1124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3986</v>
      </c>
      <c r="G1958" s="283" t="s">
        <v>1124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2405</v>
      </c>
      <c r="G1959" s="283" t="s">
        <v>2193</v>
      </c>
      <c r="H1959" s="262" t="s">
        <v>1195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3990</v>
      </c>
      <c r="G1960" s="283" t="s">
        <v>4042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1395</v>
      </c>
      <c r="G1961" s="283" t="s">
        <v>1739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1395</v>
      </c>
      <c r="G1962" s="283" t="s">
        <v>1262</v>
      </c>
      <c r="H1962" s="262" t="s">
        <v>1261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1576</v>
      </c>
      <c r="G1963" s="283" t="s">
        <v>1124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1490</v>
      </c>
      <c r="G1964" s="283" t="s">
        <v>1124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1445</v>
      </c>
      <c r="G1965" s="283" t="s">
        <v>4043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1469</v>
      </c>
      <c r="G1966" s="283" t="s">
        <v>1855</v>
      </c>
      <c r="H1966" s="262" t="s">
        <v>3647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3397</v>
      </c>
      <c r="G1967" s="283" t="s">
        <v>1855</v>
      </c>
      <c r="H1967" s="262" t="s">
        <v>3647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987</v>
      </c>
      <c r="G1968" s="283" t="s">
        <v>2023</v>
      </c>
      <c r="H1968" s="262" t="s">
        <v>1212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4243</v>
      </c>
    </row>
    <row r="1969" spans="1:14">
      <c r="A1969" s="58">
        <v>1969</v>
      </c>
      <c r="C1969" s="257">
        <v>45951</v>
      </c>
      <c r="D1969" s="283" t="s">
        <v>3197</v>
      </c>
      <c r="G1969" s="283" t="s">
        <v>1577</v>
      </c>
      <c r="H1969" s="262" t="s">
        <v>1919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1743</v>
      </c>
      <c r="G1970" s="283" t="s">
        <v>4044</v>
      </c>
      <c r="H1970" s="262" t="s">
        <v>4045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1445</v>
      </c>
      <c r="G1971" s="283" t="s">
        <v>1200</v>
      </c>
      <c r="H1971" s="262" t="s">
        <v>1748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3987</v>
      </c>
      <c r="G1972" s="283" t="s">
        <v>1200</v>
      </c>
      <c r="H1972" s="262" t="s">
        <v>1748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3987</v>
      </c>
      <c r="G1973" s="283" t="s">
        <v>1492</v>
      </c>
      <c r="H1973" s="262" t="s">
        <v>2674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3987</v>
      </c>
      <c r="G1974" s="283" t="s">
        <v>2165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1395</v>
      </c>
      <c r="G1975" s="283" t="s">
        <v>1739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1311</v>
      </c>
      <c r="G1976" s="283" t="s">
        <v>1215</v>
      </c>
      <c r="H1976" s="262" t="s">
        <v>2158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3990</v>
      </c>
      <c r="G1977" s="283" t="s">
        <v>1124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1445</v>
      </c>
      <c r="G1978" s="283" t="s">
        <v>1124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3991</v>
      </c>
      <c r="G1979" s="283" t="s">
        <v>1739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3992</v>
      </c>
      <c r="G1980" s="283" t="s">
        <v>2023</v>
      </c>
      <c r="H1980" s="262" t="s">
        <v>1212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1537</v>
      </c>
      <c r="G1981" s="283" t="s">
        <v>1202</v>
      </c>
      <c r="H1981" s="262" t="s">
        <v>1203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2553</v>
      </c>
      <c r="G1982" s="283" t="s">
        <v>2174</v>
      </c>
      <c r="H1982" s="262" t="s">
        <v>1460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3147</v>
      </c>
      <c r="G1983" s="283" t="s">
        <v>1200</v>
      </c>
      <c r="H1983" s="262" t="s">
        <v>1748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1718</v>
      </c>
      <c r="G1984" s="283" t="s">
        <v>2174</v>
      </c>
      <c r="H1984" s="262" t="s">
        <v>1460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1718</v>
      </c>
      <c r="G1985" s="283" t="s">
        <v>2914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1145</v>
      </c>
      <c r="G1986" s="283" t="s">
        <v>2190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1145</v>
      </c>
      <c r="G1987" s="283" t="s">
        <v>2188</v>
      </c>
      <c r="H1987" s="262" t="s">
        <v>1818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1145</v>
      </c>
      <c r="G1988" s="283" t="s">
        <v>4039</v>
      </c>
      <c r="H1988" s="262" t="s">
        <v>1204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1145</v>
      </c>
      <c r="G1989" s="283" t="s">
        <v>2187</v>
      </c>
      <c r="H1989" s="262" t="s">
        <v>1791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1145</v>
      </c>
      <c r="G1990" s="283" t="s">
        <v>2186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1463</v>
      </c>
      <c r="G1991" s="283" t="s">
        <v>4046</v>
      </c>
      <c r="H1991" s="262" t="s">
        <v>4047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2405</v>
      </c>
      <c r="G1992" s="283" t="s">
        <v>2193</v>
      </c>
      <c r="H1992" s="262" t="s">
        <v>1195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1573</v>
      </c>
      <c r="G1993" s="283" t="s">
        <v>3038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1866</v>
      </c>
      <c r="G1994" s="283" t="s">
        <v>2184</v>
      </c>
      <c r="H1994" s="262" t="s">
        <v>1255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1395</v>
      </c>
      <c r="G1995" s="283" t="s">
        <v>3120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1594</v>
      </c>
      <c r="G1996" s="283" t="s">
        <v>1734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1440</v>
      </c>
      <c r="G1997" s="283" t="s">
        <v>1969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1440</v>
      </c>
      <c r="G1998" s="283" t="s">
        <v>1969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1440</v>
      </c>
      <c r="G1999" s="283" t="s">
        <v>2154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1440</v>
      </c>
      <c r="G2000" s="283" t="s">
        <v>1981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1007</v>
      </c>
      <c r="G2001" s="283" t="s">
        <v>2133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4244</v>
      </c>
    </row>
    <row r="2002" spans="1:17">
      <c r="A2002" s="58">
        <v>2002</v>
      </c>
      <c r="C2002" s="257">
        <v>45953</v>
      </c>
      <c r="D2002" s="283" t="s">
        <v>1573</v>
      </c>
      <c r="G2002" s="283" t="s">
        <v>1200</v>
      </c>
      <c r="H2002" s="262" t="s">
        <v>1748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1573</v>
      </c>
      <c r="G2003" s="283" t="s">
        <v>1515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2109</v>
      </c>
      <c r="G2004" s="283" t="s">
        <v>1124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3197</v>
      </c>
      <c r="G2005" s="283" t="s">
        <v>1124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2605</v>
      </c>
      <c r="G2006" s="283" t="s">
        <v>1124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3991</v>
      </c>
      <c r="G2007" s="283" t="s">
        <v>1124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2405</v>
      </c>
      <c r="G2008" s="283" t="s">
        <v>1124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987</v>
      </c>
      <c r="G2009" s="283" t="s">
        <v>1124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3147</v>
      </c>
      <c r="G2010" s="283" t="s">
        <v>1124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2553</v>
      </c>
      <c r="G2011" s="283" t="s">
        <v>1124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3397</v>
      </c>
      <c r="G2012" s="283" t="s">
        <v>1124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3992</v>
      </c>
      <c r="G2013" s="283" t="s">
        <v>1124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1395</v>
      </c>
      <c r="G2014" s="283" t="s">
        <v>1200</v>
      </c>
      <c r="H2014" s="262" t="s">
        <v>1748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1395</v>
      </c>
      <c r="G2015" s="283" t="s">
        <v>2835</v>
      </c>
      <c r="H2015" s="262" t="s">
        <v>2745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1927</v>
      </c>
      <c r="G2016" s="283" t="s">
        <v>1124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1594</v>
      </c>
      <c r="G2017" s="283" t="s">
        <v>1124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1007</v>
      </c>
      <c r="G2018" s="283" t="s">
        <v>1124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2699</v>
      </c>
      <c r="G2019" s="283" t="s">
        <v>2197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1490</v>
      </c>
      <c r="G2020" s="283" t="s">
        <v>3462</v>
      </c>
      <c r="H2020" s="262" t="s">
        <v>1204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2699</v>
      </c>
      <c r="G2021" s="283" t="s">
        <v>1124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1866</v>
      </c>
      <c r="G2022" s="283" t="s">
        <v>1124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1395</v>
      </c>
      <c r="G2023" s="283" t="s">
        <v>2176</v>
      </c>
      <c r="H2023" s="262" t="s">
        <v>1198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1395</v>
      </c>
      <c r="G2024" s="283" t="s">
        <v>2177</v>
      </c>
      <c r="H2024" s="262" t="s">
        <v>1799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1395</v>
      </c>
      <c r="G2025" s="283" t="s">
        <v>1739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3993</v>
      </c>
      <c r="G2026" s="283" t="s">
        <v>2251</v>
      </c>
      <c r="H2026" s="262" t="s">
        <v>2250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3993</v>
      </c>
      <c r="G2027" s="283" t="s">
        <v>2607</v>
      </c>
      <c r="H2027" s="262" t="s">
        <v>1751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2778</v>
      </c>
      <c r="G2028" s="283" t="s">
        <v>2176</v>
      </c>
      <c r="H2028" s="262" t="s">
        <v>1198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2778</v>
      </c>
      <c r="G2029" s="283" t="s">
        <v>2177</v>
      </c>
      <c r="H2029" s="262" t="s">
        <v>1799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3617</v>
      </c>
      <c r="G2030" s="283" t="s">
        <v>1215</v>
      </c>
      <c r="H2030" s="262" t="s">
        <v>2158</v>
      </c>
      <c r="I2030" s="258">
        <v>1300000</v>
      </c>
      <c r="J2030" s="262">
        <v>1</v>
      </c>
      <c r="L2030" s="259" t="s">
        <v>3139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1582</v>
      </c>
      <c r="G2031" s="283" t="s">
        <v>1740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1537</v>
      </c>
      <c r="G2032" s="283" t="s">
        <v>4048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3987</v>
      </c>
      <c r="G2033" s="283" t="s">
        <v>1124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1465</v>
      </c>
      <c r="G2034" s="283" t="s">
        <v>4049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1369</v>
      </c>
      <c r="G2035" s="283" t="s">
        <v>4050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1573</v>
      </c>
      <c r="G2036" s="283" t="s">
        <v>4051</v>
      </c>
      <c r="H2036" s="262" t="s">
        <v>2879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3994</v>
      </c>
      <c r="G2037" s="283" t="s">
        <v>3038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1743</v>
      </c>
      <c r="G2038" s="283" t="s">
        <v>4039</v>
      </c>
      <c r="H2038" s="262" t="s">
        <v>1204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1743</v>
      </c>
      <c r="G2039" s="283" t="s">
        <v>2187</v>
      </c>
      <c r="H2039" s="262" t="s">
        <v>1791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1743</v>
      </c>
      <c r="G2040" s="283" t="s">
        <v>2186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3995</v>
      </c>
      <c r="G2041" s="283" t="s">
        <v>2190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3995</v>
      </c>
      <c r="G2042" s="283" t="s">
        <v>3462</v>
      </c>
      <c r="H2042" s="262" t="s">
        <v>1204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3995</v>
      </c>
      <c r="G2043" s="283" t="s">
        <v>2186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3995</v>
      </c>
      <c r="G2044" s="283" t="s">
        <v>2187</v>
      </c>
      <c r="H2044" s="262" t="s">
        <v>1791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3995</v>
      </c>
      <c r="G2045" s="283" t="s">
        <v>2188</v>
      </c>
      <c r="H2045" s="262" t="s">
        <v>1818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1395</v>
      </c>
      <c r="G2046" s="283" t="s">
        <v>1739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1576</v>
      </c>
      <c r="G2047" s="283" t="s">
        <v>1701</v>
      </c>
      <c r="H2047" s="262" t="s">
        <v>1700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1550</v>
      </c>
      <c r="G2048" s="283" t="s">
        <v>4052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3994</v>
      </c>
      <c r="G2049" s="283" t="s">
        <v>4053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3995</v>
      </c>
      <c r="G2050" s="283" t="s">
        <v>4054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1395</v>
      </c>
      <c r="G2051" s="283" t="s">
        <v>2295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1927</v>
      </c>
      <c r="G2052" s="283" t="s">
        <v>3462</v>
      </c>
      <c r="H2052" s="262" t="s">
        <v>1204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1927</v>
      </c>
      <c r="G2053" s="283" t="s">
        <v>2186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1927</v>
      </c>
      <c r="G2054" s="283" t="s">
        <v>2187</v>
      </c>
      <c r="H2054" s="262" t="s">
        <v>1791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2778</v>
      </c>
      <c r="G2055" s="283" t="s">
        <v>4055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1433</v>
      </c>
      <c r="G2056" s="283" t="s">
        <v>1124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1890</v>
      </c>
      <c r="G2057" s="283" t="s">
        <v>1200</v>
      </c>
      <c r="H2057" s="262" t="s">
        <v>1748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1170</v>
      </c>
      <c r="G2058" s="283" t="s">
        <v>1557</v>
      </c>
      <c r="H2058" s="262" t="s">
        <v>2692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1018</v>
      </c>
      <c r="G2059" s="283" t="s">
        <v>4026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1743</v>
      </c>
      <c r="G2060" s="283" t="s">
        <v>4039</v>
      </c>
      <c r="H2060" s="262" t="s">
        <v>1204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1743</v>
      </c>
      <c r="G2061" s="283" t="s">
        <v>2184</v>
      </c>
      <c r="H2061" s="262" t="s">
        <v>1255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1743</v>
      </c>
      <c r="G2062" s="283" t="s">
        <v>2186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1395</v>
      </c>
      <c r="G2063" s="283" t="s">
        <v>4039</v>
      </c>
      <c r="H2063" s="262" t="s">
        <v>1204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1395</v>
      </c>
      <c r="G2064" s="283" t="s">
        <v>2187</v>
      </c>
      <c r="H2064" s="262" t="s">
        <v>1791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1395</v>
      </c>
      <c r="G2065" s="283" t="s">
        <v>2188</v>
      </c>
      <c r="H2065" s="262" t="s">
        <v>1818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3996</v>
      </c>
      <c r="G2066" s="283" t="s">
        <v>1202</v>
      </c>
      <c r="H2066" s="262" t="s">
        <v>1201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1667</v>
      </c>
      <c r="G2067" s="283" t="s">
        <v>2198</v>
      </c>
      <c r="H2067" s="262" t="s">
        <v>1952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1667</v>
      </c>
      <c r="G2068" s="283" t="s">
        <v>2177</v>
      </c>
      <c r="H2068" s="262" t="s">
        <v>1799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1667</v>
      </c>
      <c r="G2069" s="283" t="s">
        <v>3639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1582</v>
      </c>
      <c r="G2070" s="283" t="s">
        <v>1124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1440</v>
      </c>
      <c r="G2071" s="283" t="s">
        <v>2052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3996</v>
      </c>
      <c r="G2072" s="283" t="s">
        <v>4056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1395</v>
      </c>
      <c r="G2073" s="283" t="s">
        <v>2184</v>
      </c>
      <c r="H2073" s="262" t="s">
        <v>1255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3145</v>
      </c>
      <c r="G2074" s="283" t="s">
        <v>3213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3145</v>
      </c>
      <c r="G2075" s="283" t="s">
        <v>2108</v>
      </c>
      <c r="H2075" s="262" t="s">
        <v>2577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3145</v>
      </c>
      <c r="G2076" s="283" t="s">
        <v>2794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3145</v>
      </c>
      <c r="G2077" s="283" t="s">
        <v>3614</v>
      </c>
      <c r="H2077" s="262" t="s">
        <v>3613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3997</v>
      </c>
      <c r="G2078" s="283" t="s">
        <v>2914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1808</v>
      </c>
      <c r="G2079" s="283" t="s">
        <v>1200</v>
      </c>
      <c r="H2079" s="262" t="s">
        <v>1748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1808</v>
      </c>
      <c r="G2080" s="283" t="s">
        <v>1492</v>
      </c>
      <c r="H2080" s="262" t="s">
        <v>2674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1808</v>
      </c>
      <c r="G2081" s="283" t="s">
        <v>1515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3993</v>
      </c>
      <c r="G2082" s="283" t="s">
        <v>2202</v>
      </c>
      <c r="H2082" s="262" t="s">
        <v>4057</v>
      </c>
      <c r="I2082" s="258">
        <v>1100000</v>
      </c>
      <c r="J2082" s="262">
        <v>1</v>
      </c>
      <c r="L2082" s="259" t="s">
        <v>3511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1743</v>
      </c>
      <c r="G2083" s="283" t="s">
        <v>2182</v>
      </c>
      <c r="H2083" s="262" t="s">
        <v>1197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1445</v>
      </c>
      <c r="G2084" s="283" t="s">
        <v>3462</v>
      </c>
      <c r="H2084" s="262" t="s">
        <v>1204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1445</v>
      </c>
      <c r="G2085" s="283" t="s">
        <v>2186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1445</v>
      </c>
      <c r="G2086" s="283" t="s">
        <v>2187</v>
      </c>
      <c r="H2086" s="262" t="s">
        <v>1791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3997</v>
      </c>
      <c r="G2087" s="283" t="s">
        <v>4058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1863</v>
      </c>
      <c r="G2088" s="283" t="s">
        <v>4031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1469</v>
      </c>
      <c r="G2089" s="283" t="s">
        <v>4059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1283</v>
      </c>
      <c r="G2090" s="283" t="s">
        <v>2251</v>
      </c>
      <c r="H2090" s="262" t="s">
        <v>2250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1576</v>
      </c>
      <c r="G2091" s="283" t="s">
        <v>2177</v>
      </c>
      <c r="H2091" s="262" t="s">
        <v>1799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1469</v>
      </c>
      <c r="G2092" s="283" t="s">
        <v>2198</v>
      </c>
      <c r="H2092" s="262" t="s">
        <v>1952</v>
      </c>
      <c r="I2092" s="258">
        <v>1900000</v>
      </c>
      <c r="J2092" s="262">
        <v>1</v>
      </c>
      <c r="M2092" s="258">
        <v>1900000</v>
      </c>
      <c r="Q2092" s="283" t="s">
        <v>4245</v>
      </c>
    </row>
    <row r="2093" spans="1:17">
      <c r="A2093" s="58">
        <v>2093</v>
      </c>
      <c r="C2093" s="257">
        <v>45960</v>
      </c>
      <c r="D2093" s="283" t="s">
        <v>1469</v>
      </c>
      <c r="G2093" s="283" t="s">
        <v>3639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1469</v>
      </c>
      <c r="G2094" s="283" t="s">
        <v>2413</v>
      </c>
      <c r="H2094" s="262" t="s">
        <v>2743</v>
      </c>
      <c r="I2094" s="258">
        <v>1100000</v>
      </c>
      <c r="J2094" s="262">
        <v>1</v>
      </c>
      <c r="M2094" s="258">
        <v>1100000</v>
      </c>
      <c r="Q2094" s="283" t="s">
        <v>4246</v>
      </c>
    </row>
    <row r="2095" spans="1:17">
      <c r="A2095" s="58">
        <v>2095</v>
      </c>
      <c r="C2095" s="257">
        <v>45960</v>
      </c>
      <c r="D2095" s="283" t="s">
        <v>2959</v>
      </c>
      <c r="G2095" s="283" t="s">
        <v>2914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3197</v>
      </c>
      <c r="G2096" s="283" t="s">
        <v>2087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1743</v>
      </c>
      <c r="G2097" s="283" t="s">
        <v>2182</v>
      </c>
      <c r="H2097" s="262" t="s">
        <v>1197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1743</v>
      </c>
      <c r="G2098" s="283" t="s">
        <v>1515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1573</v>
      </c>
      <c r="G2099" s="283" t="s">
        <v>4060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1573</v>
      </c>
      <c r="G2100" s="283" t="s">
        <v>1515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1973</v>
      </c>
      <c r="G2101" s="283" t="s">
        <v>3218</v>
      </c>
      <c r="H2101" s="262" t="s">
        <v>3513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3994</v>
      </c>
      <c r="G2102" s="283" t="s">
        <v>3218</v>
      </c>
      <c r="H2102" s="262" t="s">
        <v>3513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3994</v>
      </c>
      <c r="G2103" s="283" t="s">
        <v>1515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1302</v>
      </c>
      <c r="G2104" s="283" t="s">
        <v>3047</v>
      </c>
      <c r="H2104" s="262" t="s">
        <v>1948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2699</v>
      </c>
      <c r="G2105" s="283" t="s">
        <v>4061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1667</v>
      </c>
      <c r="G2106" s="283" t="s">
        <v>1200</v>
      </c>
      <c r="H2106" s="262" t="s">
        <v>1748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1667</v>
      </c>
      <c r="G2107" s="283" t="s">
        <v>1492</v>
      </c>
      <c r="H2107" s="262" t="s">
        <v>2674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1743</v>
      </c>
      <c r="G2108" s="283" t="s">
        <v>2186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1743</v>
      </c>
      <c r="G2109" s="283" t="s">
        <v>2184</v>
      </c>
      <c r="H2109" s="262" t="s">
        <v>1255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1743</v>
      </c>
      <c r="G2110" s="283" t="s">
        <v>2187</v>
      </c>
      <c r="H2110" s="262" t="s">
        <v>1791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1786</v>
      </c>
      <c r="G2111" s="283" t="s">
        <v>4062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3998</v>
      </c>
      <c r="G2112" s="283" t="s">
        <v>1124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3145</v>
      </c>
      <c r="G2113" s="283" t="s">
        <v>4063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1973</v>
      </c>
      <c r="G2114" s="283" t="s">
        <v>4064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1490</v>
      </c>
      <c r="G2115" s="283" t="s">
        <v>4065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1801</v>
      </c>
      <c r="G2116" s="283" t="s">
        <v>3721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1808</v>
      </c>
      <c r="G2117" s="283" t="s">
        <v>4066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2699</v>
      </c>
      <c r="G2118" s="283" t="s">
        <v>4067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2959</v>
      </c>
      <c r="G2119" s="283" t="s">
        <v>4068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3994</v>
      </c>
      <c r="G2120" s="283" t="s">
        <v>4069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1337</v>
      </c>
      <c r="G2121" s="283" t="s">
        <v>2251</v>
      </c>
      <c r="H2121" s="262" t="s">
        <v>2250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3999</v>
      </c>
      <c r="G2122" s="283" t="s">
        <v>2379</v>
      </c>
      <c r="H2122" s="262" t="s">
        <v>2871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2254</v>
      </c>
      <c r="G2123" s="283" t="s">
        <v>2174</v>
      </c>
      <c r="H2123" s="262" t="s">
        <v>1460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1718</v>
      </c>
      <c r="G2124" s="283" t="s">
        <v>4061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1743</v>
      </c>
      <c r="G2125" s="283" t="s">
        <v>2295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1537</v>
      </c>
      <c r="G2126" s="283" t="s">
        <v>2087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1537</v>
      </c>
      <c r="G2127" s="283" t="s">
        <v>1545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1283</v>
      </c>
      <c r="G2128" s="283" t="s">
        <v>4070</v>
      </c>
      <c r="H2128" s="262" t="s">
        <v>2250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1302</v>
      </c>
      <c r="G2129" s="283" t="s">
        <v>4071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1046</v>
      </c>
      <c r="G2130" s="283" t="s">
        <v>1817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1445</v>
      </c>
      <c r="G2131" s="283" t="s">
        <v>4072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1927</v>
      </c>
      <c r="G2132" s="283" t="s">
        <v>4032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2254</v>
      </c>
      <c r="G2133" s="283" t="s">
        <v>4073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3999</v>
      </c>
      <c r="G2134" s="283" t="s">
        <v>4074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1145</v>
      </c>
      <c r="G2135" s="283" t="s">
        <v>4075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1537</v>
      </c>
      <c r="G2136" s="283" t="s">
        <v>3761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1395</v>
      </c>
      <c r="G2137" s="283" t="s">
        <v>3759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1573</v>
      </c>
      <c r="G2138" s="283" t="s">
        <v>4076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1718</v>
      </c>
      <c r="G2139" s="283" t="s">
        <v>1200</v>
      </c>
      <c r="H2139" s="262" t="s">
        <v>1748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1345</v>
      </c>
      <c r="G2140" s="283" t="s">
        <v>4025</v>
      </c>
      <c r="H2140" s="262" t="s">
        <v>1714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1801</v>
      </c>
      <c r="G2141" s="283" t="s">
        <v>2177</v>
      </c>
      <c r="H2141" s="262" t="s">
        <v>1799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1018</v>
      </c>
      <c r="G2142" s="283" t="s">
        <v>4026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1018</v>
      </c>
      <c r="G2143" s="283" t="s">
        <v>2087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1018</v>
      </c>
      <c r="G2144" s="283" t="s">
        <v>1545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987</v>
      </c>
      <c r="G2145" s="283" t="s">
        <v>2192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1440</v>
      </c>
      <c r="G2146" s="283" t="s">
        <v>1557</v>
      </c>
      <c r="H2146" s="262" t="s">
        <v>2692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1391</v>
      </c>
      <c r="G2147" s="283" t="s">
        <v>1202</v>
      </c>
      <c r="H2147" s="262" t="s">
        <v>1988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1395</v>
      </c>
      <c r="G2148" s="283" t="s">
        <v>2033</v>
      </c>
      <c r="H2148" s="262" t="s">
        <v>3647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1440</v>
      </c>
      <c r="G2149" s="283" t="s">
        <v>4077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1391</v>
      </c>
      <c r="G2150" s="283" t="s">
        <v>4078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3197</v>
      </c>
      <c r="G2151" s="283" t="s">
        <v>4079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987</v>
      </c>
      <c r="G2152" s="283" t="s">
        <v>4080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2254</v>
      </c>
      <c r="G2153" s="283" t="s">
        <v>4081</v>
      </c>
      <c r="H2153" s="262" t="s">
        <v>1460</v>
      </c>
      <c r="I2153" s="258">
        <v>0</v>
      </c>
      <c r="J2153" s="262">
        <v>1</v>
      </c>
      <c r="M2153" s="258">
        <v>0</v>
      </c>
      <c r="Q2153" s="295" t="s">
        <v>4247</v>
      </c>
    </row>
    <row r="2154" spans="1:17">
      <c r="A2154" s="58">
        <v>2154</v>
      </c>
      <c r="C2154" s="257">
        <v>45965</v>
      </c>
      <c r="D2154" s="283" t="s">
        <v>2462</v>
      </c>
      <c r="G2154" s="283" t="s">
        <v>1713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1440</v>
      </c>
      <c r="G2155" s="283" t="s">
        <v>2182</v>
      </c>
      <c r="H2155" s="262" t="s">
        <v>1197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1440</v>
      </c>
      <c r="G2156" s="283" t="s">
        <v>2835</v>
      </c>
      <c r="H2156" s="262" t="s">
        <v>2745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3990</v>
      </c>
      <c r="G2157" s="283" t="s">
        <v>2314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3990</v>
      </c>
      <c r="G2158" s="283" t="s">
        <v>1501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1537</v>
      </c>
      <c r="G2159" s="283" t="s">
        <v>1739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2462</v>
      </c>
      <c r="G2160" s="283" t="s">
        <v>1124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1348</v>
      </c>
      <c r="G2161" s="283" t="s">
        <v>4082</v>
      </c>
      <c r="H2161" s="263">
        <v>6058008060</v>
      </c>
      <c r="I2161" s="258">
        <v>1600000</v>
      </c>
      <c r="J2161" s="262">
        <v>1</v>
      </c>
      <c r="L2161" s="259" t="s">
        <v>2995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1170</v>
      </c>
      <c r="G2162" s="283" t="s">
        <v>4083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3990</v>
      </c>
      <c r="G2163" s="283" t="s">
        <v>4084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1374</v>
      </c>
      <c r="G2164" s="283" t="s">
        <v>4085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4000</v>
      </c>
      <c r="G2165" s="283" t="s">
        <v>2251</v>
      </c>
      <c r="H2165" s="262" t="s">
        <v>2250</v>
      </c>
      <c r="I2165" s="258">
        <v>1500000</v>
      </c>
      <c r="J2165" s="262">
        <v>1</v>
      </c>
      <c r="L2165" s="259" t="s">
        <v>2902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1576</v>
      </c>
      <c r="G2166" s="283" t="s">
        <v>2176</v>
      </c>
      <c r="H2166" s="262" t="s">
        <v>1198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1283</v>
      </c>
      <c r="G2167" s="283" t="s">
        <v>2607</v>
      </c>
      <c r="H2167" s="262" t="s">
        <v>1751</v>
      </c>
      <c r="I2167" s="258">
        <v>50000</v>
      </c>
      <c r="J2167" s="262">
        <v>1</v>
      </c>
      <c r="Q2167" s="283" t="s">
        <v>4248</v>
      </c>
    </row>
    <row r="2168" spans="1:17">
      <c r="A2168" s="58">
        <v>2168</v>
      </c>
      <c r="C2168" s="257">
        <v>45966</v>
      </c>
      <c r="D2168" s="283" t="s">
        <v>1302</v>
      </c>
      <c r="G2168" s="283" t="s">
        <v>4086</v>
      </c>
      <c r="H2168" s="262" t="s">
        <v>2394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1718</v>
      </c>
      <c r="G2169" s="283" t="s">
        <v>4086</v>
      </c>
      <c r="H2169" s="262" t="s">
        <v>2394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2903</v>
      </c>
      <c r="G2170" s="283" t="s">
        <v>1215</v>
      </c>
      <c r="H2170" s="262" t="s">
        <v>2158</v>
      </c>
      <c r="I2170" s="258">
        <v>1200000</v>
      </c>
      <c r="J2170" s="262">
        <v>1</v>
      </c>
      <c r="L2170" s="259" t="s">
        <v>2967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987</v>
      </c>
      <c r="G2171" s="283" t="s">
        <v>2198</v>
      </c>
      <c r="H2171" s="262" t="s">
        <v>1952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987</v>
      </c>
      <c r="G2172" s="283" t="s">
        <v>2675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987</v>
      </c>
      <c r="G2173" s="283" t="s">
        <v>2179</v>
      </c>
      <c r="H2173" s="262" t="s">
        <v>1716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1015</v>
      </c>
      <c r="G2174" s="283" t="s">
        <v>2174</v>
      </c>
      <c r="H2174" s="262" t="s">
        <v>1460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987</v>
      </c>
      <c r="G2175" s="283" t="s">
        <v>4080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1890</v>
      </c>
      <c r="G2176" s="283" t="s">
        <v>4087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2864</v>
      </c>
      <c r="G2177" s="283" t="s">
        <v>4088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1743</v>
      </c>
      <c r="G2178" s="283" t="s">
        <v>3760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1015</v>
      </c>
      <c r="G2179" s="283" t="s">
        <v>3796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1718</v>
      </c>
      <c r="G2180" s="283" t="s">
        <v>2286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1667</v>
      </c>
      <c r="G2181" s="283" t="s">
        <v>1202</v>
      </c>
      <c r="H2181" s="262" t="s">
        <v>1203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2011</v>
      </c>
      <c r="G2182" s="283" t="s">
        <v>4089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2405</v>
      </c>
      <c r="G2183" s="283" t="s">
        <v>2193</v>
      </c>
      <c r="H2183" s="262" t="s">
        <v>1195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2597</v>
      </c>
      <c r="G2184" s="283" t="s">
        <v>1713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2011</v>
      </c>
      <c r="G2185" s="283" t="s">
        <v>4090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1743</v>
      </c>
      <c r="G2186" s="283" t="s">
        <v>4039</v>
      </c>
      <c r="H2186" s="262" t="s">
        <v>1204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1743</v>
      </c>
      <c r="G2187" s="283" t="s">
        <v>2184</v>
      </c>
      <c r="H2187" s="262" t="s">
        <v>1255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1743</v>
      </c>
      <c r="G2188" s="283" t="s">
        <v>2186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1801</v>
      </c>
      <c r="G2189" s="283" t="s">
        <v>2188</v>
      </c>
      <c r="H2189" s="262" t="s">
        <v>1818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1718</v>
      </c>
      <c r="G2190" s="283" t="s">
        <v>4091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1302</v>
      </c>
      <c r="G2191" s="283" t="s">
        <v>4071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3998</v>
      </c>
      <c r="G2192" s="283" t="s">
        <v>4092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2020</v>
      </c>
      <c r="G2193" s="283" t="s">
        <v>2286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3998</v>
      </c>
      <c r="G2194" s="283" t="s">
        <v>1796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2020</v>
      </c>
      <c r="G2195" s="283" t="s">
        <v>1796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1667</v>
      </c>
      <c r="G2196" s="283" t="s">
        <v>1796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1576</v>
      </c>
      <c r="G2197" s="283" t="s">
        <v>1200</v>
      </c>
      <c r="H2197" s="262" t="s">
        <v>1748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1576</v>
      </c>
      <c r="G2198" s="283" t="s">
        <v>1701</v>
      </c>
      <c r="H2198" s="262" t="s">
        <v>1700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1353</v>
      </c>
      <c r="G2199" s="283" t="s">
        <v>1642</v>
      </c>
      <c r="H2199" s="262" t="s">
        <v>2343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2288</v>
      </c>
      <c r="G2200" s="283" t="s">
        <v>4093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1786</v>
      </c>
      <c r="G2201" s="283" t="s">
        <v>4062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1537</v>
      </c>
      <c r="G2202" s="283" t="s">
        <v>1200</v>
      </c>
      <c r="H2202" s="262" t="s">
        <v>1748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2491</v>
      </c>
      <c r="G2203" s="283" t="s">
        <v>1915</v>
      </c>
      <c r="I2203" s="258">
        <v>2500000</v>
      </c>
      <c r="J2203" s="262">
        <v>1</v>
      </c>
      <c r="M2203" s="258">
        <v>2500000</v>
      </c>
      <c r="Q2203" s="283" t="s">
        <v>4249</v>
      </c>
    </row>
    <row r="2204" spans="1:17">
      <c r="A2204" s="58">
        <v>2204</v>
      </c>
      <c r="C2204" s="257">
        <v>45971</v>
      </c>
      <c r="D2204" s="283" t="s">
        <v>1018</v>
      </c>
      <c r="G2204" s="283" t="s">
        <v>2286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1018</v>
      </c>
      <c r="G2205" s="283" t="s">
        <v>4094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1440</v>
      </c>
      <c r="G2206" s="283" t="s">
        <v>3462</v>
      </c>
      <c r="H2206" s="262" t="s">
        <v>1204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1440</v>
      </c>
      <c r="G2207" s="283" t="s">
        <v>2186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1718</v>
      </c>
      <c r="G2208" s="283" t="s">
        <v>1545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2360</v>
      </c>
      <c r="G2209" s="283" t="s">
        <v>4095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2360</v>
      </c>
      <c r="G2210" s="283" t="s">
        <v>4096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1018</v>
      </c>
      <c r="G2211" s="283" t="s">
        <v>3878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1927</v>
      </c>
      <c r="G2212" s="283" t="s">
        <v>4097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1927</v>
      </c>
      <c r="G2213" s="283" t="s">
        <v>4098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1866</v>
      </c>
      <c r="G2214" s="283" t="s">
        <v>2295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1866</v>
      </c>
      <c r="G2215" s="283" t="s">
        <v>4084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2405</v>
      </c>
      <c r="G2216" s="283" t="s">
        <v>1796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3197</v>
      </c>
      <c r="G2217" s="283" t="s">
        <v>2286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4001</v>
      </c>
      <c r="G2218" s="283" t="s">
        <v>1422</v>
      </c>
      <c r="H2218" s="262" t="s">
        <v>4099</v>
      </c>
      <c r="I2218" s="258">
        <v>1200000</v>
      </c>
      <c r="J2218" s="262">
        <v>1</v>
      </c>
      <c r="L2218" s="259" t="s">
        <v>2967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1843</v>
      </c>
      <c r="G2219" s="283" t="s">
        <v>2794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978</v>
      </c>
      <c r="G2220" s="283" t="s">
        <v>1200</v>
      </c>
      <c r="H2220" s="262" t="s">
        <v>1748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978</v>
      </c>
      <c r="G2221" s="283" t="s">
        <v>4100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1234</v>
      </c>
      <c r="G2222" s="283" t="s">
        <v>4101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2491</v>
      </c>
      <c r="G2223" s="283" t="s">
        <v>4102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1786</v>
      </c>
      <c r="G2224" s="283" t="s">
        <v>4039</v>
      </c>
      <c r="H2224" s="262" t="s">
        <v>1204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1718</v>
      </c>
      <c r="G2225" s="283" t="s">
        <v>1262</v>
      </c>
      <c r="H2225" s="262" t="s">
        <v>1261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1224</v>
      </c>
      <c r="G2226" s="283" t="s">
        <v>2176</v>
      </c>
      <c r="H2226" s="262" t="s">
        <v>1198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4250</v>
      </c>
    </row>
    <row r="2227" spans="1:17">
      <c r="A2227" s="58">
        <v>2227</v>
      </c>
      <c r="C2227" s="257">
        <v>45973</v>
      </c>
      <c r="D2227" s="283" t="s">
        <v>3287</v>
      </c>
      <c r="G2227" s="283" t="s">
        <v>2176</v>
      </c>
      <c r="H2227" s="262" t="s">
        <v>1198</v>
      </c>
      <c r="I2227" s="258">
        <v>1500000</v>
      </c>
      <c r="J2227" s="262">
        <v>2</v>
      </c>
      <c r="M2227" s="258">
        <v>3000000</v>
      </c>
      <c r="Q2227" s="283" t="s">
        <v>4251</v>
      </c>
    </row>
    <row r="2228" spans="1:17">
      <c r="A2228" s="58">
        <v>2228</v>
      </c>
      <c r="C2228" s="257">
        <v>45973</v>
      </c>
      <c r="D2228" s="283" t="s">
        <v>987</v>
      </c>
      <c r="G2228" s="283" t="s">
        <v>3585</v>
      </c>
      <c r="H2228" s="262" t="s">
        <v>3584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2605</v>
      </c>
      <c r="G2229" s="283" t="s">
        <v>1701</v>
      </c>
      <c r="H2229" s="262" t="s">
        <v>1700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2767</v>
      </c>
      <c r="G2230" s="283" t="s">
        <v>1739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1387</v>
      </c>
      <c r="G2231" s="283" t="s">
        <v>2192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2605</v>
      </c>
      <c r="G2232" s="283" t="s">
        <v>4103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2767</v>
      </c>
      <c r="G2233" s="283" t="s">
        <v>4104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3287</v>
      </c>
      <c r="G2234" s="283" t="s">
        <v>4105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1224</v>
      </c>
      <c r="G2235" s="283" t="s">
        <v>4106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987</v>
      </c>
      <c r="G2236" s="283" t="s">
        <v>4080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2360</v>
      </c>
      <c r="G2237" s="283" t="s">
        <v>4107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2911</v>
      </c>
      <c r="G2238" s="283" t="s">
        <v>2133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2257</v>
      </c>
      <c r="G2239" s="283" t="s">
        <v>2087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1018</v>
      </c>
      <c r="G2240" s="283" t="s">
        <v>3462</v>
      </c>
      <c r="H2240" s="262" t="s">
        <v>1204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1018</v>
      </c>
      <c r="G2241" s="283" t="s">
        <v>2184</v>
      </c>
      <c r="H2241" s="262" t="s">
        <v>1255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1018</v>
      </c>
      <c r="G2242" s="283" t="s">
        <v>2188</v>
      </c>
      <c r="H2242" s="262" t="s">
        <v>1818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1018</v>
      </c>
      <c r="G2243" s="283" t="s">
        <v>2187</v>
      </c>
      <c r="H2243" s="262" t="s">
        <v>1791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1018</v>
      </c>
      <c r="G2244" s="283" t="s">
        <v>2186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4002</v>
      </c>
      <c r="G2245" s="283" t="s">
        <v>1215</v>
      </c>
      <c r="H2245" s="262" t="s">
        <v>2158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4002</v>
      </c>
      <c r="G2246" s="283" t="s">
        <v>1254</v>
      </c>
      <c r="H2246" s="262" t="s">
        <v>1253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1015</v>
      </c>
      <c r="G2247" s="283" t="s">
        <v>4108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1015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1053</v>
      </c>
      <c r="G2249" s="283" t="s">
        <v>1202</v>
      </c>
      <c r="H2249" s="262" t="s">
        <v>1988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1927</v>
      </c>
      <c r="G2250" s="283" t="s">
        <v>4032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1463</v>
      </c>
      <c r="G2251" s="283" t="s">
        <v>4109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3197</v>
      </c>
      <c r="G2252" s="283" t="s">
        <v>4079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1387</v>
      </c>
      <c r="G2253" s="283" t="s">
        <v>4110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2911</v>
      </c>
      <c r="G2254" s="283" t="s">
        <v>4111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4003</v>
      </c>
      <c r="G2255" s="283" t="s">
        <v>4112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2257</v>
      </c>
      <c r="G2256" s="283" t="s">
        <v>4113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1465</v>
      </c>
      <c r="G2257" s="283" t="s">
        <v>4114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1576</v>
      </c>
      <c r="G2258" s="283" t="s">
        <v>1262</v>
      </c>
      <c r="H2258" s="262" t="s">
        <v>1261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1718</v>
      </c>
      <c r="G2259" s="283" t="s">
        <v>2176</v>
      </c>
      <c r="H2259" s="262" t="s">
        <v>1198</v>
      </c>
      <c r="I2259" s="258">
        <v>1500000</v>
      </c>
      <c r="J2259" s="262">
        <v>1</v>
      </c>
      <c r="M2259" s="258">
        <v>1500000</v>
      </c>
      <c r="Q2259" s="283" t="s">
        <v>4252</v>
      </c>
    </row>
    <row r="2260" spans="1:17">
      <c r="A2260" s="58">
        <v>2260</v>
      </c>
      <c r="C2260" s="257">
        <v>45975</v>
      </c>
      <c r="D2260" s="283" t="s">
        <v>1592</v>
      </c>
      <c r="G2260" s="283" t="s">
        <v>3462</v>
      </c>
      <c r="H2260" s="262" t="s">
        <v>1204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1592</v>
      </c>
      <c r="G2261" s="283" t="s">
        <v>2186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1592</v>
      </c>
      <c r="G2262" s="283" t="s">
        <v>2187</v>
      </c>
      <c r="H2262" s="262" t="s">
        <v>1791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3287</v>
      </c>
      <c r="G2263" s="283" t="s">
        <v>2197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1450</v>
      </c>
      <c r="G2264" s="283" t="s">
        <v>1492</v>
      </c>
      <c r="H2264" s="262" t="s">
        <v>2674</v>
      </c>
      <c r="I2264" s="258">
        <v>200000</v>
      </c>
      <c r="J2264" s="262">
        <v>1</v>
      </c>
      <c r="M2264" s="258">
        <v>200000</v>
      </c>
      <c r="Q2264" s="283" t="s">
        <v>4253</v>
      </c>
    </row>
    <row r="2265" spans="1:17">
      <c r="A2265" s="58">
        <v>2265</v>
      </c>
      <c r="C2265" s="257">
        <v>45975</v>
      </c>
      <c r="D2265" s="283" t="s">
        <v>1018</v>
      </c>
      <c r="G2265" s="283" t="s">
        <v>4094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4254</v>
      </c>
    </row>
    <row r="2266" spans="1:17">
      <c r="A2266" s="58">
        <v>2266</v>
      </c>
      <c r="C2266" s="257">
        <v>45975</v>
      </c>
      <c r="D2266" s="283" t="s">
        <v>1302</v>
      </c>
      <c r="G2266" s="283" t="s">
        <v>2914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3197</v>
      </c>
      <c r="G2267" s="283" t="s">
        <v>2087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1866</v>
      </c>
      <c r="G2268" s="283" t="s">
        <v>2800</v>
      </c>
      <c r="H2268" s="262" t="s">
        <v>2799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1866</v>
      </c>
      <c r="G2269" s="283" t="s">
        <v>2177</v>
      </c>
      <c r="H2269" s="262" t="s">
        <v>1799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1463</v>
      </c>
      <c r="G2270" s="283" t="s">
        <v>2193</v>
      </c>
      <c r="H2270" s="262" t="s">
        <v>1195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1866</v>
      </c>
      <c r="G2271" s="283" t="s">
        <v>3814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3287</v>
      </c>
      <c r="G2272" s="283" t="s">
        <v>4115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1450</v>
      </c>
      <c r="G2273" s="283" t="s">
        <v>4116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2597</v>
      </c>
      <c r="G2274" s="283" t="s">
        <v>4117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1302</v>
      </c>
      <c r="G2275" s="283" t="s">
        <v>4118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1843</v>
      </c>
      <c r="G2276" s="283" t="s">
        <v>3462</v>
      </c>
      <c r="H2276" s="262" t="s">
        <v>1204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1843</v>
      </c>
      <c r="G2277" s="283" t="s">
        <v>2184</v>
      </c>
      <c r="H2277" s="262" t="s">
        <v>1255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1843</v>
      </c>
      <c r="G2278" s="283" t="s">
        <v>2187</v>
      </c>
      <c r="H2278" s="262" t="s">
        <v>1791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1291</v>
      </c>
      <c r="G2279" s="283" t="s">
        <v>3484</v>
      </c>
      <c r="H2279" s="262" t="s">
        <v>3485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1843</v>
      </c>
      <c r="G2280" s="283" t="s">
        <v>2188</v>
      </c>
      <c r="H2280" s="262" t="s">
        <v>1818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1801</v>
      </c>
      <c r="G2281" s="283" t="s">
        <v>3462</v>
      </c>
      <c r="H2281" s="262" t="s">
        <v>1204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1801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1302</v>
      </c>
      <c r="G2283" s="283" t="s">
        <v>1202</v>
      </c>
      <c r="H2283" s="262" t="s">
        <v>1203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1718</v>
      </c>
      <c r="G2284" s="283" t="s">
        <v>1713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3287</v>
      </c>
      <c r="G2285" s="283" t="s">
        <v>4119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1395</v>
      </c>
      <c r="G2286" s="283" t="s">
        <v>1739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1145</v>
      </c>
      <c r="G2287" s="283" t="s">
        <v>1713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1843</v>
      </c>
      <c r="G2288" s="283" t="s">
        <v>1124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3197</v>
      </c>
      <c r="G2289" s="283" t="s">
        <v>4120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1302</v>
      </c>
      <c r="G2290" s="283" t="s">
        <v>4071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2699</v>
      </c>
      <c r="G2291" s="283" t="s">
        <v>2039</v>
      </c>
      <c r="H2291" s="262" t="s">
        <v>3593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1440</v>
      </c>
      <c r="G2292" s="283" t="s">
        <v>4121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3404</v>
      </c>
      <c r="G2293" s="283" t="s">
        <v>3047</v>
      </c>
      <c r="H2293" s="262" t="s">
        <v>1948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3197</v>
      </c>
      <c r="G2294" s="283" t="s">
        <v>2286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2020</v>
      </c>
      <c r="G2295" s="283" t="s">
        <v>3047</v>
      </c>
      <c r="H2295" s="262" t="s">
        <v>1948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2462</v>
      </c>
      <c r="G2296" s="283" t="s">
        <v>1713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1743</v>
      </c>
      <c r="G2297" s="283" t="s">
        <v>1200</v>
      </c>
      <c r="H2297" s="262" t="s">
        <v>1748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1743</v>
      </c>
      <c r="G2298" s="283" t="s">
        <v>1515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4004</v>
      </c>
      <c r="G2299" s="283" t="s">
        <v>1202</v>
      </c>
      <c r="H2299" s="262" t="s">
        <v>1559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2462</v>
      </c>
      <c r="G2300" s="283" t="s">
        <v>1124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3287</v>
      </c>
      <c r="G2301" s="283" t="s">
        <v>1124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2020</v>
      </c>
      <c r="G2302" s="283" t="s">
        <v>4122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3197</v>
      </c>
      <c r="G2303" s="283" t="s">
        <v>4079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2613</v>
      </c>
      <c r="G2304" s="283" t="s">
        <v>1557</v>
      </c>
      <c r="H2304" s="262" t="s">
        <v>2692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1592</v>
      </c>
      <c r="G2305" s="283" t="s">
        <v>2184</v>
      </c>
      <c r="H2305" s="262" t="s">
        <v>1255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1592</v>
      </c>
      <c r="G2306" s="283" t="s">
        <v>2188</v>
      </c>
      <c r="H2306" s="262" t="s">
        <v>1818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2491</v>
      </c>
      <c r="G2307" s="283" t="s">
        <v>3462</v>
      </c>
      <c r="H2307" s="262" t="s">
        <v>1204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4005</v>
      </c>
      <c r="G2308" s="283" t="s">
        <v>1200</v>
      </c>
      <c r="H2308" s="262" t="s">
        <v>1748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4005</v>
      </c>
      <c r="G2309" s="283" t="s">
        <v>1492</v>
      </c>
      <c r="H2309" s="262" t="s">
        <v>2674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1053</v>
      </c>
      <c r="G2310" s="283" t="s">
        <v>1202</v>
      </c>
      <c r="H2310" s="262" t="s">
        <v>1203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4005</v>
      </c>
      <c r="G2311" s="283" t="s">
        <v>4123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2613</v>
      </c>
      <c r="G2312" s="283" t="s">
        <v>3874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2467</v>
      </c>
      <c r="G2313" s="283" t="s">
        <v>2251</v>
      </c>
      <c r="H2313" s="262" t="s">
        <v>2250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4006</v>
      </c>
      <c r="G2314" s="283" t="s">
        <v>4124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3404</v>
      </c>
      <c r="G2315" s="283" t="s">
        <v>4125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1592</v>
      </c>
      <c r="G2316" s="283" t="s">
        <v>4126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1440</v>
      </c>
      <c r="G2317" s="283" t="s">
        <v>2685</v>
      </c>
      <c r="H2317" s="262" t="s">
        <v>2684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1576</v>
      </c>
      <c r="G2318" s="283" t="s">
        <v>1889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1743</v>
      </c>
      <c r="G2319" s="283" t="s">
        <v>2156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1576</v>
      </c>
      <c r="G2320" s="283" t="s">
        <v>2192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4255</v>
      </c>
    </row>
    <row r="2321" spans="1:14">
      <c r="A2321" s="58">
        <v>2321</v>
      </c>
      <c r="C2321" s="257">
        <v>45982</v>
      </c>
      <c r="D2321" s="283" t="s">
        <v>1576</v>
      </c>
      <c r="G2321" s="283" t="s">
        <v>4040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1743</v>
      </c>
      <c r="G2322" s="283" t="s">
        <v>1124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2767</v>
      </c>
      <c r="G2323" s="283" t="s">
        <v>3462</v>
      </c>
      <c r="H2323" s="262" t="s">
        <v>1204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3287</v>
      </c>
      <c r="G2324" s="283" t="s">
        <v>4127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1387</v>
      </c>
      <c r="G2325" s="283" t="s">
        <v>3462</v>
      </c>
      <c r="H2325" s="262" t="s">
        <v>1204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1387</v>
      </c>
      <c r="G2326" s="283" t="s">
        <v>2186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1387</v>
      </c>
      <c r="G2327" s="283" t="s">
        <v>2187</v>
      </c>
      <c r="H2327" s="262" t="s">
        <v>1791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1387</v>
      </c>
      <c r="G2328" s="283" t="s">
        <v>2188</v>
      </c>
      <c r="H2328" s="262" t="s">
        <v>1818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1387</v>
      </c>
      <c r="G2329" s="283" t="s">
        <v>2184</v>
      </c>
      <c r="H2329" s="262" t="s">
        <v>1255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1490</v>
      </c>
      <c r="G2330" s="283" t="s">
        <v>1713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1718</v>
      </c>
      <c r="G2331" s="283" t="s">
        <v>1531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2767</v>
      </c>
      <c r="G2332" s="283" t="s">
        <v>4104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3287</v>
      </c>
      <c r="G2333" s="283" t="s">
        <v>4115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4004</v>
      </c>
      <c r="G2334" s="283" t="s">
        <v>4128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1490</v>
      </c>
      <c r="G2335" s="283" t="s">
        <v>4065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1843</v>
      </c>
      <c r="G2336" s="283" t="s">
        <v>1124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1576</v>
      </c>
      <c r="G2337" s="283" t="s">
        <v>4040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1866</v>
      </c>
      <c r="G2338" s="283" t="s">
        <v>1739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3534</v>
      </c>
      <c r="G2339" s="283" t="s">
        <v>3462</v>
      </c>
      <c r="H2339" s="262" t="s">
        <v>1204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1395</v>
      </c>
      <c r="G2340" s="283" t="s">
        <v>2828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4256</v>
      </c>
    </row>
    <row r="2341" spans="1:17">
      <c r="A2341" s="58">
        <v>2341</v>
      </c>
      <c r="C2341" s="257">
        <v>45985</v>
      </c>
      <c r="D2341" s="283" t="s">
        <v>1395</v>
      </c>
      <c r="G2341" s="283" t="s">
        <v>2286</v>
      </c>
      <c r="I2341" s="258">
        <v>1700000</v>
      </c>
      <c r="J2341" s="262">
        <v>1</v>
      </c>
      <c r="M2341" s="258">
        <v>1700000</v>
      </c>
      <c r="Q2341" s="283" t="s">
        <v>4257</v>
      </c>
    </row>
    <row r="2342" spans="1:17">
      <c r="A2342" s="58">
        <v>2342</v>
      </c>
      <c r="C2342" s="257">
        <v>45985</v>
      </c>
      <c r="D2342" s="283" t="s">
        <v>978</v>
      </c>
      <c r="G2342" s="283" t="s">
        <v>1492</v>
      </c>
      <c r="H2342" s="262" t="s">
        <v>2674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4258</v>
      </c>
    </row>
    <row r="2343" spans="1:17">
      <c r="A2343" s="58">
        <v>2343</v>
      </c>
      <c r="C2343" s="257">
        <v>45985</v>
      </c>
      <c r="D2343" s="283" t="s">
        <v>2467</v>
      </c>
      <c r="G2343" s="283" t="s">
        <v>4129</v>
      </c>
      <c r="H2343" s="262" t="s">
        <v>4130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4259</v>
      </c>
    </row>
    <row r="2344" spans="1:17">
      <c r="A2344" s="58">
        <v>2344</v>
      </c>
      <c r="C2344" s="257">
        <v>45985</v>
      </c>
      <c r="D2344" s="283" t="s">
        <v>1145</v>
      </c>
      <c r="G2344" s="283" t="s">
        <v>1200</v>
      </c>
      <c r="H2344" s="262" t="s">
        <v>1357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1445</v>
      </c>
      <c r="G2345" s="283" t="s">
        <v>1200</v>
      </c>
      <c r="H2345" s="262" t="s">
        <v>1748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4260</v>
      </c>
    </row>
    <row r="2346" spans="1:17">
      <c r="A2346" s="58">
        <v>2346</v>
      </c>
      <c r="C2346" s="257">
        <v>45985</v>
      </c>
      <c r="D2346" s="283" t="s">
        <v>1582</v>
      </c>
      <c r="G2346" s="283" t="s">
        <v>2190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4261</v>
      </c>
    </row>
    <row r="2347" spans="1:17">
      <c r="A2347" s="58">
        <v>2347</v>
      </c>
      <c r="C2347" s="257">
        <v>45985</v>
      </c>
      <c r="D2347" s="283" t="s">
        <v>1440</v>
      </c>
      <c r="G2347" s="283" t="s">
        <v>1501</v>
      </c>
      <c r="I2347" s="258">
        <v>1200000</v>
      </c>
      <c r="J2347" s="262">
        <v>1</v>
      </c>
      <c r="M2347" s="258">
        <v>1200000</v>
      </c>
      <c r="Q2347" s="283" t="s">
        <v>4262</v>
      </c>
    </row>
    <row r="2348" spans="1:17">
      <c r="A2348" s="58">
        <v>2348</v>
      </c>
      <c r="C2348" s="257">
        <v>45985</v>
      </c>
      <c r="D2348" s="283" t="s">
        <v>3287</v>
      </c>
      <c r="G2348" s="283" t="s">
        <v>1858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3287</v>
      </c>
      <c r="G2349" s="283" t="s">
        <v>1760</v>
      </c>
      <c r="H2349" s="262" t="s">
        <v>1759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3287</v>
      </c>
      <c r="G2350" s="283" t="s">
        <v>1760</v>
      </c>
      <c r="H2350" s="262" t="s">
        <v>1762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1866</v>
      </c>
      <c r="G2351" s="283" t="s">
        <v>2052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978</v>
      </c>
      <c r="G2352" s="283" t="s">
        <v>4100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3287</v>
      </c>
      <c r="G2353" s="283" t="s">
        <v>4105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3534</v>
      </c>
      <c r="G2354" s="283" t="s">
        <v>4131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4007</v>
      </c>
      <c r="G2355" s="283" t="s">
        <v>1713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2491</v>
      </c>
      <c r="G2356" s="283" t="s">
        <v>4102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1015</v>
      </c>
      <c r="G2357" s="283" t="s">
        <v>3796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1387</v>
      </c>
      <c r="G2358" s="283" t="s">
        <v>4110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1053</v>
      </c>
      <c r="G2359" s="283" t="s">
        <v>1858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1053</v>
      </c>
      <c r="G2360" s="283" t="s">
        <v>1760</v>
      </c>
      <c r="H2360" s="262" t="s">
        <v>1759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4008</v>
      </c>
      <c r="G2361" s="283" t="s">
        <v>2193</v>
      </c>
      <c r="H2361" s="262" t="s">
        <v>1195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2597</v>
      </c>
      <c r="G2362" s="283" t="s">
        <v>1200</v>
      </c>
      <c r="H2362" s="262" t="s">
        <v>1748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2597</v>
      </c>
      <c r="G2363" s="283" t="s">
        <v>4132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1053</v>
      </c>
      <c r="G2364" s="283" t="s">
        <v>3828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4008</v>
      </c>
      <c r="G2365" s="283" t="s">
        <v>4133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2315</v>
      </c>
      <c r="G2366" s="283" t="s">
        <v>1124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1170</v>
      </c>
      <c r="G2367" s="283" t="s">
        <v>3816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1573</v>
      </c>
      <c r="G2368" s="283" t="s">
        <v>1202</v>
      </c>
      <c r="H2368" s="262" t="s">
        <v>1203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1573</v>
      </c>
      <c r="G2369" s="283" t="s">
        <v>3037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1438</v>
      </c>
      <c r="G2370" s="283" t="s">
        <v>2295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1786</v>
      </c>
      <c r="G2371" s="283" t="s">
        <v>2190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1743</v>
      </c>
      <c r="G2372" s="283" t="s">
        <v>2908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1576</v>
      </c>
      <c r="G2373" s="283" t="s">
        <v>2379</v>
      </c>
      <c r="H2373" s="262" t="s">
        <v>2871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2699</v>
      </c>
      <c r="G2374" s="283" t="s">
        <v>4067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1438</v>
      </c>
      <c r="G2375" s="283" t="s">
        <v>4134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1582</v>
      </c>
      <c r="G2376" s="283" t="s">
        <v>4135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4009</v>
      </c>
      <c r="G2377" s="283" t="s">
        <v>1492</v>
      </c>
      <c r="H2377" s="262" t="s">
        <v>2674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1395</v>
      </c>
      <c r="G2378" s="283" t="s">
        <v>2379</v>
      </c>
      <c r="H2378" s="262" t="s">
        <v>2871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1395</v>
      </c>
      <c r="G2379" s="283" t="s">
        <v>1262</v>
      </c>
      <c r="H2379" s="262" t="s">
        <v>1261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1395</v>
      </c>
      <c r="G2380" s="283" t="s">
        <v>1262</v>
      </c>
      <c r="H2380" s="262" t="s">
        <v>1261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1718</v>
      </c>
      <c r="G2381" s="283" t="s">
        <v>1200</v>
      </c>
      <c r="H2381" s="262" t="s">
        <v>1748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1718</v>
      </c>
      <c r="G2382" s="283" t="s">
        <v>1492</v>
      </c>
      <c r="H2382" s="262" t="s">
        <v>2674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1550</v>
      </c>
      <c r="G2383" s="283" t="s">
        <v>2209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1550</v>
      </c>
      <c r="G2384" s="283" t="s">
        <v>2108</v>
      </c>
      <c r="H2384" s="262" t="s">
        <v>2577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1550</v>
      </c>
      <c r="G2385" s="283" t="s">
        <v>1755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1550</v>
      </c>
      <c r="G2386" s="283" t="s">
        <v>1515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2141</v>
      </c>
      <c r="G2387" s="283" t="s">
        <v>2286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2720</v>
      </c>
      <c r="G2388" s="283" t="s">
        <v>1200</v>
      </c>
      <c r="H2388" s="262" t="s">
        <v>1748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2720</v>
      </c>
      <c r="G2389" s="283" t="s">
        <v>1492</v>
      </c>
      <c r="H2389" s="262" t="s">
        <v>2674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4009</v>
      </c>
      <c r="G2390" s="283" t="s">
        <v>4136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1445</v>
      </c>
      <c r="G2391" s="283" t="s">
        <v>4137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987</v>
      </c>
      <c r="G2392" s="283" t="s">
        <v>1739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1786</v>
      </c>
      <c r="G2393" s="283" t="s">
        <v>1200</v>
      </c>
      <c r="H2393" s="262" t="s">
        <v>1748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1786</v>
      </c>
      <c r="G2394" s="283" t="s">
        <v>1492</v>
      </c>
      <c r="H2394" s="262" t="s">
        <v>2674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1786</v>
      </c>
      <c r="G2395" s="283" t="s">
        <v>2188</v>
      </c>
      <c r="H2395" s="262" t="s">
        <v>1818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1015</v>
      </c>
      <c r="G2396" s="283" t="s">
        <v>3462</v>
      </c>
      <c r="H2396" s="262" t="s">
        <v>1204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1015</v>
      </c>
      <c r="G2397" s="283" t="s">
        <v>2186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1015</v>
      </c>
      <c r="G2398" s="283" t="s">
        <v>2188</v>
      </c>
      <c r="H2398" s="262" t="s">
        <v>1818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1015</v>
      </c>
      <c r="G2399" s="283" t="s">
        <v>4138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1015</v>
      </c>
      <c r="G2400" s="283" t="s">
        <v>2187</v>
      </c>
      <c r="H2400" s="262" t="s">
        <v>1791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1015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1015</v>
      </c>
      <c r="G2402" s="283" t="s">
        <v>2100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1576</v>
      </c>
      <c r="G2403" s="283" t="s">
        <v>2100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1576</v>
      </c>
      <c r="G2404" s="283" t="s">
        <v>1262</v>
      </c>
      <c r="H2404" s="262" t="s">
        <v>1261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987</v>
      </c>
      <c r="G2405" s="283" t="s">
        <v>4080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1465</v>
      </c>
      <c r="G2406" s="283" t="s">
        <v>4139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2141</v>
      </c>
      <c r="G2407" s="283" t="s">
        <v>2052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4007</v>
      </c>
      <c r="G2408" s="283" t="s">
        <v>4140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1018</v>
      </c>
      <c r="G2409" s="283" t="s">
        <v>2182</v>
      </c>
      <c r="H2409" s="262" t="s">
        <v>1197</v>
      </c>
      <c r="I2409" s="258">
        <v>1000000</v>
      </c>
      <c r="J2409" s="262">
        <v>1</v>
      </c>
      <c r="M2409" s="258">
        <v>1000000</v>
      </c>
      <c r="Q2409" s="283" t="s">
        <v>4263</v>
      </c>
    </row>
    <row r="2410" spans="1:17">
      <c r="A2410" s="58">
        <v>2410</v>
      </c>
      <c r="C2410" s="257">
        <v>45992</v>
      </c>
      <c r="D2410" s="283" t="s">
        <v>1395</v>
      </c>
      <c r="G2410" s="283" t="s">
        <v>3759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1537</v>
      </c>
      <c r="G2411" s="283" t="s">
        <v>3761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1573</v>
      </c>
      <c r="G2412" s="283" t="s">
        <v>4141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1743</v>
      </c>
      <c r="G2413" s="283" t="s">
        <v>2186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1743</v>
      </c>
      <c r="G2414" s="283" t="s">
        <v>2187</v>
      </c>
      <c r="H2414" s="262" t="s">
        <v>1791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1743</v>
      </c>
      <c r="G2415" s="283" t="s">
        <v>2188</v>
      </c>
      <c r="H2415" s="262" t="s">
        <v>1818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4010</v>
      </c>
      <c r="G2416" s="283" t="s">
        <v>2809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1576</v>
      </c>
      <c r="G2417" s="283" t="s">
        <v>1200</v>
      </c>
      <c r="H2417" s="262" t="s">
        <v>1748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1576</v>
      </c>
      <c r="G2418" s="283" t="s">
        <v>1492</v>
      </c>
      <c r="H2418" s="262" t="s">
        <v>2674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1576</v>
      </c>
      <c r="G2419" s="283" t="s">
        <v>1701</v>
      </c>
      <c r="H2419" s="262" t="s">
        <v>1700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1801</v>
      </c>
      <c r="G2420" s="283" t="s">
        <v>3721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4010</v>
      </c>
      <c r="G2421" s="283" t="s">
        <v>4142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2141</v>
      </c>
      <c r="G2422" s="283" t="s">
        <v>3845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1170</v>
      </c>
      <c r="G2423" s="283" t="s">
        <v>3880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1576</v>
      </c>
      <c r="G2424" s="283" t="s">
        <v>4040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4011</v>
      </c>
      <c r="G2425" s="283" t="s">
        <v>2800</v>
      </c>
      <c r="H2425" s="262" t="s">
        <v>2799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3993</v>
      </c>
      <c r="G2426" s="283" t="s">
        <v>4143</v>
      </c>
      <c r="H2426" s="262" t="s">
        <v>1756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1582</v>
      </c>
      <c r="G2427" s="283" t="s">
        <v>3047</v>
      </c>
      <c r="H2427" s="262" t="s">
        <v>1948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1440</v>
      </c>
      <c r="G2428" s="283" t="s">
        <v>2190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4011</v>
      </c>
      <c r="G2429" s="283" t="s">
        <v>4144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1053</v>
      </c>
      <c r="G2430" s="283" t="s">
        <v>1200</v>
      </c>
      <c r="H2430" s="262" t="s">
        <v>1748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1053</v>
      </c>
      <c r="G2431" s="283" t="s">
        <v>1492</v>
      </c>
      <c r="H2431" s="262" t="s">
        <v>2674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1234</v>
      </c>
      <c r="G2432" s="283" t="s">
        <v>1202</v>
      </c>
      <c r="H2432" s="262" t="s">
        <v>1201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1469</v>
      </c>
      <c r="G2433" s="283" t="s">
        <v>2039</v>
      </c>
      <c r="H2433" s="262" t="s">
        <v>3593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1018</v>
      </c>
      <c r="G2434" s="283" t="s">
        <v>2087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1018</v>
      </c>
      <c r="G2435" s="283" t="s">
        <v>1545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1801</v>
      </c>
      <c r="G2436" s="283" t="s">
        <v>2198</v>
      </c>
      <c r="H2436" s="262" t="s">
        <v>1952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1801</v>
      </c>
      <c r="G2437" s="283" t="s">
        <v>3639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1345</v>
      </c>
      <c r="G2438" s="283" t="s">
        <v>2607</v>
      </c>
      <c r="H2438" s="262" t="s">
        <v>1751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1801</v>
      </c>
      <c r="G2439" s="283" t="s">
        <v>1200</v>
      </c>
      <c r="H2439" s="262" t="s">
        <v>1748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1801</v>
      </c>
      <c r="G2440" s="283" t="s">
        <v>1492</v>
      </c>
      <c r="H2440" s="262" t="s">
        <v>2674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1395</v>
      </c>
      <c r="G2441" s="283" t="s">
        <v>1739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1469</v>
      </c>
      <c r="G2442" s="283" t="s">
        <v>4145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3998</v>
      </c>
      <c r="G2443" s="283" t="s">
        <v>1124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1145</v>
      </c>
      <c r="G2444" s="283" t="s">
        <v>4075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1145</v>
      </c>
      <c r="G2445" s="283" t="s">
        <v>2408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1395</v>
      </c>
      <c r="G2446" s="283" t="s">
        <v>1200</v>
      </c>
      <c r="H2446" s="262" t="s">
        <v>1357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1395</v>
      </c>
      <c r="G2447" s="283" t="s">
        <v>2835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4012</v>
      </c>
      <c r="G2448" s="283" t="s">
        <v>1200</v>
      </c>
      <c r="H2448" s="262" t="s">
        <v>1748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4012</v>
      </c>
      <c r="G2449" s="283" t="s">
        <v>1796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1718</v>
      </c>
      <c r="G2450" s="283" t="s">
        <v>4146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1743</v>
      </c>
      <c r="G2451" s="283" t="s">
        <v>3760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1026</v>
      </c>
      <c r="G2452" s="283" t="s">
        <v>4147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2553</v>
      </c>
      <c r="G2453" s="283" t="s">
        <v>2182</v>
      </c>
      <c r="H2453" s="262" t="s">
        <v>1197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4000</v>
      </c>
      <c r="G2454" s="283" t="s">
        <v>4082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1053</v>
      </c>
      <c r="G2455" s="283" t="s">
        <v>3828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1582</v>
      </c>
      <c r="G2456" s="283" t="s">
        <v>4135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3870</v>
      </c>
      <c r="G2457" s="283" t="s">
        <v>3462</v>
      </c>
      <c r="H2457" s="262" t="s">
        <v>1204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1743</v>
      </c>
      <c r="G2458" s="283" t="s">
        <v>4148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1145</v>
      </c>
      <c r="G2459" s="283" t="s">
        <v>2395</v>
      </c>
      <c r="H2459" s="262" t="s">
        <v>2394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1395</v>
      </c>
      <c r="G2460" s="283" t="s">
        <v>1739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1576</v>
      </c>
      <c r="G2461" s="283" t="s">
        <v>1739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1576</v>
      </c>
      <c r="G2462" s="283" t="s">
        <v>1701</v>
      </c>
      <c r="H2462" s="262" t="s">
        <v>1700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1973</v>
      </c>
      <c r="G2463" s="283" t="s">
        <v>2176</v>
      </c>
      <c r="H2463" s="262" t="s">
        <v>1198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1973</v>
      </c>
      <c r="G2464" s="283" t="s">
        <v>1515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3870</v>
      </c>
      <c r="G2465" s="283" t="s">
        <v>3876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2553</v>
      </c>
      <c r="G2466" s="283" t="s">
        <v>4149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1550</v>
      </c>
      <c r="G2467" s="283" t="s">
        <v>4150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1973</v>
      </c>
      <c r="G2468" s="283" t="s">
        <v>4064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2020</v>
      </c>
      <c r="G2469" s="283" t="s">
        <v>1202</v>
      </c>
      <c r="H2469" s="262" t="s">
        <v>1201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1594</v>
      </c>
      <c r="G2470" s="283" t="s">
        <v>3462</v>
      </c>
      <c r="H2470" s="262" t="s">
        <v>1204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1594</v>
      </c>
      <c r="G2471" s="283" t="s">
        <v>2186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1594</v>
      </c>
      <c r="G2472" s="283" t="s">
        <v>2187</v>
      </c>
      <c r="H2472" s="262" t="s">
        <v>1791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1170</v>
      </c>
      <c r="G2473" s="283" t="s">
        <v>2192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3287</v>
      </c>
      <c r="G2474" s="283" t="s">
        <v>1858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2993</v>
      </c>
      <c r="G2475" s="283" t="s">
        <v>1200</v>
      </c>
      <c r="H2475" s="262" t="s">
        <v>1748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2553</v>
      </c>
      <c r="G2476" s="283" t="s">
        <v>1200</v>
      </c>
      <c r="H2476" s="262" t="s">
        <v>1748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1349</v>
      </c>
      <c r="G2477" s="283" t="s">
        <v>4151</v>
      </c>
      <c r="H2477" s="262" t="s">
        <v>4152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1743</v>
      </c>
      <c r="G2478" s="283" t="s">
        <v>1515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1395</v>
      </c>
      <c r="G2479" s="283" t="s">
        <v>2177</v>
      </c>
      <c r="H2479" s="262" t="s">
        <v>1799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1395</v>
      </c>
      <c r="G2480" s="283" t="s">
        <v>2198</v>
      </c>
      <c r="H2480" s="262" t="s">
        <v>1952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1395</v>
      </c>
      <c r="G2481" s="283" t="s">
        <v>3639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2020</v>
      </c>
      <c r="G2482" s="283" t="s">
        <v>4153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3287</v>
      </c>
      <c r="G2483" s="283" t="s">
        <v>4105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1234</v>
      </c>
      <c r="G2484" s="283" t="s">
        <v>4101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1018</v>
      </c>
      <c r="G2485" s="283" t="s">
        <v>3878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2720</v>
      </c>
      <c r="G2486" s="283" t="s">
        <v>4154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1594</v>
      </c>
      <c r="G2487" s="283" t="s">
        <v>3846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1786</v>
      </c>
      <c r="G2488" s="283" t="s">
        <v>4062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2553</v>
      </c>
      <c r="G2489" s="283" t="s">
        <v>4149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1440</v>
      </c>
      <c r="G2490" s="283" t="s">
        <v>4155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1395</v>
      </c>
      <c r="G2491" s="283" t="s">
        <v>1701</v>
      </c>
      <c r="H2491" s="262" t="s">
        <v>1700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1015</v>
      </c>
      <c r="G2492" s="283" t="s">
        <v>3462</v>
      </c>
      <c r="H2492" s="262" t="s">
        <v>1204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1015</v>
      </c>
      <c r="G2493" s="283" t="s">
        <v>2186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1015</v>
      </c>
      <c r="G2494" s="283" t="s">
        <v>2187</v>
      </c>
      <c r="H2494" s="262" t="s">
        <v>1791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2597</v>
      </c>
      <c r="G2495" s="283" t="s">
        <v>1713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1718</v>
      </c>
      <c r="G2496" s="283" t="s">
        <v>2286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1440</v>
      </c>
      <c r="G2497" s="283" t="s">
        <v>2914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1957</v>
      </c>
      <c r="G2498" s="283" t="s">
        <v>3573</v>
      </c>
      <c r="H2498" s="262" t="s">
        <v>3583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2911</v>
      </c>
      <c r="G2499" s="283" t="s">
        <v>4156</v>
      </c>
      <c r="H2499" s="262" t="s">
        <v>4157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3111</v>
      </c>
      <c r="G2500" s="283" t="s">
        <v>2192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1395</v>
      </c>
      <c r="G2501" s="283" t="s">
        <v>1557</v>
      </c>
      <c r="H2501" s="262" t="s">
        <v>1219</v>
      </c>
      <c r="I2501" s="258">
        <v>1600000</v>
      </c>
      <c r="J2501" s="262">
        <v>1</v>
      </c>
      <c r="M2501" s="258">
        <v>1600000</v>
      </c>
      <c r="Q2501" s="283" t="s">
        <v>4264</v>
      </c>
    </row>
    <row r="2502" spans="1:17">
      <c r="A2502" s="58">
        <v>2502</v>
      </c>
      <c r="C2502" s="257">
        <v>46002</v>
      </c>
      <c r="D2502" s="283" t="s">
        <v>3111</v>
      </c>
      <c r="G2502" s="283" t="s">
        <v>4158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2911</v>
      </c>
      <c r="G2503" s="283" t="s">
        <v>4111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1866</v>
      </c>
      <c r="G2504" s="283" t="s">
        <v>2192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4265</v>
      </c>
    </row>
    <row r="2505" spans="1:17">
      <c r="A2505" s="58">
        <v>2505</v>
      </c>
      <c r="C2505" s="257">
        <v>46002</v>
      </c>
      <c r="D2505" s="283" t="s">
        <v>1866</v>
      </c>
      <c r="G2505" s="283" t="s">
        <v>2052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1015</v>
      </c>
      <c r="G2506" s="283" t="s">
        <v>3796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1743</v>
      </c>
      <c r="G2507" s="283" t="s">
        <v>4159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987</v>
      </c>
      <c r="G2508" s="283" t="s">
        <v>3573</v>
      </c>
      <c r="H2508" s="262" t="s">
        <v>3583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1015</v>
      </c>
      <c r="G2509" s="283" t="s">
        <v>4160</v>
      </c>
      <c r="H2509" s="262" t="s">
        <v>4161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1718</v>
      </c>
      <c r="G2510" s="283" t="s">
        <v>4162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1537</v>
      </c>
      <c r="G2511" s="283" t="s">
        <v>1200</v>
      </c>
      <c r="H2511" s="262" t="s">
        <v>1748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1537</v>
      </c>
      <c r="G2512" s="283" t="s">
        <v>1492</v>
      </c>
      <c r="H2512" s="262" t="s">
        <v>2674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1537</v>
      </c>
      <c r="G2513" s="283" t="s">
        <v>2744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1015</v>
      </c>
      <c r="G2514" s="283" t="s">
        <v>2770</v>
      </c>
      <c r="H2514" s="262" t="s">
        <v>1209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4003</v>
      </c>
      <c r="G2515" s="283" t="s">
        <v>4163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987</v>
      </c>
      <c r="G2516" s="283" t="s">
        <v>4164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1463</v>
      </c>
      <c r="G2517" s="283" t="s">
        <v>4109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4004</v>
      </c>
      <c r="G2518" s="283" t="s">
        <v>2379</v>
      </c>
      <c r="H2518" s="262" t="s">
        <v>2412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1537</v>
      </c>
      <c r="G2519" s="283" t="s">
        <v>1739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1395</v>
      </c>
      <c r="G2520" s="283" t="s">
        <v>1739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1718</v>
      </c>
      <c r="G2521" s="283" t="s">
        <v>4165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1026</v>
      </c>
      <c r="G2522" s="283" t="s">
        <v>4166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4004</v>
      </c>
      <c r="G2523" s="283" t="s">
        <v>4128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1369</v>
      </c>
      <c r="G2524" s="283" t="s">
        <v>4167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1537</v>
      </c>
      <c r="G2525" s="283" t="s">
        <v>2174</v>
      </c>
      <c r="H2525" s="262" t="s">
        <v>1460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1718</v>
      </c>
      <c r="G2526" s="283" t="s">
        <v>2133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3870</v>
      </c>
      <c r="G2527" s="283" t="s">
        <v>3462</v>
      </c>
      <c r="H2527" s="262" t="s">
        <v>1204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1374</v>
      </c>
      <c r="G2528" s="283" t="s">
        <v>3858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1395</v>
      </c>
      <c r="G2529" s="283" t="s">
        <v>1200</v>
      </c>
      <c r="H2529" s="262" t="s">
        <v>1748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1395</v>
      </c>
      <c r="G2530" s="283" t="s">
        <v>2835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1395</v>
      </c>
      <c r="G2531" s="283" t="s">
        <v>2025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2778</v>
      </c>
      <c r="G2532" s="283" t="s">
        <v>1200</v>
      </c>
      <c r="H2532" s="262" t="s">
        <v>1748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2778</v>
      </c>
      <c r="G2533" s="283" t="s">
        <v>1492</v>
      </c>
      <c r="H2533" s="262" t="s">
        <v>2674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987</v>
      </c>
      <c r="G2534" s="283" t="s">
        <v>2190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987</v>
      </c>
      <c r="G2535" s="283" t="s">
        <v>3462</v>
      </c>
      <c r="H2535" s="262" t="s">
        <v>1204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987</v>
      </c>
      <c r="G2536" s="283" t="s">
        <v>2186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2993</v>
      </c>
      <c r="G2537" s="283" t="s">
        <v>1739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1573</v>
      </c>
      <c r="G2538" s="283" t="s">
        <v>2914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1573</v>
      </c>
      <c r="G2539" s="283" t="s">
        <v>3830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2254</v>
      </c>
      <c r="G2540" s="283" t="s">
        <v>2192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2254</v>
      </c>
      <c r="G2541" s="283" t="s">
        <v>4073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987</v>
      </c>
      <c r="G2542" s="283" t="s">
        <v>4080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2778</v>
      </c>
      <c r="G2543" s="283" t="s">
        <v>4168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3870</v>
      </c>
      <c r="G2544" s="283" t="s">
        <v>3876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1395</v>
      </c>
      <c r="G2545" s="283" t="s">
        <v>1858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1395</v>
      </c>
      <c r="G2546" s="283" t="s">
        <v>1760</v>
      </c>
      <c r="H2546" s="262" t="s">
        <v>1762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1537</v>
      </c>
      <c r="G2547" s="283" t="s">
        <v>1531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2141</v>
      </c>
      <c r="G2548" s="283" t="s">
        <v>4169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2141</v>
      </c>
      <c r="G2549" s="283" t="s">
        <v>4170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1145</v>
      </c>
      <c r="G2550" s="283" t="s">
        <v>1713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1026</v>
      </c>
      <c r="G2551" s="283" t="s">
        <v>4039</v>
      </c>
      <c r="H2551" s="262" t="s">
        <v>1204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1387</v>
      </c>
      <c r="G2552" s="283" t="s">
        <v>1739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1348</v>
      </c>
      <c r="G2553" s="283" t="s">
        <v>4171</v>
      </c>
      <c r="H2553" s="262" t="s">
        <v>4172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1445</v>
      </c>
      <c r="G2554" s="283" t="s">
        <v>3462</v>
      </c>
      <c r="H2554" s="262" t="s">
        <v>1204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1445</v>
      </c>
      <c r="G2555" s="283" t="s">
        <v>2186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1445</v>
      </c>
      <c r="G2556" s="283" t="s">
        <v>2188</v>
      </c>
      <c r="H2556" s="262" t="s">
        <v>1818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1445</v>
      </c>
      <c r="G2557" s="283" t="s">
        <v>2187</v>
      </c>
      <c r="H2557" s="262" t="s">
        <v>1791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1445</v>
      </c>
      <c r="G2558" s="283" t="s">
        <v>2187</v>
      </c>
      <c r="H2558" s="262" t="s">
        <v>1791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2778</v>
      </c>
      <c r="G2559" s="283" t="s">
        <v>1557</v>
      </c>
      <c r="H2559" s="262" t="s">
        <v>1764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2778</v>
      </c>
      <c r="G2560" s="283" t="s">
        <v>4173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2993</v>
      </c>
      <c r="G2561" s="283" t="s">
        <v>4174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4013</v>
      </c>
      <c r="G2562" s="283" t="s">
        <v>2193</v>
      </c>
      <c r="H2562" s="262" t="s">
        <v>1195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1582</v>
      </c>
      <c r="G2563" s="283" t="s">
        <v>1739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2553</v>
      </c>
      <c r="G2564" s="283" t="s">
        <v>1739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2784</v>
      </c>
      <c r="G2565" s="283" t="s">
        <v>2192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1718</v>
      </c>
      <c r="G2566" s="283" t="s">
        <v>1557</v>
      </c>
      <c r="H2566" s="262" t="s">
        <v>2692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2597</v>
      </c>
      <c r="G2567" s="283" t="s">
        <v>3135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2597</v>
      </c>
      <c r="G2568" s="283" t="s">
        <v>1515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4013</v>
      </c>
      <c r="G2569" s="283" t="s">
        <v>4175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2141</v>
      </c>
      <c r="G2570" s="283" t="s">
        <v>3845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1445</v>
      </c>
      <c r="G2571" s="283" t="s">
        <v>4176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1576</v>
      </c>
      <c r="G2572" s="283" t="s">
        <v>1200</v>
      </c>
      <c r="H2572" s="262" t="s">
        <v>1748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1576</v>
      </c>
      <c r="G2573" s="283" t="s">
        <v>1492</v>
      </c>
      <c r="H2573" s="262" t="s">
        <v>2674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979</v>
      </c>
      <c r="G2574" s="283" t="s">
        <v>2379</v>
      </c>
      <c r="H2574" s="262" t="s">
        <v>2412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1170</v>
      </c>
      <c r="G2575" s="283" t="s">
        <v>3047</v>
      </c>
      <c r="H2575" s="262" t="s">
        <v>1948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1395</v>
      </c>
      <c r="G2576" s="283" t="s">
        <v>2184</v>
      </c>
      <c r="H2576" s="262" t="s">
        <v>1255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1448</v>
      </c>
      <c r="G2577" s="283" t="s">
        <v>2770</v>
      </c>
      <c r="H2577" s="262" t="s">
        <v>1209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2553</v>
      </c>
      <c r="G2578" s="283" t="s">
        <v>1739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979</v>
      </c>
      <c r="G2579" s="283" t="s">
        <v>4177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1374</v>
      </c>
      <c r="G2580" s="283" t="s">
        <v>4085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1957</v>
      </c>
      <c r="G2581" s="283" t="s">
        <v>2054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2553</v>
      </c>
      <c r="G2582" s="283" t="s">
        <v>4178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2784</v>
      </c>
      <c r="G2583" s="283" t="s">
        <v>2085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1170</v>
      </c>
      <c r="G2584" s="283" t="s">
        <v>3880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1890</v>
      </c>
      <c r="G2585" s="283" t="s">
        <v>1200</v>
      </c>
      <c r="H2585" s="262" t="s">
        <v>1748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1718</v>
      </c>
      <c r="G2586" s="283" t="s">
        <v>4094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1718</v>
      </c>
      <c r="G2587" s="283" t="s">
        <v>2914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1718</v>
      </c>
      <c r="G2588" s="283" t="s">
        <v>4179</v>
      </c>
      <c r="H2588" s="262" t="s">
        <v>4180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3145</v>
      </c>
      <c r="G2589" s="283" t="s">
        <v>3462</v>
      </c>
      <c r="H2589" s="262" t="s">
        <v>1204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3145</v>
      </c>
      <c r="G2590" s="283" t="s">
        <v>2184</v>
      </c>
      <c r="H2590" s="262" t="s">
        <v>1255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3145</v>
      </c>
      <c r="G2591" s="283" t="s">
        <v>2186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3145</v>
      </c>
      <c r="G2592" s="283" t="s">
        <v>4181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1440</v>
      </c>
      <c r="G2593" s="283" t="s">
        <v>1713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3197</v>
      </c>
      <c r="G2594" s="283" t="s">
        <v>2176</v>
      </c>
      <c r="H2594" s="262" t="s">
        <v>1198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3197</v>
      </c>
      <c r="G2595" s="283" t="s">
        <v>2177</v>
      </c>
      <c r="H2595" s="262" t="s">
        <v>1799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4013</v>
      </c>
      <c r="G2596" s="283" t="s">
        <v>3038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1654</v>
      </c>
      <c r="G2597" s="283" t="s">
        <v>3573</v>
      </c>
      <c r="H2597" s="262" t="s">
        <v>3583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1654</v>
      </c>
      <c r="G2598" s="283" t="s">
        <v>4182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1387</v>
      </c>
      <c r="G2599" s="283" t="s">
        <v>4110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1743</v>
      </c>
      <c r="G2600" s="283" t="s">
        <v>2186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1743</v>
      </c>
      <c r="G2601" s="283" t="s">
        <v>2184</v>
      </c>
      <c r="H2601" s="262" t="s">
        <v>1255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1743</v>
      </c>
      <c r="G2602" s="283" t="s">
        <v>2187</v>
      </c>
      <c r="H2602" s="262" t="s">
        <v>1791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1537</v>
      </c>
      <c r="G2603" s="283" t="s">
        <v>1200</v>
      </c>
      <c r="H2603" s="262" t="s">
        <v>1748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3989</v>
      </c>
      <c r="G2604" s="283" t="s">
        <v>1851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1540</v>
      </c>
      <c r="G2605" s="283" t="s">
        <v>1739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4014</v>
      </c>
      <c r="G2606" s="283" t="s">
        <v>1740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1438</v>
      </c>
      <c r="G2607" s="283" t="s">
        <v>4183</v>
      </c>
      <c r="H2607" s="262" t="s">
        <v>4184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1718</v>
      </c>
      <c r="G2608" s="283" t="s">
        <v>2794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1718</v>
      </c>
      <c r="G2609" s="283" t="s">
        <v>1755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1718</v>
      </c>
      <c r="G2610" s="283" t="s">
        <v>2108</v>
      </c>
      <c r="H2610" s="262" t="s">
        <v>2577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1450</v>
      </c>
      <c r="G2611" s="283" t="s">
        <v>4039</v>
      </c>
      <c r="H2611" s="262" t="s">
        <v>1204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4014</v>
      </c>
      <c r="G2612" s="283" t="s">
        <v>4185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4013</v>
      </c>
      <c r="G2613" s="283" t="s">
        <v>4186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3989</v>
      </c>
      <c r="G2614" s="283" t="s">
        <v>4187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3145</v>
      </c>
      <c r="G2615" s="283" t="s">
        <v>4188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1540</v>
      </c>
      <c r="G2616" s="283" t="s">
        <v>4189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1395</v>
      </c>
      <c r="G2617" s="283" t="s">
        <v>1202</v>
      </c>
      <c r="H2617" s="262" t="s">
        <v>1201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1594</v>
      </c>
      <c r="G2618" s="283" t="s">
        <v>2379</v>
      </c>
      <c r="H2618" s="262" t="s">
        <v>2871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2257</v>
      </c>
      <c r="G2619" s="283" t="s">
        <v>2087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2553</v>
      </c>
      <c r="G2620" s="283" t="s">
        <v>2286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2257</v>
      </c>
      <c r="G2621" s="283" t="s">
        <v>4113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2553</v>
      </c>
      <c r="G2622" s="283" t="s">
        <v>4190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1026</v>
      </c>
      <c r="G2623" s="283" t="s">
        <v>4166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1594</v>
      </c>
      <c r="G2624" s="283" t="s">
        <v>4191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1582</v>
      </c>
      <c r="G2625" s="283" t="s">
        <v>4192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2553</v>
      </c>
      <c r="G2626" s="283" t="s">
        <v>4149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1582</v>
      </c>
      <c r="G2627" s="283" t="s">
        <v>2379</v>
      </c>
      <c r="H2627" s="262" t="s">
        <v>2412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1369</v>
      </c>
      <c r="G2628" s="283" t="s">
        <v>1531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1448</v>
      </c>
      <c r="G2629" s="283" t="s">
        <v>1739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1369</v>
      </c>
      <c r="G2630" s="283" t="s">
        <v>4193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1469</v>
      </c>
      <c r="G2631" s="283" t="s">
        <v>2039</v>
      </c>
      <c r="H2631" s="262" t="s">
        <v>3593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2778</v>
      </c>
      <c r="G2632" s="283" t="s">
        <v>1739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3197</v>
      </c>
      <c r="G2633" s="283" t="s">
        <v>4194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1857</v>
      </c>
      <c r="G2634" s="283" t="s">
        <v>2176</v>
      </c>
      <c r="H2634" s="262" t="s">
        <v>1198</v>
      </c>
      <c r="I2634" s="258">
        <v>1500000</v>
      </c>
      <c r="J2634" s="262">
        <v>1</v>
      </c>
      <c r="M2634" s="258">
        <v>1500000</v>
      </c>
      <c r="Q2634" s="283" t="s">
        <v>4266</v>
      </c>
    </row>
    <row r="2635" spans="1:17">
      <c r="A2635" s="58">
        <v>2635</v>
      </c>
      <c r="C2635" s="257">
        <v>46020</v>
      </c>
      <c r="D2635" s="283" t="s">
        <v>1857</v>
      </c>
      <c r="G2635" s="283" t="s">
        <v>2177</v>
      </c>
      <c r="H2635" s="262" t="s">
        <v>1799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1550</v>
      </c>
      <c r="G2636" s="283" t="s">
        <v>1855</v>
      </c>
      <c r="H2636" s="262" t="s">
        <v>4195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4267</v>
      </c>
    </row>
    <row r="2637" spans="1:17">
      <c r="A2637" s="58">
        <v>2637</v>
      </c>
      <c r="C2637" s="257">
        <v>46020</v>
      </c>
      <c r="D2637" s="283" t="s">
        <v>1550</v>
      </c>
      <c r="G2637" s="283" t="s">
        <v>4196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1550</v>
      </c>
      <c r="G2638" s="283" t="s">
        <v>2408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1450</v>
      </c>
      <c r="G2639" s="283" t="s">
        <v>1930</v>
      </c>
      <c r="H2639" s="262" t="s">
        <v>1929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2853</v>
      </c>
      <c r="G2640" s="283" t="s">
        <v>4197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4268</v>
      </c>
    </row>
    <row r="2641" spans="1:17">
      <c r="A2641" s="58">
        <v>2641</v>
      </c>
      <c r="C2641" s="257">
        <v>46020</v>
      </c>
      <c r="D2641" s="283" t="s">
        <v>3397</v>
      </c>
      <c r="G2641" s="283" t="s">
        <v>1200</v>
      </c>
      <c r="H2641" s="262" t="s">
        <v>1748</v>
      </c>
      <c r="I2641" s="258">
        <v>1100000</v>
      </c>
      <c r="J2641" s="262">
        <v>1</v>
      </c>
      <c r="M2641" s="258">
        <v>1100000</v>
      </c>
      <c r="Q2641" s="283" t="s">
        <v>4269</v>
      </c>
    </row>
    <row r="2642" spans="1:17">
      <c r="A2642" s="58">
        <v>2642</v>
      </c>
      <c r="C2642" s="257">
        <v>46020</v>
      </c>
      <c r="D2642" s="283" t="s">
        <v>1452</v>
      </c>
      <c r="G2642" s="283" t="s">
        <v>1713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2778</v>
      </c>
      <c r="G2643" s="283" t="s">
        <v>2085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3397</v>
      </c>
      <c r="G2644" s="283" t="s">
        <v>3850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1445</v>
      </c>
      <c r="G2645" s="283" t="s">
        <v>3462</v>
      </c>
      <c r="H2645" s="262" t="s">
        <v>1204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2993</v>
      </c>
      <c r="G2646" s="283" t="s">
        <v>1200</v>
      </c>
      <c r="H2646" s="262" t="s">
        <v>1748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2767</v>
      </c>
      <c r="G2647" s="283" t="s">
        <v>4039</v>
      </c>
      <c r="H2647" s="262" t="s">
        <v>1204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2767</v>
      </c>
      <c r="G2648" s="283" t="s">
        <v>4104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1395</v>
      </c>
      <c r="G2649" s="283" t="s">
        <v>2087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1395</v>
      </c>
      <c r="G2650" s="283" t="s">
        <v>2189</v>
      </c>
      <c r="H2650" s="262" t="s">
        <v>2008</v>
      </c>
      <c r="I2650" s="258">
        <v>280000</v>
      </c>
      <c r="J2650" s="262">
        <v>1</v>
      </c>
      <c r="M2650" s="258">
        <v>280000</v>
      </c>
      <c r="Q2650" s="283" t="s">
        <v>4270</v>
      </c>
    </row>
    <row r="2651" spans="1:17">
      <c r="A2651" s="58">
        <v>2651</v>
      </c>
      <c r="C2651" s="257">
        <v>46022</v>
      </c>
      <c r="D2651" s="283" t="s">
        <v>1890</v>
      </c>
      <c r="G2651" s="283" t="s">
        <v>4087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1448</v>
      </c>
      <c r="G2652" s="283" t="s">
        <v>4198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1438</v>
      </c>
      <c r="G2653" s="283" t="s">
        <v>4134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1550</v>
      </c>
      <c r="G2654" s="283" t="s">
        <v>4199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2853</v>
      </c>
      <c r="G2655" s="283" t="s">
        <v>4200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2993</v>
      </c>
      <c r="G2656" s="283" t="s">
        <v>4201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1395</v>
      </c>
      <c r="G2657" s="283" t="s">
        <v>4202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4271</v>
      </c>
    </row>
    <row r="2658" spans="1:17">
      <c r="A2658" s="58">
        <v>2658</v>
      </c>
      <c r="C2658" s="257">
        <v>46022</v>
      </c>
      <c r="D2658" s="283" t="s">
        <v>1395</v>
      </c>
      <c r="G2658" s="283" t="s">
        <v>3759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1857</v>
      </c>
      <c r="G2659" s="283" t="s">
        <v>4203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1576</v>
      </c>
      <c r="G2660" s="283" t="s">
        <v>2052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1145</v>
      </c>
      <c r="G2661" s="283" t="s">
        <v>4075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1450</v>
      </c>
      <c r="G2662" s="283" t="s">
        <v>4204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1537</v>
      </c>
      <c r="G2663" s="283" t="s">
        <v>3761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1582</v>
      </c>
      <c r="G2664" s="283" t="s">
        <v>4135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1015</v>
      </c>
      <c r="G2665" s="283" t="s">
        <v>3796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1573</v>
      </c>
      <c r="G2666" s="283" t="s">
        <v>4141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1801</v>
      </c>
      <c r="G2667" s="283" t="s">
        <v>3721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4015</v>
      </c>
      <c r="G2668" s="283" t="s">
        <v>1798</v>
      </c>
      <c r="H2668" s="262" t="s">
        <v>1990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1053</v>
      </c>
      <c r="G2669" s="283" t="s">
        <v>1202</v>
      </c>
      <c r="H2669" s="262" t="s">
        <v>4205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4016</v>
      </c>
      <c r="G2670" s="283" t="s">
        <v>1889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1592</v>
      </c>
      <c r="G2671" s="283" t="s">
        <v>4039</v>
      </c>
      <c r="H2671" s="262" t="s">
        <v>1204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1592</v>
      </c>
      <c r="G2672" s="283" t="s">
        <v>2186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1592</v>
      </c>
      <c r="G2673" s="283" t="s">
        <v>2187</v>
      </c>
      <c r="H2673" s="262" t="s">
        <v>1791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1592</v>
      </c>
      <c r="G2674" s="283" t="s">
        <v>2188</v>
      </c>
      <c r="H2674" s="262" t="s">
        <v>1818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3986</v>
      </c>
      <c r="G2675" s="283" t="s">
        <v>1531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1344</v>
      </c>
      <c r="G2676" s="283" t="s">
        <v>1254</v>
      </c>
      <c r="H2676" s="262" t="s">
        <v>4206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1743</v>
      </c>
      <c r="G2677" s="283" t="s">
        <v>2186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1743</v>
      </c>
      <c r="G2678" s="283" t="s">
        <v>2184</v>
      </c>
      <c r="H2678" s="262" t="s">
        <v>1255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1743</v>
      </c>
      <c r="G2679" s="283" t="s">
        <v>2186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1743</v>
      </c>
      <c r="G2680" s="283" t="s">
        <v>1515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4015</v>
      </c>
      <c r="G2681" s="283" t="s">
        <v>4207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4016</v>
      </c>
      <c r="G2682" s="283" t="s">
        <v>4208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1046</v>
      </c>
      <c r="G2683" s="283" t="s">
        <v>1949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1053</v>
      </c>
      <c r="G2684" s="283" t="s">
        <v>3828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4017</v>
      </c>
      <c r="G2685" s="283" t="s">
        <v>4209</v>
      </c>
      <c r="H2685" s="262" t="s">
        <v>1206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1594</v>
      </c>
      <c r="G2686" s="283" t="s">
        <v>1200</v>
      </c>
      <c r="H2686" s="262" t="s">
        <v>1748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1594</v>
      </c>
      <c r="G2687" s="283" t="s">
        <v>1492</v>
      </c>
      <c r="H2687" s="262" t="s">
        <v>2674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1786</v>
      </c>
      <c r="G2688" s="283" t="s">
        <v>1739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1469</v>
      </c>
      <c r="G2689" s="283" t="s">
        <v>4210</v>
      </c>
      <c r="H2689" s="262" t="s">
        <v>1201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2144</v>
      </c>
      <c r="G2690" s="283" t="s">
        <v>1713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1145</v>
      </c>
      <c r="G2691" s="283" t="s">
        <v>1713</v>
      </c>
      <c r="H2691" s="262">
        <v>2800802</v>
      </c>
      <c r="I2691" s="258">
        <v>150000</v>
      </c>
      <c r="J2691" s="262">
        <v>1</v>
      </c>
      <c r="M2691" s="258">
        <v>150000</v>
      </c>
    </row>
    <row r="2692" spans="1:14">
      <c r="A2692" s="58">
        <v>2692</v>
      </c>
      <c r="C2692" s="257">
        <v>46027</v>
      </c>
      <c r="D2692" s="283" t="s">
        <v>1145</v>
      </c>
      <c r="G2692" s="283" t="s">
        <v>1515</v>
      </c>
      <c r="I2692" s="258">
        <v>20000</v>
      </c>
      <c r="J2692" s="262">
        <v>1</v>
      </c>
      <c r="M2692" s="258">
        <v>20000</v>
      </c>
    </row>
    <row r="2693" spans="1:14">
      <c r="A2693" s="58">
        <v>2693</v>
      </c>
      <c r="C2693" s="257">
        <v>46027</v>
      </c>
      <c r="D2693" s="283" t="s">
        <v>3073</v>
      </c>
      <c r="G2693" s="283" t="s">
        <v>4211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1743</v>
      </c>
      <c r="G2694" s="283" t="s">
        <v>4212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1594</v>
      </c>
      <c r="G2695" s="283" t="s">
        <v>3846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2597</v>
      </c>
      <c r="G2696" s="283" t="s">
        <v>4117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2144</v>
      </c>
      <c r="G2697" s="283" t="s">
        <v>4213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978</v>
      </c>
      <c r="G2698" s="283" t="s">
        <v>4046</v>
      </c>
      <c r="H2698" s="262" t="s">
        <v>4047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978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1576</v>
      </c>
      <c r="G2700" s="283" t="s">
        <v>1701</v>
      </c>
      <c r="H2700" s="262" t="s">
        <v>1700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1537</v>
      </c>
      <c r="G2701" s="283" t="s">
        <v>4024</v>
      </c>
      <c r="H2701" s="262" t="s">
        <v>2213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1395</v>
      </c>
      <c r="G2702" s="283" t="s">
        <v>1739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2020</v>
      </c>
      <c r="G2703" s="283" t="s">
        <v>1732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1481</v>
      </c>
      <c r="G2704" s="283" t="s">
        <v>4214</v>
      </c>
      <c r="H2704" s="262" t="s">
        <v>4215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1573</v>
      </c>
      <c r="G2705" s="283" t="s">
        <v>1739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1573</v>
      </c>
      <c r="G2706" s="283" t="s">
        <v>1515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978</v>
      </c>
      <c r="G2707" s="283" t="s">
        <v>4100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2020</v>
      </c>
      <c r="G2708" s="283" t="s">
        <v>4153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1452</v>
      </c>
      <c r="G2709" s="283" t="s">
        <v>4216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4013</v>
      </c>
      <c r="G2710" s="283" t="s">
        <v>4081</v>
      </c>
      <c r="H2710" s="262" t="s">
        <v>4217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4013</v>
      </c>
      <c r="G2711" s="283" t="s">
        <v>4218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1018</v>
      </c>
      <c r="G2712" s="283" t="s">
        <v>2189</v>
      </c>
      <c r="H2712" s="262" t="s">
        <v>2008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1576</v>
      </c>
      <c r="G2713" s="283" t="s">
        <v>2212</v>
      </c>
      <c r="H2713" s="262" t="s">
        <v>1204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1576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1576</v>
      </c>
      <c r="G2715" s="283" t="s">
        <v>2186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1576</v>
      </c>
      <c r="G2716" s="283" t="s">
        <v>2188</v>
      </c>
      <c r="H2716" s="262" t="s">
        <v>1818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1594</v>
      </c>
      <c r="G2717" s="283" t="s">
        <v>2148</v>
      </c>
      <c r="H2717" s="262" t="s">
        <v>4219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4013</v>
      </c>
      <c r="G2718" s="283" t="s">
        <v>4220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1594</v>
      </c>
      <c r="G2719" s="283" t="s">
        <v>3846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1440</v>
      </c>
      <c r="G2720" s="283" t="s">
        <v>4221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1440</v>
      </c>
      <c r="G2721" s="283" t="s">
        <v>2023</v>
      </c>
      <c r="H2721" s="262" t="s">
        <v>1212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1440</v>
      </c>
      <c r="G2722" s="283" t="s">
        <v>3155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4018</v>
      </c>
      <c r="G2723" s="283" t="s">
        <v>3573</v>
      </c>
      <c r="H2723" s="262" t="s">
        <v>3583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4018</v>
      </c>
      <c r="G2724" s="283" t="s">
        <v>2187</v>
      </c>
      <c r="H2724" s="262" t="s">
        <v>1791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1863</v>
      </c>
      <c r="G2725" s="283" t="s">
        <v>2192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1395</v>
      </c>
      <c r="G2726" s="283" t="s">
        <v>4039</v>
      </c>
      <c r="H2726" s="262" t="s">
        <v>1204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1395</v>
      </c>
      <c r="G2727" s="283" t="s">
        <v>2184</v>
      </c>
      <c r="H2727" s="262" t="s">
        <v>1255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1395</v>
      </c>
      <c r="G2728" s="283" t="s">
        <v>2187</v>
      </c>
      <c r="H2728" s="262" t="s">
        <v>1791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1395</v>
      </c>
      <c r="G2729" s="283" t="s">
        <v>2188</v>
      </c>
      <c r="H2729" s="262" t="s">
        <v>1818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1395</v>
      </c>
      <c r="G2730" s="283" t="s">
        <v>4222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1481</v>
      </c>
      <c r="G2731" s="283" t="s">
        <v>1531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1863</v>
      </c>
      <c r="G2732" s="283" t="s">
        <v>4223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1481</v>
      </c>
      <c r="G2733" s="283" t="s">
        <v>4035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1592</v>
      </c>
      <c r="G2734" s="283" t="s">
        <v>4126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4019</v>
      </c>
      <c r="G2735" s="283" t="s">
        <v>4224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1718</v>
      </c>
      <c r="G2736" s="283" t="s">
        <v>4225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1890</v>
      </c>
      <c r="G2737" s="283" t="s">
        <v>1200</v>
      </c>
      <c r="H2737" s="262" t="s">
        <v>1748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1440</v>
      </c>
      <c r="G2738" s="283" t="s">
        <v>4226</v>
      </c>
      <c r="H2738" s="262" t="s">
        <v>4227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1440</v>
      </c>
      <c r="G2739" s="283" t="s">
        <v>2212</v>
      </c>
      <c r="H2739" s="262" t="s">
        <v>1204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1440</v>
      </c>
      <c r="G2740" s="283" t="s">
        <v>2186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1576</v>
      </c>
      <c r="G2741" s="283" t="s">
        <v>1701</v>
      </c>
      <c r="H2741" s="262" t="s">
        <v>1700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1900</v>
      </c>
      <c r="G2742" s="283" t="s">
        <v>4228</v>
      </c>
      <c r="H2742" s="262" t="s">
        <v>4229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1976</v>
      </c>
      <c r="G2743" s="283" t="s">
        <v>1200</v>
      </c>
      <c r="H2743" s="262" t="s">
        <v>1748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1976</v>
      </c>
      <c r="G2744" s="283" t="s">
        <v>1701</v>
      </c>
      <c r="H2744" s="262" t="s">
        <v>1700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1976</v>
      </c>
      <c r="G2745" s="283" t="s">
        <v>1262</v>
      </c>
      <c r="H2745" s="262" t="s">
        <v>1261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1976</v>
      </c>
      <c r="G2746" s="283" t="s">
        <v>1545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1743</v>
      </c>
      <c r="G2747" s="283" t="s">
        <v>1531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1743</v>
      </c>
      <c r="G2748" s="283" t="s">
        <v>1515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1537</v>
      </c>
      <c r="G2749" s="283" t="s">
        <v>2335</v>
      </c>
      <c r="H2749" s="262">
        <v>1087298437</v>
      </c>
      <c r="I2749" s="258">
        <v>80000</v>
      </c>
      <c r="J2749" s="262">
        <v>1</v>
      </c>
      <c r="M2749" s="258">
        <v>80000</v>
      </c>
    </row>
    <row r="2750" spans="1:17">
      <c r="A2750" s="58">
        <v>2750</v>
      </c>
      <c r="C2750" s="257">
        <v>46032</v>
      </c>
      <c r="D2750" s="283" t="s">
        <v>1718</v>
      </c>
      <c r="G2750" s="283" t="s">
        <v>4091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1976</v>
      </c>
      <c r="G2751" s="283" t="s">
        <v>4216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1463</v>
      </c>
      <c r="G2752" s="283" t="s">
        <v>2770</v>
      </c>
      <c r="H2752" s="262" t="s">
        <v>1209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4272</v>
      </c>
    </row>
    <row r="2753" spans="1:13">
      <c r="A2753" s="58">
        <v>2753</v>
      </c>
      <c r="C2753" s="257">
        <v>46034</v>
      </c>
      <c r="D2753" s="283" t="s">
        <v>1786</v>
      </c>
      <c r="G2753" s="283" t="s">
        <v>1200</v>
      </c>
      <c r="H2753" s="262" t="s">
        <v>1748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1053</v>
      </c>
      <c r="G2754" s="283" t="s">
        <v>2212</v>
      </c>
      <c r="H2754" s="262" t="s">
        <v>1204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1395</v>
      </c>
      <c r="G2755" s="283" t="s">
        <v>2408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1302</v>
      </c>
      <c r="G2756" s="283" t="s">
        <v>4169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1302</v>
      </c>
      <c r="G2757" s="283" t="s">
        <v>4170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1026</v>
      </c>
      <c r="G2758" s="283" t="s">
        <v>2286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3265</v>
      </c>
      <c r="G2759" s="283" t="s">
        <v>1739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2257</v>
      </c>
      <c r="G2760" s="283" t="s">
        <v>1200</v>
      </c>
      <c r="H2760" s="262" t="s">
        <v>1357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4020</v>
      </c>
      <c r="G2761" s="283" t="s">
        <v>1713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1018</v>
      </c>
      <c r="G2762" s="283" t="s">
        <v>1732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1463</v>
      </c>
      <c r="G2763" s="283" t="s">
        <v>1492</v>
      </c>
      <c r="H2763" s="262" t="s">
        <v>2674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1576</v>
      </c>
      <c r="G2764" s="283" t="s">
        <v>1262</v>
      </c>
      <c r="H2764" s="262" t="s">
        <v>1261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3197</v>
      </c>
      <c r="G2765" s="283" t="s">
        <v>2174</v>
      </c>
      <c r="H2765" s="262" t="s">
        <v>1460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1440</v>
      </c>
      <c r="G2766" s="283" t="s">
        <v>1855</v>
      </c>
      <c r="H2766" s="262" t="s">
        <v>4195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1440</v>
      </c>
      <c r="G2767" s="283" t="s">
        <v>1200</v>
      </c>
      <c r="H2767" s="262" t="s">
        <v>1748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1440</v>
      </c>
      <c r="G2768" s="283" t="s">
        <v>1492</v>
      </c>
      <c r="H2768" s="262" t="s">
        <v>2674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1440</v>
      </c>
      <c r="G2769" s="283" t="s">
        <v>4230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4021</v>
      </c>
      <c r="G2770" s="283" t="s">
        <v>4231</v>
      </c>
      <c r="H2770" s="262" t="s">
        <v>4232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1454</v>
      </c>
      <c r="G2771" s="283" t="s">
        <v>3573</v>
      </c>
      <c r="H2771" s="262" t="s">
        <v>3583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1454</v>
      </c>
      <c r="G2772" s="283" t="s">
        <v>4233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1302</v>
      </c>
      <c r="G2773" s="283" t="s">
        <v>2164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1445</v>
      </c>
      <c r="G2774" s="283" t="s">
        <v>4043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1550</v>
      </c>
      <c r="G2775" s="283" t="s">
        <v>1200</v>
      </c>
      <c r="H2775" s="262" t="s">
        <v>1748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4020</v>
      </c>
      <c r="G2776" s="283" t="s">
        <v>4234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3197</v>
      </c>
      <c r="G2777" s="283" t="s">
        <v>4235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2257</v>
      </c>
      <c r="G2778" s="283" t="s">
        <v>4113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3145</v>
      </c>
      <c r="G2779" s="283" t="s">
        <v>2914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1015</v>
      </c>
      <c r="G2780" s="283" t="s">
        <v>4024</v>
      </c>
      <c r="H2780" s="262" t="s">
        <v>2213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3870</v>
      </c>
      <c r="G2781" s="283" t="s">
        <v>4236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3870</v>
      </c>
      <c r="G2782" s="283" t="s">
        <v>3876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3145</v>
      </c>
      <c r="G2783" s="283" t="s">
        <v>4237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3265</v>
      </c>
      <c r="G2784" s="283" t="s">
        <v>3882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1537</v>
      </c>
      <c r="G2785" s="283" t="s">
        <v>3435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2815</v>
      </c>
      <c r="G2786" s="283" t="s">
        <v>4238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1743</v>
      </c>
      <c r="G2787" s="283" t="s">
        <v>2186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1743</v>
      </c>
      <c r="G2788" s="283" t="s">
        <v>2186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1743</v>
      </c>
      <c r="G2789" s="283" t="s">
        <v>2184</v>
      </c>
      <c r="H2789" s="262" t="s">
        <v>1255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2737</v>
      </c>
      <c r="G2790" s="283" t="s">
        <v>2198</v>
      </c>
      <c r="H2790" s="262" t="s">
        <v>1952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2737</v>
      </c>
      <c r="G2791" s="283" t="s">
        <v>2177</v>
      </c>
      <c r="H2791" s="262" t="s">
        <v>1799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2737</v>
      </c>
      <c r="G2792" s="283" t="s">
        <v>2675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1465</v>
      </c>
      <c r="G2793" s="283" t="s">
        <v>2719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1026</v>
      </c>
      <c r="G2794" s="283" t="s">
        <v>4208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1550</v>
      </c>
      <c r="G2795" s="283" t="s">
        <v>1262</v>
      </c>
      <c r="H2795" s="262" t="s">
        <v>1261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3145</v>
      </c>
      <c r="G2796" s="283" t="s">
        <v>2744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1440</v>
      </c>
      <c r="G2797" s="283" t="s">
        <v>2794</v>
      </c>
      <c r="H2797" s="262">
        <v>1094302044</v>
      </c>
      <c r="I2797" s="258">
        <v>300000</v>
      </c>
      <c r="J2797" s="262">
        <v>1</v>
      </c>
      <c r="M2797" s="258">
        <v>300000</v>
      </c>
    </row>
    <row r="2798" spans="1:14">
      <c r="A2798" s="58">
        <v>2798</v>
      </c>
      <c r="C2798" s="257">
        <v>46038</v>
      </c>
      <c r="D2798" s="283" t="s">
        <v>1440</v>
      </c>
      <c r="G2798" s="283" t="s">
        <v>2209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1440</v>
      </c>
      <c r="G2799" s="283" t="s">
        <v>1755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1395</v>
      </c>
      <c r="G2800" s="283" t="s">
        <v>1262</v>
      </c>
      <c r="H2800" s="262" t="s">
        <v>1261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3870</v>
      </c>
      <c r="G2801" s="283" t="s">
        <v>2182</v>
      </c>
      <c r="H2801" s="262" t="s">
        <v>1197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3870</v>
      </c>
      <c r="G2802" s="283" t="s">
        <v>4239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4014</v>
      </c>
      <c r="G2803" s="283" t="s">
        <v>2413</v>
      </c>
      <c r="H2803" s="262" t="s">
        <v>2743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4273</v>
      </c>
    </row>
    <row r="2804" spans="1:17">
      <c r="A2804" s="58">
        <v>2804</v>
      </c>
      <c r="C2804" s="257">
        <v>46039</v>
      </c>
      <c r="D2804" s="283" t="s">
        <v>4014</v>
      </c>
      <c r="G2804" s="283" t="s">
        <v>4185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3197</v>
      </c>
      <c r="G2805" s="283" t="s">
        <v>2194</v>
      </c>
      <c r="H2805" s="262" t="s">
        <v>3033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2618</v>
      </c>
      <c r="G2806" s="283" t="s">
        <v>2379</v>
      </c>
      <c r="H2806" s="262" t="s">
        <v>3162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1145</v>
      </c>
      <c r="G2807" s="283" t="s">
        <v>1200</v>
      </c>
      <c r="H2807" s="262" t="s">
        <v>1748</v>
      </c>
      <c r="I2807" s="258">
        <v>1200000</v>
      </c>
      <c r="J2807" s="262">
        <v>1</v>
      </c>
      <c r="M2807" s="258">
        <v>1200000</v>
      </c>
    </row>
    <row r="2808" spans="1:17">
      <c r="A2808" s="58">
        <v>2808</v>
      </c>
      <c r="C2808" s="257">
        <v>46041</v>
      </c>
      <c r="D2808" s="283" t="s">
        <v>1469</v>
      </c>
      <c r="G2808" s="283" t="s">
        <v>4145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3145</v>
      </c>
      <c r="G2809" s="283" t="s">
        <v>4188</v>
      </c>
      <c r="N2809" s="258">
        <v>-400000</v>
      </c>
    </row>
    <row r="2810" spans="1:17">
      <c r="A2810" s="58">
        <v>1937</v>
      </c>
      <c r="C2810" s="257">
        <v>46042</v>
      </c>
      <c r="D2810" s="283" t="s">
        <v>2868</v>
      </c>
      <c r="F2810" s="286" t="s">
        <v>3919</v>
      </c>
      <c r="G2810" s="283" t="s">
        <v>1200</v>
      </c>
      <c r="H2810" s="262" t="s">
        <v>1748</v>
      </c>
      <c r="I2810" s="258">
        <v>1200000</v>
      </c>
      <c r="J2810" s="262">
        <v>1</v>
      </c>
      <c r="M2810" s="258">
        <v>1200000</v>
      </c>
      <c r="Q2810" s="283" t="s">
        <v>1749</v>
      </c>
    </row>
    <row r="2811" spans="1:17">
      <c r="A2811" s="58">
        <v>1938</v>
      </c>
      <c r="C2811" s="257">
        <v>46042</v>
      </c>
      <c r="D2811" s="283" t="s">
        <v>2868</v>
      </c>
      <c r="E2811" s="283" t="s">
        <v>3925</v>
      </c>
      <c r="F2811" s="286" t="s">
        <v>3908</v>
      </c>
      <c r="G2811" s="283" t="s">
        <v>2561</v>
      </c>
      <c r="H2811" s="262" t="s">
        <v>2560</v>
      </c>
      <c r="I2811" s="258">
        <v>1100000</v>
      </c>
      <c r="J2811" s="262">
        <v>1</v>
      </c>
      <c r="M2811" s="258">
        <v>1100000</v>
      </c>
      <c r="O2811" s="258" t="s">
        <v>4275</v>
      </c>
      <c r="P2811" s="283" t="s">
        <v>4276</v>
      </c>
    </row>
    <row r="2812" spans="1:17">
      <c r="A2812" s="58">
        <v>1939</v>
      </c>
      <c r="C2812" s="257">
        <v>46042</v>
      </c>
      <c r="D2812" s="283" t="s">
        <v>1517</v>
      </c>
      <c r="E2812" s="283" t="s">
        <v>3925</v>
      </c>
      <c r="F2812" s="286" t="s">
        <v>3950</v>
      </c>
      <c r="G2812" s="283" t="s">
        <v>2176</v>
      </c>
      <c r="H2812" s="262" t="s">
        <v>1198</v>
      </c>
      <c r="I2812" s="258">
        <v>1100000</v>
      </c>
      <c r="J2812" s="262">
        <v>1</v>
      </c>
      <c r="M2812" s="258">
        <v>1100000</v>
      </c>
      <c r="O2812" s="258" t="s">
        <v>4278</v>
      </c>
      <c r="P2812" s="283" t="s">
        <v>3965</v>
      </c>
    </row>
    <row r="2813" spans="1:17">
      <c r="A2813" s="58">
        <v>1940</v>
      </c>
      <c r="B2813" s="58">
        <v>16</v>
      </c>
      <c r="C2813" s="257">
        <v>46042</v>
      </c>
      <c r="D2813" s="283" t="s">
        <v>1433</v>
      </c>
      <c r="E2813" s="283" t="s">
        <v>3925</v>
      </c>
      <c r="F2813" s="286" t="s">
        <v>3917</v>
      </c>
      <c r="G2813" s="283" t="s">
        <v>1200</v>
      </c>
      <c r="H2813" s="262" t="s">
        <v>1748</v>
      </c>
      <c r="I2813" s="258">
        <v>1200000</v>
      </c>
      <c r="J2813" s="262">
        <v>1</v>
      </c>
      <c r="M2813" s="258">
        <v>1200000</v>
      </c>
      <c r="O2813" s="258" t="s">
        <v>4280</v>
      </c>
      <c r="P2813" s="283" t="s">
        <v>4281</v>
      </c>
      <c r="Q2813" s="283" t="s">
        <v>1749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69921875" defaultRowHeight="18" customHeight="1"/>
  <cols>
    <col min="1" max="1" width="6.8984375" style="82" customWidth="1"/>
    <col min="2" max="2" width="16.3984375" style="93" customWidth="1"/>
    <col min="3" max="3" width="19.59765625" style="83" customWidth="1"/>
    <col min="4" max="4" width="19.8984375" style="112" customWidth="1"/>
    <col min="5" max="5" width="11.3984375" style="84" customWidth="1"/>
    <col min="6" max="6" width="14.5" style="119" customWidth="1"/>
    <col min="7" max="7" width="13.8984375" style="85" customWidth="1"/>
    <col min="8" max="8" width="11.69921875" style="125" customWidth="1"/>
    <col min="9" max="10" width="12.3984375" style="80" customWidth="1"/>
    <col min="11" max="11" width="11.09765625" style="69" bestFit="1" customWidth="1"/>
    <col min="12" max="12" width="15.19921875" style="67" bestFit="1" customWidth="1"/>
    <col min="13" max="13" width="13.09765625" style="67" bestFit="1" customWidth="1"/>
    <col min="14" max="15" width="15.19921875" style="67" bestFit="1" customWidth="1"/>
    <col min="16" max="16384" width="8.699218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" customHeight="1">
      <c r="A3" s="227">
        <v>45943</v>
      </c>
      <c r="B3" s="228" t="s">
        <v>1125</v>
      </c>
      <c r="C3" s="279">
        <f>SUMIF($B:$B,A3,I:I)</f>
        <v>7667000</v>
      </c>
      <c r="D3" s="230" t="s">
        <v>1123</v>
      </c>
      <c r="E3" s="229">
        <f ca="1">SUMIF($B:$B,TODAY(),E:E)</f>
        <v>0</v>
      </c>
      <c r="F3" s="240" t="s">
        <v>2515</v>
      </c>
      <c r="G3" s="229">
        <f>SUMIF($D:$D,"*schaeffler*",I:I)</f>
        <v>5962002</v>
      </c>
      <c r="H3" s="240"/>
      <c r="I3" s="233"/>
      <c r="J3" s="69"/>
      <c r="K3" s="67"/>
    </row>
    <row r="4" spans="1:16" ht="15.9" customHeight="1">
      <c r="A4" s="234">
        <f>MONTH(A3)</f>
        <v>10</v>
      </c>
      <c r="B4" s="228" t="s">
        <v>1126</v>
      </c>
      <c r="C4" s="229">
        <f>SUMIFS($I:$I,$B:$B,"&gt;="&amp;DATE(A5,A4,1),$B:$B,"&lt;="&amp;EOMONTH(DATE(A5,A4,1),0))</f>
        <v>34731000</v>
      </c>
      <c r="D4" s="231"/>
      <c r="E4" s="235"/>
      <c r="F4" s="240" t="s">
        <v>2516</v>
      </c>
      <c r="G4" s="229">
        <f>SUMIF($D:$D,"*schaeffler*",E:E)</f>
        <v>0</v>
      </c>
      <c r="H4" s="237"/>
      <c r="I4" s="233"/>
      <c r="J4" s="69"/>
      <c r="K4" s="67"/>
    </row>
    <row r="5" spans="1:16" ht="15.9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1679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1743</v>
      </c>
      <c r="D9" s="111" t="s">
        <v>3760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1537</v>
      </c>
      <c r="D10" s="111" t="s">
        <v>3761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2757</v>
      </c>
      <c r="D11" s="111" t="s">
        <v>3762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1843</v>
      </c>
      <c r="D12" s="111" t="s">
        <v>3462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1843</v>
      </c>
      <c r="D13" s="111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1743</v>
      </c>
      <c r="D14" s="111" t="s">
        <v>2188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1886</v>
      </c>
      <c r="D15" s="111" t="s">
        <v>1200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1200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1886</v>
      </c>
      <c r="D17" s="111" t="s">
        <v>3641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1866</v>
      </c>
      <c r="D18" s="111" t="s">
        <v>3792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3794</v>
      </c>
      <c r="D19" s="111" t="s">
        <v>3462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3794</v>
      </c>
      <c r="D20" s="111" t="s">
        <v>1124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3796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1718</v>
      </c>
      <c r="D22" s="111" t="s">
        <v>2184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1718</v>
      </c>
      <c r="D23" s="111" t="s">
        <v>2187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1786</v>
      </c>
      <c r="D24" s="111" t="s">
        <v>1200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1395</v>
      </c>
      <c r="D25" s="111" t="s">
        <v>2103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1395</v>
      </c>
      <c r="D26" s="111" t="s">
        <v>3803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3797</v>
      </c>
      <c r="D27" s="111" t="s">
        <v>2174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2141</v>
      </c>
      <c r="D28" s="111" t="s">
        <v>2192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2141</v>
      </c>
      <c r="D29" s="111" t="s">
        <v>3810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3797</v>
      </c>
      <c r="D30" s="111" t="s">
        <v>3811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1718</v>
      </c>
      <c r="D31" s="111" t="s">
        <v>3812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1475</v>
      </c>
      <c r="D32" s="111" t="s">
        <v>3813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1866</v>
      </c>
      <c r="D33" s="111" t="s">
        <v>3814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2141</v>
      </c>
      <c r="D34" s="112" t="s">
        <v>1545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1927</v>
      </c>
      <c r="D35" s="112" t="s">
        <v>3120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1927</v>
      </c>
      <c r="D36" s="112" t="s">
        <v>2033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2618</v>
      </c>
      <c r="D37" s="112" t="s">
        <v>3820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1576</v>
      </c>
      <c r="D38" s="112" t="s">
        <v>2185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1440</v>
      </c>
      <c r="D39" s="112" t="s">
        <v>1981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1302</v>
      </c>
      <c r="D40" s="112" t="s">
        <v>2174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3828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1743</v>
      </c>
      <c r="D42" s="111" t="s">
        <v>2915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1743</v>
      </c>
      <c r="D43" s="111" t="s">
        <v>2914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1743</v>
      </c>
      <c r="D44" s="111" t="s">
        <v>3830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1573</v>
      </c>
      <c r="D45" s="111" t="s">
        <v>2794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1573</v>
      </c>
      <c r="D46" s="111" t="s">
        <v>1755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1573</v>
      </c>
      <c r="D47" s="112" t="s">
        <v>3614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1374</v>
      </c>
      <c r="D48" s="112" t="s">
        <v>2178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1369</v>
      </c>
      <c r="D49" s="112" t="s">
        <v>2176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1369</v>
      </c>
      <c r="D50" s="112" t="s">
        <v>2177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2023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3397</v>
      </c>
      <c r="D52" s="112" t="s">
        <v>2176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3397</v>
      </c>
      <c r="D53" s="112" t="s">
        <v>2177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1170</v>
      </c>
      <c r="D54" s="112" t="s">
        <v>1739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2481</v>
      </c>
      <c r="D55" s="112" t="s">
        <v>1713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3794</v>
      </c>
      <c r="D56" s="112" t="s">
        <v>3462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1594</v>
      </c>
      <c r="D57" s="112" t="s">
        <v>1200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1528</v>
      </c>
      <c r="D58" s="112" t="s">
        <v>1200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1528</v>
      </c>
      <c r="D59" s="112" t="s">
        <v>2835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2141</v>
      </c>
      <c r="D60" s="112" t="s">
        <v>3845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1594</v>
      </c>
      <c r="D61" s="112" t="s">
        <v>3846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3794</v>
      </c>
      <c r="D62" s="112" t="s">
        <v>3847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2481</v>
      </c>
      <c r="D63" s="112" t="s">
        <v>3849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3397</v>
      </c>
      <c r="D64" s="112" t="s">
        <v>3850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1786</v>
      </c>
      <c r="D65" s="112" t="s">
        <v>1515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2993</v>
      </c>
      <c r="D66" s="112" t="s">
        <v>1200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1718</v>
      </c>
      <c r="D67" s="112" t="s">
        <v>1740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1374</v>
      </c>
      <c r="D68" s="112" t="s">
        <v>2176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1528</v>
      </c>
      <c r="D69" s="112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1395</v>
      </c>
      <c r="D70" s="112" t="s">
        <v>1739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1374</v>
      </c>
      <c r="D71" s="112" t="s">
        <v>3858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3864</v>
      </c>
      <c r="D72" s="112" t="s">
        <v>3462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1576</v>
      </c>
      <c r="D73" s="112" t="s">
        <v>2408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2613</v>
      </c>
      <c r="D74" s="112" t="s">
        <v>3462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2613</v>
      </c>
      <c r="D75" s="112" t="s">
        <v>3339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3870</v>
      </c>
      <c r="D76" s="112" t="s">
        <v>2179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3870</v>
      </c>
      <c r="D77" s="112" t="s">
        <v>2177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3265</v>
      </c>
      <c r="D78" s="112" t="s">
        <v>1557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2613</v>
      </c>
      <c r="D79" s="112" t="s">
        <v>3874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3870</v>
      </c>
      <c r="D80" s="112" t="s">
        <v>3876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3878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1170</v>
      </c>
      <c r="D82" s="112" t="s">
        <v>3880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3265</v>
      </c>
      <c r="D83" s="112" t="s">
        <v>3882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3864</v>
      </c>
      <c r="D84" s="112" t="s">
        <v>3884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1863</v>
      </c>
      <c r="D85" s="112" t="s">
        <v>1739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1550</v>
      </c>
      <c r="D86" s="112" t="s">
        <v>1200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1550</v>
      </c>
      <c r="D87" s="112" t="s">
        <v>1492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3510</v>
      </c>
    </row>
    <row r="141" spans="11:11" ht="18" customHeight="1">
      <c r="K141" s="69" t="s">
        <v>3510</v>
      </c>
    </row>
    <row r="142" spans="11:11" ht="18" customHeight="1">
      <c r="K142" s="69" t="s">
        <v>3510</v>
      </c>
    </row>
    <row r="143" spans="11:11" ht="18" customHeight="1">
      <c r="K143" s="69" t="s">
        <v>3510</v>
      </c>
    </row>
    <row r="144" spans="11:11" ht="18" customHeight="1">
      <c r="K144" s="69" t="s">
        <v>3510</v>
      </c>
    </row>
    <row r="145" spans="11:11" ht="18" customHeight="1">
      <c r="K145" s="69" t="s">
        <v>3510</v>
      </c>
    </row>
    <row r="146" spans="11:11" ht="18" customHeight="1">
      <c r="K146" s="69" t="s">
        <v>3510</v>
      </c>
    </row>
    <row r="147" spans="11:11" ht="18" customHeight="1">
      <c r="K147" s="69" t="s">
        <v>3510</v>
      </c>
    </row>
    <row r="148" spans="11:11" ht="18" customHeight="1">
      <c r="K148" s="69" t="s">
        <v>3510</v>
      </c>
    </row>
    <row r="150" spans="11:11" ht="18" customHeight="1">
      <c r="K150" s="69" t="s">
        <v>3510</v>
      </c>
    </row>
    <row r="151" spans="11:11" ht="18" customHeight="1">
      <c r="K151" s="69" t="s">
        <v>3510</v>
      </c>
    </row>
    <row r="152" spans="11:11" ht="18" customHeight="1">
      <c r="K152" s="69" t="s">
        <v>3510</v>
      </c>
    </row>
    <row r="153" spans="11:11" ht="18" customHeight="1">
      <c r="K153" s="69" t="s">
        <v>3510</v>
      </c>
    </row>
    <row r="154" spans="11:11" ht="18" customHeight="1">
      <c r="K154" s="69" t="s">
        <v>3510</v>
      </c>
    </row>
    <row r="155" spans="11:11" ht="18" customHeight="1">
      <c r="K155" s="69" t="s">
        <v>3510</v>
      </c>
    </row>
    <row r="156" spans="11:11" ht="18" customHeight="1">
      <c r="K156" s="69" t="s">
        <v>3510</v>
      </c>
    </row>
    <row r="157" spans="11:11" ht="18" customHeight="1">
      <c r="K157" s="69" t="s">
        <v>3510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7.399999999999999"/>
  <cols>
    <col min="2" max="2" width="26.8984375" bestFit="1" customWidth="1"/>
    <col min="3" max="3" width="24.19921875" customWidth="1"/>
    <col min="6" max="6" width="23.69921875" customWidth="1"/>
    <col min="8" max="8" width="12.3984375" customWidth="1"/>
    <col min="9" max="9" width="16.69921875" customWidth="1"/>
    <col min="10" max="10" width="11" customWidth="1"/>
  </cols>
  <sheetData>
    <row r="1" spans="1:6" ht="18" thickBot="1">
      <c r="A1" s="60" t="s">
        <v>3652</v>
      </c>
      <c r="B1" s="276" t="s">
        <v>49</v>
      </c>
      <c r="C1" s="290" t="s">
        <v>2827</v>
      </c>
      <c r="D1" s="276" t="s">
        <v>2826</v>
      </c>
      <c r="E1" s="276"/>
      <c r="F1" s="275"/>
    </row>
    <row r="2" spans="1:6">
      <c r="B2" s="262" t="s">
        <v>1348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3780</v>
      </c>
    </row>
    <row r="3" spans="1:6">
      <c r="B3" s="58" t="s">
        <v>1298</v>
      </c>
      <c r="C3" s="292">
        <f>SUMIF(BTS_매출관리!C:C,B3,BTS_매출관리!I:I)</f>
        <v>2450000</v>
      </c>
      <c r="D3" s="58">
        <f t="shared" si="0"/>
        <v>4</v>
      </c>
      <c r="E3" t="s">
        <v>3780</v>
      </c>
    </row>
    <row r="4" spans="1:6">
      <c r="B4" s="262" t="s">
        <v>1338</v>
      </c>
      <c r="C4" s="261">
        <f>SUMIF(BTS_매출관리!C:C,B4,BTS_매출관리!I:I)</f>
        <v>1650000</v>
      </c>
      <c r="D4" s="262">
        <f t="shared" si="0"/>
        <v>7</v>
      </c>
      <c r="E4" t="s">
        <v>3780</v>
      </c>
    </row>
    <row r="5" spans="1:6">
      <c r="B5" s="58" t="s">
        <v>2211</v>
      </c>
      <c r="C5" s="292">
        <f>SUMIF(BTS_매출관리!C:C,B5,BTS_매출관리!I:I)</f>
        <v>2970000</v>
      </c>
      <c r="D5" s="58">
        <f t="shared" si="0"/>
        <v>2</v>
      </c>
      <c r="E5" t="s">
        <v>3780</v>
      </c>
    </row>
    <row r="6" spans="1:6">
      <c r="B6" s="58" t="s">
        <v>1275</v>
      </c>
      <c r="C6" s="292">
        <f>SUMIF(BTS_매출관리!C:C,B6,BTS_매출관리!I:I)</f>
        <v>1220000</v>
      </c>
      <c r="D6" s="58">
        <f t="shared" si="0"/>
        <v>11</v>
      </c>
      <c r="E6" t="s">
        <v>3780</v>
      </c>
    </row>
    <row r="7" spans="1:6">
      <c r="B7" s="58" t="s">
        <v>1332</v>
      </c>
      <c r="C7" s="292">
        <f>SUMIF(BTS_매출관리!C:C,B7,BTS_매출관리!I:I)</f>
        <v>2305000</v>
      </c>
      <c r="D7" s="58">
        <f t="shared" si="0"/>
        <v>5</v>
      </c>
      <c r="E7" t="s">
        <v>3780</v>
      </c>
    </row>
    <row r="8" spans="1:6">
      <c r="B8" s="262" t="s">
        <v>1886</v>
      </c>
      <c r="C8" s="261">
        <f>SUMIF(BTS_매출관리!C:C,B8,BTS_매출관리!I:I)</f>
        <v>650000</v>
      </c>
      <c r="D8" s="262">
        <f t="shared" si="0"/>
        <v>17</v>
      </c>
      <c r="E8" t="s">
        <v>3780</v>
      </c>
    </row>
    <row r="9" spans="1:6">
      <c r="B9" s="262" t="s">
        <v>1094</v>
      </c>
      <c r="C9" s="261">
        <f>SUMIF(BTS_매출관리!C:C,B9,BTS_매출관리!I:I)</f>
        <v>1158000</v>
      </c>
      <c r="D9" s="262">
        <f t="shared" si="0"/>
        <v>13</v>
      </c>
      <c r="E9" t="s">
        <v>3780</v>
      </c>
    </row>
    <row r="10" spans="1:6">
      <c r="B10" s="262" t="s">
        <v>1291</v>
      </c>
      <c r="C10" s="261">
        <f>SUMIF(BTS_매출관리!C:C,B10,BTS_매출관리!I:I)</f>
        <v>540000</v>
      </c>
      <c r="D10" s="262">
        <f t="shared" si="0"/>
        <v>21</v>
      </c>
      <c r="E10" t="s">
        <v>3780</v>
      </c>
    </row>
    <row r="11" spans="1:6">
      <c r="B11" s="58" t="s">
        <v>1156</v>
      </c>
      <c r="C11" s="292">
        <f>SUMIF(BTS_매출관리!C:C,B11,BTS_매출관리!I:I)</f>
        <v>150000</v>
      </c>
      <c r="D11" s="58">
        <f t="shared" si="0"/>
        <v>24</v>
      </c>
      <c r="E11" t="s">
        <v>3780</v>
      </c>
    </row>
    <row r="12" spans="1:6">
      <c r="B12" s="58" t="s">
        <v>1349</v>
      </c>
      <c r="C12" s="292">
        <f>SUMIF(BTS_매출관리!C:C,B12,BTS_매출관리!I:I)</f>
        <v>844000</v>
      </c>
      <c r="D12" s="58">
        <f t="shared" si="0"/>
        <v>16</v>
      </c>
      <c r="E12" t="s">
        <v>3780</v>
      </c>
      <c r="F12" t="str">
        <f>IF(D12 &lt; 10,,"")</f>
        <v/>
      </c>
    </row>
    <row r="13" spans="1:6">
      <c r="B13" s="58" t="s">
        <v>1329</v>
      </c>
      <c r="C13" s="292">
        <f>SUMIF(BTS_매출관리!C:C,B13,BTS_매출관리!I:I)</f>
        <v>0</v>
      </c>
      <c r="D13" s="58">
        <f t="shared" si="0"/>
        <v>28</v>
      </c>
      <c r="E13" t="s">
        <v>3780</v>
      </c>
      <c r="F13" t="str">
        <f>IF(D13 &lt; 10,,"")</f>
        <v/>
      </c>
    </row>
    <row r="14" spans="1:6">
      <c r="B14" s="58" t="s">
        <v>1285</v>
      </c>
      <c r="C14" s="292">
        <f>SUMIF(BTS_매출관리!C:C,B14,BTS_매출관리!I:I)</f>
        <v>150000</v>
      </c>
      <c r="D14" s="58">
        <f t="shared" si="0"/>
        <v>24</v>
      </c>
      <c r="E14" t="s">
        <v>3780</v>
      </c>
      <c r="F14" t="str">
        <f>IF(D14 &lt; 10,,"")</f>
        <v/>
      </c>
    </row>
    <row r="15" spans="1:6">
      <c r="B15" s="58" t="s">
        <v>1283</v>
      </c>
      <c r="C15" s="292">
        <f>SUMIF(BTS_매출관리!C:C,B15,BTS_매출관리!I:I)</f>
        <v>154000</v>
      </c>
      <c r="D15" s="58">
        <f t="shared" si="0"/>
        <v>23</v>
      </c>
      <c r="E15" t="s">
        <v>3780</v>
      </c>
    </row>
    <row r="16" spans="1:6">
      <c r="B16" s="58" t="s">
        <v>1780</v>
      </c>
      <c r="C16" s="292">
        <f>SUMIF(BTS_매출관리!C:C,B16,BTS_매출관리!I:I)</f>
        <v>0</v>
      </c>
      <c r="D16" s="58">
        <f t="shared" si="0"/>
        <v>28</v>
      </c>
      <c r="E16" t="s">
        <v>3780</v>
      </c>
    </row>
    <row r="17" spans="2:18">
      <c r="B17" s="58" t="s">
        <v>1667</v>
      </c>
      <c r="C17" s="292">
        <f>SUMIF(BTS_매출관리!C:C,B17,BTS_매출관리!I:I)</f>
        <v>0</v>
      </c>
      <c r="D17" s="58">
        <f t="shared" si="0"/>
        <v>28</v>
      </c>
      <c r="E17" t="s">
        <v>3780</v>
      </c>
    </row>
    <row r="18" spans="2:18">
      <c r="B18" s="58" t="s">
        <v>1270</v>
      </c>
      <c r="C18" s="292">
        <f>SUMIF(BTS_매출관리!C:C,B18,BTS_매출관리!I:I)</f>
        <v>638000</v>
      </c>
      <c r="D18" s="58">
        <f t="shared" si="0"/>
        <v>19</v>
      </c>
      <c r="E18" t="s">
        <v>3748</v>
      </c>
    </row>
    <row r="19" spans="2:18">
      <c r="B19" s="58" t="s">
        <v>1330</v>
      </c>
      <c r="C19" s="292">
        <f>SUMIF(BTS_매출관리!C:C,B19,BTS_매출관리!I:I)</f>
        <v>0</v>
      </c>
      <c r="D19" s="58">
        <f t="shared" si="0"/>
        <v>28</v>
      </c>
      <c r="E19" t="s">
        <v>3780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3780</v>
      </c>
    </row>
    <row r="21" spans="2:18">
      <c r="B21" s="58" t="s">
        <v>1286</v>
      </c>
      <c r="C21" s="292">
        <f>SUMIF(BTS_매출관리!C:C,B21,BTS_매출관리!I:I)</f>
        <v>0</v>
      </c>
      <c r="D21" s="58">
        <f t="shared" si="0"/>
        <v>28</v>
      </c>
      <c r="E21" t="s">
        <v>3780</v>
      </c>
      <c r="F21" t="s">
        <v>3678</v>
      </c>
    </row>
    <row r="22" spans="2:18">
      <c r="B22" s="58" t="s">
        <v>1337</v>
      </c>
      <c r="C22" s="292">
        <f>SUMIF(BTS_매출관리!C:C,B22,BTS_매출관리!I:I)</f>
        <v>0</v>
      </c>
      <c r="D22" s="58">
        <f t="shared" si="0"/>
        <v>28</v>
      </c>
      <c r="E22" t="s">
        <v>3780</v>
      </c>
      <c r="F22" t="s">
        <v>3653</v>
      </c>
      <c r="G22" t="s">
        <v>3779</v>
      </c>
      <c r="I22" t="s">
        <v>3656</v>
      </c>
      <c r="J22" s="294" t="s">
        <v>3694</v>
      </c>
      <c r="O22" t="s">
        <v>3679</v>
      </c>
      <c r="P22">
        <v>2</v>
      </c>
      <c r="Q22" t="s">
        <v>3780</v>
      </c>
    </row>
    <row r="23" spans="2:18">
      <c r="B23" s="58" t="s">
        <v>1272</v>
      </c>
      <c r="C23" s="292">
        <f>SUMIF(BTS_매출관리!C:C,B23,BTS_매출관리!I:I)</f>
        <v>0</v>
      </c>
      <c r="D23" s="58">
        <f t="shared" si="0"/>
        <v>28</v>
      </c>
      <c r="E23" t="s">
        <v>3780</v>
      </c>
      <c r="F23" t="s">
        <v>3654</v>
      </c>
      <c r="G23" t="s">
        <v>3779</v>
      </c>
      <c r="I23" t="s">
        <v>3658</v>
      </c>
      <c r="J23" s="294" t="s">
        <v>3694</v>
      </c>
      <c r="O23" t="s">
        <v>3680</v>
      </c>
      <c r="P23">
        <v>3</v>
      </c>
      <c r="Q23" t="s">
        <v>3780</v>
      </c>
    </row>
    <row r="24" spans="2:18">
      <c r="B24" s="58" t="s">
        <v>1309</v>
      </c>
      <c r="C24" s="292">
        <f>SUMIF(BTS_매출관리!C:C,B24,BTS_매출관리!I:I)</f>
        <v>1000000</v>
      </c>
      <c r="D24" s="58">
        <f t="shared" si="0"/>
        <v>15</v>
      </c>
      <c r="E24" t="s">
        <v>3780</v>
      </c>
      <c r="F24" t="s">
        <v>3655</v>
      </c>
      <c r="G24" t="s">
        <v>3779</v>
      </c>
      <c r="I24" t="s">
        <v>3660</v>
      </c>
      <c r="J24" s="294" t="s">
        <v>3694</v>
      </c>
      <c r="O24" t="s">
        <v>3681</v>
      </c>
      <c r="P24">
        <v>2</v>
      </c>
      <c r="Q24" t="s">
        <v>3780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3780</v>
      </c>
      <c r="F25" t="s">
        <v>3657</v>
      </c>
      <c r="G25" t="s">
        <v>3694</v>
      </c>
      <c r="I25" t="s">
        <v>3663</v>
      </c>
      <c r="J25" s="294" t="s">
        <v>3779</v>
      </c>
      <c r="O25" t="s">
        <v>3682</v>
      </c>
      <c r="P25">
        <v>1</v>
      </c>
      <c r="R25" t="s">
        <v>3779</v>
      </c>
    </row>
    <row r="26" spans="2:18">
      <c r="B26" s="58" t="s">
        <v>1146</v>
      </c>
      <c r="C26" s="292">
        <f>SUMIF(BTS_매출관리!C:C,B26,BTS_매출관리!I:I)</f>
        <v>0</v>
      </c>
      <c r="D26" s="58">
        <f t="shared" si="0"/>
        <v>28</v>
      </c>
      <c r="E26" t="s">
        <v>3780</v>
      </c>
      <c r="F26" t="s">
        <v>3659</v>
      </c>
      <c r="G26" t="s">
        <v>3779</v>
      </c>
      <c r="I26" t="s">
        <v>3676</v>
      </c>
      <c r="J26" s="294" t="s">
        <v>3713</v>
      </c>
      <c r="O26" t="s">
        <v>3683</v>
      </c>
      <c r="P26">
        <v>2</v>
      </c>
      <c r="Q26" t="s">
        <v>3695</v>
      </c>
    </row>
    <row r="27" spans="2:18">
      <c r="B27" s="58" t="s">
        <v>2467</v>
      </c>
      <c r="C27" s="292">
        <f>SUMIF(BTS_매출관리!C:C,B27,BTS_매출관리!I:I)</f>
        <v>0</v>
      </c>
      <c r="D27" s="58">
        <f t="shared" si="0"/>
        <v>28</v>
      </c>
      <c r="E27" t="s">
        <v>3780</v>
      </c>
      <c r="F27" t="s">
        <v>3765</v>
      </c>
      <c r="G27" t="s">
        <v>3787</v>
      </c>
      <c r="I27" t="s">
        <v>2855</v>
      </c>
      <c r="J27" s="294" t="s">
        <v>3713</v>
      </c>
      <c r="O27" t="s">
        <v>3684</v>
      </c>
      <c r="P27">
        <v>1</v>
      </c>
      <c r="Q27" t="s">
        <v>3694</v>
      </c>
    </row>
    <row r="28" spans="2:18">
      <c r="B28" s="58" t="s">
        <v>1313</v>
      </c>
      <c r="C28" s="292">
        <f>SUMIF(BTS_매출관리!C:C,B28,BTS_매출관리!I:I)</f>
        <v>0</v>
      </c>
      <c r="D28" s="58">
        <f t="shared" si="0"/>
        <v>28</v>
      </c>
      <c r="E28" t="s">
        <v>3780</v>
      </c>
      <c r="F28" t="s">
        <v>3662</v>
      </c>
      <c r="G28" t="s">
        <v>3785</v>
      </c>
      <c r="I28" t="s">
        <v>2254</v>
      </c>
      <c r="J28" s="294" t="s">
        <v>3713</v>
      </c>
      <c r="O28" t="s">
        <v>3685</v>
      </c>
      <c r="P28">
        <v>2</v>
      </c>
      <c r="R28" t="s">
        <v>3786</v>
      </c>
    </row>
    <row r="29" spans="2:18">
      <c r="B29" s="58" t="s">
        <v>2356</v>
      </c>
      <c r="C29" s="292">
        <f>SUMIF(BTS_매출관리!C:C,B29,BTS_매출관리!I:I)</f>
        <v>0</v>
      </c>
      <c r="D29" s="58">
        <f t="shared" si="0"/>
        <v>28</v>
      </c>
      <c r="E29" t="s">
        <v>2858</v>
      </c>
      <c r="F29" t="s">
        <v>3664</v>
      </c>
      <c r="G29" t="s">
        <v>3779</v>
      </c>
      <c r="O29" t="s">
        <v>3686</v>
      </c>
      <c r="P29">
        <v>2</v>
      </c>
      <c r="Q29" t="s">
        <v>3780</v>
      </c>
    </row>
    <row r="30" spans="2:18">
      <c r="B30" s="58" t="s">
        <v>1303</v>
      </c>
      <c r="C30" s="292">
        <f>SUMIF(BTS_매출관리!C:C,B30,BTS_매출관리!I:I)</f>
        <v>0</v>
      </c>
      <c r="D30" s="58">
        <f t="shared" si="0"/>
        <v>28</v>
      </c>
      <c r="F30" t="s">
        <v>3665</v>
      </c>
      <c r="G30" t="s">
        <v>3785</v>
      </c>
      <c r="O30" t="s">
        <v>3687</v>
      </c>
      <c r="P30">
        <v>2</v>
      </c>
      <c r="Q30" t="s">
        <v>3712</v>
      </c>
    </row>
    <row r="31" spans="2:18">
      <c r="B31" s="58" t="s">
        <v>1342</v>
      </c>
      <c r="C31" s="292">
        <f>SUMIF(BTS_매출관리!C:C,B31,BTS_매출관리!I:I)</f>
        <v>0</v>
      </c>
      <c r="D31" s="58">
        <f t="shared" si="0"/>
        <v>28</v>
      </c>
      <c r="F31" t="s">
        <v>3666</v>
      </c>
      <c r="G31" t="s">
        <v>3779</v>
      </c>
      <c r="O31" t="s">
        <v>3688</v>
      </c>
      <c r="P31">
        <v>1</v>
      </c>
      <c r="R31" t="s">
        <v>3785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3780</v>
      </c>
      <c r="F32" t="s">
        <v>3667</v>
      </c>
      <c r="G32" t="s">
        <v>3779</v>
      </c>
      <c r="O32" t="s">
        <v>3689</v>
      </c>
      <c r="P32">
        <v>1</v>
      </c>
      <c r="R32" t="s">
        <v>3779</v>
      </c>
    </row>
    <row r="33" spans="2:17">
      <c r="B33" s="58" t="s">
        <v>1267</v>
      </c>
      <c r="C33" s="292">
        <f>SUMIF(BTS_매출관리!C:C,B33,BTS_매출관리!I:I)</f>
        <v>0</v>
      </c>
      <c r="D33" s="58">
        <f t="shared" si="0"/>
        <v>28</v>
      </c>
      <c r="F33" t="s">
        <v>3668</v>
      </c>
      <c r="G33" t="s">
        <v>3779</v>
      </c>
      <c r="O33" t="s">
        <v>3690</v>
      </c>
      <c r="P33">
        <v>1</v>
      </c>
      <c r="Q33" t="s">
        <v>3696</v>
      </c>
    </row>
    <row r="34" spans="2:17">
      <c r="B34" s="58" t="s">
        <v>1484</v>
      </c>
      <c r="C34" s="292">
        <f>SUMIF(BTS_매출관리!C:C,B34,BTS_매출관리!I:I)</f>
        <v>0</v>
      </c>
      <c r="D34" s="58">
        <f t="shared" si="0"/>
        <v>28</v>
      </c>
      <c r="E34" t="s">
        <v>3780</v>
      </c>
      <c r="F34" t="s">
        <v>3669</v>
      </c>
      <c r="G34" t="s">
        <v>3785</v>
      </c>
      <c r="O34" t="s">
        <v>3661</v>
      </c>
      <c r="P34">
        <v>2</v>
      </c>
      <c r="Q34" t="s">
        <v>3780</v>
      </c>
    </row>
    <row r="35" spans="2:17">
      <c r="B35" s="58" t="s">
        <v>2911</v>
      </c>
      <c r="C35" s="292">
        <f>SUMIF(BTS_매출관리!C:C,B35,BTS_매출관리!I:I)</f>
        <v>0</v>
      </c>
      <c r="D35" s="58">
        <f t="shared" si="0"/>
        <v>28</v>
      </c>
      <c r="E35" t="s">
        <v>3780</v>
      </c>
      <c r="F35" t="s">
        <v>3670</v>
      </c>
      <c r="G35" t="s">
        <v>3785</v>
      </c>
      <c r="O35" t="s">
        <v>3691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3671</v>
      </c>
      <c r="G36" t="s">
        <v>3779</v>
      </c>
      <c r="O36" t="s">
        <v>3692</v>
      </c>
      <c r="P36">
        <v>1</v>
      </c>
      <c r="Q36" t="s">
        <v>3780</v>
      </c>
    </row>
    <row r="37" spans="2:17">
      <c r="B37" s="58" t="s">
        <v>1613</v>
      </c>
      <c r="C37" s="292">
        <f>SUMIF(BTS_매출관리!C:C,B37,BTS_매출관리!I:I)</f>
        <v>0</v>
      </c>
      <c r="D37" s="58">
        <f t="shared" si="0"/>
        <v>28</v>
      </c>
      <c r="E37" t="s">
        <v>3780</v>
      </c>
      <c r="F37" t="s">
        <v>3672</v>
      </c>
      <c r="G37" t="s">
        <v>3779</v>
      </c>
    </row>
    <row r="38" spans="2:17">
      <c r="B38" s="58" t="s">
        <v>1322</v>
      </c>
      <c r="C38" s="292">
        <f>SUMIF(BTS_매출관리!C:C,B38,BTS_매출관리!I:I)</f>
        <v>0</v>
      </c>
      <c r="D38" s="58">
        <f t="shared" si="0"/>
        <v>28</v>
      </c>
      <c r="E38" t="s">
        <v>3748</v>
      </c>
      <c r="F38" t="s">
        <v>3673</v>
      </c>
      <c r="G38" t="s">
        <v>3785</v>
      </c>
    </row>
    <row r="39" spans="2:17">
      <c r="B39" s="58" t="s">
        <v>1341</v>
      </c>
      <c r="C39" s="292">
        <f>SUMIF(BTS_매출관리!C:C,B39,BTS_매출관리!I:I)</f>
        <v>0</v>
      </c>
      <c r="D39" s="58">
        <f t="shared" si="0"/>
        <v>28</v>
      </c>
      <c r="E39" t="s">
        <v>3780</v>
      </c>
      <c r="F39" t="s">
        <v>3674</v>
      </c>
      <c r="G39" t="s">
        <v>3785</v>
      </c>
    </row>
    <row r="40" spans="2:17">
      <c r="B40" s="58" t="s">
        <v>1345</v>
      </c>
      <c r="C40" s="292">
        <f>SUMIF(BTS_매출관리!C:C,B40,BTS_매출관리!I:I)</f>
        <v>0</v>
      </c>
      <c r="D40" s="58">
        <f t="shared" si="0"/>
        <v>28</v>
      </c>
      <c r="F40" t="s">
        <v>3675</v>
      </c>
      <c r="G40" t="s">
        <v>3785</v>
      </c>
    </row>
    <row r="41" spans="2:17">
      <c r="B41" s="58" t="s">
        <v>2556</v>
      </c>
      <c r="C41" s="292">
        <f>SUMIF(BTS_매출관리!C:C,B41,BTS_매출관리!I:I)</f>
        <v>0</v>
      </c>
      <c r="D41" s="58">
        <f t="shared" si="0"/>
        <v>28</v>
      </c>
      <c r="E41" t="s">
        <v>3780</v>
      </c>
      <c r="F41" t="s">
        <v>3677</v>
      </c>
      <c r="G41" t="s">
        <v>3779</v>
      </c>
    </row>
    <row r="42" spans="2:17">
      <c r="B42" s="58" t="s">
        <v>1284</v>
      </c>
      <c r="C42" s="292">
        <f>SUMIF(BTS_매출관리!C:C,B42,BTS_매출관리!I:I)</f>
        <v>0</v>
      </c>
      <c r="D42" s="58">
        <f t="shared" si="0"/>
        <v>28</v>
      </c>
      <c r="F42" t="s">
        <v>1324</v>
      </c>
      <c r="G42" t="s">
        <v>3785</v>
      </c>
    </row>
    <row r="43" spans="2:17">
      <c r="B43" s="58" t="s">
        <v>1170</v>
      </c>
      <c r="C43" s="292">
        <f>SUMIF(BTS_매출관리!C:C,B43,BTS_매출관리!I:I)</f>
        <v>650000</v>
      </c>
      <c r="D43" s="58">
        <f t="shared" si="0"/>
        <v>17</v>
      </c>
      <c r="F43" t="s">
        <v>3766</v>
      </c>
      <c r="G43" t="s">
        <v>3779</v>
      </c>
    </row>
    <row r="44" spans="2:17">
      <c r="B44" s="58" t="s">
        <v>1294</v>
      </c>
      <c r="C44" s="292">
        <f>SUMIF(BTS_매출관리!C:C,B44,BTS_매출관리!I:I)</f>
        <v>600000</v>
      </c>
      <c r="D44" s="58">
        <f t="shared" si="0"/>
        <v>20</v>
      </c>
      <c r="E44" t="s">
        <v>3780</v>
      </c>
      <c r="F44" t="s">
        <v>3767</v>
      </c>
      <c r="G44" t="s">
        <v>3779</v>
      </c>
    </row>
    <row r="45" spans="2:17">
      <c r="B45" s="58" t="s">
        <v>1353</v>
      </c>
      <c r="C45" s="292">
        <f>SUMIF(BTS_매출관리!C:C,B45,BTS_매출관리!I:I)</f>
        <v>0</v>
      </c>
      <c r="D45" s="58">
        <f t="shared" si="0"/>
        <v>28</v>
      </c>
      <c r="E45" t="s">
        <v>3780</v>
      </c>
      <c r="F45" t="s">
        <v>3768</v>
      </c>
      <c r="G45" t="s">
        <v>3779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3781</v>
      </c>
      <c r="G46" t="s">
        <v>3779</v>
      </c>
    </row>
    <row r="47" spans="2:17">
      <c r="B47" s="58" t="s">
        <v>1299</v>
      </c>
      <c r="C47" s="292">
        <f>SUMIF(BTS_매출관리!C:C,B47,BTS_매출관리!I:I)</f>
        <v>0</v>
      </c>
      <c r="D47" s="58">
        <f t="shared" si="0"/>
        <v>28</v>
      </c>
      <c r="E47" t="s">
        <v>3780</v>
      </c>
      <c r="F47" s="58" t="s">
        <v>1035</v>
      </c>
      <c r="G47" t="s">
        <v>3779</v>
      </c>
      <c r="K47" t="s">
        <v>3779</v>
      </c>
      <c r="L47">
        <f>COUNTIF(G22:G49,"스팸")</f>
        <v>17</v>
      </c>
    </row>
    <row r="48" spans="2:17">
      <c r="B48" s="58" t="s">
        <v>1326</v>
      </c>
      <c r="C48" s="292">
        <f>SUMIF(BTS_매출관리!C:C,B48,BTS_매출관리!I:I)</f>
        <v>0</v>
      </c>
      <c r="D48" s="58">
        <f t="shared" si="0"/>
        <v>28</v>
      </c>
      <c r="F48" s="58" t="s">
        <v>1353</v>
      </c>
      <c r="G48" t="s">
        <v>3785</v>
      </c>
      <c r="K48" t="s">
        <v>3785</v>
      </c>
      <c r="L48">
        <f>COUNTIF(G22:G49,"반반")</f>
        <v>10</v>
      </c>
    </row>
    <row r="49" spans="2:7">
      <c r="B49" s="58" t="s">
        <v>1280</v>
      </c>
      <c r="C49" s="292">
        <f>SUMIF(BTS_매출관리!C:C,B49,BTS_매출관리!I:I)</f>
        <v>0</v>
      </c>
      <c r="D49" s="58">
        <f t="shared" si="0"/>
        <v>28</v>
      </c>
      <c r="F49" t="s">
        <v>1317</v>
      </c>
      <c r="G49" t="s">
        <v>3785</v>
      </c>
    </row>
    <row r="50" spans="2:7">
      <c r="B50" s="58" t="s">
        <v>1295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2860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1292</v>
      </c>
      <c r="C53" s="293">
        <f>SUMIF(BTS_매출관리!C:C,B53,BTS_매출관리!I:I)</f>
        <v>0</v>
      </c>
      <c r="D53" s="47">
        <f t="shared" si="0"/>
        <v>28</v>
      </c>
      <c r="E53" t="s">
        <v>3780</v>
      </c>
    </row>
    <row r="54" spans="2:7">
      <c r="B54" s="47" t="s">
        <v>2779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1352</v>
      </c>
      <c r="C55" s="293">
        <f>SUMIF(BTS_매출관리!C:C,B55,BTS_매출관리!I:I)</f>
        <v>0</v>
      </c>
      <c r="D55" s="47">
        <f t="shared" si="0"/>
        <v>28</v>
      </c>
      <c r="E55" t="s">
        <v>2858</v>
      </c>
    </row>
    <row r="56" spans="2:7">
      <c r="B56" s="47" t="s">
        <v>1355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3287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2855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2279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1347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1317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3116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2370</v>
      </c>
      <c r="C63" s="52">
        <f>SUMIF(BTS_매출관리!C:C,B63,BTS_매출관리!I:I)</f>
        <v>0</v>
      </c>
      <c r="D63">
        <f t="shared" si="0"/>
        <v>28</v>
      </c>
      <c r="E63" t="s">
        <v>3780</v>
      </c>
    </row>
    <row r="64" spans="2:7">
      <c r="B64" t="s">
        <v>1607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2752</v>
      </c>
      <c r="C65" s="52">
        <f>SUMIF(BTS_매출관리!C:C,B65,BTS_매출관리!I:I)</f>
        <v>0</v>
      </c>
      <c r="D65">
        <f t="shared" si="0"/>
        <v>28</v>
      </c>
      <c r="E65" t="s">
        <v>3780</v>
      </c>
    </row>
    <row r="66" spans="2:5">
      <c r="B66" t="s">
        <v>1567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3534</v>
      </c>
      <c r="C67" s="52">
        <f>SUMIF(BTS_매출관리!C:C,B67,BTS_매출관리!I:I)</f>
        <v>0</v>
      </c>
      <c r="D67">
        <f t="shared" si="1"/>
        <v>28</v>
      </c>
      <c r="E67" t="s">
        <v>3780</v>
      </c>
    </row>
    <row r="68" spans="2:5">
      <c r="B68" t="s">
        <v>1324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1900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2254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3617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1279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2864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2360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1335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2885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1301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1370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3265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1224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1311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1288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2303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2013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1271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2784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1290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1264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2757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2699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2891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2737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2091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1281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2764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2930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3025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1230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2937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2129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2144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2035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1188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1234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1325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1356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3183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1654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1312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1274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1315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2587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1304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3073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1344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3401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1318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1153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2030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3459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2868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3017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3564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1319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1185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2804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3206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2376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1297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2486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1293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2463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1310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1314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1340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1350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3147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3455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1277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1320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2049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3448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3496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2959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3704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2628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2273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3347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1273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1306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3259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1834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2482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2727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3179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1331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1287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1278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1282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1289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1296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1300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1305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1307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1308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1316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1321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1323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1327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1333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1334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1336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1339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1343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1346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1351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1354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1561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2366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2672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2925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7.399999999999999"/>
  <cols>
    <col min="1" max="1" width="4.19921875" style="243" customWidth="1"/>
    <col min="2" max="2" width="10.19921875" style="251" bestFit="1" customWidth="1"/>
    <col min="3" max="3" width="9" style="242"/>
    <col min="4" max="4" width="10" style="242" customWidth="1"/>
    <col min="5" max="5" width="5.5" style="242" customWidth="1"/>
    <col min="6" max="6" width="5.19921875" style="242" bestFit="1" customWidth="1"/>
    <col min="7" max="7" width="10.8984375" style="242" bestFit="1" customWidth="1"/>
    <col min="8" max="8" width="11.59765625" style="242" customWidth="1"/>
    <col min="9" max="9" width="9" style="242"/>
    <col min="10" max="10" width="11.59765625" style="242" customWidth="1"/>
    <col min="11" max="11" width="9" style="242"/>
    <col min="12" max="12" width="15" style="242" bestFit="1" customWidth="1"/>
    <col min="13" max="13" width="12.69921875" style="242" customWidth="1"/>
    <col min="14" max="14" width="9" style="242"/>
    <col min="15" max="15" width="11.59765625" style="242" bestFit="1" customWidth="1"/>
    <col min="16" max="253" width="9" style="242"/>
    <col min="254" max="254" width="2" style="242" customWidth="1"/>
    <col min="255" max="255" width="5" style="242" customWidth="1"/>
    <col min="256" max="257" width="3.59765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59765625" style="242" customWidth="1"/>
    <col min="264" max="264" width="9" style="242"/>
    <col min="265" max="265" width="11.59765625" style="242" customWidth="1"/>
    <col min="266" max="266" width="9" style="242"/>
    <col min="267" max="267" width="15" style="242" bestFit="1" customWidth="1"/>
    <col min="268" max="268" width="13.59765625" style="242" bestFit="1" customWidth="1"/>
    <col min="269" max="509" width="9" style="242"/>
    <col min="510" max="510" width="2" style="242" customWidth="1"/>
    <col min="511" max="511" width="5" style="242" customWidth="1"/>
    <col min="512" max="513" width="3.59765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59765625" style="242" customWidth="1"/>
    <col min="520" max="520" width="9" style="242"/>
    <col min="521" max="521" width="11.59765625" style="242" customWidth="1"/>
    <col min="522" max="522" width="9" style="242"/>
    <col min="523" max="523" width="15" style="242" bestFit="1" customWidth="1"/>
    <col min="524" max="524" width="13.59765625" style="242" bestFit="1" customWidth="1"/>
    <col min="525" max="765" width="9" style="242"/>
    <col min="766" max="766" width="2" style="242" customWidth="1"/>
    <col min="767" max="767" width="5" style="242" customWidth="1"/>
    <col min="768" max="769" width="3.59765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59765625" style="242" customWidth="1"/>
    <col min="776" max="776" width="9" style="242"/>
    <col min="777" max="777" width="11.59765625" style="242" customWidth="1"/>
    <col min="778" max="778" width="9" style="242"/>
    <col min="779" max="779" width="15" style="242" bestFit="1" customWidth="1"/>
    <col min="780" max="780" width="13.59765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59765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59765625" style="242" customWidth="1"/>
    <col min="1032" max="1032" width="9" style="242"/>
    <col min="1033" max="1033" width="11.59765625" style="242" customWidth="1"/>
    <col min="1034" max="1034" width="9" style="242"/>
    <col min="1035" max="1035" width="15" style="242" bestFit="1" customWidth="1"/>
    <col min="1036" max="1036" width="13.59765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59765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59765625" style="242" customWidth="1"/>
    <col min="1288" max="1288" width="9" style="242"/>
    <col min="1289" max="1289" width="11.59765625" style="242" customWidth="1"/>
    <col min="1290" max="1290" width="9" style="242"/>
    <col min="1291" max="1291" width="15" style="242" bestFit="1" customWidth="1"/>
    <col min="1292" max="1292" width="13.59765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59765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59765625" style="242" customWidth="1"/>
    <col min="1544" max="1544" width="9" style="242"/>
    <col min="1545" max="1545" width="11.59765625" style="242" customWidth="1"/>
    <col min="1546" max="1546" width="9" style="242"/>
    <col min="1547" max="1547" width="15" style="242" bestFit="1" customWidth="1"/>
    <col min="1548" max="1548" width="13.59765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59765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59765625" style="242" customWidth="1"/>
    <col min="1800" max="1800" width="9" style="242"/>
    <col min="1801" max="1801" width="11.59765625" style="242" customWidth="1"/>
    <col min="1802" max="1802" width="9" style="242"/>
    <col min="1803" max="1803" width="15" style="242" bestFit="1" customWidth="1"/>
    <col min="1804" max="1804" width="13.59765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59765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59765625" style="242" customWidth="1"/>
    <col min="2056" max="2056" width="9" style="242"/>
    <col min="2057" max="2057" width="11.59765625" style="242" customWidth="1"/>
    <col min="2058" max="2058" width="9" style="242"/>
    <col min="2059" max="2059" width="15" style="242" bestFit="1" customWidth="1"/>
    <col min="2060" max="2060" width="13.59765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59765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59765625" style="242" customWidth="1"/>
    <col min="2312" max="2312" width="9" style="242"/>
    <col min="2313" max="2313" width="11.59765625" style="242" customWidth="1"/>
    <col min="2314" max="2314" width="9" style="242"/>
    <col min="2315" max="2315" width="15" style="242" bestFit="1" customWidth="1"/>
    <col min="2316" max="2316" width="13.59765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59765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59765625" style="242" customWidth="1"/>
    <col min="2568" max="2568" width="9" style="242"/>
    <col min="2569" max="2569" width="11.59765625" style="242" customWidth="1"/>
    <col min="2570" max="2570" width="9" style="242"/>
    <col min="2571" max="2571" width="15" style="242" bestFit="1" customWidth="1"/>
    <col min="2572" max="2572" width="13.59765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59765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59765625" style="242" customWidth="1"/>
    <col min="2824" max="2824" width="9" style="242"/>
    <col min="2825" max="2825" width="11.59765625" style="242" customWidth="1"/>
    <col min="2826" max="2826" width="9" style="242"/>
    <col min="2827" max="2827" width="15" style="242" bestFit="1" customWidth="1"/>
    <col min="2828" max="2828" width="13.59765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59765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59765625" style="242" customWidth="1"/>
    <col min="3080" max="3080" width="9" style="242"/>
    <col min="3081" max="3081" width="11.59765625" style="242" customWidth="1"/>
    <col min="3082" max="3082" width="9" style="242"/>
    <col min="3083" max="3083" width="15" style="242" bestFit="1" customWidth="1"/>
    <col min="3084" max="3084" width="13.59765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59765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59765625" style="242" customWidth="1"/>
    <col min="3336" max="3336" width="9" style="242"/>
    <col min="3337" max="3337" width="11.59765625" style="242" customWidth="1"/>
    <col min="3338" max="3338" width="9" style="242"/>
    <col min="3339" max="3339" width="15" style="242" bestFit="1" customWidth="1"/>
    <col min="3340" max="3340" width="13.59765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59765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59765625" style="242" customWidth="1"/>
    <col min="3592" max="3592" width="9" style="242"/>
    <col min="3593" max="3593" width="11.59765625" style="242" customWidth="1"/>
    <col min="3594" max="3594" width="9" style="242"/>
    <col min="3595" max="3595" width="15" style="242" bestFit="1" customWidth="1"/>
    <col min="3596" max="3596" width="13.59765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59765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59765625" style="242" customWidth="1"/>
    <col min="3848" max="3848" width="9" style="242"/>
    <col min="3849" max="3849" width="11.59765625" style="242" customWidth="1"/>
    <col min="3850" max="3850" width="9" style="242"/>
    <col min="3851" max="3851" width="15" style="242" bestFit="1" customWidth="1"/>
    <col min="3852" max="3852" width="13.59765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59765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59765625" style="242" customWidth="1"/>
    <col min="4104" max="4104" width="9" style="242"/>
    <col min="4105" max="4105" width="11.59765625" style="242" customWidth="1"/>
    <col min="4106" max="4106" width="9" style="242"/>
    <col min="4107" max="4107" width="15" style="242" bestFit="1" customWidth="1"/>
    <col min="4108" max="4108" width="13.59765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59765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59765625" style="242" customWidth="1"/>
    <col min="4360" max="4360" width="9" style="242"/>
    <col min="4361" max="4361" width="11.59765625" style="242" customWidth="1"/>
    <col min="4362" max="4362" width="9" style="242"/>
    <col min="4363" max="4363" width="15" style="242" bestFit="1" customWidth="1"/>
    <col min="4364" max="4364" width="13.59765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59765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59765625" style="242" customWidth="1"/>
    <col min="4616" max="4616" width="9" style="242"/>
    <col min="4617" max="4617" width="11.59765625" style="242" customWidth="1"/>
    <col min="4618" max="4618" width="9" style="242"/>
    <col min="4619" max="4619" width="15" style="242" bestFit="1" customWidth="1"/>
    <col min="4620" max="4620" width="13.59765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59765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59765625" style="242" customWidth="1"/>
    <col min="4872" max="4872" width="9" style="242"/>
    <col min="4873" max="4873" width="11.59765625" style="242" customWidth="1"/>
    <col min="4874" max="4874" width="9" style="242"/>
    <col min="4875" max="4875" width="15" style="242" bestFit="1" customWidth="1"/>
    <col min="4876" max="4876" width="13.59765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59765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59765625" style="242" customWidth="1"/>
    <col min="5128" max="5128" width="9" style="242"/>
    <col min="5129" max="5129" width="11.59765625" style="242" customWidth="1"/>
    <col min="5130" max="5130" width="9" style="242"/>
    <col min="5131" max="5131" width="15" style="242" bestFit="1" customWidth="1"/>
    <col min="5132" max="5132" width="13.59765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59765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59765625" style="242" customWidth="1"/>
    <col min="5384" max="5384" width="9" style="242"/>
    <col min="5385" max="5385" width="11.59765625" style="242" customWidth="1"/>
    <col min="5386" max="5386" width="9" style="242"/>
    <col min="5387" max="5387" width="15" style="242" bestFit="1" customWidth="1"/>
    <col min="5388" max="5388" width="13.59765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59765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59765625" style="242" customWidth="1"/>
    <col min="5640" max="5640" width="9" style="242"/>
    <col min="5641" max="5641" width="11.59765625" style="242" customWidth="1"/>
    <col min="5642" max="5642" width="9" style="242"/>
    <col min="5643" max="5643" width="15" style="242" bestFit="1" customWidth="1"/>
    <col min="5644" max="5644" width="13.59765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59765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59765625" style="242" customWidth="1"/>
    <col min="5896" max="5896" width="9" style="242"/>
    <col min="5897" max="5897" width="11.59765625" style="242" customWidth="1"/>
    <col min="5898" max="5898" width="9" style="242"/>
    <col min="5899" max="5899" width="15" style="242" bestFit="1" customWidth="1"/>
    <col min="5900" max="5900" width="13.59765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59765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59765625" style="242" customWidth="1"/>
    <col min="6152" max="6152" width="9" style="242"/>
    <col min="6153" max="6153" width="11.59765625" style="242" customWidth="1"/>
    <col min="6154" max="6154" width="9" style="242"/>
    <col min="6155" max="6155" width="15" style="242" bestFit="1" customWidth="1"/>
    <col min="6156" max="6156" width="13.59765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59765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59765625" style="242" customWidth="1"/>
    <col min="6408" max="6408" width="9" style="242"/>
    <col min="6409" max="6409" width="11.59765625" style="242" customWidth="1"/>
    <col min="6410" max="6410" width="9" style="242"/>
    <col min="6411" max="6411" width="15" style="242" bestFit="1" customWidth="1"/>
    <col min="6412" max="6412" width="13.59765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59765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59765625" style="242" customWidth="1"/>
    <col min="6664" max="6664" width="9" style="242"/>
    <col min="6665" max="6665" width="11.59765625" style="242" customWidth="1"/>
    <col min="6666" max="6666" width="9" style="242"/>
    <col min="6667" max="6667" width="15" style="242" bestFit="1" customWidth="1"/>
    <col min="6668" max="6668" width="13.59765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59765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59765625" style="242" customWidth="1"/>
    <col min="6920" max="6920" width="9" style="242"/>
    <col min="6921" max="6921" width="11.59765625" style="242" customWidth="1"/>
    <col min="6922" max="6922" width="9" style="242"/>
    <col min="6923" max="6923" width="15" style="242" bestFit="1" customWidth="1"/>
    <col min="6924" max="6924" width="13.59765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59765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59765625" style="242" customWidth="1"/>
    <col min="7176" max="7176" width="9" style="242"/>
    <col min="7177" max="7177" width="11.59765625" style="242" customWidth="1"/>
    <col min="7178" max="7178" width="9" style="242"/>
    <col min="7179" max="7179" width="15" style="242" bestFit="1" customWidth="1"/>
    <col min="7180" max="7180" width="13.59765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59765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59765625" style="242" customWidth="1"/>
    <col min="7432" max="7432" width="9" style="242"/>
    <col min="7433" max="7433" width="11.59765625" style="242" customWidth="1"/>
    <col min="7434" max="7434" width="9" style="242"/>
    <col min="7435" max="7435" width="15" style="242" bestFit="1" customWidth="1"/>
    <col min="7436" max="7436" width="13.59765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59765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59765625" style="242" customWidth="1"/>
    <col min="7688" max="7688" width="9" style="242"/>
    <col min="7689" max="7689" width="11.59765625" style="242" customWidth="1"/>
    <col min="7690" max="7690" width="9" style="242"/>
    <col min="7691" max="7691" width="15" style="242" bestFit="1" customWidth="1"/>
    <col min="7692" max="7692" width="13.59765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59765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59765625" style="242" customWidth="1"/>
    <col min="7944" max="7944" width="9" style="242"/>
    <col min="7945" max="7945" width="11.59765625" style="242" customWidth="1"/>
    <col min="7946" max="7946" width="9" style="242"/>
    <col min="7947" max="7947" width="15" style="242" bestFit="1" customWidth="1"/>
    <col min="7948" max="7948" width="13.59765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59765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59765625" style="242" customWidth="1"/>
    <col min="8200" max="8200" width="9" style="242"/>
    <col min="8201" max="8201" width="11.59765625" style="242" customWidth="1"/>
    <col min="8202" max="8202" width="9" style="242"/>
    <col min="8203" max="8203" width="15" style="242" bestFit="1" customWidth="1"/>
    <col min="8204" max="8204" width="13.59765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59765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59765625" style="242" customWidth="1"/>
    <col min="8456" max="8456" width="9" style="242"/>
    <col min="8457" max="8457" width="11.59765625" style="242" customWidth="1"/>
    <col min="8458" max="8458" width="9" style="242"/>
    <col min="8459" max="8459" width="15" style="242" bestFit="1" customWidth="1"/>
    <col min="8460" max="8460" width="13.59765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59765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59765625" style="242" customWidth="1"/>
    <col min="8712" max="8712" width="9" style="242"/>
    <col min="8713" max="8713" width="11.59765625" style="242" customWidth="1"/>
    <col min="8714" max="8714" width="9" style="242"/>
    <col min="8715" max="8715" width="15" style="242" bestFit="1" customWidth="1"/>
    <col min="8716" max="8716" width="13.59765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59765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59765625" style="242" customWidth="1"/>
    <col min="8968" max="8968" width="9" style="242"/>
    <col min="8969" max="8969" width="11.59765625" style="242" customWidth="1"/>
    <col min="8970" max="8970" width="9" style="242"/>
    <col min="8971" max="8971" width="15" style="242" bestFit="1" customWidth="1"/>
    <col min="8972" max="8972" width="13.59765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59765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59765625" style="242" customWidth="1"/>
    <col min="9224" max="9224" width="9" style="242"/>
    <col min="9225" max="9225" width="11.59765625" style="242" customWidth="1"/>
    <col min="9226" max="9226" width="9" style="242"/>
    <col min="9227" max="9227" width="15" style="242" bestFit="1" customWidth="1"/>
    <col min="9228" max="9228" width="13.59765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59765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59765625" style="242" customWidth="1"/>
    <col min="9480" max="9480" width="9" style="242"/>
    <col min="9481" max="9481" width="11.59765625" style="242" customWidth="1"/>
    <col min="9482" max="9482" width="9" style="242"/>
    <col min="9483" max="9483" width="15" style="242" bestFit="1" customWidth="1"/>
    <col min="9484" max="9484" width="13.59765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59765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59765625" style="242" customWidth="1"/>
    <col min="9736" max="9736" width="9" style="242"/>
    <col min="9737" max="9737" width="11.59765625" style="242" customWidth="1"/>
    <col min="9738" max="9738" width="9" style="242"/>
    <col min="9739" max="9739" width="15" style="242" bestFit="1" customWidth="1"/>
    <col min="9740" max="9740" width="13.59765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59765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59765625" style="242" customWidth="1"/>
    <col min="9992" max="9992" width="9" style="242"/>
    <col min="9993" max="9993" width="11.59765625" style="242" customWidth="1"/>
    <col min="9994" max="9994" width="9" style="242"/>
    <col min="9995" max="9995" width="15" style="242" bestFit="1" customWidth="1"/>
    <col min="9996" max="9996" width="13.59765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59765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59765625" style="242" customWidth="1"/>
    <col min="10248" max="10248" width="9" style="242"/>
    <col min="10249" max="10249" width="11.59765625" style="242" customWidth="1"/>
    <col min="10250" max="10250" width="9" style="242"/>
    <col min="10251" max="10251" width="15" style="242" bestFit="1" customWidth="1"/>
    <col min="10252" max="10252" width="13.59765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59765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59765625" style="242" customWidth="1"/>
    <col min="10504" max="10504" width="9" style="242"/>
    <col min="10505" max="10505" width="11.59765625" style="242" customWidth="1"/>
    <col min="10506" max="10506" width="9" style="242"/>
    <col min="10507" max="10507" width="15" style="242" bestFit="1" customWidth="1"/>
    <col min="10508" max="10508" width="13.59765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59765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59765625" style="242" customWidth="1"/>
    <col min="10760" max="10760" width="9" style="242"/>
    <col min="10761" max="10761" width="11.59765625" style="242" customWidth="1"/>
    <col min="10762" max="10762" width="9" style="242"/>
    <col min="10763" max="10763" width="15" style="242" bestFit="1" customWidth="1"/>
    <col min="10764" max="10764" width="13.59765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59765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59765625" style="242" customWidth="1"/>
    <col min="11016" max="11016" width="9" style="242"/>
    <col min="11017" max="11017" width="11.59765625" style="242" customWidth="1"/>
    <col min="11018" max="11018" width="9" style="242"/>
    <col min="11019" max="11019" width="15" style="242" bestFit="1" customWidth="1"/>
    <col min="11020" max="11020" width="13.59765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59765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59765625" style="242" customWidth="1"/>
    <col min="11272" max="11272" width="9" style="242"/>
    <col min="11273" max="11273" width="11.59765625" style="242" customWidth="1"/>
    <col min="11274" max="11274" width="9" style="242"/>
    <col min="11275" max="11275" width="15" style="242" bestFit="1" customWidth="1"/>
    <col min="11276" max="11276" width="13.59765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59765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59765625" style="242" customWidth="1"/>
    <col min="11528" max="11528" width="9" style="242"/>
    <col min="11529" max="11529" width="11.59765625" style="242" customWidth="1"/>
    <col min="11530" max="11530" width="9" style="242"/>
    <col min="11531" max="11531" width="15" style="242" bestFit="1" customWidth="1"/>
    <col min="11532" max="11532" width="13.59765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59765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59765625" style="242" customWidth="1"/>
    <col min="11784" max="11784" width="9" style="242"/>
    <col min="11785" max="11785" width="11.59765625" style="242" customWidth="1"/>
    <col min="11786" max="11786" width="9" style="242"/>
    <col min="11787" max="11787" width="15" style="242" bestFit="1" customWidth="1"/>
    <col min="11788" max="11788" width="13.59765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59765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59765625" style="242" customWidth="1"/>
    <col min="12040" max="12040" width="9" style="242"/>
    <col min="12041" max="12041" width="11.59765625" style="242" customWidth="1"/>
    <col min="12042" max="12042" width="9" style="242"/>
    <col min="12043" max="12043" width="15" style="242" bestFit="1" customWidth="1"/>
    <col min="12044" max="12044" width="13.59765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59765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59765625" style="242" customWidth="1"/>
    <col min="12296" max="12296" width="9" style="242"/>
    <col min="12297" max="12297" width="11.59765625" style="242" customWidth="1"/>
    <col min="12298" max="12298" width="9" style="242"/>
    <col min="12299" max="12299" width="15" style="242" bestFit="1" customWidth="1"/>
    <col min="12300" max="12300" width="13.59765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59765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59765625" style="242" customWidth="1"/>
    <col min="12552" max="12552" width="9" style="242"/>
    <col min="12553" max="12553" width="11.59765625" style="242" customWidth="1"/>
    <col min="12554" max="12554" width="9" style="242"/>
    <col min="12555" max="12555" width="15" style="242" bestFit="1" customWidth="1"/>
    <col min="12556" max="12556" width="13.59765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59765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59765625" style="242" customWidth="1"/>
    <col min="12808" max="12808" width="9" style="242"/>
    <col min="12809" max="12809" width="11.59765625" style="242" customWidth="1"/>
    <col min="12810" max="12810" width="9" style="242"/>
    <col min="12811" max="12811" width="15" style="242" bestFit="1" customWidth="1"/>
    <col min="12812" max="12812" width="13.59765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59765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59765625" style="242" customWidth="1"/>
    <col min="13064" max="13064" width="9" style="242"/>
    <col min="13065" max="13065" width="11.59765625" style="242" customWidth="1"/>
    <col min="13066" max="13066" width="9" style="242"/>
    <col min="13067" max="13067" width="15" style="242" bestFit="1" customWidth="1"/>
    <col min="13068" max="13068" width="13.59765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59765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59765625" style="242" customWidth="1"/>
    <col min="13320" max="13320" width="9" style="242"/>
    <col min="13321" max="13321" width="11.59765625" style="242" customWidth="1"/>
    <col min="13322" max="13322" width="9" style="242"/>
    <col min="13323" max="13323" width="15" style="242" bestFit="1" customWidth="1"/>
    <col min="13324" max="13324" width="13.59765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59765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59765625" style="242" customWidth="1"/>
    <col min="13576" max="13576" width="9" style="242"/>
    <col min="13577" max="13577" width="11.59765625" style="242" customWidth="1"/>
    <col min="13578" max="13578" width="9" style="242"/>
    <col min="13579" max="13579" width="15" style="242" bestFit="1" customWidth="1"/>
    <col min="13580" max="13580" width="13.59765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59765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59765625" style="242" customWidth="1"/>
    <col min="13832" max="13832" width="9" style="242"/>
    <col min="13833" max="13833" width="11.59765625" style="242" customWidth="1"/>
    <col min="13834" max="13834" width="9" style="242"/>
    <col min="13835" max="13835" width="15" style="242" bestFit="1" customWidth="1"/>
    <col min="13836" max="13836" width="13.59765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59765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59765625" style="242" customWidth="1"/>
    <col min="14088" max="14088" width="9" style="242"/>
    <col min="14089" max="14089" width="11.59765625" style="242" customWidth="1"/>
    <col min="14090" max="14090" width="9" style="242"/>
    <col min="14091" max="14091" width="15" style="242" bestFit="1" customWidth="1"/>
    <col min="14092" max="14092" width="13.59765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59765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59765625" style="242" customWidth="1"/>
    <col min="14344" max="14344" width="9" style="242"/>
    <col min="14345" max="14345" width="11.59765625" style="242" customWidth="1"/>
    <col min="14346" max="14346" width="9" style="242"/>
    <col min="14347" max="14347" width="15" style="242" bestFit="1" customWidth="1"/>
    <col min="14348" max="14348" width="13.59765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59765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59765625" style="242" customWidth="1"/>
    <col min="14600" max="14600" width="9" style="242"/>
    <col min="14601" max="14601" width="11.59765625" style="242" customWidth="1"/>
    <col min="14602" max="14602" width="9" style="242"/>
    <col min="14603" max="14603" width="15" style="242" bestFit="1" customWidth="1"/>
    <col min="14604" max="14604" width="13.59765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59765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59765625" style="242" customWidth="1"/>
    <col min="14856" max="14856" width="9" style="242"/>
    <col min="14857" max="14857" width="11.59765625" style="242" customWidth="1"/>
    <col min="14858" max="14858" width="9" style="242"/>
    <col min="14859" max="14859" width="15" style="242" bestFit="1" customWidth="1"/>
    <col min="14860" max="14860" width="13.59765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59765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59765625" style="242" customWidth="1"/>
    <col min="15112" max="15112" width="9" style="242"/>
    <col min="15113" max="15113" width="11.59765625" style="242" customWidth="1"/>
    <col min="15114" max="15114" width="9" style="242"/>
    <col min="15115" max="15115" width="15" style="242" bestFit="1" customWidth="1"/>
    <col min="15116" max="15116" width="13.59765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59765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59765625" style="242" customWidth="1"/>
    <col min="15368" max="15368" width="9" style="242"/>
    <col min="15369" max="15369" width="11.59765625" style="242" customWidth="1"/>
    <col min="15370" max="15370" width="9" style="242"/>
    <col min="15371" max="15371" width="15" style="242" bestFit="1" customWidth="1"/>
    <col min="15372" max="15372" width="13.59765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59765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59765625" style="242" customWidth="1"/>
    <col min="15624" max="15624" width="9" style="242"/>
    <col min="15625" max="15625" width="11.59765625" style="242" customWidth="1"/>
    <col min="15626" max="15626" width="9" style="242"/>
    <col min="15627" max="15627" width="15" style="242" bestFit="1" customWidth="1"/>
    <col min="15628" max="15628" width="13.59765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59765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59765625" style="242" customWidth="1"/>
    <col min="15880" max="15880" width="9" style="242"/>
    <col min="15881" max="15881" width="11.59765625" style="242" customWidth="1"/>
    <col min="15882" max="15882" width="9" style="242"/>
    <col min="15883" max="15883" width="15" style="242" bestFit="1" customWidth="1"/>
    <col min="15884" max="15884" width="13.59765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59765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59765625" style="242" customWidth="1"/>
    <col min="16136" max="16136" width="9" style="242"/>
    <col min="16137" max="16137" width="11.59765625" style="242" customWidth="1"/>
    <col min="16138" max="16138" width="9" style="242"/>
    <col min="16139" max="16139" width="15" style="242" bestFit="1" customWidth="1"/>
    <col min="16140" max="16140" width="13.59765625" style="242" bestFit="1" customWidth="1"/>
    <col min="16141" max="16384" width="9" style="242"/>
  </cols>
  <sheetData>
    <row r="1" spans="1:15">
      <c r="A1" s="454" t="s">
        <v>2</v>
      </c>
      <c r="B1" s="459" t="s">
        <v>2318</v>
      </c>
      <c r="C1" s="457" t="s">
        <v>2519</v>
      </c>
      <c r="D1" s="454" t="s">
        <v>2548</v>
      </c>
      <c r="E1" s="454" t="s">
        <v>36</v>
      </c>
      <c r="F1" s="454" t="s">
        <v>2703</v>
      </c>
      <c r="G1" s="454"/>
      <c r="H1" s="454" t="s">
        <v>2704</v>
      </c>
      <c r="I1" s="454"/>
      <c r="J1" s="454" t="s">
        <v>2705</v>
      </c>
      <c r="K1" s="454"/>
      <c r="L1" s="268"/>
    </row>
    <row r="2" spans="1:15" ht="18" thickBot="1">
      <c r="A2" s="455"/>
      <c r="B2" s="460"/>
      <c r="C2" s="458"/>
      <c r="D2" s="455"/>
      <c r="E2" s="455"/>
      <c r="F2" s="274" t="s">
        <v>2520</v>
      </c>
      <c r="G2" s="274" t="s">
        <v>2521</v>
      </c>
      <c r="H2" s="274" t="s">
        <v>2522</v>
      </c>
      <c r="I2" s="274" t="s">
        <v>2523</v>
      </c>
      <c r="J2" s="274" t="s">
        <v>2522</v>
      </c>
      <c r="K2" s="274" t="s">
        <v>2523</v>
      </c>
      <c r="L2" s="274"/>
    </row>
    <row r="3" spans="1:15" ht="18" customHeight="1">
      <c r="A3" s="265">
        <v>1</v>
      </c>
      <c r="B3" s="269">
        <v>45659</v>
      </c>
      <c r="C3" s="270" t="s">
        <v>2524</v>
      </c>
      <c r="D3" s="270" t="s">
        <v>2525</v>
      </c>
      <c r="E3" s="270" t="s">
        <v>2526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2527</v>
      </c>
      <c r="D4" s="245" t="s">
        <v>2528</v>
      </c>
      <c r="E4" s="245" t="s">
        <v>2526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2524</v>
      </c>
      <c r="D5" s="245" t="s">
        <v>2525</v>
      </c>
      <c r="E5" s="245" t="s">
        <v>2526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2524</v>
      </c>
      <c r="D6" s="245" t="s">
        <v>2525</v>
      </c>
      <c r="E6" s="245" t="s">
        <v>2526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2524</v>
      </c>
      <c r="D7" s="245" t="s">
        <v>2525</v>
      </c>
      <c r="E7" s="245" t="s">
        <v>2529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2530</v>
      </c>
      <c r="D8" s="245" t="s">
        <v>2531</v>
      </c>
      <c r="E8" s="245" t="s">
        <v>2526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2532</v>
      </c>
      <c r="D9" s="245" t="s">
        <v>2533</v>
      </c>
      <c r="E9" s="245" t="s">
        <v>2526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2534</v>
      </c>
      <c r="D10" s="245" t="s">
        <v>2525</v>
      </c>
      <c r="E10" s="245" t="s">
        <v>2529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2535</v>
      </c>
      <c r="D11" s="245" t="s">
        <v>2525</v>
      </c>
      <c r="E11" s="245" t="s">
        <v>2529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2524</v>
      </c>
      <c r="D12" s="245" t="s">
        <v>2525</v>
      </c>
      <c r="E12" s="245" t="s">
        <v>2526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2524</v>
      </c>
      <c r="D13" s="245" t="s">
        <v>2525</v>
      </c>
      <c r="E13" s="245" t="s">
        <v>2526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2527</v>
      </c>
      <c r="D14" s="245" t="s">
        <v>2528</v>
      </c>
      <c r="E14" s="245" t="s">
        <v>2529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2524</v>
      </c>
      <c r="D15" s="245" t="s">
        <v>2525</v>
      </c>
      <c r="E15" s="245" t="s">
        <v>2529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2536</v>
      </c>
      <c r="D16" s="245" t="s">
        <v>2537</v>
      </c>
      <c r="E16" s="245" t="s">
        <v>2529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2524</v>
      </c>
      <c r="D17" s="245" t="s">
        <v>2525</v>
      </c>
      <c r="E17" s="245" t="s">
        <v>2529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2535</v>
      </c>
      <c r="D18" s="245" t="s">
        <v>2525</v>
      </c>
      <c r="E18" s="245" t="s">
        <v>2526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2538</v>
      </c>
      <c r="D19" s="245" t="s">
        <v>2539</v>
      </c>
      <c r="E19" s="245" t="s">
        <v>2529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2534</v>
      </c>
      <c r="D20" s="245" t="s">
        <v>2525</v>
      </c>
      <c r="E20" s="245" t="s">
        <v>2529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2540</v>
      </c>
      <c r="D21" s="245" t="s">
        <v>2537</v>
      </c>
      <c r="E21" s="245" t="s">
        <v>2529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2541</v>
      </c>
      <c r="D22" s="245" t="s">
        <v>2542</v>
      </c>
      <c r="E22" s="245" t="s">
        <v>2529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2543</v>
      </c>
      <c r="D23" s="245" t="s">
        <v>2544</v>
      </c>
      <c r="E23" s="245" t="s">
        <v>2529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2527</v>
      </c>
      <c r="D24" s="245" t="s">
        <v>2528</v>
      </c>
      <c r="E24" s="245" t="s">
        <v>2529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2524</v>
      </c>
      <c r="D25" s="245" t="s">
        <v>2525</v>
      </c>
      <c r="E25" s="245" t="s">
        <v>2529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2524</v>
      </c>
      <c r="D26" s="245" t="s">
        <v>2545</v>
      </c>
      <c r="E26" s="245" t="s">
        <v>2529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2546</v>
      </c>
      <c r="D27" s="245" t="s">
        <v>2525</v>
      </c>
      <c r="E27" s="245" t="s">
        <v>2529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2524</v>
      </c>
      <c r="D28" s="245" t="s">
        <v>2525</v>
      </c>
      <c r="E28" s="245" t="s">
        <v>2529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2524</v>
      </c>
      <c r="D29" s="245" t="s">
        <v>2525</v>
      </c>
      <c r="E29" s="245" t="s">
        <v>2529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2534</v>
      </c>
      <c r="D30" s="245" t="s">
        <v>2525</v>
      </c>
      <c r="E30" s="245" t="s">
        <v>2529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2538</v>
      </c>
      <c r="D31" s="245" t="s">
        <v>2539</v>
      </c>
      <c r="E31" s="245" t="s">
        <v>2529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2536</v>
      </c>
      <c r="D32" s="245" t="s">
        <v>2537</v>
      </c>
      <c r="E32" s="245" t="s">
        <v>2529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2535</v>
      </c>
      <c r="D33" s="245" t="s">
        <v>2525</v>
      </c>
      <c r="E33" s="245" t="s">
        <v>2529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2540</v>
      </c>
      <c r="D34" s="245" t="s">
        <v>2537</v>
      </c>
      <c r="E34" s="245" t="s">
        <v>2529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2527</v>
      </c>
      <c r="D35" s="245" t="s">
        <v>2528</v>
      </c>
      <c r="E35" s="245" t="s">
        <v>2529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2524</v>
      </c>
      <c r="D36" s="245" t="s">
        <v>2525</v>
      </c>
      <c r="E36" s="245" t="s">
        <v>2529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2527</v>
      </c>
      <c r="D37" s="245" t="s">
        <v>2528</v>
      </c>
      <c r="E37" s="245" t="s">
        <v>2529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2543</v>
      </c>
      <c r="D38" s="245" t="s">
        <v>2544</v>
      </c>
      <c r="E38" s="245" t="s">
        <v>2529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2524</v>
      </c>
      <c r="D39" s="245" t="s">
        <v>2525</v>
      </c>
      <c r="E39" s="245" t="s">
        <v>2529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2527</v>
      </c>
      <c r="D40" s="245" t="s">
        <v>2528</v>
      </c>
      <c r="E40" s="245" t="s">
        <v>2529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2541</v>
      </c>
      <c r="D41" s="245" t="s">
        <v>2542</v>
      </c>
      <c r="E41" s="245" t="s">
        <v>2529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2543</v>
      </c>
      <c r="D42" s="245" t="s">
        <v>2544</v>
      </c>
      <c r="E42" s="245" t="s">
        <v>2529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2524</v>
      </c>
      <c r="D43" s="245" t="s">
        <v>2525</v>
      </c>
      <c r="E43" s="245" t="s">
        <v>2529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2534</v>
      </c>
      <c r="D44" s="245" t="s">
        <v>2525</v>
      </c>
      <c r="E44" s="245" t="s">
        <v>2529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2540</v>
      </c>
      <c r="D45" s="245" t="s">
        <v>2537</v>
      </c>
      <c r="E45" s="245" t="s">
        <v>2529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2535</v>
      </c>
      <c r="D46" s="245" t="s">
        <v>2525</v>
      </c>
      <c r="E46" s="245" t="s">
        <v>2529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2536</v>
      </c>
      <c r="D47" s="245" t="s">
        <v>2537</v>
      </c>
      <c r="E47" s="245" t="s">
        <v>2529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2968</v>
      </c>
      <c r="D48" s="245" t="s">
        <v>2969</v>
      </c>
      <c r="E48" s="245" t="s">
        <v>2529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3048</v>
      </c>
      <c r="D49" s="245" t="s">
        <v>3049</v>
      </c>
      <c r="E49" s="245" t="s">
        <v>2529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2524</v>
      </c>
      <c r="D50" s="245" t="s">
        <v>2969</v>
      </c>
      <c r="E50" s="245" t="s">
        <v>2529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2543</v>
      </c>
      <c r="D51" s="245" t="s">
        <v>3052</v>
      </c>
      <c r="E51" s="245" t="s">
        <v>2529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3050</v>
      </c>
      <c r="D52" s="245" t="s">
        <v>3051</v>
      </c>
      <c r="E52" s="245" t="s">
        <v>2529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2543</v>
      </c>
      <c r="D53" s="245" t="s">
        <v>3052</v>
      </c>
      <c r="E53" s="245" t="s">
        <v>2529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3053</v>
      </c>
      <c r="D54" s="245" t="s">
        <v>3054</v>
      </c>
      <c r="E54" s="245" t="s">
        <v>2529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2534</v>
      </c>
      <c r="D55" s="245" t="s">
        <v>2525</v>
      </c>
      <c r="E55" s="245" t="s">
        <v>2529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2540</v>
      </c>
      <c r="D56" s="245" t="s">
        <v>2537</v>
      </c>
      <c r="E56" s="245" t="s">
        <v>2529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2536</v>
      </c>
      <c r="D57" s="245" t="s">
        <v>2537</v>
      </c>
      <c r="E57" s="245" t="s">
        <v>2529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2535</v>
      </c>
      <c r="D58" s="245" t="s">
        <v>2525</v>
      </c>
      <c r="E58" s="245" t="s">
        <v>2529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2530</v>
      </c>
      <c r="D59" s="245" t="s">
        <v>2531</v>
      </c>
      <c r="E59" s="245" t="s">
        <v>2529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2524</v>
      </c>
      <c r="D60" s="245" t="s">
        <v>2525</v>
      </c>
      <c r="E60" s="245" t="s">
        <v>2529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2529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2529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2529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2529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2529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2529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2529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2529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2529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2529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2529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2529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2529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2529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2529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2529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2529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2529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2529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2529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2529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2529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2529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2529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2529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2529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2529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2529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2526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2529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2529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2529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2529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2529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2529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2529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2529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2529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2529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2529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2529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2529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2529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2529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2529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2529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2529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2529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2529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2529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2529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2529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2529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2529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2529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2529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2529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2529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2529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2529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2529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2529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2529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2529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2529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2529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2529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2529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2529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2529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2529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2529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2529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2529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6" t="s">
        <v>2547</v>
      </c>
      <c r="C149" s="456"/>
      <c r="D149" s="456"/>
      <c r="E149" s="456"/>
      <c r="F149" s="456"/>
      <c r="G149" s="45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69921875" defaultRowHeight="18" customHeight="1"/>
  <cols>
    <col min="1" max="1" width="6.8984375" style="82" customWidth="1"/>
    <col min="2" max="2" width="16.3984375" style="93" customWidth="1"/>
    <col min="3" max="3" width="19.59765625" style="83" customWidth="1"/>
    <col min="4" max="4" width="19.8984375" style="112" customWidth="1"/>
    <col min="5" max="5" width="11.3984375" style="84" customWidth="1"/>
    <col min="6" max="6" width="14.5" style="119" customWidth="1"/>
    <col min="7" max="7" width="13.8984375" style="85" customWidth="1"/>
    <col min="8" max="8" width="11.69921875" style="125" customWidth="1"/>
    <col min="9" max="10" width="12.3984375" style="80" customWidth="1"/>
    <col min="11" max="11" width="13" style="78" customWidth="1"/>
    <col min="12" max="12" width="12.5" style="78" customWidth="1"/>
    <col min="13" max="13" width="11.09765625" style="69" bestFit="1" customWidth="1"/>
    <col min="14" max="14" width="15.19921875" style="67" bestFit="1" customWidth="1"/>
    <col min="15" max="15" width="13.09765625" style="67" bestFit="1" customWidth="1"/>
    <col min="16" max="17" width="15.19921875" style="67" bestFit="1" customWidth="1"/>
    <col min="18" max="16384" width="8.699218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" customHeight="1">
      <c r="A3" s="227">
        <v>45825</v>
      </c>
      <c r="B3" s="228" t="s">
        <v>1125</v>
      </c>
      <c r="C3" s="229">
        <f>SUMIF($B:$B,A3,I:I)</f>
        <v>0</v>
      </c>
      <c r="D3" s="230" t="s">
        <v>1123</v>
      </c>
      <c r="E3" s="229">
        <f ca="1">SUMIF($B:$B,TODAY(),E:E)</f>
        <v>0</v>
      </c>
      <c r="F3" s="240" t="s">
        <v>2515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" customHeight="1">
      <c r="A4" s="234">
        <f>MONTH(A3)</f>
        <v>6</v>
      </c>
      <c r="B4" s="228" t="s">
        <v>1126</v>
      </c>
      <c r="C4" s="229">
        <f>SUMIFS($I:$I,$B:$B,"&gt;="&amp;DATE(A5,A4,1),$B:$B,"&lt;="&amp;EOMONTH(DATE(A5,A4,1),0))</f>
        <v>0</v>
      </c>
      <c r="D4" s="231"/>
      <c r="E4" s="235"/>
      <c r="F4" s="240" t="s">
        <v>2516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1165</v>
      </c>
      <c r="D8" s="76" t="s">
        <v>2548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1621</v>
      </c>
      <c r="J8" s="118" t="s">
        <v>2549</v>
      </c>
      <c r="K8" s="77" t="s">
        <v>1621</v>
      </c>
      <c r="L8" s="77" t="s">
        <v>2549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7.399999999999999"/>
  <sheetData>
    <row r="1" spans="1:2">
      <c r="A1" t="s">
        <v>36</v>
      </c>
      <c r="B1" s="96">
        <v>1</v>
      </c>
    </row>
    <row r="2" spans="1:2">
      <c r="A2" t="s">
        <v>1995</v>
      </c>
    </row>
    <row r="3" spans="1:2">
      <c r="A3" t="s">
        <v>1997</v>
      </c>
    </row>
    <row r="4" spans="1:2">
      <c r="A4" t="s">
        <v>1998</v>
      </c>
    </row>
    <row r="5" spans="1:2">
      <c r="A5" t="s">
        <v>1999</v>
      </c>
    </row>
    <row r="6" spans="1:2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7.399999999999999"/>
  <cols>
    <col min="1" max="1" width="2.8984375" customWidth="1"/>
    <col min="2" max="2" width="5.19921875" bestFit="1" customWidth="1"/>
    <col min="3" max="3" width="2.5" customWidth="1"/>
    <col min="4" max="4" width="2.3984375" customWidth="1"/>
    <col min="5" max="5" width="6.19921875" customWidth="1"/>
    <col min="6" max="6" width="5.8984375" customWidth="1"/>
    <col min="7" max="7" width="6.5" customWidth="1"/>
    <col min="8" max="8" width="4.09765625" customWidth="1"/>
    <col min="9" max="9" width="1.699218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69921875" customWidth="1"/>
    <col min="16" max="16" width="4.09765625" customWidth="1"/>
    <col min="17" max="17" width="3.3984375" customWidth="1"/>
    <col min="18" max="18" width="4" customWidth="1"/>
    <col min="19" max="19" width="8" customWidth="1"/>
    <col min="20" max="20" width="4.5" customWidth="1"/>
    <col min="21" max="21" width="9.09765625" customWidth="1"/>
  </cols>
  <sheetData>
    <row r="1" spans="1:21" ht="24" customHeight="1" thickBot="1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1194</v>
      </c>
      <c r="R1" s="320"/>
      <c r="S1" s="321"/>
      <c r="T1" s="321"/>
      <c r="U1" s="322"/>
    </row>
    <row r="2" spans="1:21">
      <c r="A2" s="323" t="s">
        <v>65</v>
      </c>
      <c r="B2" s="324"/>
      <c r="C2" s="325" t="s">
        <v>2219</v>
      </c>
      <c r="D2" s="326"/>
      <c r="E2" s="326"/>
      <c r="F2" s="326"/>
      <c r="G2" s="327"/>
      <c r="H2" s="325" t="s">
        <v>76</v>
      </c>
      <c r="I2" s="326"/>
      <c r="J2" s="326"/>
      <c r="K2" s="326"/>
      <c r="L2" s="326"/>
      <c r="M2" s="326"/>
      <c r="N2" s="326"/>
      <c r="O2" s="327"/>
      <c r="P2" s="328" t="s">
        <v>63</v>
      </c>
      <c r="Q2" s="329"/>
      <c r="R2" s="329"/>
      <c r="S2" s="324"/>
      <c r="T2" s="330">
        <v>45804</v>
      </c>
      <c r="U2" s="331"/>
    </row>
    <row r="3" spans="1:21" ht="24" customHeight="1">
      <c r="A3" s="341" t="s">
        <v>1164</v>
      </c>
      <c r="B3" s="37" t="s">
        <v>59</v>
      </c>
      <c r="C3" s="486" t="s">
        <v>1537</v>
      </c>
      <c r="D3" s="487"/>
      <c r="E3" s="487"/>
      <c r="F3" s="487"/>
      <c r="G3" s="487"/>
      <c r="H3" s="487"/>
      <c r="I3" s="487"/>
      <c r="J3" s="488"/>
      <c r="K3" s="347" t="s">
        <v>1165</v>
      </c>
      <c r="L3" s="37" t="s">
        <v>59</v>
      </c>
      <c r="M3" s="483" t="s">
        <v>964</v>
      </c>
      <c r="N3" s="484"/>
      <c r="O3" s="484"/>
      <c r="P3" s="484"/>
      <c r="Q3" s="484"/>
      <c r="R3" s="484"/>
      <c r="S3" s="484"/>
      <c r="T3" s="484"/>
      <c r="U3" s="485"/>
    </row>
    <row r="4" spans="1:21" ht="24.9" customHeight="1">
      <c r="A4" s="342"/>
      <c r="B4" s="37" t="s">
        <v>61</v>
      </c>
      <c r="C4" s="353"/>
      <c r="D4" s="354"/>
      <c r="E4" s="354"/>
      <c r="F4" s="354"/>
      <c r="G4" s="354"/>
      <c r="H4" s="354"/>
      <c r="I4" s="354"/>
      <c r="J4" s="355"/>
      <c r="K4" s="348"/>
      <c r="L4" s="37" t="s">
        <v>61</v>
      </c>
      <c r="M4" s="332" t="s">
        <v>962</v>
      </c>
      <c r="N4" s="333"/>
      <c r="O4" s="333"/>
      <c r="P4" s="333"/>
      <c r="Q4" s="333"/>
      <c r="R4" s="334"/>
      <c r="S4" s="38" t="s">
        <v>62</v>
      </c>
      <c r="T4" s="489" t="s">
        <v>73</v>
      </c>
      <c r="U4" s="490"/>
    </row>
    <row r="5" spans="1:21" ht="15.75" customHeight="1">
      <c r="A5" s="342"/>
      <c r="B5" s="38" t="s">
        <v>60</v>
      </c>
      <c r="C5" s="332" t="s">
        <v>1093</v>
      </c>
      <c r="D5" s="333"/>
      <c r="E5" s="333"/>
      <c r="F5" s="333"/>
      <c r="G5" s="333"/>
      <c r="H5" s="333"/>
      <c r="I5" s="333"/>
      <c r="J5" s="334"/>
      <c r="K5" s="348"/>
      <c r="L5" s="38" t="s">
        <v>60</v>
      </c>
      <c r="M5" s="332" t="s">
        <v>74</v>
      </c>
      <c r="N5" s="333"/>
      <c r="O5" s="333"/>
      <c r="P5" s="333"/>
      <c r="Q5" s="333"/>
      <c r="R5" s="333"/>
      <c r="S5" s="333"/>
      <c r="T5" s="333"/>
      <c r="U5" s="335"/>
    </row>
    <row r="6" spans="1:21" ht="15.75" customHeight="1">
      <c r="A6" s="343"/>
      <c r="B6" s="38" t="s">
        <v>75</v>
      </c>
      <c r="C6" s="332" t="s">
        <v>1092</v>
      </c>
      <c r="D6" s="333"/>
      <c r="E6" s="333"/>
      <c r="F6" s="333"/>
      <c r="G6" s="333"/>
      <c r="H6" s="333"/>
      <c r="I6" s="333"/>
      <c r="J6" s="334"/>
      <c r="K6" s="349"/>
      <c r="L6" s="38" t="s">
        <v>75</v>
      </c>
      <c r="M6" s="332" t="s">
        <v>66</v>
      </c>
      <c r="N6" s="333"/>
      <c r="O6" s="333"/>
      <c r="P6" s="333"/>
      <c r="Q6" s="333"/>
      <c r="R6" s="334"/>
      <c r="S6" s="38" t="s">
        <v>22</v>
      </c>
      <c r="T6" s="332" t="s">
        <v>973</v>
      </c>
      <c r="U6" s="335"/>
    </row>
    <row r="7" spans="1:21" ht="15.75" customHeight="1">
      <c r="A7" s="336" t="s">
        <v>70</v>
      </c>
      <c r="B7" s="337"/>
      <c r="C7" s="337"/>
      <c r="D7" s="337"/>
      <c r="E7" s="338"/>
      <c r="F7" s="339" t="s">
        <v>78</v>
      </c>
      <c r="G7" s="337"/>
      <c r="H7" s="337"/>
      <c r="I7" s="338"/>
      <c r="J7" s="339" t="s">
        <v>67</v>
      </c>
      <c r="K7" s="338"/>
      <c r="L7" s="339" t="s">
        <v>42</v>
      </c>
      <c r="M7" s="337"/>
      <c r="N7" s="337"/>
      <c r="O7" s="337"/>
      <c r="P7" s="338"/>
      <c r="Q7" s="339" t="s">
        <v>68</v>
      </c>
      <c r="R7" s="337"/>
      <c r="S7" s="338"/>
      <c r="T7" s="339" t="s">
        <v>69</v>
      </c>
      <c r="U7" s="340"/>
    </row>
    <row r="8" spans="1:21" ht="15" customHeight="1">
      <c r="A8" s="491" t="s">
        <v>1130</v>
      </c>
      <c r="B8" s="492"/>
      <c r="C8" s="492"/>
      <c r="D8" s="492"/>
      <c r="E8" s="493"/>
      <c r="F8" s="494"/>
      <c r="G8" s="492"/>
      <c r="H8" s="492"/>
      <c r="I8" s="493"/>
      <c r="J8" s="495">
        <v>1</v>
      </c>
      <c r="K8" s="367"/>
      <c r="L8" s="371">
        <v>1000000</v>
      </c>
      <c r="M8" s="372"/>
      <c r="N8" s="372"/>
      <c r="O8" s="372"/>
      <c r="P8" s="373"/>
      <c r="Q8" s="371">
        <v>1000000</v>
      </c>
      <c r="R8" s="372"/>
      <c r="S8" s="373"/>
      <c r="T8" s="374"/>
      <c r="U8" s="375"/>
    </row>
    <row r="9" spans="1:21" ht="15" customHeight="1">
      <c r="A9" s="479"/>
      <c r="B9" s="480"/>
      <c r="C9" s="480"/>
      <c r="D9" s="480"/>
      <c r="E9" s="481"/>
      <c r="F9" s="482"/>
      <c r="G9" s="480"/>
      <c r="H9" s="480"/>
      <c r="I9" s="481"/>
      <c r="J9" s="359"/>
      <c r="K9" s="358"/>
      <c r="L9" s="360"/>
      <c r="M9" s="361"/>
      <c r="N9" s="361"/>
      <c r="O9" s="361"/>
      <c r="P9" s="362"/>
      <c r="Q9" s="360"/>
      <c r="R9" s="361"/>
      <c r="S9" s="362"/>
      <c r="T9" s="363"/>
      <c r="U9" s="364"/>
    </row>
    <row r="10" spans="1:21" ht="15" customHeight="1">
      <c r="A10" s="479"/>
      <c r="B10" s="480"/>
      <c r="C10" s="480"/>
      <c r="D10" s="480"/>
      <c r="E10" s="481"/>
      <c r="F10" s="482"/>
      <c r="G10" s="480"/>
      <c r="H10" s="480"/>
      <c r="I10" s="481"/>
      <c r="J10" s="359"/>
      <c r="K10" s="358"/>
      <c r="L10" s="360"/>
      <c r="M10" s="361"/>
      <c r="N10" s="361"/>
      <c r="O10" s="361"/>
      <c r="P10" s="362"/>
      <c r="Q10" s="360"/>
      <c r="R10" s="361"/>
      <c r="S10" s="362"/>
      <c r="T10" s="363"/>
      <c r="U10" s="364"/>
    </row>
    <row r="11" spans="1:21" ht="15" customHeight="1">
      <c r="A11" s="479"/>
      <c r="B11" s="480"/>
      <c r="C11" s="480"/>
      <c r="D11" s="480"/>
      <c r="E11" s="481"/>
      <c r="F11" s="482"/>
      <c r="G11" s="480"/>
      <c r="H11" s="480"/>
      <c r="I11" s="481"/>
      <c r="J11" s="359"/>
      <c r="K11" s="358"/>
      <c r="L11" s="360"/>
      <c r="M11" s="361"/>
      <c r="N11" s="361"/>
      <c r="O11" s="361"/>
      <c r="P11" s="362"/>
      <c r="Q11" s="360"/>
      <c r="R11" s="361"/>
      <c r="S11" s="362"/>
      <c r="T11" s="363"/>
      <c r="U11" s="364"/>
    </row>
    <row r="12" spans="1:21" ht="15" customHeight="1">
      <c r="A12" s="479"/>
      <c r="B12" s="480"/>
      <c r="C12" s="480"/>
      <c r="D12" s="480"/>
      <c r="E12" s="481"/>
      <c r="F12" s="482"/>
      <c r="G12" s="480"/>
      <c r="H12" s="480"/>
      <c r="I12" s="481"/>
      <c r="J12" s="359"/>
      <c r="K12" s="358"/>
      <c r="L12" s="360"/>
      <c r="M12" s="361"/>
      <c r="N12" s="361"/>
      <c r="O12" s="361"/>
      <c r="P12" s="362"/>
      <c r="Q12" s="360"/>
      <c r="R12" s="361"/>
      <c r="S12" s="362"/>
      <c r="T12" s="363"/>
      <c r="U12" s="364"/>
    </row>
    <row r="13" spans="1:21" ht="15" customHeight="1">
      <c r="A13" s="479"/>
      <c r="B13" s="480"/>
      <c r="C13" s="480"/>
      <c r="D13" s="480"/>
      <c r="E13" s="481"/>
      <c r="F13" s="496"/>
      <c r="G13" s="497"/>
      <c r="H13" s="497"/>
      <c r="I13" s="498"/>
      <c r="J13" s="359"/>
      <c r="K13" s="358"/>
      <c r="L13" s="360"/>
      <c r="M13" s="361"/>
      <c r="N13" s="361"/>
      <c r="O13" s="361"/>
      <c r="P13" s="362"/>
      <c r="Q13" s="360"/>
      <c r="R13" s="361"/>
      <c r="S13" s="362"/>
      <c r="T13" s="363"/>
      <c r="U13" s="364"/>
    </row>
    <row r="14" spans="1:21" ht="15" customHeight="1">
      <c r="A14" s="479"/>
      <c r="B14" s="480"/>
      <c r="C14" s="480"/>
      <c r="D14" s="480"/>
      <c r="E14" s="481"/>
      <c r="F14" s="482"/>
      <c r="G14" s="480"/>
      <c r="H14" s="480"/>
      <c r="I14" s="481"/>
      <c r="J14" s="359"/>
      <c r="K14" s="358"/>
      <c r="L14" s="360"/>
      <c r="M14" s="361"/>
      <c r="N14" s="361"/>
      <c r="O14" s="361"/>
      <c r="P14" s="362"/>
      <c r="Q14" s="360"/>
      <c r="R14" s="361"/>
      <c r="S14" s="362"/>
      <c r="T14" s="363"/>
      <c r="U14" s="364"/>
    </row>
    <row r="15" spans="1:21" ht="15" customHeight="1">
      <c r="A15" s="356"/>
      <c r="B15" s="357"/>
      <c r="C15" s="357"/>
      <c r="D15" s="357"/>
      <c r="E15" s="358"/>
      <c r="F15" s="359"/>
      <c r="G15" s="357"/>
      <c r="H15" s="357"/>
      <c r="I15" s="358"/>
      <c r="J15" s="359"/>
      <c r="K15" s="358"/>
      <c r="L15" s="499"/>
      <c r="M15" s="500"/>
      <c r="N15" s="500"/>
      <c r="O15" s="500"/>
      <c r="P15" s="501"/>
      <c r="Q15" s="499"/>
      <c r="R15" s="500"/>
      <c r="S15" s="501"/>
      <c r="T15" s="363"/>
      <c r="U15" s="364"/>
    </row>
    <row r="16" spans="1:21" ht="15" customHeight="1">
      <c r="A16" s="356"/>
      <c r="B16" s="357"/>
      <c r="C16" s="357"/>
      <c r="D16" s="357"/>
      <c r="E16" s="358"/>
      <c r="F16" s="359"/>
      <c r="G16" s="357"/>
      <c r="H16" s="357"/>
      <c r="I16" s="358"/>
      <c r="J16" s="359"/>
      <c r="K16" s="358"/>
      <c r="L16" s="499"/>
      <c r="M16" s="500"/>
      <c r="N16" s="500"/>
      <c r="O16" s="500"/>
      <c r="P16" s="501"/>
      <c r="Q16" s="499"/>
      <c r="R16" s="500"/>
      <c r="S16" s="501"/>
      <c r="T16" s="363"/>
      <c r="U16" s="364"/>
    </row>
    <row r="17" spans="1:21" ht="15" customHeight="1">
      <c r="A17" s="356"/>
      <c r="B17" s="357"/>
      <c r="C17" s="357"/>
      <c r="D17" s="357"/>
      <c r="E17" s="358"/>
      <c r="F17" s="359"/>
      <c r="G17" s="357"/>
      <c r="H17" s="357"/>
      <c r="I17" s="358"/>
      <c r="J17" s="359"/>
      <c r="K17" s="358"/>
      <c r="L17" s="499"/>
      <c r="M17" s="500"/>
      <c r="N17" s="500"/>
      <c r="O17" s="500"/>
      <c r="P17" s="501"/>
      <c r="Q17" s="499"/>
      <c r="R17" s="500"/>
      <c r="S17" s="501"/>
      <c r="T17" s="363"/>
      <c r="U17" s="364"/>
    </row>
    <row r="18" spans="1:21" ht="15" customHeight="1">
      <c r="A18" s="356"/>
      <c r="B18" s="357"/>
      <c r="C18" s="357"/>
      <c r="D18" s="357"/>
      <c r="E18" s="358"/>
      <c r="F18" s="359"/>
      <c r="G18" s="357"/>
      <c r="H18" s="357"/>
      <c r="I18" s="358"/>
      <c r="J18" s="359"/>
      <c r="K18" s="358"/>
      <c r="L18" s="499"/>
      <c r="M18" s="500"/>
      <c r="N18" s="500"/>
      <c r="O18" s="500"/>
      <c r="P18" s="501"/>
      <c r="Q18" s="499"/>
      <c r="R18" s="500"/>
      <c r="S18" s="501"/>
      <c r="T18" s="363"/>
      <c r="U18" s="364"/>
    </row>
    <row r="19" spans="1:21" ht="15" customHeight="1">
      <c r="A19" s="522"/>
      <c r="B19" s="523"/>
      <c r="C19" s="523"/>
      <c r="D19" s="523"/>
      <c r="E19" s="519"/>
      <c r="F19" s="518"/>
      <c r="G19" s="523"/>
      <c r="H19" s="523"/>
      <c r="I19" s="519"/>
      <c r="J19" s="518"/>
      <c r="K19" s="519"/>
      <c r="L19" s="475"/>
      <c r="M19" s="476"/>
      <c r="N19" s="476"/>
      <c r="O19" s="476"/>
      <c r="P19" s="477"/>
      <c r="Q19" s="475"/>
      <c r="R19" s="476"/>
      <c r="S19" s="477"/>
      <c r="T19" s="520"/>
      <c r="U19" s="521"/>
    </row>
    <row r="20" spans="1:21">
      <c r="A20" s="336" t="s">
        <v>80</v>
      </c>
      <c r="B20" s="337"/>
      <c r="C20" s="337"/>
      <c r="D20" s="337"/>
      <c r="E20" s="337"/>
      <c r="F20" s="415">
        <v>2450000</v>
      </c>
      <c r="G20" s="415"/>
      <c r="H20" s="415"/>
      <c r="I20" s="416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14">
        <f>SUM(Q8:S19)</f>
        <v>1000000</v>
      </c>
      <c r="R20" s="415"/>
      <c r="S20" s="415"/>
      <c r="T20" s="415"/>
      <c r="U20" s="417"/>
    </row>
    <row r="21" spans="1:21" ht="18" thickBot="1">
      <c r="A21" s="439" t="s">
        <v>90</v>
      </c>
      <c r="B21" s="440"/>
      <c r="C21" s="440"/>
      <c r="D21" s="440"/>
      <c r="E21" s="440"/>
      <c r="F21" s="441">
        <f>F20+Q20</f>
        <v>3450000</v>
      </c>
      <c r="G21" s="441"/>
      <c r="H21" s="441"/>
      <c r="I21" s="442"/>
      <c r="J21" s="443" t="s">
        <v>965</v>
      </c>
      <c r="K21" s="440"/>
      <c r="L21" s="409" t="str">
        <f>T4</f>
        <v>장효주</v>
      </c>
      <c r="M21" s="409"/>
      <c r="N21" s="409"/>
      <c r="O21" s="443" t="s">
        <v>64</v>
      </c>
      <c r="P21" s="445"/>
      <c r="Q21" s="467" t="str">
        <f>C3</f>
        <v>제이오토(대구)</v>
      </c>
      <c r="R21" s="468"/>
      <c r="S21" s="468"/>
      <c r="T21" s="468"/>
      <c r="U21" s="469"/>
    </row>
    <row r="22" spans="1:21" ht="9" customHeight="1">
      <c r="A22" s="314"/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11.25" customHeight="1" thickBot="1">
      <c r="A23" s="451"/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1"/>
      <c r="S23" s="451"/>
      <c r="T23" s="451"/>
      <c r="U23" s="451"/>
    </row>
    <row r="24" spans="1:21" ht="24" customHeight="1" thickBot="1">
      <c r="A24" s="515" t="s">
        <v>71</v>
      </c>
      <c r="B24" s="516"/>
      <c r="C24" s="516"/>
      <c r="D24" s="516"/>
      <c r="E24" s="516"/>
      <c r="F24" s="516"/>
      <c r="G24" s="516"/>
      <c r="H24" s="516"/>
      <c r="I24" s="516"/>
      <c r="J24" s="516"/>
      <c r="K24" s="516"/>
      <c r="L24" s="516"/>
      <c r="M24" s="516"/>
      <c r="N24" s="516"/>
      <c r="O24" s="516"/>
      <c r="P24" s="516"/>
      <c r="Q24" s="516"/>
      <c r="R24" s="516"/>
      <c r="S24" s="516"/>
      <c r="T24" s="516"/>
      <c r="U24" s="517"/>
    </row>
    <row r="25" spans="1:21">
      <c r="A25" s="323" t="s">
        <v>65</v>
      </c>
      <c r="B25" s="324"/>
      <c r="C25" s="325" t="str">
        <f>C2</f>
        <v>카카오뱅크 3333181865047</v>
      </c>
      <c r="D25" s="326"/>
      <c r="E25" s="326"/>
      <c r="F25" s="326"/>
      <c r="G25" s="327"/>
      <c r="H25" s="325" t="s">
        <v>77</v>
      </c>
      <c r="I25" s="326"/>
      <c r="J25" s="326"/>
      <c r="K25" s="326"/>
      <c r="L25" s="326"/>
      <c r="M25" s="326"/>
      <c r="N25" s="326"/>
      <c r="O25" s="327"/>
      <c r="P25" s="328" t="s">
        <v>63</v>
      </c>
      <c r="Q25" s="329"/>
      <c r="R25" s="329"/>
      <c r="S25" s="324"/>
      <c r="T25" s="330">
        <f>T2</f>
        <v>45804</v>
      </c>
      <c r="U25" s="331"/>
    </row>
    <row r="26" spans="1:21" ht="27" customHeight="1">
      <c r="A26" s="341" t="s">
        <v>1164</v>
      </c>
      <c r="B26" s="37" t="s">
        <v>59</v>
      </c>
      <c r="C26" s="505" t="str">
        <f>C3</f>
        <v>제이오토(대구)</v>
      </c>
      <c r="D26" s="506"/>
      <c r="E26" s="506"/>
      <c r="F26" s="506"/>
      <c r="G26" s="506"/>
      <c r="H26" s="506"/>
      <c r="I26" s="506"/>
      <c r="J26" s="507"/>
      <c r="K26" s="347" t="s">
        <v>1165</v>
      </c>
      <c r="L26" s="37" t="s">
        <v>59</v>
      </c>
      <c r="M26" s="483" t="str">
        <f>M3</f>
        <v>BTS&amp;P</v>
      </c>
      <c r="N26" s="484"/>
      <c r="O26" s="484"/>
      <c r="P26" s="484"/>
      <c r="Q26" s="484"/>
      <c r="R26" s="484"/>
      <c r="S26" s="484"/>
      <c r="T26" s="484"/>
      <c r="U26" s="485"/>
    </row>
    <row r="27" spans="1:21" ht="24.9" customHeight="1">
      <c r="A27" s="342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48"/>
      <c r="L27" s="37" t="s">
        <v>61</v>
      </c>
      <c r="M27" s="332" t="str">
        <f>M4</f>
        <v>259-12-01768</v>
      </c>
      <c r="N27" s="333"/>
      <c r="O27" s="333"/>
      <c r="P27" s="333"/>
      <c r="Q27" s="333"/>
      <c r="R27" s="334"/>
      <c r="S27" s="38" t="s">
        <v>62</v>
      </c>
      <c r="T27" s="489" t="str">
        <f>T4</f>
        <v>장효주</v>
      </c>
      <c r="U27" s="490"/>
    </row>
    <row r="28" spans="1:21" ht="15.75" customHeight="1">
      <c r="A28" s="342"/>
      <c r="B28" s="38" t="s">
        <v>10</v>
      </c>
      <c r="C28" s="332" t="str">
        <f>C5</f>
        <v>대구광역시 서구 가르뱅이로 53</v>
      </c>
      <c r="D28" s="333"/>
      <c r="E28" s="333"/>
      <c r="F28" s="333"/>
      <c r="G28" s="333"/>
      <c r="H28" s="333"/>
      <c r="I28" s="333"/>
      <c r="J28" s="334"/>
      <c r="K28" s="348"/>
      <c r="L28" s="38" t="s">
        <v>10</v>
      </c>
      <c r="M28" s="332" t="str">
        <f>M5</f>
        <v>대구 달서구 용산로 28(본리동)</v>
      </c>
      <c r="N28" s="333"/>
      <c r="O28" s="333"/>
      <c r="P28" s="333"/>
      <c r="Q28" s="333"/>
      <c r="R28" s="333"/>
      <c r="S28" s="333"/>
      <c r="T28" s="333"/>
      <c r="U28" s="335"/>
    </row>
    <row r="29" spans="1:21" ht="15.75" customHeight="1">
      <c r="A29" s="343"/>
      <c r="B29" s="38" t="s">
        <v>75</v>
      </c>
      <c r="C29" s="332" t="str">
        <f>C6</f>
        <v>010-5102-8176</v>
      </c>
      <c r="D29" s="333"/>
      <c r="E29" s="333"/>
      <c r="F29" s="333"/>
      <c r="G29" s="333"/>
      <c r="H29" s="333"/>
      <c r="I29" s="333"/>
      <c r="J29" s="334"/>
      <c r="K29" s="349"/>
      <c r="L29" s="38" t="s">
        <v>75</v>
      </c>
      <c r="M29" s="332" t="str">
        <f>M6</f>
        <v>010-5168-3542</v>
      </c>
      <c r="N29" s="333"/>
      <c r="O29" s="333"/>
      <c r="P29" s="333"/>
      <c r="Q29" s="333"/>
      <c r="R29" s="334"/>
      <c r="S29" s="38" t="s">
        <v>22</v>
      </c>
      <c r="T29" s="332"/>
      <c r="U29" s="335"/>
    </row>
    <row r="30" spans="1:21" ht="15.75" customHeight="1">
      <c r="A30" s="336" t="s">
        <v>70</v>
      </c>
      <c r="B30" s="337"/>
      <c r="C30" s="337"/>
      <c r="D30" s="337"/>
      <c r="E30" s="338"/>
      <c r="F30" s="339" t="s">
        <v>44</v>
      </c>
      <c r="G30" s="337"/>
      <c r="H30" s="337"/>
      <c r="I30" s="338"/>
      <c r="J30" s="339" t="s">
        <v>67</v>
      </c>
      <c r="K30" s="338"/>
      <c r="L30" s="339" t="s">
        <v>42</v>
      </c>
      <c r="M30" s="337"/>
      <c r="N30" s="337"/>
      <c r="O30" s="337"/>
      <c r="P30" s="338"/>
      <c r="Q30" s="339" t="s">
        <v>68</v>
      </c>
      <c r="R30" s="337"/>
      <c r="S30" s="338"/>
      <c r="T30" s="339" t="s">
        <v>69</v>
      </c>
      <c r="U30" s="340"/>
    </row>
    <row r="31" spans="1:21" ht="15" customHeight="1">
      <c r="A31" s="510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08">
        <f>T8</f>
        <v>0</v>
      </c>
      <c r="U31" s="509"/>
    </row>
    <row r="32" spans="1:21" ht="15" customHeight="1">
      <c r="A32" s="504">
        <f t="shared" ref="A32:A42" si="0">A9</f>
        <v>0</v>
      </c>
      <c r="B32" s="502"/>
      <c r="C32" s="502"/>
      <c r="D32" s="502"/>
      <c r="E32" s="502"/>
      <c r="F32" s="502">
        <f t="shared" ref="F32:F42" si="1">F9</f>
        <v>0</v>
      </c>
      <c r="G32" s="502"/>
      <c r="H32" s="502"/>
      <c r="I32" s="502"/>
      <c r="J32" s="502">
        <f t="shared" ref="J32:J42" si="2">J9</f>
        <v>0</v>
      </c>
      <c r="K32" s="502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2">
        <f t="shared" ref="T32:T42" si="5">T9</f>
        <v>0</v>
      </c>
      <c r="U32" s="503"/>
    </row>
    <row r="33" spans="1:21" ht="15" customHeight="1">
      <c r="A33" s="504">
        <f t="shared" si="0"/>
        <v>0</v>
      </c>
      <c r="B33" s="502"/>
      <c r="C33" s="502"/>
      <c r="D33" s="502"/>
      <c r="E33" s="502"/>
      <c r="F33" s="502">
        <f t="shared" si="1"/>
        <v>0</v>
      </c>
      <c r="G33" s="502"/>
      <c r="H33" s="502"/>
      <c r="I33" s="502"/>
      <c r="J33" s="502">
        <f t="shared" si="2"/>
        <v>0</v>
      </c>
      <c r="K33" s="502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2">
        <f t="shared" si="5"/>
        <v>0</v>
      </c>
      <c r="U33" s="503"/>
    </row>
    <row r="34" spans="1:21" ht="15" customHeight="1">
      <c r="A34" s="504">
        <f t="shared" si="0"/>
        <v>0</v>
      </c>
      <c r="B34" s="502"/>
      <c r="C34" s="502"/>
      <c r="D34" s="502"/>
      <c r="E34" s="502"/>
      <c r="F34" s="502">
        <f t="shared" si="1"/>
        <v>0</v>
      </c>
      <c r="G34" s="502"/>
      <c r="H34" s="502"/>
      <c r="I34" s="502"/>
      <c r="J34" s="502">
        <v>1</v>
      </c>
      <c r="K34" s="502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2">
        <f t="shared" si="5"/>
        <v>0</v>
      </c>
      <c r="U34" s="503"/>
    </row>
    <row r="35" spans="1:21" ht="15" customHeight="1">
      <c r="A35" s="504">
        <f t="shared" si="0"/>
        <v>0</v>
      </c>
      <c r="B35" s="502"/>
      <c r="C35" s="502"/>
      <c r="D35" s="502"/>
      <c r="E35" s="502"/>
      <c r="F35" s="502">
        <f t="shared" si="1"/>
        <v>0</v>
      </c>
      <c r="G35" s="502"/>
      <c r="H35" s="502"/>
      <c r="I35" s="502"/>
      <c r="J35" s="502">
        <f t="shared" si="2"/>
        <v>0</v>
      </c>
      <c r="K35" s="502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2">
        <f t="shared" si="5"/>
        <v>0</v>
      </c>
      <c r="U35" s="503"/>
    </row>
    <row r="36" spans="1:21" ht="15" customHeight="1">
      <c r="A36" s="504">
        <f t="shared" si="0"/>
        <v>0</v>
      </c>
      <c r="B36" s="502"/>
      <c r="C36" s="502"/>
      <c r="D36" s="502"/>
      <c r="E36" s="502"/>
      <c r="F36" s="502">
        <f t="shared" si="1"/>
        <v>0</v>
      </c>
      <c r="G36" s="502"/>
      <c r="H36" s="502"/>
      <c r="I36" s="502"/>
      <c r="J36" s="502">
        <f t="shared" si="2"/>
        <v>0</v>
      </c>
      <c r="K36" s="502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2">
        <f t="shared" si="5"/>
        <v>0</v>
      </c>
      <c r="U36" s="503"/>
    </row>
    <row r="37" spans="1:21" ht="15" customHeight="1">
      <c r="A37" s="504">
        <f t="shared" si="0"/>
        <v>0</v>
      </c>
      <c r="B37" s="502"/>
      <c r="C37" s="502"/>
      <c r="D37" s="502"/>
      <c r="E37" s="502"/>
      <c r="F37" s="502">
        <f t="shared" si="1"/>
        <v>0</v>
      </c>
      <c r="G37" s="502"/>
      <c r="H37" s="502"/>
      <c r="I37" s="502"/>
      <c r="J37" s="502">
        <f t="shared" si="2"/>
        <v>0</v>
      </c>
      <c r="K37" s="502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2">
        <f t="shared" si="5"/>
        <v>0</v>
      </c>
      <c r="U37" s="503"/>
    </row>
    <row r="38" spans="1:21" ht="15" customHeight="1">
      <c r="A38" s="504">
        <f t="shared" si="0"/>
        <v>0</v>
      </c>
      <c r="B38" s="502"/>
      <c r="C38" s="502"/>
      <c r="D38" s="502"/>
      <c r="E38" s="502"/>
      <c r="F38" s="502">
        <f t="shared" si="1"/>
        <v>0</v>
      </c>
      <c r="G38" s="502"/>
      <c r="H38" s="502"/>
      <c r="I38" s="502"/>
      <c r="J38" s="502">
        <f t="shared" si="2"/>
        <v>0</v>
      </c>
      <c r="K38" s="502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2">
        <f t="shared" si="5"/>
        <v>0</v>
      </c>
      <c r="U38" s="503"/>
    </row>
    <row r="39" spans="1:21" ht="15" customHeight="1">
      <c r="A39" s="504">
        <f t="shared" si="0"/>
        <v>0</v>
      </c>
      <c r="B39" s="502"/>
      <c r="C39" s="502"/>
      <c r="D39" s="502"/>
      <c r="E39" s="502"/>
      <c r="F39" s="502">
        <f t="shared" si="1"/>
        <v>0</v>
      </c>
      <c r="G39" s="502"/>
      <c r="H39" s="502"/>
      <c r="I39" s="502"/>
      <c r="J39" s="502">
        <f t="shared" si="2"/>
        <v>0</v>
      </c>
      <c r="K39" s="502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2">
        <f t="shared" si="5"/>
        <v>0</v>
      </c>
      <c r="U39" s="503"/>
    </row>
    <row r="40" spans="1:21" ht="15" customHeight="1">
      <c r="A40" s="504">
        <f t="shared" si="0"/>
        <v>0</v>
      </c>
      <c r="B40" s="502"/>
      <c r="C40" s="502"/>
      <c r="D40" s="502"/>
      <c r="E40" s="502"/>
      <c r="F40" s="502">
        <f t="shared" si="1"/>
        <v>0</v>
      </c>
      <c r="G40" s="502"/>
      <c r="H40" s="502"/>
      <c r="I40" s="502"/>
      <c r="J40" s="502">
        <f t="shared" si="2"/>
        <v>0</v>
      </c>
      <c r="K40" s="502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2">
        <f t="shared" si="5"/>
        <v>0</v>
      </c>
      <c r="U40" s="503"/>
    </row>
    <row r="41" spans="1:21" ht="15" customHeight="1">
      <c r="A41" s="504">
        <f t="shared" si="0"/>
        <v>0</v>
      </c>
      <c r="B41" s="502"/>
      <c r="C41" s="502"/>
      <c r="D41" s="502"/>
      <c r="E41" s="502"/>
      <c r="F41" s="502">
        <f t="shared" si="1"/>
        <v>0</v>
      </c>
      <c r="G41" s="502"/>
      <c r="H41" s="502"/>
      <c r="I41" s="502"/>
      <c r="J41" s="502">
        <f t="shared" si="2"/>
        <v>0</v>
      </c>
      <c r="K41" s="502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2">
        <f t="shared" si="5"/>
        <v>0</v>
      </c>
      <c r="U41" s="503"/>
    </row>
    <row r="42" spans="1:21" ht="15" customHeight="1">
      <c r="A42" s="511">
        <f t="shared" si="0"/>
        <v>0</v>
      </c>
      <c r="B42" s="512"/>
      <c r="C42" s="512"/>
      <c r="D42" s="512"/>
      <c r="E42" s="512"/>
      <c r="F42" s="512">
        <f t="shared" si="1"/>
        <v>0</v>
      </c>
      <c r="G42" s="512"/>
      <c r="H42" s="512"/>
      <c r="I42" s="512"/>
      <c r="J42" s="512">
        <f t="shared" si="2"/>
        <v>0</v>
      </c>
      <c r="K42" s="512"/>
      <c r="L42" s="513">
        <f t="shared" si="3"/>
        <v>0</v>
      </c>
      <c r="M42" s="513"/>
      <c r="N42" s="513"/>
      <c r="O42" s="513"/>
      <c r="P42" s="513"/>
      <c r="Q42" s="513">
        <f t="shared" si="4"/>
        <v>0</v>
      </c>
      <c r="R42" s="513"/>
      <c r="S42" s="513"/>
      <c r="T42" s="512">
        <f t="shared" si="5"/>
        <v>0</v>
      </c>
      <c r="U42" s="514"/>
    </row>
    <row r="43" spans="1:21">
      <c r="A43" s="336" t="s">
        <v>80</v>
      </c>
      <c r="B43" s="337"/>
      <c r="C43" s="337"/>
      <c r="D43" s="337"/>
      <c r="E43" s="337"/>
      <c r="F43" s="415">
        <f>F20</f>
        <v>2450000</v>
      </c>
      <c r="G43" s="415"/>
      <c r="H43" s="415"/>
      <c r="I43" s="416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8" thickBot="1">
      <c r="A44" s="439" t="s">
        <v>90</v>
      </c>
      <c r="B44" s="440"/>
      <c r="C44" s="440"/>
      <c r="D44" s="440"/>
      <c r="E44" s="440"/>
      <c r="F44" s="441">
        <f>F21</f>
        <v>3450000</v>
      </c>
      <c r="G44" s="441"/>
      <c r="H44" s="441"/>
      <c r="I44" s="442"/>
      <c r="J44" s="443" t="s">
        <v>965</v>
      </c>
      <c r="K44" s="440"/>
      <c r="L44" s="409" t="str">
        <f>L21</f>
        <v>장효주</v>
      </c>
      <c r="M44" s="409"/>
      <c r="N44" s="409"/>
      <c r="O44" s="443" t="s">
        <v>64</v>
      </c>
      <c r="P44" s="445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3"/>
  <sheetViews>
    <sheetView topLeftCell="A914" workbookViewId="0">
      <selection activeCell="C482" sqref="C482"/>
    </sheetView>
  </sheetViews>
  <sheetFormatPr defaultRowHeight="17.399999999999999"/>
  <cols>
    <col min="1" max="1" width="3.69921875" bestFit="1" customWidth="1"/>
    <col min="2" max="2" width="18.09765625" customWidth="1"/>
    <col min="3" max="3" width="47.5" customWidth="1"/>
    <col min="4" max="4" width="49" bestFit="1" customWidth="1"/>
    <col min="5" max="5" width="37.59765625" customWidth="1"/>
    <col min="6" max="6" width="41.69921875" customWidth="1"/>
  </cols>
  <sheetData>
    <row r="1" spans="1:7" ht="18" thickBot="1">
      <c r="A1" s="31" t="s">
        <v>2</v>
      </c>
      <c r="B1" s="31" t="s">
        <v>14</v>
      </c>
      <c r="C1" s="50" t="s">
        <v>49</v>
      </c>
      <c r="D1" s="31" t="s">
        <v>1168</v>
      </c>
      <c r="E1" s="31" t="s">
        <v>1167</v>
      </c>
      <c r="F1" s="31" t="s">
        <v>1166</v>
      </c>
      <c r="G1" s="96">
        <v>1068</v>
      </c>
    </row>
    <row r="2" spans="1:7">
      <c r="A2">
        <v>1</v>
      </c>
      <c r="B2" s="13">
        <v>45735</v>
      </c>
      <c r="C2" t="s">
        <v>1144</v>
      </c>
      <c r="D2" t="s">
        <v>1214</v>
      </c>
    </row>
    <row r="3" spans="1:7">
      <c r="A3">
        <v>2</v>
      </c>
      <c r="B3" s="13">
        <v>45736</v>
      </c>
      <c r="C3" t="s">
        <v>1038</v>
      </c>
      <c r="D3" t="s">
        <v>1216</v>
      </c>
    </row>
    <row r="4" spans="1:7">
      <c r="A4">
        <v>3</v>
      </c>
      <c r="B4" s="13">
        <v>45736</v>
      </c>
      <c r="C4" t="s">
        <v>977</v>
      </c>
      <c r="D4" t="s">
        <v>1218</v>
      </c>
    </row>
    <row r="5" spans="1:7">
      <c r="A5">
        <v>4</v>
      </c>
      <c r="B5" s="13">
        <v>45736</v>
      </c>
      <c r="C5" t="s">
        <v>1234</v>
      </c>
      <c r="D5" t="s">
        <v>1237</v>
      </c>
    </row>
    <row r="6" spans="1:7">
      <c r="A6">
        <v>5</v>
      </c>
      <c r="B6" s="13">
        <v>45737</v>
      </c>
      <c r="C6" t="s">
        <v>1000</v>
      </c>
      <c r="D6" t="s">
        <v>1260</v>
      </c>
    </row>
    <row r="7" spans="1:7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>
      <c r="A9">
        <v>7</v>
      </c>
      <c r="B9" s="13">
        <v>45740</v>
      </c>
      <c r="C9" t="s">
        <v>1369</v>
      </c>
      <c r="D9" t="s">
        <v>1373</v>
      </c>
    </row>
    <row r="10" spans="1:7">
      <c r="A10">
        <v>8</v>
      </c>
      <c r="B10" s="13">
        <v>45740</v>
      </c>
      <c r="C10" t="s">
        <v>1374</v>
      </c>
      <c r="D10" t="s">
        <v>1375</v>
      </c>
    </row>
    <row r="11" spans="1:7">
      <c r="A11">
        <v>9</v>
      </c>
      <c r="B11" s="13">
        <v>45740</v>
      </c>
      <c r="C11" t="s">
        <v>1007</v>
      </c>
      <c r="D11" t="s">
        <v>1379</v>
      </c>
    </row>
    <row r="12" spans="1:7">
      <c r="A12">
        <v>10</v>
      </c>
      <c r="B12" s="13">
        <v>45723</v>
      </c>
      <c r="C12" t="s">
        <v>1395</v>
      </c>
      <c r="D12" t="s">
        <v>1432</v>
      </c>
    </row>
    <row r="13" spans="1:7">
      <c r="A13">
        <v>11</v>
      </c>
      <c r="B13" s="13">
        <v>45723</v>
      </c>
      <c r="C13" t="s">
        <v>1433</v>
      </c>
      <c r="D13" t="s">
        <v>1434</v>
      </c>
    </row>
    <row r="14" spans="1:7">
      <c r="A14">
        <v>12</v>
      </c>
      <c r="B14" s="13">
        <v>45723</v>
      </c>
      <c r="C14" t="s">
        <v>1387</v>
      </c>
      <c r="D14" t="s">
        <v>1435</v>
      </c>
    </row>
    <row r="15" spans="1:7">
      <c r="A15">
        <v>13</v>
      </c>
      <c r="B15" s="13">
        <v>45722</v>
      </c>
      <c r="C15" t="s">
        <v>1395</v>
      </c>
      <c r="D15" t="s">
        <v>1436</v>
      </c>
    </row>
    <row r="16" spans="1:7">
      <c r="A16">
        <v>14</v>
      </c>
      <c r="B16" s="13">
        <v>45722</v>
      </c>
      <c r="C16" t="s">
        <v>1145</v>
      </c>
      <c r="D16" t="s">
        <v>1437</v>
      </c>
    </row>
    <row r="17" spans="1:4">
      <c r="A17">
        <v>15</v>
      </c>
      <c r="B17" s="13">
        <v>45722</v>
      </c>
      <c r="C17" t="s">
        <v>1438</v>
      </c>
      <c r="D17" t="s">
        <v>1439</v>
      </c>
    </row>
    <row r="18" spans="1:4">
      <c r="A18">
        <v>16</v>
      </c>
      <c r="B18" s="13">
        <v>45721</v>
      </c>
      <c r="C18" t="s">
        <v>1440</v>
      </c>
      <c r="D18" t="s">
        <v>1441</v>
      </c>
    </row>
    <row r="19" spans="1:4">
      <c r="A19">
        <v>17</v>
      </c>
      <c r="B19" s="13">
        <v>45720</v>
      </c>
      <c r="C19" t="s">
        <v>1395</v>
      </c>
      <c r="D19" t="s">
        <v>1442</v>
      </c>
    </row>
    <row r="20" spans="1:4">
      <c r="A20">
        <v>17</v>
      </c>
      <c r="B20" s="13">
        <v>45720</v>
      </c>
      <c r="C20" t="s">
        <v>1440</v>
      </c>
      <c r="D20" t="s">
        <v>1443</v>
      </c>
    </row>
    <row r="21" spans="1:4">
      <c r="A21">
        <v>18</v>
      </c>
      <c r="B21" s="13">
        <v>45720</v>
      </c>
      <c r="C21" t="s">
        <v>1145</v>
      </c>
      <c r="D21" t="s">
        <v>1444</v>
      </c>
    </row>
    <row r="22" spans="1:4">
      <c r="A22">
        <v>19</v>
      </c>
      <c r="B22" s="13">
        <v>45720</v>
      </c>
      <c r="C22" t="s">
        <v>1445</v>
      </c>
      <c r="D22" t="s">
        <v>1446</v>
      </c>
    </row>
    <row r="23" spans="1:4">
      <c r="A23">
        <v>20</v>
      </c>
      <c r="B23" s="13">
        <v>45717</v>
      </c>
      <c r="C23" t="s">
        <v>1395</v>
      </c>
      <c r="D23" t="s">
        <v>1447</v>
      </c>
    </row>
    <row r="24" spans="1:4">
      <c r="A24">
        <v>21</v>
      </c>
      <c r="B24" s="13">
        <v>45717</v>
      </c>
      <c r="C24" t="s">
        <v>1448</v>
      </c>
      <c r="D24" t="s">
        <v>1449</v>
      </c>
    </row>
    <row r="25" spans="1:4">
      <c r="A25">
        <v>22</v>
      </c>
      <c r="B25" s="13">
        <v>45723</v>
      </c>
      <c r="C25" t="s">
        <v>1450</v>
      </c>
      <c r="D25" t="s">
        <v>1451</v>
      </c>
    </row>
    <row r="26" spans="1:4">
      <c r="A26">
        <v>23</v>
      </c>
      <c r="B26" s="13">
        <v>45723</v>
      </c>
      <c r="C26" t="s">
        <v>1452</v>
      </c>
      <c r="D26" t="s">
        <v>1453</v>
      </c>
    </row>
    <row r="27" spans="1:4">
      <c r="A27">
        <v>24</v>
      </c>
      <c r="B27" s="13">
        <v>45723</v>
      </c>
      <c r="C27" t="s">
        <v>1454</v>
      </c>
      <c r="D27" t="s">
        <v>1455</v>
      </c>
    </row>
    <row r="28" spans="1:4">
      <c r="A28">
        <v>25</v>
      </c>
      <c r="B28" s="13">
        <v>45724</v>
      </c>
      <c r="C28" t="s">
        <v>1395</v>
      </c>
      <c r="D28" t="s">
        <v>1456</v>
      </c>
    </row>
    <row r="29" spans="1:4">
      <c r="A29">
        <v>26</v>
      </c>
      <c r="B29" s="13">
        <v>45726</v>
      </c>
      <c r="C29" t="s">
        <v>1440</v>
      </c>
      <c r="D29" t="s">
        <v>1457</v>
      </c>
    </row>
    <row r="30" spans="1:4">
      <c r="A30">
        <v>27</v>
      </c>
      <c r="B30" s="13">
        <v>45726</v>
      </c>
      <c r="C30" t="s">
        <v>1053</v>
      </c>
      <c r="D30" t="s">
        <v>1458</v>
      </c>
    </row>
    <row r="31" spans="1:4">
      <c r="A31">
        <v>28</v>
      </c>
      <c r="B31" s="13">
        <v>45727</v>
      </c>
      <c r="C31" t="s">
        <v>1082</v>
      </c>
      <c r="D31" t="s">
        <v>1459</v>
      </c>
    </row>
    <row r="32" spans="1:4">
      <c r="A32">
        <v>29</v>
      </c>
      <c r="B32" s="13">
        <v>45727</v>
      </c>
      <c r="C32" t="s">
        <v>1395</v>
      </c>
      <c r="D32" t="s">
        <v>1461</v>
      </c>
    </row>
    <row r="33" spans="1:4">
      <c r="A33">
        <v>30</v>
      </c>
      <c r="B33" s="13">
        <v>45727</v>
      </c>
      <c r="C33" t="s">
        <v>1153</v>
      </c>
      <c r="D33" t="s">
        <v>1462</v>
      </c>
    </row>
    <row r="34" spans="1:4">
      <c r="A34">
        <v>31</v>
      </c>
      <c r="B34" s="13">
        <v>45727</v>
      </c>
      <c r="C34" t="s">
        <v>1463</v>
      </c>
      <c r="D34" t="s">
        <v>1464</v>
      </c>
    </row>
    <row r="35" spans="1:4">
      <c r="A35">
        <v>32</v>
      </c>
      <c r="B35" s="13">
        <v>45729</v>
      </c>
      <c r="C35" t="s">
        <v>1465</v>
      </c>
      <c r="D35" t="s">
        <v>1467</v>
      </c>
    </row>
    <row r="36" spans="1:4">
      <c r="A36">
        <v>33</v>
      </c>
      <c r="B36" s="13">
        <v>45729</v>
      </c>
      <c r="C36" t="s">
        <v>1007</v>
      </c>
      <c r="D36" t="s">
        <v>1468</v>
      </c>
    </row>
    <row r="37" spans="1:4">
      <c r="A37">
        <v>34</v>
      </c>
      <c r="B37" s="13">
        <v>45730</v>
      </c>
      <c r="C37" t="s">
        <v>1469</v>
      </c>
      <c r="D37" t="s">
        <v>1470</v>
      </c>
    </row>
    <row r="38" spans="1:4">
      <c r="A38">
        <v>35</v>
      </c>
      <c r="B38" s="13">
        <v>45730</v>
      </c>
      <c r="C38" t="s">
        <v>1395</v>
      </c>
      <c r="D38" t="s">
        <v>1473</v>
      </c>
    </row>
    <row r="39" spans="1:4">
      <c r="A39">
        <v>36</v>
      </c>
      <c r="B39" s="13">
        <v>45731</v>
      </c>
      <c r="C39" t="s">
        <v>1170</v>
      </c>
      <c r="D39" t="s">
        <v>1474</v>
      </c>
    </row>
    <row r="40" spans="1:4">
      <c r="A40">
        <v>37</v>
      </c>
      <c r="B40" s="13">
        <v>45731</v>
      </c>
      <c r="C40" t="s">
        <v>1475</v>
      </c>
      <c r="D40" t="s">
        <v>1477</v>
      </c>
    </row>
    <row r="41" spans="1:4">
      <c r="A41">
        <v>38</v>
      </c>
      <c r="B41" s="13">
        <v>45731</v>
      </c>
      <c r="C41" t="s">
        <v>1026</v>
      </c>
      <c r="D41" t="s">
        <v>1479</v>
      </c>
    </row>
    <row r="42" spans="1:4">
      <c r="A42">
        <v>39</v>
      </c>
      <c r="B42" s="13">
        <v>45733</v>
      </c>
      <c r="C42" t="s">
        <v>1145</v>
      </c>
      <c r="D42" t="s">
        <v>1480</v>
      </c>
    </row>
    <row r="43" spans="1:4">
      <c r="A43">
        <v>40</v>
      </c>
      <c r="B43" s="13">
        <v>45733</v>
      </c>
      <c r="C43" t="s">
        <v>1481</v>
      </c>
      <c r="D43" t="s">
        <v>1483</v>
      </c>
    </row>
    <row r="44" spans="1:4">
      <c r="A44">
        <v>41</v>
      </c>
      <c r="B44" s="13">
        <v>45733</v>
      </c>
      <c r="C44" t="s">
        <v>1046</v>
      </c>
      <c r="D44" t="s">
        <v>1487</v>
      </c>
    </row>
    <row r="45" spans="1:4">
      <c r="A45">
        <v>42</v>
      </c>
      <c r="B45" s="13">
        <v>45733</v>
      </c>
      <c r="C45" t="s">
        <v>1465</v>
      </c>
      <c r="D45" t="s">
        <v>1489</v>
      </c>
    </row>
    <row r="46" spans="1:4">
      <c r="A46">
        <v>43</v>
      </c>
      <c r="B46" s="13">
        <v>45733</v>
      </c>
      <c r="C46" t="s">
        <v>1490</v>
      </c>
      <c r="D46" t="s">
        <v>1493</v>
      </c>
    </row>
    <row r="47" spans="1:4">
      <c r="A47">
        <v>44</v>
      </c>
      <c r="B47" s="13">
        <v>45734</v>
      </c>
      <c r="C47" t="s">
        <v>1494</v>
      </c>
      <c r="D47" t="s">
        <v>1495</v>
      </c>
    </row>
    <row r="48" spans="1:4">
      <c r="A48">
        <v>45</v>
      </c>
      <c r="B48" s="13">
        <v>45735</v>
      </c>
      <c r="C48" t="s">
        <v>1395</v>
      </c>
      <c r="D48" t="s">
        <v>1496</v>
      </c>
    </row>
    <row r="49" spans="1:5">
      <c r="A49">
        <v>46</v>
      </c>
      <c r="B49" s="13">
        <v>45735</v>
      </c>
      <c r="C49" t="s">
        <v>1395</v>
      </c>
      <c r="D49" t="s">
        <v>1498</v>
      </c>
    </row>
    <row r="50" spans="1:5">
      <c r="A50">
        <v>47</v>
      </c>
      <c r="B50" s="13">
        <v>45735</v>
      </c>
      <c r="C50" t="s">
        <v>1053</v>
      </c>
      <c r="D50" t="s">
        <v>1500</v>
      </c>
    </row>
    <row r="51" spans="1:5">
      <c r="A51">
        <v>48</v>
      </c>
      <c r="B51" s="13">
        <v>45735</v>
      </c>
      <c r="C51" t="s">
        <v>1374</v>
      </c>
      <c r="D51" t="s">
        <v>1503</v>
      </c>
    </row>
    <row r="52" spans="1:5">
      <c r="A52">
        <v>49</v>
      </c>
      <c r="B52" s="13">
        <v>45736</v>
      </c>
      <c r="C52" t="s">
        <v>1440</v>
      </c>
      <c r="D52" t="s">
        <v>1507</v>
      </c>
    </row>
    <row r="53" spans="1:5">
      <c r="A53">
        <v>50</v>
      </c>
      <c r="B53" s="13">
        <v>45736</v>
      </c>
      <c r="C53" t="s">
        <v>1234</v>
      </c>
      <c r="D53" t="s">
        <v>1508</v>
      </c>
    </row>
    <row r="54" spans="1:5">
      <c r="A54">
        <v>51</v>
      </c>
      <c r="B54" s="13">
        <v>45736</v>
      </c>
      <c r="C54" t="s">
        <v>1465</v>
      </c>
      <c r="D54" t="s">
        <v>1509</v>
      </c>
    </row>
    <row r="55" spans="1:5">
      <c r="A55">
        <v>52</v>
      </c>
      <c r="B55" s="13">
        <v>45736</v>
      </c>
      <c r="C55" t="s">
        <v>1224</v>
      </c>
      <c r="D55" t="s">
        <v>1510</v>
      </c>
    </row>
    <row r="56" spans="1:5">
      <c r="A56">
        <v>53</v>
      </c>
      <c r="B56" s="13">
        <v>45736</v>
      </c>
      <c r="C56" t="s">
        <v>1511</v>
      </c>
      <c r="D56" t="s">
        <v>1512</v>
      </c>
    </row>
    <row r="57" spans="1:5">
      <c r="A57">
        <v>54</v>
      </c>
      <c r="B57" s="13">
        <v>45741</v>
      </c>
      <c r="C57" t="s">
        <v>1513</v>
      </c>
      <c r="D57" t="s">
        <v>1516</v>
      </c>
    </row>
    <row r="58" spans="1:5">
      <c r="A58">
        <v>55</v>
      </c>
      <c r="B58" s="13">
        <v>45737</v>
      </c>
      <c r="C58" t="s">
        <v>1517</v>
      </c>
      <c r="D58" t="s">
        <v>1521</v>
      </c>
    </row>
    <row r="59" spans="1:5">
      <c r="A59">
        <v>56</v>
      </c>
      <c r="B59" s="13">
        <v>45737</v>
      </c>
      <c r="C59" t="s">
        <v>1440</v>
      </c>
      <c r="D59" t="s">
        <v>1522</v>
      </c>
    </row>
    <row r="60" spans="1:5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>
      <c r="A61">
        <v>58</v>
      </c>
      <c r="B61" s="13">
        <v>45740</v>
      </c>
      <c r="C61" t="s">
        <v>1234</v>
      </c>
      <c r="D61" t="s">
        <v>1524</v>
      </c>
    </row>
    <row r="62" spans="1:5">
      <c r="A62">
        <v>59</v>
      </c>
      <c r="B62" s="13">
        <v>45740</v>
      </c>
      <c r="C62" t="s">
        <v>1369</v>
      </c>
      <c r="D62" t="s">
        <v>1525</v>
      </c>
    </row>
    <row r="63" spans="1:5">
      <c r="A63">
        <v>60</v>
      </c>
      <c r="B63" s="13">
        <v>45740</v>
      </c>
      <c r="C63" t="s">
        <v>1170</v>
      </c>
      <c r="D63" t="s">
        <v>1526</v>
      </c>
    </row>
    <row r="64" spans="1:5">
      <c r="A64">
        <v>61</v>
      </c>
      <c r="B64" s="13">
        <v>45740</v>
      </c>
      <c r="C64" t="s">
        <v>1007</v>
      </c>
      <c r="D64" t="s">
        <v>1527</v>
      </c>
    </row>
    <row r="65" spans="1:6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>
      <c r="A66">
        <v>63</v>
      </c>
      <c r="B66" s="13">
        <v>45741</v>
      </c>
      <c r="C66" t="s">
        <v>1445</v>
      </c>
      <c r="D66" t="s">
        <v>1532</v>
      </c>
    </row>
    <row r="67" spans="1:6">
      <c r="A67">
        <v>64</v>
      </c>
      <c r="B67" s="13">
        <v>45741</v>
      </c>
      <c r="C67" t="s">
        <v>1145</v>
      </c>
      <c r="D67" t="s">
        <v>1533</v>
      </c>
    </row>
    <row r="68" spans="1:6">
      <c r="A68">
        <v>65</v>
      </c>
      <c r="B68" s="13">
        <v>45741</v>
      </c>
      <c r="C68" t="s">
        <v>1018</v>
      </c>
      <c r="D68" t="s">
        <v>1535</v>
      </c>
    </row>
    <row r="69" spans="1:6">
      <c r="A69">
        <v>66</v>
      </c>
      <c r="B69" s="13">
        <v>45741</v>
      </c>
      <c r="C69" t="s">
        <v>1440</v>
      </c>
      <c r="D69" t="s">
        <v>1536</v>
      </c>
    </row>
    <row r="70" spans="1:6">
      <c r="A70">
        <v>67</v>
      </c>
      <c r="B70" s="13">
        <v>45741</v>
      </c>
      <c r="C70" t="s">
        <v>1537</v>
      </c>
      <c r="D70" t="s">
        <v>1539</v>
      </c>
    </row>
    <row r="71" spans="1:6">
      <c r="A71">
        <v>68</v>
      </c>
      <c r="B71" s="13">
        <v>45741</v>
      </c>
      <c r="C71" t="s">
        <v>1540</v>
      </c>
      <c r="D71" t="s">
        <v>1541</v>
      </c>
    </row>
    <row r="72" spans="1:6">
      <c r="A72">
        <v>69</v>
      </c>
      <c r="B72" s="13">
        <v>45742</v>
      </c>
      <c r="C72" t="s">
        <v>1018</v>
      </c>
      <c r="D72" t="s">
        <v>1542</v>
      </c>
    </row>
    <row r="73" spans="1:6">
      <c r="A73">
        <v>70</v>
      </c>
      <c r="B73" s="13">
        <v>45742</v>
      </c>
      <c r="C73" t="s">
        <v>1387</v>
      </c>
      <c r="D73" t="s">
        <v>1543</v>
      </c>
    </row>
    <row r="74" spans="1:6">
      <c r="A74">
        <v>71</v>
      </c>
      <c r="B74" s="13">
        <v>45742</v>
      </c>
      <c r="C74" t="s">
        <v>1391</v>
      </c>
      <c r="D74" t="s">
        <v>1544</v>
      </c>
    </row>
    <row r="75" spans="1:6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>
      <c r="A78">
        <v>75</v>
      </c>
      <c r="B78" s="13">
        <v>45744</v>
      </c>
      <c r="C78" t="s">
        <v>1550</v>
      </c>
      <c r="D78" t="s">
        <v>1556</v>
      </c>
    </row>
    <row r="79" spans="1:6">
      <c r="A79">
        <v>76</v>
      </c>
      <c r="B79" s="13">
        <v>45745</v>
      </c>
      <c r="C79" t="s">
        <v>978</v>
      </c>
      <c r="D79" t="s">
        <v>1558</v>
      </c>
    </row>
    <row r="80" spans="1:6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>
      <c r="A81">
        <v>78</v>
      </c>
      <c r="B81" s="13">
        <v>45747</v>
      </c>
      <c r="C81" t="s">
        <v>1082</v>
      </c>
      <c r="D81" t="s">
        <v>1570</v>
      </c>
    </row>
    <row r="82" spans="1:4">
      <c r="A82">
        <v>79</v>
      </c>
      <c r="B82" s="13">
        <v>45747</v>
      </c>
      <c r="C82" t="s">
        <v>979</v>
      </c>
      <c r="D82" t="s">
        <v>1572</v>
      </c>
    </row>
    <row r="83" spans="1:4">
      <c r="A83">
        <v>80</v>
      </c>
      <c r="B83" s="13">
        <v>45734</v>
      </c>
      <c r="C83" t="s">
        <v>1573</v>
      </c>
      <c r="D83" t="s">
        <v>1575</v>
      </c>
    </row>
    <row r="84" spans="1:4">
      <c r="A84">
        <v>81</v>
      </c>
      <c r="B84" s="13">
        <v>45723</v>
      </c>
      <c r="C84" t="s">
        <v>1576</v>
      </c>
      <c r="D84" t="s">
        <v>1578</v>
      </c>
    </row>
    <row r="85" spans="1:4">
      <c r="A85">
        <v>82</v>
      </c>
      <c r="B85" s="13">
        <v>45723</v>
      </c>
      <c r="C85" t="s">
        <v>1576</v>
      </c>
      <c r="D85" t="s">
        <v>1579</v>
      </c>
    </row>
    <row r="86" spans="1:4">
      <c r="A86">
        <v>83</v>
      </c>
      <c r="B86" s="13">
        <v>45723</v>
      </c>
      <c r="C86" t="s">
        <v>1576</v>
      </c>
      <c r="D86" t="s">
        <v>1580</v>
      </c>
    </row>
    <row r="87" spans="1:4">
      <c r="A87">
        <v>84</v>
      </c>
      <c r="B87" s="13">
        <v>45718</v>
      </c>
      <c r="C87" t="s">
        <v>1015</v>
      </c>
      <c r="D87" t="s">
        <v>1581</v>
      </c>
    </row>
    <row r="88" spans="1:4">
      <c r="A88">
        <v>85</v>
      </c>
      <c r="B88" s="13">
        <v>45729</v>
      </c>
      <c r="C88" t="s">
        <v>1582</v>
      </c>
      <c r="D88" t="s">
        <v>1586</v>
      </c>
    </row>
    <row r="89" spans="1:4">
      <c r="A89">
        <v>86</v>
      </c>
      <c r="B89" s="13">
        <v>45716</v>
      </c>
      <c r="C89" t="s">
        <v>1582</v>
      </c>
      <c r="D89" t="s">
        <v>1587</v>
      </c>
    </row>
    <row r="90" spans="1:4">
      <c r="A90">
        <v>87</v>
      </c>
      <c r="B90" s="13">
        <v>45722</v>
      </c>
      <c r="C90" t="s">
        <v>1463</v>
      </c>
      <c r="D90" t="s">
        <v>1589</v>
      </c>
    </row>
    <row r="91" spans="1:4">
      <c r="A91">
        <v>88</v>
      </c>
      <c r="B91" s="13">
        <v>45722</v>
      </c>
      <c r="C91" t="s">
        <v>987</v>
      </c>
      <c r="D91" t="s">
        <v>1590</v>
      </c>
    </row>
    <row r="92" spans="1:4">
      <c r="A92">
        <v>89</v>
      </c>
      <c r="B92" s="13">
        <v>45726</v>
      </c>
      <c r="C92" t="s">
        <v>987</v>
      </c>
      <c r="D92" t="s">
        <v>1591</v>
      </c>
    </row>
    <row r="93" spans="1:4">
      <c r="A93">
        <v>90</v>
      </c>
      <c r="B93" s="13">
        <v>45735</v>
      </c>
      <c r="C93" t="s">
        <v>1592</v>
      </c>
      <c r="D93" t="s">
        <v>1593</v>
      </c>
    </row>
    <row r="94" spans="1:4">
      <c r="A94">
        <v>91</v>
      </c>
      <c r="B94" s="13">
        <v>45736</v>
      </c>
      <c r="C94" t="s">
        <v>1594</v>
      </c>
      <c r="D94" t="s">
        <v>1595</v>
      </c>
    </row>
    <row r="95" spans="1:4">
      <c r="A95">
        <v>92</v>
      </c>
      <c r="B95" s="13">
        <v>45721</v>
      </c>
      <c r="C95" t="s">
        <v>1448</v>
      </c>
      <c r="D95" t="s">
        <v>1597</v>
      </c>
    </row>
    <row r="96" spans="1:4">
      <c r="A96">
        <v>93</v>
      </c>
      <c r="B96" s="13">
        <v>45736</v>
      </c>
      <c r="C96" t="s">
        <v>1598</v>
      </c>
      <c r="D96" t="s">
        <v>1600</v>
      </c>
    </row>
    <row r="97" spans="1:4">
      <c r="A97">
        <v>94</v>
      </c>
      <c r="B97" s="13">
        <v>45735</v>
      </c>
      <c r="D97" t="s">
        <v>1601</v>
      </c>
    </row>
    <row r="98" spans="1:4">
      <c r="A98">
        <v>95</v>
      </c>
      <c r="B98" s="13">
        <v>45744</v>
      </c>
      <c r="D98" t="s">
        <v>1603</v>
      </c>
    </row>
    <row r="99" spans="1:4">
      <c r="A99">
        <v>96</v>
      </c>
      <c r="B99" s="13">
        <v>45748</v>
      </c>
      <c r="C99" t="s">
        <v>1517</v>
      </c>
      <c r="D99" t="s">
        <v>1606</v>
      </c>
    </row>
    <row r="100" spans="1:4">
      <c r="A100">
        <v>97</v>
      </c>
      <c r="B100" s="13">
        <v>45748</v>
      </c>
      <c r="C100" t="s">
        <v>1513</v>
      </c>
      <c r="D100" t="s">
        <v>1617</v>
      </c>
    </row>
    <row r="101" spans="1:4">
      <c r="A101">
        <v>98</v>
      </c>
      <c r="B101" s="13">
        <v>45748</v>
      </c>
      <c r="C101" t="s">
        <v>1573</v>
      </c>
      <c r="D101" t="s">
        <v>1624</v>
      </c>
    </row>
    <row r="102" spans="1:4">
      <c r="A102">
        <v>99</v>
      </c>
      <c r="B102" s="13">
        <v>45748</v>
      </c>
      <c r="C102" t="s">
        <v>1573</v>
      </c>
      <c r="D102" t="s">
        <v>1626</v>
      </c>
    </row>
    <row r="103" spans="1:4">
      <c r="A103">
        <v>100</v>
      </c>
      <c r="B103" s="13">
        <v>45749</v>
      </c>
      <c r="C103" t="s">
        <v>1445</v>
      </c>
      <c r="D103" t="s">
        <v>1633</v>
      </c>
    </row>
    <row r="104" spans="1:4">
      <c r="A104">
        <v>101</v>
      </c>
      <c r="B104" s="13">
        <v>45749</v>
      </c>
      <c r="C104" t="s">
        <v>1537</v>
      </c>
      <c r="D104" t="s">
        <v>1651</v>
      </c>
    </row>
    <row r="105" spans="1:4">
      <c r="A105">
        <v>102</v>
      </c>
      <c r="B105" s="13">
        <v>45749</v>
      </c>
      <c r="C105" t="s">
        <v>1395</v>
      </c>
      <c r="D105" t="s">
        <v>1652</v>
      </c>
    </row>
    <row r="106" spans="1:4">
      <c r="A106">
        <v>103</v>
      </c>
      <c r="B106" s="13">
        <v>45749</v>
      </c>
      <c r="C106" t="s">
        <v>1018</v>
      </c>
      <c r="D106" t="s">
        <v>1653</v>
      </c>
    </row>
    <row r="107" spans="1:4">
      <c r="A107">
        <v>104</v>
      </c>
      <c r="B107" s="13">
        <v>45749</v>
      </c>
      <c r="C107" t="s">
        <v>1654</v>
      </c>
      <c r="D107" t="s">
        <v>1658</v>
      </c>
    </row>
    <row r="108" spans="1:4">
      <c r="A108">
        <v>105</v>
      </c>
      <c r="B108" s="13">
        <v>45749</v>
      </c>
      <c r="C108" t="s">
        <v>1659</v>
      </c>
      <c r="D108" t="s">
        <v>1661</v>
      </c>
    </row>
    <row r="109" spans="1:4">
      <c r="A109">
        <v>106</v>
      </c>
      <c r="B109" s="13">
        <v>45749</v>
      </c>
      <c r="C109" t="s">
        <v>1537</v>
      </c>
      <c r="D109" t="s">
        <v>1663</v>
      </c>
    </row>
    <row r="110" spans="1:4">
      <c r="A110">
        <v>107</v>
      </c>
      <c r="B110" s="13">
        <v>45750</v>
      </c>
      <c r="C110" t="s">
        <v>1445</v>
      </c>
      <c r="D110" t="s">
        <v>1665</v>
      </c>
    </row>
    <row r="111" spans="1:4">
      <c r="A111">
        <v>108</v>
      </c>
      <c r="B111" s="13">
        <v>45750</v>
      </c>
      <c r="C111" t="s">
        <v>1667</v>
      </c>
      <c r="D111" t="s">
        <v>1671</v>
      </c>
    </row>
    <row r="112" spans="1:4">
      <c r="A112">
        <v>109</v>
      </c>
      <c r="B112" s="13">
        <v>45750</v>
      </c>
      <c r="C112" t="s">
        <v>1672</v>
      </c>
      <c r="D112" t="s">
        <v>1673</v>
      </c>
    </row>
    <row r="113" spans="1:4">
      <c r="A113">
        <v>110</v>
      </c>
      <c r="B113" s="13">
        <v>45750</v>
      </c>
      <c r="C113" t="s">
        <v>1440</v>
      </c>
      <c r="D113" t="s">
        <v>1682</v>
      </c>
    </row>
    <row r="114" spans="1:4">
      <c r="A114">
        <v>111</v>
      </c>
      <c r="B114" s="13">
        <v>45751</v>
      </c>
      <c r="C114" t="s">
        <v>1374</v>
      </c>
      <c r="D114" t="s">
        <v>1688</v>
      </c>
    </row>
    <row r="115" spans="1:4">
      <c r="A115">
        <v>112</v>
      </c>
      <c r="B115" s="13">
        <v>45751</v>
      </c>
      <c r="C115" t="s">
        <v>1465</v>
      </c>
      <c r="D115" t="s">
        <v>1692</v>
      </c>
    </row>
    <row r="116" spans="1:4">
      <c r="A116">
        <v>113</v>
      </c>
      <c r="B116" s="13">
        <v>45751</v>
      </c>
      <c r="C116" t="s">
        <v>1718</v>
      </c>
      <c r="D116" t="s">
        <v>1721</v>
      </c>
    </row>
    <row r="117" spans="1:4">
      <c r="A117">
        <v>114</v>
      </c>
      <c r="B117" s="13">
        <v>45751</v>
      </c>
      <c r="C117" t="s">
        <v>1718</v>
      </c>
      <c r="D117" t="s">
        <v>1722</v>
      </c>
    </row>
    <row r="118" spans="1:4">
      <c r="A118">
        <v>115</v>
      </c>
      <c r="B118" s="13">
        <v>45751</v>
      </c>
      <c r="C118" t="s">
        <v>1718</v>
      </c>
      <c r="D118" t="s">
        <v>1725</v>
      </c>
    </row>
    <row r="119" spans="1:4">
      <c r="A119">
        <v>116</v>
      </c>
      <c r="B119" s="13">
        <v>45752</v>
      </c>
      <c r="C119" t="s">
        <v>1537</v>
      </c>
      <c r="D119" t="s">
        <v>1741</v>
      </c>
    </row>
    <row r="120" spans="1:4">
      <c r="A120">
        <v>117</v>
      </c>
      <c r="B120" s="13">
        <v>45752</v>
      </c>
      <c r="C120" t="s">
        <v>1395</v>
      </c>
      <c r="D120" t="s">
        <v>1745</v>
      </c>
    </row>
    <row r="121" spans="1:4">
      <c r="A121">
        <v>118</v>
      </c>
      <c r="B121" s="13">
        <v>45754</v>
      </c>
      <c r="C121" t="s">
        <v>1743</v>
      </c>
      <c r="D121" t="s">
        <v>1746</v>
      </c>
    </row>
    <row r="122" spans="1:4">
      <c r="A122">
        <v>118</v>
      </c>
      <c r="B122" s="13">
        <v>45754</v>
      </c>
      <c r="C122" t="s">
        <v>1145</v>
      </c>
      <c r="D122" t="s">
        <v>1757</v>
      </c>
    </row>
    <row r="123" spans="1:4">
      <c r="A123">
        <v>119</v>
      </c>
      <c r="B123" s="13">
        <v>45754</v>
      </c>
      <c r="C123" t="s">
        <v>1718</v>
      </c>
      <c r="D123" t="s">
        <v>1768</v>
      </c>
    </row>
    <row r="124" spans="1:4">
      <c r="A124">
        <v>120</v>
      </c>
      <c r="B124" s="13">
        <v>45754</v>
      </c>
      <c r="C124" t="s">
        <v>1053</v>
      </c>
      <c r="D124" t="s">
        <v>1789</v>
      </c>
    </row>
    <row r="125" spans="1:4">
      <c r="A125">
        <v>121</v>
      </c>
      <c r="B125" s="13">
        <v>45754</v>
      </c>
      <c r="C125" t="s">
        <v>1786</v>
      </c>
      <c r="D125" t="s">
        <v>1793</v>
      </c>
    </row>
    <row r="126" spans="1:4">
      <c r="A126">
        <v>122</v>
      </c>
      <c r="B126" s="13">
        <v>45754</v>
      </c>
      <c r="C126" t="s">
        <v>1718</v>
      </c>
      <c r="D126" t="s">
        <v>1794</v>
      </c>
    </row>
    <row r="127" spans="1:4">
      <c r="A127">
        <v>123</v>
      </c>
      <c r="B127" s="13">
        <v>45754</v>
      </c>
      <c r="C127" t="s">
        <v>1395</v>
      </c>
      <c r="D127" t="s">
        <v>1795</v>
      </c>
    </row>
    <row r="128" spans="1:4">
      <c r="A128">
        <v>124</v>
      </c>
      <c r="B128" s="13">
        <v>45755</v>
      </c>
      <c r="C128" t="s">
        <v>1445</v>
      </c>
      <c r="D128" t="s">
        <v>1800</v>
      </c>
    </row>
    <row r="129" spans="1:5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>
      <c r="A130">
        <v>126</v>
      </c>
      <c r="B130" s="13">
        <v>45755</v>
      </c>
      <c r="C130" t="s">
        <v>1018</v>
      </c>
      <c r="D130" t="s">
        <v>1804</v>
      </c>
    </row>
    <row r="131" spans="1:5">
      <c r="A131">
        <v>127</v>
      </c>
      <c r="B131" s="13">
        <v>45755</v>
      </c>
      <c r="C131" t="s">
        <v>1805</v>
      </c>
      <c r="D131" t="s">
        <v>1806</v>
      </c>
    </row>
    <row r="132" spans="1:5">
      <c r="A132">
        <v>128</v>
      </c>
      <c r="B132" s="13">
        <v>45755</v>
      </c>
      <c r="C132" t="s">
        <v>1576</v>
      </c>
      <c r="D132" t="s">
        <v>1807</v>
      </c>
    </row>
    <row r="133" spans="1:5">
      <c r="A133">
        <v>129</v>
      </c>
      <c r="B133" s="13">
        <v>45755</v>
      </c>
      <c r="C133" t="s">
        <v>1808</v>
      </c>
      <c r="D133" t="s">
        <v>1810</v>
      </c>
    </row>
    <row r="134" spans="1:5">
      <c r="A134">
        <v>130</v>
      </c>
      <c r="B134" s="13">
        <v>45756</v>
      </c>
      <c r="C134" t="s">
        <v>1718</v>
      </c>
      <c r="D134" t="s">
        <v>1820</v>
      </c>
    </row>
    <row r="135" spans="1:5">
      <c r="A135">
        <v>131</v>
      </c>
      <c r="B135" s="13">
        <v>45757</v>
      </c>
      <c r="C135" t="s">
        <v>1454</v>
      </c>
      <c r="D135" t="s">
        <v>1822</v>
      </c>
    </row>
    <row r="136" spans="1:5">
      <c r="A136">
        <v>132</v>
      </c>
      <c r="B136" s="13">
        <v>45757</v>
      </c>
      <c r="C136" t="s">
        <v>1537</v>
      </c>
      <c r="D136" t="s">
        <v>1824</v>
      </c>
    </row>
    <row r="137" spans="1:5">
      <c r="A137">
        <v>133</v>
      </c>
      <c r="B137" s="13">
        <v>45757</v>
      </c>
      <c r="C137" t="s">
        <v>1537</v>
      </c>
      <c r="D137" t="s">
        <v>1827</v>
      </c>
    </row>
    <row r="138" spans="1:5">
      <c r="A138">
        <v>134</v>
      </c>
      <c r="B138" s="13">
        <v>45757</v>
      </c>
      <c r="C138" t="s">
        <v>1454</v>
      </c>
      <c r="D138" t="s">
        <v>1828</v>
      </c>
    </row>
    <row r="139" spans="1:5">
      <c r="A139">
        <v>135</v>
      </c>
      <c r="B139" s="13">
        <v>45757</v>
      </c>
      <c r="C139" t="s">
        <v>1801</v>
      </c>
      <c r="D139" t="s">
        <v>1829</v>
      </c>
    </row>
    <row r="140" spans="1:5">
      <c r="A140">
        <v>136</v>
      </c>
      <c r="B140" s="13">
        <v>45758</v>
      </c>
      <c r="C140" t="s">
        <v>1465</v>
      </c>
      <c r="D140" t="s">
        <v>1836</v>
      </c>
    </row>
    <row r="141" spans="1:5">
      <c r="A141">
        <v>137</v>
      </c>
      <c r="B141" s="13">
        <v>45758</v>
      </c>
      <c r="C141" t="s">
        <v>1834</v>
      </c>
      <c r="D141" t="s">
        <v>1838</v>
      </c>
    </row>
    <row r="142" spans="1:5">
      <c r="A142">
        <v>138</v>
      </c>
      <c r="B142" s="13">
        <v>45759</v>
      </c>
      <c r="C142" t="s">
        <v>1018</v>
      </c>
      <c r="D142" t="s">
        <v>1839</v>
      </c>
    </row>
    <row r="143" spans="1:5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>
      <c r="A144">
        <v>140</v>
      </c>
      <c r="B144" s="13">
        <v>45759</v>
      </c>
      <c r="C144" t="s">
        <v>1018</v>
      </c>
      <c r="D144" t="s">
        <v>1842</v>
      </c>
    </row>
    <row r="145" spans="1:4">
      <c r="A145">
        <v>141</v>
      </c>
      <c r="B145" s="13">
        <v>45761</v>
      </c>
      <c r="C145" t="s">
        <v>1018</v>
      </c>
      <c r="D145" t="s">
        <v>1844</v>
      </c>
    </row>
    <row r="146" spans="1:4">
      <c r="A146">
        <v>142</v>
      </c>
      <c r="B146" s="13">
        <v>45759</v>
      </c>
      <c r="C146" t="s">
        <v>1843</v>
      </c>
      <c r="D146" t="s">
        <v>1849</v>
      </c>
    </row>
    <row r="147" spans="1:4">
      <c r="A147">
        <v>143</v>
      </c>
      <c r="B147" s="13">
        <v>45761</v>
      </c>
      <c r="C147" t="s">
        <v>1145</v>
      </c>
      <c r="D147" t="s">
        <v>1852</v>
      </c>
    </row>
    <row r="148" spans="1:4">
      <c r="A148">
        <v>144</v>
      </c>
      <c r="B148" s="13">
        <v>45761</v>
      </c>
      <c r="C148" t="s">
        <v>1053</v>
      </c>
      <c r="D148" t="s">
        <v>1853</v>
      </c>
    </row>
    <row r="149" spans="1:4">
      <c r="A149">
        <v>145</v>
      </c>
      <c r="B149" s="13">
        <v>45761</v>
      </c>
      <c r="C149" t="s">
        <v>1018</v>
      </c>
      <c r="D149" t="s">
        <v>1854</v>
      </c>
    </row>
    <row r="150" spans="1:4">
      <c r="A150">
        <v>146</v>
      </c>
      <c r="B150" s="13">
        <v>45761</v>
      </c>
      <c r="C150" t="s">
        <v>1805</v>
      </c>
      <c r="D150" t="s">
        <v>1856</v>
      </c>
    </row>
    <row r="151" spans="1:4">
      <c r="A151">
        <v>147</v>
      </c>
      <c r="B151" s="13">
        <v>45761</v>
      </c>
      <c r="C151" t="s">
        <v>1857</v>
      </c>
      <c r="D151" t="s">
        <v>1859</v>
      </c>
    </row>
    <row r="152" spans="1:4">
      <c r="A152">
        <v>148</v>
      </c>
      <c r="B152" s="13">
        <v>45691</v>
      </c>
      <c r="C152" t="s">
        <v>1718</v>
      </c>
      <c r="D152" t="s">
        <v>1861</v>
      </c>
    </row>
    <row r="153" spans="1:4">
      <c r="A153">
        <v>149</v>
      </c>
      <c r="B153" s="13">
        <v>45761</v>
      </c>
      <c r="C153" t="s">
        <v>1718</v>
      </c>
      <c r="D153" t="s">
        <v>1862</v>
      </c>
    </row>
    <row r="154" spans="1:4">
      <c r="A154">
        <v>150</v>
      </c>
      <c r="B154" s="13">
        <v>45761</v>
      </c>
      <c r="C154" t="s">
        <v>1863</v>
      </c>
      <c r="D154" t="s">
        <v>1864</v>
      </c>
    </row>
    <row r="155" spans="1:4">
      <c r="A155">
        <v>151</v>
      </c>
      <c r="B155" s="13">
        <v>45761</v>
      </c>
      <c r="C155" t="s">
        <v>1866</v>
      </c>
      <c r="D155" t="s">
        <v>1867</v>
      </c>
    </row>
    <row r="156" spans="1:4">
      <c r="A156">
        <v>152</v>
      </c>
      <c r="B156" s="13">
        <v>45762</v>
      </c>
      <c r="C156" t="s">
        <v>1872</v>
      </c>
      <c r="D156" t="s">
        <v>1873</v>
      </c>
    </row>
    <row r="157" spans="1:4">
      <c r="A157">
        <v>153</v>
      </c>
      <c r="B157" s="13">
        <v>45762</v>
      </c>
      <c r="C157" t="s">
        <v>1718</v>
      </c>
      <c r="D157" t="s">
        <v>1874</v>
      </c>
    </row>
    <row r="158" spans="1:4">
      <c r="A158">
        <v>154</v>
      </c>
      <c r="B158" s="13">
        <v>45762</v>
      </c>
      <c r="C158" t="s">
        <v>1046</v>
      </c>
      <c r="D158" t="s">
        <v>1875</v>
      </c>
    </row>
    <row r="159" spans="1:4">
      <c r="A159">
        <v>155</v>
      </c>
      <c r="B159" s="13">
        <v>45762</v>
      </c>
      <c r="C159" t="s">
        <v>1046</v>
      </c>
      <c r="D159" t="s">
        <v>1876</v>
      </c>
    </row>
    <row r="160" spans="1:4">
      <c r="A160">
        <v>156</v>
      </c>
      <c r="B160" s="13">
        <v>45762</v>
      </c>
      <c r="C160" t="s">
        <v>1438</v>
      </c>
      <c r="D160" t="s">
        <v>1882</v>
      </c>
    </row>
    <row r="161" spans="1:5">
      <c r="A161">
        <v>157</v>
      </c>
      <c r="B161" s="13">
        <v>45762</v>
      </c>
      <c r="C161" t="s">
        <v>1667</v>
      </c>
      <c r="D161" t="s">
        <v>1883</v>
      </c>
    </row>
    <row r="162" spans="1:5">
      <c r="A162">
        <v>158</v>
      </c>
      <c r="B162" s="13">
        <v>45762</v>
      </c>
      <c r="C162" t="s">
        <v>1805</v>
      </c>
      <c r="D162" t="s">
        <v>1884</v>
      </c>
    </row>
    <row r="163" spans="1:5">
      <c r="A163">
        <v>159</v>
      </c>
      <c r="B163" s="13">
        <v>45763</v>
      </c>
      <c r="C163" t="s">
        <v>1886</v>
      </c>
      <c r="D163" t="s">
        <v>2113</v>
      </c>
    </row>
    <row r="164" spans="1:5">
      <c r="A164">
        <v>160</v>
      </c>
      <c r="B164" s="13">
        <v>45763</v>
      </c>
      <c r="C164" t="s">
        <v>1890</v>
      </c>
      <c r="D164" t="s">
        <v>1891</v>
      </c>
    </row>
    <row r="165" spans="1:5">
      <c r="A165">
        <v>161</v>
      </c>
      <c r="B165" s="13">
        <v>45763</v>
      </c>
      <c r="C165" t="s">
        <v>978</v>
      </c>
      <c r="D165" t="s">
        <v>1892</v>
      </c>
    </row>
    <row r="166" spans="1:5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>
      <c r="A168">
        <v>164</v>
      </c>
      <c r="B168" s="13">
        <v>45763</v>
      </c>
      <c r="C168" t="s">
        <v>1576</v>
      </c>
      <c r="D168" t="s">
        <v>1899</v>
      </c>
    </row>
    <row r="169" spans="1:5">
      <c r="A169">
        <v>165</v>
      </c>
      <c r="B169" s="13">
        <v>45764</v>
      </c>
      <c r="C169" t="s">
        <v>1395</v>
      </c>
      <c r="D169" t="s">
        <v>1913</v>
      </c>
    </row>
    <row r="170" spans="1:5">
      <c r="A170">
        <v>166</v>
      </c>
      <c r="B170" s="13">
        <v>45764</v>
      </c>
      <c r="C170" t="s">
        <v>1537</v>
      </c>
      <c r="D170" t="s">
        <v>1916</v>
      </c>
    </row>
    <row r="171" spans="1:5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>
      <c r="A172">
        <v>168</v>
      </c>
      <c r="B172" s="13">
        <v>45765</v>
      </c>
      <c r="C172" t="s">
        <v>1667</v>
      </c>
      <c r="D172" t="s">
        <v>1921</v>
      </c>
    </row>
    <row r="173" spans="1:5">
      <c r="A173">
        <v>169</v>
      </c>
      <c r="B173" s="13">
        <v>45765</v>
      </c>
      <c r="C173" t="s">
        <v>1718</v>
      </c>
      <c r="D173" t="s">
        <v>1923</v>
      </c>
    </row>
    <row r="174" spans="1:5">
      <c r="A174">
        <v>170</v>
      </c>
      <c r="B174" s="13">
        <v>45765</v>
      </c>
      <c r="C174" t="s">
        <v>1594</v>
      </c>
      <c r="D174" t="s">
        <v>1924</v>
      </c>
    </row>
    <row r="175" spans="1:5">
      <c r="A175">
        <v>171</v>
      </c>
      <c r="B175" s="13">
        <v>45765</v>
      </c>
      <c r="C175" t="s">
        <v>1463</v>
      </c>
      <c r="D175" t="s">
        <v>1925</v>
      </c>
    </row>
    <row r="176" spans="1:5">
      <c r="A176">
        <v>172</v>
      </c>
      <c r="B176" s="13">
        <v>45765</v>
      </c>
      <c r="C176" t="s">
        <v>1463</v>
      </c>
      <c r="D176" t="s">
        <v>1926</v>
      </c>
    </row>
    <row r="177" spans="1:5">
      <c r="A177">
        <v>173</v>
      </c>
      <c r="B177" s="13">
        <v>45768</v>
      </c>
      <c r="C177" t="s">
        <v>1927</v>
      </c>
      <c r="D177" t="s">
        <v>1928</v>
      </c>
    </row>
    <row r="178" spans="1:5">
      <c r="A178">
        <v>174</v>
      </c>
      <c r="B178" s="13">
        <v>45768</v>
      </c>
      <c r="C178" t="s">
        <v>1938</v>
      </c>
      <c r="D178" t="s">
        <v>1939</v>
      </c>
    </row>
    <row r="179" spans="1:5">
      <c r="A179">
        <v>175</v>
      </c>
      <c r="B179" s="13">
        <v>45768</v>
      </c>
      <c r="C179" t="s">
        <v>1938</v>
      </c>
      <c r="D179" t="s">
        <v>1940</v>
      </c>
    </row>
    <row r="180" spans="1:5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>
      <c r="A182">
        <v>178</v>
      </c>
      <c r="B182" s="13">
        <v>45768</v>
      </c>
      <c r="C182" t="s">
        <v>1573</v>
      </c>
      <c r="D182" t="s">
        <v>1944</v>
      </c>
    </row>
    <row r="183" spans="1:5">
      <c r="A183">
        <v>179</v>
      </c>
      <c r="B183" s="13">
        <v>45768</v>
      </c>
      <c r="C183" t="s">
        <v>1718</v>
      </c>
      <c r="D183" t="s">
        <v>1950</v>
      </c>
    </row>
    <row r="184" spans="1:5">
      <c r="A184">
        <v>180</v>
      </c>
      <c r="B184" s="13">
        <v>45769</v>
      </c>
      <c r="C184" t="s">
        <v>1445</v>
      </c>
      <c r="D184" t="s">
        <v>1954</v>
      </c>
    </row>
    <row r="185" spans="1:5">
      <c r="A185">
        <v>181</v>
      </c>
      <c r="B185" s="13">
        <v>45770</v>
      </c>
      <c r="C185" t="s">
        <v>1594</v>
      </c>
      <c r="D185" t="s">
        <v>1956</v>
      </c>
    </row>
    <row r="186" spans="1:5">
      <c r="A186">
        <v>182</v>
      </c>
      <c r="B186" s="13">
        <v>45770</v>
      </c>
      <c r="C186" t="s">
        <v>1957</v>
      </c>
      <c r="D186" t="s">
        <v>1960</v>
      </c>
    </row>
    <row r="187" spans="1:5">
      <c r="A187">
        <v>183</v>
      </c>
      <c r="B187" s="13">
        <v>45770</v>
      </c>
      <c r="C187" t="s">
        <v>1957</v>
      </c>
      <c r="D187" t="s">
        <v>1963</v>
      </c>
    </row>
    <row r="188" spans="1:5">
      <c r="A188">
        <v>184</v>
      </c>
      <c r="B188" s="13">
        <v>45771</v>
      </c>
      <c r="C188" t="s">
        <v>1550</v>
      </c>
      <c r="D188" t="s">
        <v>1965</v>
      </c>
    </row>
    <row r="189" spans="1:5">
      <c r="A189">
        <v>185</v>
      </c>
      <c r="B189" s="13">
        <v>45771</v>
      </c>
      <c r="C189" t="s">
        <v>1440</v>
      </c>
      <c r="D189" t="s">
        <v>1968</v>
      </c>
    </row>
    <row r="190" spans="1:5">
      <c r="A190">
        <v>186</v>
      </c>
      <c r="B190" s="13">
        <v>45772</v>
      </c>
      <c r="C190" t="s">
        <v>1387</v>
      </c>
      <c r="D190" t="s">
        <v>1972</v>
      </c>
    </row>
    <row r="191" spans="1:5">
      <c r="A191">
        <v>187</v>
      </c>
      <c r="B191" s="13">
        <v>45772</v>
      </c>
      <c r="C191" t="s">
        <v>1973</v>
      </c>
      <c r="D191" t="s">
        <v>1975</v>
      </c>
    </row>
    <row r="192" spans="1:5">
      <c r="A192">
        <v>188</v>
      </c>
      <c r="B192" s="13">
        <v>45772</v>
      </c>
      <c r="C192" t="s">
        <v>1976</v>
      </c>
      <c r="D192" t="s">
        <v>1977</v>
      </c>
    </row>
    <row r="193" spans="1:4">
      <c r="A193">
        <v>189</v>
      </c>
      <c r="B193" s="13">
        <v>45772</v>
      </c>
      <c r="C193" t="s">
        <v>1786</v>
      </c>
      <c r="D193" t="s">
        <v>1978</v>
      </c>
    </row>
    <row r="194" spans="1:4">
      <c r="A194">
        <v>190</v>
      </c>
      <c r="B194" s="13">
        <v>45772</v>
      </c>
      <c r="C194" t="s">
        <v>1786</v>
      </c>
      <c r="D194" t="s">
        <v>1980</v>
      </c>
    </row>
    <row r="195" spans="1:4">
      <c r="A195">
        <v>191</v>
      </c>
      <c r="B195" s="13">
        <v>45772</v>
      </c>
      <c r="C195" t="s">
        <v>1440</v>
      </c>
      <c r="D195" t="s">
        <v>1982</v>
      </c>
    </row>
    <row r="196" spans="1:4">
      <c r="A196">
        <v>192</v>
      </c>
      <c r="B196" s="13">
        <v>45772</v>
      </c>
      <c r="C196" t="s">
        <v>1805</v>
      </c>
      <c r="D196" t="s">
        <v>1983</v>
      </c>
    </row>
    <row r="197" spans="1:4">
      <c r="A197">
        <v>193</v>
      </c>
      <c r="B197" s="13">
        <v>45775</v>
      </c>
      <c r="C197" t="s">
        <v>1517</v>
      </c>
      <c r="D197" t="s">
        <v>1985</v>
      </c>
    </row>
    <row r="198" spans="1:4">
      <c r="A198">
        <v>194</v>
      </c>
      <c r="B198" s="13">
        <v>45775</v>
      </c>
      <c r="C198" t="s">
        <v>1440</v>
      </c>
      <c r="D198" t="s">
        <v>1986</v>
      </c>
    </row>
    <row r="199" spans="1:4">
      <c r="A199">
        <v>195</v>
      </c>
      <c r="B199" s="13">
        <v>45775</v>
      </c>
      <c r="C199" t="s">
        <v>1145</v>
      </c>
      <c r="D199" t="s">
        <v>1987</v>
      </c>
    </row>
    <row r="200" spans="1:4">
      <c r="A200">
        <v>196</v>
      </c>
      <c r="B200" s="13">
        <v>45775</v>
      </c>
      <c r="C200" t="s">
        <v>1053</v>
      </c>
      <c r="D200" t="s">
        <v>1989</v>
      </c>
    </row>
    <row r="201" spans="1:4">
      <c r="A201">
        <v>197</v>
      </c>
      <c r="B201" s="13">
        <v>45775</v>
      </c>
      <c r="C201" t="s">
        <v>1528</v>
      </c>
      <c r="D201" t="s">
        <v>1991</v>
      </c>
    </row>
    <row r="202" spans="1:4">
      <c r="A202">
        <v>198</v>
      </c>
      <c r="B202" s="13">
        <v>45775</v>
      </c>
      <c r="C202" t="s">
        <v>1976</v>
      </c>
      <c r="D202" t="s">
        <v>1993</v>
      </c>
    </row>
    <row r="203" spans="1:4">
      <c r="A203">
        <v>199</v>
      </c>
      <c r="B203" s="13">
        <v>45776</v>
      </c>
      <c r="C203" t="s">
        <v>1537</v>
      </c>
      <c r="D203" t="s">
        <v>2007</v>
      </c>
    </row>
    <row r="204" spans="1:4">
      <c r="A204">
        <v>200</v>
      </c>
      <c r="B204" s="13">
        <v>45776</v>
      </c>
      <c r="C204" t="s">
        <v>2011</v>
      </c>
      <c r="D204" t="s">
        <v>2012</v>
      </c>
    </row>
    <row r="205" spans="1:4">
      <c r="A205">
        <v>201</v>
      </c>
      <c r="B205" s="13">
        <v>45776</v>
      </c>
      <c r="C205" t="s">
        <v>1718</v>
      </c>
      <c r="D205" t="s">
        <v>2017</v>
      </c>
    </row>
    <row r="206" spans="1:4">
      <c r="A206">
        <v>202</v>
      </c>
      <c r="B206" s="13">
        <v>45776</v>
      </c>
      <c r="C206" t="s">
        <v>2020</v>
      </c>
      <c r="D206" t="s">
        <v>2021</v>
      </c>
    </row>
    <row r="207" spans="1:4">
      <c r="A207">
        <v>203</v>
      </c>
      <c r="B207" s="13">
        <v>45776</v>
      </c>
      <c r="C207" t="s">
        <v>1976</v>
      </c>
      <c r="D207" t="s">
        <v>2022</v>
      </c>
    </row>
    <row r="208" spans="1:4">
      <c r="A208">
        <v>204</v>
      </c>
      <c r="B208" s="13">
        <v>45776</v>
      </c>
      <c r="C208" t="s">
        <v>1743</v>
      </c>
      <c r="D208" t="s">
        <v>2024</v>
      </c>
    </row>
    <row r="209" spans="1:4">
      <c r="A209">
        <v>205</v>
      </c>
      <c r="B209" s="13">
        <v>45776</v>
      </c>
      <c r="C209" t="s">
        <v>1976</v>
      </c>
      <c r="D209" t="s">
        <v>2026</v>
      </c>
    </row>
    <row r="210" spans="1:4">
      <c r="A210">
        <v>206</v>
      </c>
      <c r="B210" s="13">
        <v>45777</v>
      </c>
      <c r="C210" t="s">
        <v>1007</v>
      </c>
      <c r="D210" t="s">
        <v>2027</v>
      </c>
    </row>
    <row r="211" spans="1:4">
      <c r="A211">
        <v>207</v>
      </c>
      <c r="B211" s="13">
        <v>45777</v>
      </c>
      <c r="C211" t="s">
        <v>1440</v>
      </c>
      <c r="D211" t="s">
        <v>2029</v>
      </c>
    </row>
    <row r="212" spans="1:4">
      <c r="A212">
        <v>208</v>
      </c>
      <c r="B212" s="13">
        <v>45777</v>
      </c>
      <c r="C212" t="s">
        <v>2030</v>
      </c>
      <c r="D212" t="s">
        <v>2034</v>
      </c>
    </row>
    <row r="213" spans="1:4">
      <c r="A213">
        <v>209</v>
      </c>
      <c r="B213" s="13">
        <v>45777</v>
      </c>
      <c r="C213" t="s">
        <v>2035</v>
      </c>
      <c r="D213" t="s">
        <v>2038</v>
      </c>
    </row>
    <row r="214" spans="1:4">
      <c r="A214">
        <v>210</v>
      </c>
      <c r="B214" s="13">
        <v>45777</v>
      </c>
      <c r="C214" t="s">
        <v>1046</v>
      </c>
      <c r="D214" t="s">
        <v>2040</v>
      </c>
    </row>
    <row r="215" spans="1:4">
      <c r="A215">
        <v>211</v>
      </c>
      <c r="B215" s="13">
        <v>45777</v>
      </c>
      <c r="C215" t="s">
        <v>1573</v>
      </c>
      <c r="D215" t="s">
        <v>2041</v>
      </c>
    </row>
    <row r="216" spans="1:4">
      <c r="A216">
        <v>212</v>
      </c>
      <c r="B216" s="13">
        <v>45777</v>
      </c>
      <c r="C216" t="s">
        <v>2042</v>
      </c>
      <c r="D216" t="s">
        <v>2046</v>
      </c>
    </row>
    <row r="217" spans="1:4">
      <c r="A217">
        <v>213</v>
      </c>
      <c r="B217" s="13">
        <v>45777</v>
      </c>
      <c r="C217" t="s">
        <v>1550</v>
      </c>
      <c r="D217" t="s">
        <v>2047</v>
      </c>
    </row>
    <row r="218" spans="1:4">
      <c r="A218">
        <v>214</v>
      </c>
      <c r="B218" s="13">
        <v>45775</v>
      </c>
      <c r="C218" t="s">
        <v>1976</v>
      </c>
      <c r="D218" t="s">
        <v>2048</v>
      </c>
    </row>
    <row r="219" spans="1:4">
      <c r="A219">
        <v>215</v>
      </c>
      <c r="B219" s="13">
        <v>45778</v>
      </c>
      <c r="C219" t="s">
        <v>1576</v>
      </c>
      <c r="D219" t="s">
        <v>2057</v>
      </c>
    </row>
    <row r="220" spans="1:4">
      <c r="A220">
        <v>216</v>
      </c>
      <c r="B220" s="13">
        <v>45777</v>
      </c>
      <c r="C220" t="s">
        <v>1718</v>
      </c>
      <c r="D220" t="s">
        <v>2059</v>
      </c>
    </row>
    <row r="221" spans="1:4">
      <c r="A221">
        <v>217</v>
      </c>
      <c r="B221" s="13">
        <v>45779</v>
      </c>
      <c r="C221" t="s">
        <v>1576</v>
      </c>
      <c r="D221" t="s">
        <v>2060</v>
      </c>
    </row>
    <row r="222" spans="1:4">
      <c r="A222">
        <v>218</v>
      </c>
      <c r="B222" s="13">
        <v>45779</v>
      </c>
      <c r="C222" t="s">
        <v>1973</v>
      </c>
      <c r="D222" t="s">
        <v>2061</v>
      </c>
    </row>
    <row r="223" spans="1:4">
      <c r="A223">
        <v>219</v>
      </c>
      <c r="B223" s="13">
        <v>45779</v>
      </c>
      <c r="C223" t="s">
        <v>1395</v>
      </c>
      <c r="D223" t="s">
        <v>2062</v>
      </c>
    </row>
    <row r="224" spans="1:4">
      <c r="A224">
        <v>220</v>
      </c>
      <c r="B224" s="13">
        <v>45779</v>
      </c>
      <c r="C224" t="s">
        <v>1395</v>
      </c>
      <c r="D224" t="s">
        <v>2063</v>
      </c>
    </row>
    <row r="225" spans="1:4">
      <c r="A225">
        <v>221</v>
      </c>
      <c r="B225" s="13">
        <v>45780</v>
      </c>
      <c r="C225" t="s">
        <v>1957</v>
      </c>
      <c r="D225" t="s">
        <v>2072</v>
      </c>
    </row>
    <row r="226" spans="1:4">
      <c r="A226">
        <v>222</v>
      </c>
      <c r="B226" s="13">
        <v>45782</v>
      </c>
      <c r="C226" t="s">
        <v>2074</v>
      </c>
      <c r="D226" t="s">
        <v>2075</v>
      </c>
    </row>
    <row r="227" spans="1:4">
      <c r="A227">
        <v>223</v>
      </c>
      <c r="B227" s="13">
        <v>45782</v>
      </c>
      <c r="C227" t="s">
        <v>1007</v>
      </c>
      <c r="D227" t="s">
        <v>2076</v>
      </c>
    </row>
    <row r="228" spans="1:4">
      <c r="A228">
        <v>224</v>
      </c>
      <c r="B228" s="13">
        <v>45783</v>
      </c>
      <c r="C228" t="s">
        <v>1537</v>
      </c>
      <c r="D228" t="s">
        <v>2077</v>
      </c>
    </row>
    <row r="229" spans="1:4">
      <c r="A229">
        <v>225</v>
      </c>
      <c r="B229" s="13">
        <v>45783</v>
      </c>
      <c r="C229" t="s">
        <v>1395</v>
      </c>
      <c r="D229" t="s">
        <v>2078</v>
      </c>
    </row>
    <row r="230" spans="1:4">
      <c r="A230">
        <v>226</v>
      </c>
      <c r="B230" s="13">
        <v>45783</v>
      </c>
      <c r="C230" t="s">
        <v>1465</v>
      </c>
      <c r="D230" t="s">
        <v>2079</v>
      </c>
    </row>
    <row r="231" spans="1:4">
      <c r="A231">
        <v>227</v>
      </c>
      <c r="B231" s="13">
        <v>45783</v>
      </c>
      <c r="C231" t="s">
        <v>1395</v>
      </c>
      <c r="D231" t="s">
        <v>2081</v>
      </c>
    </row>
    <row r="232" spans="1:4">
      <c r="A232">
        <v>228</v>
      </c>
      <c r="B232" s="13">
        <v>45784</v>
      </c>
      <c r="C232" t="s">
        <v>1302</v>
      </c>
      <c r="D232" t="s">
        <v>2082</v>
      </c>
    </row>
    <row r="233" spans="1:4">
      <c r="A233">
        <v>229</v>
      </c>
      <c r="B233" s="13">
        <v>45784</v>
      </c>
      <c r="C233" t="s">
        <v>2085</v>
      </c>
      <c r="D233" t="s">
        <v>2086</v>
      </c>
    </row>
    <row r="234" spans="1:4">
      <c r="A234">
        <v>230</v>
      </c>
      <c r="B234" s="13">
        <v>45784</v>
      </c>
      <c r="C234" t="s">
        <v>2085</v>
      </c>
      <c r="D234" t="s">
        <v>2088</v>
      </c>
    </row>
    <row r="235" spans="1:4">
      <c r="A235">
        <v>231</v>
      </c>
      <c r="B235" s="13">
        <v>45784</v>
      </c>
      <c r="C235" t="s">
        <v>2085</v>
      </c>
      <c r="D235" t="s">
        <v>2089</v>
      </c>
    </row>
    <row r="236" spans="1:4">
      <c r="A236">
        <v>232</v>
      </c>
      <c r="B236" s="13">
        <v>45784</v>
      </c>
      <c r="C236" t="s">
        <v>1395</v>
      </c>
      <c r="D236" t="s">
        <v>2090</v>
      </c>
    </row>
    <row r="237" spans="1:4">
      <c r="A237">
        <v>233</v>
      </c>
      <c r="B237" s="13">
        <v>45784</v>
      </c>
      <c r="C237" t="s">
        <v>2085</v>
      </c>
      <c r="D237" t="s">
        <v>2095</v>
      </c>
    </row>
    <row r="238" spans="1:4">
      <c r="A238">
        <v>234</v>
      </c>
      <c r="B238" s="13">
        <v>45784</v>
      </c>
      <c r="C238" t="s">
        <v>2091</v>
      </c>
      <c r="D238" t="s">
        <v>2096</v>
      </c>
    </row>
    <row r="239" spans="1:4">
      <c r="A239">
        <v>235</v>
      </c>
      <c r="B239" s="13">
        <v>45785</v>
      </c>
      <c r="C239" t="s">
        <v>2097</v>
      </c>
      <c r="D239" t="s">
        <v>2101</v>
      </c>
    </row>
    <row r="240" spans="1:4">
      <c r="A240">
        <v>236</v>
      </c>
      <c r="B240" s="13">
        <v>45785</v>
      </c>
      <c r="C240" t="s">
        <v>1718</v>
      </c>
      <c r="D240" t="s">
        <v>2102</v>
      </c>
    </row>
    <row r="241" spans="1:4">
      <c r="A241">
        <v>237</v>
      </c>
      <c r="B241" s="13">
        <v>45786</v>
      </c>
      <c r="C241" t="s">
        <v>1302</v>
      </c>
      <c r="D241" t="s">
        <v>2106</v>
      </c>
    </row>
    <row r="242" spans="1:4">
      <c r="A242">
        <v>238</v>
      </c>
      <c r="B242" s="13">
        <v>45786</v>
      </c>
      <c r="C242" t="s">
        <v>2011</v>
      </c>
      <c r="D242" t="s">
        <v>2107</v>
      </c>
    </row>
    <row r="243" spans="1:4">
      <c r="A243">
        <v>239</v>
      </c>
      <c r="B243" s="13">
        <v>45786</v>
      </c>
      <c r="C243" t="s">
        <v>2109</v>
      </c>
      <c r="D243" t="s">
        <v>2110</v>
      </c>
    </row>
    <row r="244" spans="1:4">
      <c r="A244">
        <v>240</v>
      </c>
      <c r="B244" s="13">
        <v>45786</v>
      </c>
      <c r="C244" t="s">
        <v>2109</v>
      </c>
      <c r="D244" t="s">
        <v>2111</v>
      </c>
    </row>
    <row r="245" spans="1:4">
      <c r="A245">
        <v>241</v>
      </c>
      <c r="B245" s="13">
        <v>45789</v>
      </c>
      <c r="C245" t="s">
        <v>2115</v>
      </c>
      <c r="D245" t="s">
        <v>2118</v>
      </c>
    </row>
    <row r="246" spans="1:4">
      <c r="A246">
        <v>242</v>
      </c>
      <c r="B246" s="13">
        <v>45789</v>
      </c>
      <c r="C246" t="s">
        <v>1440</v>
      </c>
      <c r="D246" t="s">
        <v>2119</v>
      </c>
    </row>
    <row r="247" spans="1:4">
      <c r="A247">
        <v>243</v>
      </c>
      <c r="B247" s="13">
        <v>45789</v>
      </c>
      <c r="C247" t="s">
        <v>1973</v>
      </c>
      <c r="D247" t="s">
        <v>2120</v>
      </c>
    </row>
    <row r="248" spans="1:4">
      <c r="A248">
        <v>244</v>
      </c>
      <c r="B248" s="13">
        <v>45789</v>
      </c>
      <c r="C248" t="s">
        <v>1594</v>
      </c>
      <c r="D248" t="s">
        <v>2121</v>
      </c>
    </row>
    <row r="249" spans="1:4">
      <c r="A249">
        <v>245</v>
      </c>
      <c r="B249" s="13">
        <v>45789</v>
      </c>
      <c r="C249" t="s">
        <v>1450</v>
      </c>
      <c r="D249" t="s">
        <v>2124</v>
      </c>
    </row>
    <row r="250" spans="1:4">
      <c r="A250">
        <v>246</v>
      </c>
      <c r="B250" s="13">
        <v>45789</v>
      </c>
      <c r="C250" t="s">
        <v>1145</v>
      </c>
      <c r="D250" t="s">
        <v>2126</v>
      </c>
    </row>
    <row r="251" spans="1:4">
      <c r="A251">
        <v>247</v>
      </c>
      <c r="B251" s="13">
        <v>45789</v>
      </c>
      <c r="C251" t="s">
        <v>2129</v>
      </c>
      <c r="D251" t="s">
        <v>2132</v>
      </c>
    </row>
    <row r="252" spans="1:4">
      <c r="A252">
        <v>248</v>
      </c>
      <c r="B252" s="13">
        <v>45789</v>
      </c>
      <c r="C252" t="s">
        <v>1395</v>
      </c>
      <c r="D252" t="s">
        <v>2134</v>
      </c>
    </row>
    <row r="253" spans="1:4">
      <c r="A253">
        <v>249</v>
      </c>
      <c r="B253" s="13">
        <v>45789</v>
      </c>
      <c r="C253" t="s">
        <v>1465</v>
      </c>
      <c r="D253" t="s">
        <v>2135</v>
      </c>
    </row>
    <row r="254" spans="1:4">
      <c r="A254">
        <v>250</v>
      </c>
      <c r="B254" s="13">
        <v>45790</v>
      </c>
      <c r="C254" t="s">
        <v>1445</v>
      </c>
      <c r="D254" t="s">
        <v>2137</v>
      </c>
    </row>
    <row r="255" spans="1:4">
      <c r="A255">
        <v>251</v>
      </c>
      <c r="B255" s="13">
        <v>45790</v>
      </c>
      <c r="C255" t="s">
        <v>1927</v>
      </c>
      <c r="D255" t="s">
        <v>2138</v>
      </c>
    </row>
    <row r="256" spans="1:4">
      <c r="A256">
        <v>252</v>
      </c>
      <c r="B256" s="13">
        <v>45790</v>
      </c>
      <c r="C256" t="s">
        <v>1465</v>
      </c>
      <c r="D256" t="s">
        <v>2139</v>
      </c>
    </row>
    <row r="257" spans="1:4">
      <c r="A257">
        <v>253</v>
      </c>
      <c r="B257" s="13">
        <v>45790</v>
      </c>
      <c r="C257" t="s">
        <v>1786</v>
      </c>
      <c r="D257" t="s">
        <v>2140</v>
      </c>
    </row>
    <row r="258" spans="1:4">
      <c r="A258">
        <v>254</v>
      </c>
      <c r="B258" s="13">
        <v>45790</v>
      </c>
      <c r="C258" t="s">
        <v>2141</v>
      </c>
      <c r="D258" t="s">
        <v>2142</v>
      </c>
    </row>
    <row r="259" spans="1:4">
      <c r="A259">
        <v>255</v>
      </c>
      <c r="B259" s="13">
        <v>45790</v>
      </c>
      <c r="C259" t="s">
        <v>1872</v>
      </c>
      <c r="D259" t="s">
        <v>2143</v>
      </c>
    </row>
    <row r="260" spans="1:4">
      <c r="A260">
        <v>256</v>
      </c>
      <c r="B260" s="13">
        <v>45790</v>
      </c>
      <c r="C260" t="s">
        <v>1395</v>
      </c>
      <c r="D260" t="s">
        <v>2150</v>
      </c>
    </row>
    <row r="261" spans="1:4">
      <c r="A261">
        <v>257</v>
      </c>
      <c r="B261" s="13">
        <v>45790</v>
      </c>
      <c r="C261" t="s">
        <v>1302</v>
      </c>
      <c r="D261" t="s">
        <v>2153</v>
      </c>
    </row>
    <row r="262" spans="1:4">
      <c r="A262">
        <v>258</v>
      </c>
      <c r="B262" s="13">
        <v>45790</v>
      </c>
      <c r="C262" t="s">
        <v>1667</v>
      </c>
      <c r="D262" t="s">
        <v>2155</v>
      </c>
    </row>
    <row r="263" spans="1:4">
      <c r="A263">
        <v>259</v>
      </c>
      <c r="B263" s="13">
        <v>45790</v>
      </c>
      <c r="C263" t="s">
        <v>1374</v>
      </c>
      <c r="D263" t="s">
        <v>2157</v>
      </c>
    </row>
    <row r="264" spans="1:4">
      <c r="A264">
        <v>260</v>
      </c>
      <c r="B264" s="13">
        <v>45791</v>
      </c>
      <c r="C264" t="s">
        <v>1718</v>
      </c>
      <c r="D264" t="s">
        <v>2161</v>
      </c>
    </row>
    <row r="265" spans="1:4">
      <c r="A265">
        <v>261</v>
      </c>
      <c r="B265" s="13">
        <v>45791</v>
      </c>
      <c r="C265" t="s">
        <v>2167</v>
      </c>
      <c r="D265" t="s">
        <v>2169</v>
      </c>
    </row>
    <row r="266" spans="1:4">
      <c r="A266">
        <v>262</v>
      </c>
      <c r="B266" s="13">
        <v>45791</v>
      </c>
      <c r="C266" t="s">
        <v>1018</v>
      </c>
      <c r="D266" t="s">
        <v>2170</v>
      </c>
    </row>
    <row r="267" spans="1:4">
      <c r="A267">
        <v>263</v>
      </c>
      <c r="B267" s="13">
        <v>45791</v>
      </c>
      <c r="C267" t="s">
        <v>1786</v>
      </c>
      <c r="D267" t="s">
        <v>2172</v>
      </c>
    </row>
    <row r="268" spans="1:4">
      <c r="A268">
        <v>264</v>
      </c>
      <c r="B268" s="13">
        <v>45791</v>
      </c>
      <c r="C268" t="s">
        <v>1594</v>
      </c>
      <c r="D268" t="s">
        <v>2173</v>
      </c>
    </row>
    <row r="269" spans="1:4">
      <c r="A269">
        <v>265</v>
      </c>
      <c r="B269" s="13">
        <v>45792</v>
      </c>
      <c r="C269" t="s">
        <v>1576</v>
      </c>
      <c r="D269" t="s">
        <v>2204</v>
      </c>
    </row>
    <row r="270" spans="1:4">
      <c r="A270">
        <v>266</v>
      </c>
      <c r="B270" s="13">
        <v>45792</v>
      </c>
      <c r="C270" t="s">
        <v>2085</v>
      </c>
      <c r="D270" t="s">
        <v>2205</v>
      </c>
    </row>
    <row r="271" spans="1:4">
      <c r="A271">
        <v>267</v>
      </c>
      <c r="B271" s="13">
        <v>45792</v>
      </c>
      <c r="C271" t="s">
        <v>1537</v>
      </c>
      <c r="D271" t="s">
        <v>2206</v>
      </c>
    </row>
    <row r="272" spans="1:4">
      <c r="A272">
        <v>268</v>
      </c>
      <c r="B272" s="13">
        <v>45792</v>
      </c>
      <c r="C272" t="s">
        <v>1743</v>
      </c>
      <c r="D272" t="s">
        <v>2208</v>
      </c>
    </row>
    <row r="273" spans="1:5">
      <c r="A273">
        <v>269</v>
      </c>
      <c r="B273" s="13">
        <v>45792</v>
      </c>
      <c r="C273" t="s">
        <v>1743</v>
      </c>
      <c r="D273" t="s">
        <v>2210</v>
      </c>
    </row>
    <row r="274" spans="1:5">
      <c r="A274">
        <v>270</v>
      </c>
      <c r="B274" s="13">
        <v>45792</v>
      </c>
      <c r="C274" t="s">
        <v>1866</v>
      </c>
      <c r="D274" t="s">
        <v>2214</v>
      </c>
    </row>
    <row r="275" spans="1:5">
      <c r="A275">
        <v>271</v>
      </c>
      <c r="B275" s="13">
        <v>45793</v>
      </c>
      <c r="C275" t="s">
        <v>2091</v>
      </c>
      <c r="D275" t="s">
        <v>2222</v>
      </c>
    </row>
    <row r="276" spans="1:5">
      <c r="A276">
        <v>272</v>
      </c>
      <c r="B276" s="13">
        <v>45793</v>
      </c>
      <c r="C276" t="s">
        <v>1743</v>
      </c>
      <c r="D276" t="s">
        <v>2223</v>
      </c>
    </row>
    <row r="277" spans="1:5">
      <c r="A277">
        <v>273</v>
      </c>
      <c r="B277" s="13">
        <v>45793</v>
      </c>
      <c r="C277" t="s">
        <v>1866</v>
      </c>
      <c r="D277" t="s">
        <v>2225</v>
      </c>
    </row>
    <row r="278" spans="1:5">
      <c r="A278">
        <v>274</v>
      </c>
      <c r="B278" s="13">
        <v>45794</v>
      </c>
      <c r="C278" t="s">
        <v>1843</v>
      </c>
      <c r="D278" t="s">
        <v>2227</v>
      </c>
    </row>
    <row r="279" spans="1:5">
      <c r="A279">
        <v>275</v>
      </c>
      <c r="B279" s="13">
        <v>45794</v>
      </c>
      <c r="C279" t="s">
        <v>1743</v>
      </c>
      <c r="D279" t="s">
        <v>2228</v>
      </c>
    </row>
    <row r="280" spans="1:5">
      <c r="A280">
        <v>276</v>
      </c>
      <c r="B280" s="13">
        <v>45794</v>
      </c>
      <c r="C280" t="s">
        <v>1053</v>
      </c>
      <c r="D280" t="s">
        <v>2229</v>
      </c>
    </row>
    <row r="281" spans="1:5">
      <c r="A281">
        <v>277</v>
      </c>
      <c r="B281" s="13">
        <v>45794</v>
      </c>
      <c r="C281" t="s">
        <v>1440</v>
      </c>
      <c r="D281" t="s">
        <v>2233</v>
      </c>
    </row>
    <row r="282" spans="1:5">
      <c r="A282">
        <v>278</v>
      </c>
      <c r="B282" s="13">
        <v>45794</v>
      </c>
      <c r="C282" t="s">
        <v>2235</v>
      </c>
      <c r="D282" t="s">
        <v>2236</v>
      </c>
    </row>
    <row r="283" spans="1:5">
      <c r="A283">
        <v>279</v>
      </c>
      <c r="B283" s="13">
        <v>45794</v>
      </c>
      <c r="C283" t="s">
        <v>1718</v>
      </c>
      <c r="D283" t="s">
        <v>2238</v>
      </c>
    </row>
    <row r="284" spans="1:5">
      <c r="A284">
        <v>280</v>
      </c>
      <c r="B284" s="13">
        <v>45794</v>
      </c>
      <c r="C284" t="s">
        <v>1387</v>
      </c>
      <c r="D284" t="s">
        <v>2239</v>
      </c>
    </row>
    <row r="285" spans="1:5">
      <c r="A285">
        <v>281</v>
      </c>
      <c r="B285" s="13">
        <v>45796</v>
      </c>
      <c r="C285" t="s">
        <v>1145</v>
      </c>
      <c r="D285" t="s">
        <v>2243</v>
      </c>
    </row>
    <row r="286" spans="1:5">
      <c r="A286">
        <v>282</v>
      </c>
      <c r="B286" s="13">
        <v>45796</v>
      </c>
      <c r="C286" t="s">
        <v>1053</v>
      </c>
      <c r="D286" t="s">
        <v>2246</v>
      </c>
      <c r="E286" t="s">
        <v>2245</v>
      </c>
    </row>
    <row r="287" spans="1:5">
      <c r="A287">
        <v>283</v>
      </c>
      <c r="B287" s="13">
        <v>45797</v>
      </c>
      <c r="C287" t="s">
        <v>1015</v>
      </c>
      <c r="D287" t="s">
        <v>2247</v>
      </c>
    </row>
    <row r="288" spans="1:5">
      <c r="A288">
        <v>284</v>
      </c>
      <c r="B288" s="13">
        <v>45797</v>
      </c>
      <c r="C288" t="s">
        <v>1576</v>
      </c>
      <c r="D288" t="s">
        <v>2248</v>
      </c>
    </row>
    <row r="289" spans="1:4">
      <c r="A289">
        <v>285</v>
      </c>
      <c r="B289" s="13">
        <v>45797</v>
      </c>
      <c r="C289" t="s">
        <v>1857</v>
      </c>
      <c r="D289" t="s">
        <v>2249</v>
      </c>
    </row>
    <row r="290" spans="1:4">
      <c r="A290">
        <v>286</v>
      </c>
      <c r="B290" s="13">
        <v>45798</v>
      </c>
      <c r="C290" t="s">
        <v>1550</v>
      </c>
      <c r="D290" t="s">
        <v>2253</v>
      </c>
    </row>
    <row r="291" spans="1:4">
      <c r="A291">
        <v>287</v>
      </c>
      <c r="B291" s="13">
        <v>45798</v>
      </c>
      <c r="C291" t="s">
        <v>2254</v>
      </c>
      <c r="D291" t="s">
        <v>2255</v>
      </c>
    </row>
    <row r="292" spans="1:4">
      <c r="A292">
        <v>288</v>
      </c>
      <c r="B292" s="13">
        <v>45798</v>
      </c>
      <c r="C292" t="s">
        <v>1667</v>
      </c>
      <c r="D292" t="s">
        <v>2256</v>
      </c>
    </row>
    <row r="293" spans="1:4">
      <c r="A293">
        <v>289</v>
      </c>
      <c r="B293" s="13">
        <v>45798</v>
      </c>
      <c r="C293" t="s">
        <v>2257</v>
      </c>
      <c r="D293" t="s">
        <v>2258</v>
      </c>
    </row>
    <row r="294" spans="1:4">
      <c r="A294">
        <v>290</v>
      </c>
      <c r="B294" s="13">
        <v>45798</v>
      </c>
      <c r="C294" t="s">
        <v>1857</v>
      </c>
      <c r="D294" t="s">
        <v>2259</v>
      </c>
    </row>
    <row r="295" spans="1:4">
      <c r="A295">
        <v>291</v>
      </c>
      <c r="B295" s="13">
        <v>45799</v>
      </c>
      <c r="C295" t="s">
        <v>1395</v>
      </c>
      <c r="D295" t="s">
        <v>2260</v>
      </c>
    </row>
    <row r="296" spans="1:4">
      <c r="A296">
        <v>292</v>
      </c>
      <c r="B296" s="13">
        <v>45799</v>
      </c>
      <c r="C296" t="s">
        <v>1053</v>
      </c>
      <c r="D296" t="s">
        <v>2261</v>
      </c>
    </row>
    <row r="297" spans="1:4">
      <c r="A297">
        <v>293</v>
      </c>
      <c r="B297" s="13">
        <v>45799</v>
      </c>
      <c r="C297" t="s">
        <v>1550</v>
      </c>
      <c r="D297" t="s">
        <v>2262</v>
      </c>
    </row>
    <row r="298" spans="1:4">
      <c r="A298">
        <v>294</v>
      </c>
      <c r="B298" s="13">
        <v>45799</v>
      </c>
      <c r="C298" t="s">
        <v>1445</v>
      </c>
      <c r="D298" t="s">
        <v>2264</v>
      </c>
    </row>
    <row r="299" spans="1:4">
      <c r="A299">
        <v>295</v>
      </c>
      <c r="B299" s="13">
        <v>45799</v>
      </c>
      <c r="C299" t="s">
        <v>1475</v>
      </c>
      <c r="D299" t="s">
        <v>2265</v>
      </c>
    </row>
    <row r="300" spans="1:4">
      <c r="A300">
        <v>296</v>
      </c>
      <c r="B300" s="13">
        <v>45800</v>
      </c>
      <c r="C300" t="s">
        <v>1053</v>
      </c>
      <c r="D300" t="s">
        <v>2271</v>
      </c>
    </row>
    <row r="301" spans="1:4">
      <c r="A301">
        <v>297</v>
      </c>
      <c r="B301" s="13">
        <v>45800</v>
      </c>
      <c r="C301" t="s">
        <v>2272</v>
      </c>
      <c r="D301" t="s">
        <v>2276</v>
      </c>
    </row>
    <row r="302" spans="1:4">
      <c r="A302">
        <v>298</v>
      </c>
      <c r="B302" s="13">
        <v>45800</v>
      </c>
      <c r="C302" t="s">
        <v>1053</v>
      </c>
      <c r="D302" t="s">
        <v>2277</v>
      </c>
    </row>
    <row r="303" spans="1:4">
      <c r="A303">
        <v>299</v>
      </c>
      <c r="B303" s="13">
        <v>45800</v>
      </c>
      <c r="C303" t="s">
        <v>1718</v>
      </c>
      <c r="D303" t="s">
        <v>2278</v>
      </c>
    </row>
    <row r="304" spans="1:4">
      <c r="A304">
        <v>300</v>
      </c>
      <c r="B304" s="13">
        <v>45801</v>
      </c>
      <c r="C304" t="s">
        <v>1448</v>
      </c>
      <c r="D304" t="s">
        <v>2284</v>
      </c>
    </row>
    <row r="305" spans="1:4">
      <c r="A305">
        <v>301</v>
      </c>
      <c r="B305" s="13">
        <v>45801</v>
      </c>
      <c r="C305" t="s">
        <v>1018</v>
      </c>
      <c r="D305" t="s">
        <v>2285</v>
      </c>
    </row>
    <row r="306" spans="1:4">
      <c r="A306">
        <v>302</v>
      </c>
      <c r="B306" s="13">
        <v>45801</v>
      </c>
      <c r="C306" t="s">
        <v>1540</v>
      </c>
      <c r="D306" t="s">
        <v>2287</v>
      </c>
    </row>
    <row r="307" spans="1:4">
      <c r="A307">
        <v>303</v>
      </c>
      <c r="B307" s="13">
        <v>45803</v>
      </c>
      <c r="C307" t="s">
        <v>2288</v>
      </c>
      <c r="D307" t="s">
        <v>2292</v>
      </c>
    </row>
    <row r="308" spans="1:4">
      <c r="A308">
        <v>304</v>
      </c>
      <c r="B308" s="13">
        <v>45803</v>
      </c>
      <c r="C308" t="s">
        <v>1395</v>
      </c>
      <c r="D308" t="s">
        <v>2293</v>
      </c>
    </row>
    <row r="309" spans="1:4">
      <c r="A309">
        <v>305</v>
      </c>
      <c r="B309" s="13">
        <v>45803</v>
      </c>
      <c r="C309" t="s">
        <v>1573</v>
      </c>
      <c r="D309" t="s">
        <v>2294</v>
      </c>
    </row>
    <row r="310" spans="1:4">
      <c r="A310">
        <v>306</v>
      </c>
      <c r="B310" s="13">
        <v>45803</v>
      </c>
      <c r="C310" t="s">
        <v>2115</v>
      </c>
      <c r="D310" t="s">
        <v>2296</v>
      </c>
    </row>
    <row r="311" spans="1:4">
      <c r="A311">
        <v>307</v>
      </c>
      <c r="B311" s="13">
        <v>45803</v>
      </c>
      <c r="C311" t="s">
        <v>1018</v>
      </c>
      <c r="D311" t="s">
        <v>2297</v>
      </c>
    </row>
    <row r="312" spans="1:4">
      <c r="A312">
        <v>308</v>
      </c>
      <c r="B312" s="13">
        <v>45803</v>
      </c>
      <c r="C312" t="s">
        <v>1667</v>
      </c>
      <c r="D312" t="s">
        <v>2298</v>
      </c>
    </row>
    <row r="313" spans="1:4">
      <c r="A313">
        <v>309</v>
      </c>
      <c r="B313" s="13">
        <v>45803</v>
      </c>
      <c r="C313" t="s">
        <v>1582</v>
      </c>
      <c r="D313" t="s">
        <v>2301</v>
      </c>
    </row>
    <row r="314" spans="1:4">
      <c r="A314">
        <v>310</v>
      </c>
      <c r="B314" s="13">
        <v>45804</v>
      </c>
      <c r="C314" t="s">
        <v>1475</v>
      </c>
      <c r="D314" t="s">
        <v>2304</v>
      </c>
    </row>
    <row r="315" spans="1:4">
      <c r="A315">
        <v>311</v>
      </c>
      <c r="B315" s="13">
        <v>45804</v>
      </c>
      <c r="C315" t="s">
        <v>1718</v>
      </c>
      <c r="D315" t="s">
        <v>2305</v>
      </c>
    </row>
    <row r="316" spans="1:4">
      <c r="A316">
        <v>312</v>
      </c>
      <c r="B316" s="13">
        <v>45804</v>
      </c>
      <c r="C316" t="s">
        <v>1573</v>
      </c>
      <c r="D316" t="s">
        <v>2306</v>
      </c>
    </row>
    <row r="317" spans="1:4">
      <c r="A317">
        <v>313</v>
      </c>
      <c r="B317" s="13">
        <v>45804</v>
      </c>
      <c r="C317" t="s">
        <v>1369</v>
      </c>
      <c r="D317" t="s">
        <v>2307</v>
      </c>
    </row>
    <row r="318" spans="1:4">
      <c r="A318">
        <v>314</v>
      </c>
      <c r="B318" s="13">
        <v>45804</v>
      </c>
      <c r="C318" t="s">
        <v>1537</v>
      </c>
      <c r="D318" t="s">
        <v>2310</v>
      </c>
    </row>
    <row r="319" spans="1:4">
      <c r="A319">
        <v>343</v>
      </c>
      <c r="B319" s="13">
        <v>45806</v>
      </c>
      <c r="C319" t="s">
        <v>2257</v>
      </c>
      <c r="D319" t="s">
        <v>2319</v>
      </c>
    </row>
    <row r="320" spans="1:4">
      <c r="A320">
        <v>344</v>
      </c>
      <c r="B320" s="13">
        <v>45806</v>
      </c>
      <c r="C320" t="s">
        <v>1387</v>
      </c>
      <c r="D320" t="s">
        <v>2320</v>
      </c>
    </row>
    <row r="321" spans="1:4">
      <c r="A321">
        <v>345</v>
      </c>
      <c r="B321" s="13">
        <v>45806</v>
      </c>
      <c r="C321" t="s">
        <v>1395</v>
      </c>
      <c r="D321" t="s">
        <v>2321</v>
      </c>
    </row>
    <row r="322" spans="1:4">
      <c r="A322">
        <v>346</v>
      </c>
      <c r="B322" s="13">
        <v>45807</v>
      </c>
      <c r="C322" t="s">
        <v>1517</v>
      </c>
      <c r="D322" t="s">
        <v>2322</v>
      </c>
    </row>
    <row r="323" spans="1:4">
      <c r="A323">
        <v>347</v>
      </c>
      <c r="B323" s="13">
        <v>45807</v>
      </c>
      <c r="C323" t="s">
        <v>1475</v>
      </c>
      <c r="D323" t="s">
        <v>2327</v>
      </c>
    </row>
    <row r="324" spans="1:4">
      <c r="A324">
        <v>348</v>
      </c>
      <c r="B324" s="13">
        <v>45807</v>
      </c>
      <c r="C324" t="s">
        <v>2328</v>
      </c>
      <c r="D324" t="s">
        <v>2329</v>
      </c>
    </row>
    <row r="325" spans="1:4">
      <c r="A325">
        <v>349</v>
      </c>
      <c r="B325" s="13">
        <v>45807</v>
      </c>
      <c r="C325" t="s">
        <v>1053</v>
      </c>
      <c r="D325" t="s">
        <v>2330</v>
      </c>
    </row>
    <row r="326" spans="1:4">
      <c r="A326">
        <v>350</v>
      </c>
      <c r="B326" s="13">
        <v>45807</v>
      </c>
      <c r="C326" t="s">
        <v>2315</v>
      </c>
      <c r="D326" t="s">
        <v>2331</v>
      </c>
    </row>
    <row r="327" spans="1:4">
      <c r="A327">
        <v>351</v>
      </c>
      <c r="B327" s="13">
        <v>45807</v>
      </c>
      <c r="C327" t="s">
        <v>2097</v>
      </c>
      <c r="D327" t="s">
        <v>2332</v>
      </c>
    </row>
    <row r="328" spans="1:4">
      <c r="A328">
        <v>352</v>
      </c>
      <c r="B328" s="13">
        <v>45807</v>
      </c>
      <c r="C328" t="s">
        <v>1438</v>
      </c>
      <c r="D328" t="s">
        <v>2334</v>
      </c>
    </row>
    <row r="329" spans="1:4">
      <c r="A329">
        <v>353</v>
      </c>
      <c r="B329" s="13">
        <v>45808</v>
      </c>
      <c r="C329" t="s">
        <v>1234</v>
      </c>
      <c r="D329" t="s">
        <v>2339</v>
      </c>
    </row>
    <row r="330" spans="1:4">
      <c r="A330">
        <v>354</v>
      </c>
      <c r="B330" s="13">
        <v>45808</v>
      </c>
      <c r="C330" t="s">
        <v>1302</v>
      </c>
      <c r="D330" t="s">
        <v>2340</v>
      </c>
    </row>
    <row r="331" spans="1:4">
      <c r="A331">
        <v>355</v>
      </c>
      <c r="B331" s="13">
        <v>45808</v>
      </c>
      <c r="C331" t="s">
        <v>1718</v>
      </c>
      <c r="D331" t="s">
        <v>2346</v>
      </c>
    </row>
    <row r="332" spans="1:4">
      <c r="A332">
        <v>356</v>
      </c>
      <c r="B332" s="13">
        <v>45810</v>
      </c>
      <c r="C332" t="s">
        <v>987</v>
      </c>
      <c r="D332" t="s">
        <v>2348</v>
      </c>
    </row>
    <row r="333" spans="1:4">
      <c r="A333">
        <v>357</v>
      </c>
      <c r="B333" s="13">
        <v>45810</v>
      </c>
      <c r="C333" t="s">
        <v>1537</v>
      </c>
      <c r="D333" t="s">
        <v>2349</v>
      </c>
    </row>
    <row r="334" spans="1:4">
      <c r="A334">
        <v>358</v>
      </c>
      <c r="B334" s="13">
        <v>45810</v>
      </c>
      <c r="C334" t="s">
        <v>2288</v>
      </c>
      <c r="D334" t="s">
        <v>2350</v>
      </c>
    </row>
    <row r="335" spans="1:4">
      <c r="A335">
        <v>359</v>
      </c>
      <c r="B335" s="13">
        <v>45810</v>
      </c>
      <c r="C335" t="s">
        <v>1452</v>
      </c>
      <c r="D335" t="s">
        <v>2351</v>
      </c>
    </row>
    <row r="336" spans="1:4">
      <c r="A336">
        <v>360</v>
      </c>
      <c r="B336" s="13">
        <v>45810</v>
      </c>
      <c r="C336" t="s">
        <v>1537</v>
      </c>
      <c r="D336" t="s">
        <v>2352</v>
      </c>
    </row>
    <row r="337" spans="1:4">
      <c r="A337">
        <v>361</v>
      </c>
      <c r="B337" s="13">
        <v>45810</v>
      </c>
      <c r="C337" t="s">
        <v>2254</v>
      </c>
      <c r="D337" t="s">
        <v>2355</v>
      </c>
    </row>
    <row r="338" spans="1:4">
      <c r="A338">
        <v>362</v>
      </c>
      <c r="B338" s="13">
        <v>45811</v>
      </c>
      <c r="C338" t="s">
        <v>1592</v>
      </c>
      <c r="D338" t="s">
        <v>2357</v>
      </c>
    </row>
    <row r="339" spans="1:4">
      <c r="A339">
        <v>363</v>
      </c>
      <c r="B339" s="13">
        <v>45811</v>
      </c>
      <c r="C339" t="s">
        <v>1445</v>
      </c>
      <c r="D339" t="s">
        <v>2359</v>
      </c>
    </row>
    <row r="340" spans="1:4">
      <c r="A340">
        <v>364</v>
      </c>
      <c r="B340" s="13">
        <v>45811</v>
      </c>
      <c r="C340" t="s">
        <v>2360</v>
      </c>
      <c r="D340" t="s">
        <v>2363</v>
      </c>
    </row>
    <row r="341" spans="1:4">
      <c r="A341">
        <v>365</v>
      </c>
      <c r="B341" s="13">
        <v>45811</v>
      </c>
      <c r="C341" t="s">
        <v>2360</v>
      </c>
      <c r="D341" t="s">
        <v>2364</v>
      </c>
    </row>
    <row r="342" spans="1:4">
      <c r="A342">
        <v>366</v>
      </c>
      <c r="B342" s="13">
        <v>45807</v>
      </c>
      <c r="C342" t="s">
        <v>1015</v>
      </c>
      <c r="D342" t="s">
        <v>2373</v>
      </c>
    </row>
    <row r="343" spans="1:4">
      <c r="A343">
        <v>367</v>
      </c>
      <c r="B343" s="13">
        <v>45812</v>
      </c>
      <c r="C343" t="s">
        <v>1594</v>
      </c>
      <c r="D343" t="s">
        <v>2374</v>
      </c>
    </row>
    <row r="344" spans="1:4">
      <c r="A344">
        <v>368</v>
      </c>
      <c r="B344" s="13">
        <v>45812</v>
      </c>
      <c r="C344" t="s">
        <v>2375</v>
      </c>
      <c r="D344" t="s">
        <v>2380</v>
      </c>
    </row>
    <row r="345" spans="1:4">
      <c r="A345">
        <v>369</v>
      </c>
      <c r="B345" s="13">
        <v>45812</v>
      </c>
      <c r="C345" t="s">
        <v>1576</v>
      </c>
      <c r="D345" t="s">
        <v>2383</v>
      </c>
    </row>
    <row r="346" spans="1:4">
      <c r="A346">
        <v>370</v>
      </c>
      <c r="B346" s="13">
        <v>45813</v>
      </c>
      <c r="C346" t="s">
        <v>1537</v>
      </c>
      <c r="D346" t="s">
        <v>2388</v>
      </c>
    </row>
    <row r="347" spans="1:4">
      <c r="A347">
        <v>371</v>
      </c>
      <c r="B347" s="13">
        <v>45813</v>
      </c>
      <c r="C347" t="s">
        <v>1537</v>
      </c>
      <c r="D347" t="s">
        <v>2389</v>
      </c>
    </row>
    <row r="348" spans="1:4">
      <c r="A348">
        <v>372</v>
      </c>
      <c r="B348" s="13">
        <v>45813</v>
      </c>
      <c r="C348" t="s">
        <v>1452</v>
      </c>
      <c r="D348" t="s">
        <v>2390</v>
      </c>
    </row>
    <row r="349" spans="1:4">
      <c r="A349">
        <v>373</v>
      </c>
      <c r="B349" s="13">
        <v>45813</v>
      </c>
      <c r="C349" t="s">
        <v>1145</v>
      </c>
      <c r="D349" t="s">
        <v>2393</v>
      </c>
    </row>
    <row r="350" spans="1:4">
      <c r="A350">
        <v>374</v>
      </c>
      <c r="B350" s="13">
        <v>45813</v>
      </c>
      <c r="C350" t="s">
        <v>2400</v>
      </c>
      <c r="D350" t="s">
        <v>2401</v>
      </c>
    </row>
    <row r="351" spans="1:4">
      <c r="A351">
        <v>375</v>
      </c>
      <c r="B351" s="13">
        <v>45814</v>
      </c>
      <c r="C351" t="s">
        <v>1718</v>
      </c>
      <c r="D351" t="s">
        <v>2402</v>
      </c>
    </row>
    <row r="352" spans="1:4">
      <c r="A352">
        <v>376</v>
      </c>
      <c r="B352" s="13">
        <v>45815</v>
      </c>
      <c r="C352" t="s">
        <v>1718</v>
      </c>
      <c r="D352" t="s">
        <v>2403</v>
      </c>
    </row>
    <row r="353" spans="1:4">
      <c r="A353">
        <v>377</v>
      </c>
      <c r="B353" s="13">
        <v>45817</v>
      </c>
      <c r="C353" t="s">
        <v>2405</v>
      </c>
      <c r="D353" t="s">
        <v>2406</v>
      </c>
    </row>
    <row r="354" spans="1:4">
      <c r="A354">
        <v>378</v>
      </c>
      <c r="B354" s="13">
        <v>45817</v>
      </c>
      <c r="C354" t="s">
        <v>987</v>
      </c>
      <c r="D354" t="s">
        <v>2407</v>
      </c>
    </row>
    <row r="355" spans="1:4">
      <c r="A355">
        <v>379</v>
      </c>
      <c r="B355" s="13">
        <v>45817</v>
      </c>
      <c r="C355" t="s">
        <v>1145</v>
      </c>
      <c r="D355" t="s">
        <v>2410</v>
      </c>
    </row>
    <row r="356" spans="1:4">
      <c r="A356">
        <v>380</v>
      </c>
      <c r="B356" s="13">
        <v>45817</v>
      </c>
      <c r="C356" t="s">
        <v>1718</v>
      </c>
      <c r="D356" t="s">
        <v>2411</v>
      </c>
    </row>
    <row r="357" spans="1:4">
      <c r="A357">
        <v>381</v>
      </c>
      <c r="B357" s="13">
        <v>45817</v>
      </c>
      <c r="C357" t="s">
        <v>1018</v>
      </c>
      <c r="D357" t="s">
        <v>2414</v>
      </c>
    </row>
    <row r="358" spans="1:4">
      <c r="A358">
        <v>382</v>
      </c>
      <c r="B358" s="13">
        <v>45817</v>
      </c>
      <c r="C358" t="s">
        <v>1440</v>
      </c>
      <c r="D358" t="s">
        <v>2415</v>
      </c>
    </row>
    <row r="359" spans="1:4">
      <c r="A359">
        <v>383</v>
      </c>
      <c r="B359" s="13">
        <v>45817</v>
      </c>
      <c r="C359" t="s">
        <v>1395</v>
      </c>
      <c r="D359" t="s">
        <v>2416</v>
      </c>
    </row>
    <row r="360" spans="1:4">
      <c r="A360">
        <v>384</v>
      </c>
      <c r="B360" s="13">
        <v>45817</v>
      </c>
      <c r="C360" t="s">
        <v>1576</v>
      </c>
      <c r="D360" t="s">
        <v>2417</v>
      </c>
    </row>
    <row r="361" spans="1:4">
      <c r="A361">
        <v>385</v>
      </c>
      <c r="B361" s="13">
        <v>45817</v>
      </c>
      <c r="C361" t="s">
        <v>1573</v>
      </c>
      <c r="D361" t="s">
        <v>2423</v>
      </c>
    </row>
    <row r="362" spans="1:4">
      <c r="A362">
        <v>386</v>
      </c>
      <c r="B362" s="13">
        <v>45817</v>
      </c>
      <c r="C362" t="s">
        <v>1718</v>
      </c>
      <c r="D362" t="s">
        <v>2431</v>
      </c>
    </row>
    <row r="363" spans="1:4">
      <c r="A363">
        <v>387</v>
      </c>
      <c r="B363" s="13">
        <v>45817</v>
      </c>
      <c r="C363" t="s">
        <v>1395</v>
      </c>
      <c r="D363" t="s">
        <v>2432</v>
      </c>
    </row>
    <row r="364" spans="1:4">
      <c r="A364">
        <v>388</v>
      </c>
      <c r="B364" s="13">
        <v>45818</v>
      </c>
      <c r="C364" t="s">
        <v>2360</v>
      </c>
      <c r="D364" t="s">
        <v>2447</v>
      </c>
    </row>
    <row r="365" spans="1:4">
      <c r="A365">
        <v>389</v>
      </c>
      <c r="B365" s="13">
        <v>45818</v>
      </c>
      <c r="C365" t="s">
        <v>1743</v>
      </c>
      <c r="D365" t="s">
        <v>2448</v>
      </c>
    </row>
    <row r="366" spans="1:4">
      <c r="A366">
        <v>390</v>
      </c>
      <c r="B366" s="13">
        <v>45818</v>
      </c>
      <c r="C366" t="s">
        <v>1395</v>
      </c>
      <c r="D366" t="s">
        <v>2449</v>
      </c>
    </row>
    <row r="367" spans="1:4">
      <c r="A367">
        <v>391</v>
      </c>
      <c r="B367" s="13">
        <v>45818</v>
      </c>
      <c r="C367" t="s">
        <v>1302</v>
      </c>
      <c r="D367" t="s">
        <v>2451</v>
      </c>
    </row>
    <row r="368" spans="1:4">
      <c r="A368">
        <v>392</v>
      </c>
      <c r="B368" s="13">
        <v>45818</v>
      </c>
      <c r="C368" t="s">
        <v>1573</v>
      </c>
      <c r="D368" t="s">
        <v>2452</v>
      </c>
    </row>
    <row r="369" spans="1:4">
      <c r="A369">
        <v>393</v>
      </c>
      <c r="B369" s="13">
        <v>45818</v>
      </c>
      <c r="C369" t="s">
        <v>1440</v>
      </c>
      <c r="D369" t="s">
        <v>2454</v>
      </c>
    </row>
    <row r="370" spans="1:4">
      <c r="A370">
        <v>394</v>
      </c>
      <c r="B370" s="13">
        <v>45818</v>
      </c>
      <c r="C370" t="s">
        <v>2315</v>
      </c>
      <c r="D370" t="s">
        <v>2456</v>
      </c>
    </row>
    <row r="371" spans="1:4">
      <c r="A371">
        <v>395</v>
      </c>
      <c r="B371" s="13">
        <v>45818</v>
      </c>
      <c r="C371" t="s">
        <v>1890</v>
      </c>
      <c r="D371" t="s">
        <v>2457</v>
      </c>
    </row>
    <row r="372" spans="1:4">
      <c r="A372">
        <v>396</v>
      </c>
      <c r="B372" s="13">
        <v>45819</v>
      </c>
      <c r="C372" t="s">
        <v>1445</v>
      </c>
      <c r="D372" t="s">
        <v>2459</v>
      </c>
    </row>
    <row r="373" spans="1:4">
      <c r="A373">
        <v>397</v>
      </c>
      <c r="B373" s="13">
        <v>45819</v>
      </c>
      <c r="C373" t="s">
        <v>2366</v>
      </c>
      <c r="D373" t="s">
        <v>2470</v>
      </c>
    </row>
    <row r="374" spans="1:4">
      <c r="A374">
        <v>398</v>
      </c>
      <c r="B374" s="13">
        <v>45819</v>
      </c>
      <c r="C374" t="s">
        <v>2471</v>
      </c>
      <c r="D374" t="s">
        <v>2472</v>
      </c>
    </row>
    <row r="375" spans="1:4">
      <c r="A375">
        <v>399</v>
      </c>
      <c r="B375" s="13">
        <v>45819</v>
      </c>
      <c r="C375" t="s">
        <v>1448</v>
      </c>
      <c r="D375" t="s">
        <v>2474</v>
      </c>
    </row>
    <row r="376" spans="1:4">
      <c r="A376">
        <v>400</v>
      </c>
      <c r="B376" s="13">
        <v>45819</v>
      </c>
      <c r="C376" t="s">
        <v>1369</v>
      </c>
      <c r="D376" t="s">
        <v>2475</v>
      </c>
    </row>
    <row r="377" spans="1:4">
      <c r="A377">
        <v>401</v>
      </c>
      <c r="B377" s="13">
        <v>45819</v>
      </c>
      <c r="C377" t="s">
        <v>2462</v>
      </c>
      <c r="D377" t="s">
        <v>2476</v>
      </c>
    </row>
    <row r="378" spans="1:4">
      <c r="A378">
        <v>402</v>
      </c>
      <c r="B378" s="13">
        <v>45819</v>
      </c>
      <c r="C378" t="s">
        <v>1445</v>
      </c>
      <c r="D378" t="s">
        <v>2477</v>
      </c>
    </row>
    <row r="379" spans="1:4">
      <c r="A379">
        <v>403</v>
      </c>
      <c r="B379" s="13">
        <v>45820</v>
      </c>
      <c r="C379" t="s">
        <v>1469</v>
      </c>
      <c r="D379" t="s">
        <v>2478</v>
      </c>
    </row>
    <row r="380" spans="1:4">
      <c r="A380">
        <v>404</v>
      </c>
      <c r="B380" s="13">
        <v>45820</v>
      </c>
      <c r="C380" t="s">
        <v>1469</v>
      </c>
      <c r="D380" t="s">
        <v>2479</v>
      </c>
    </row>
    <row r="381" spans="1:4">
      <c r="A381">
        <v>405</v>
      </c>
      <c r="B381" s="13">
        <v>45820</v>
      </c>
      <c r="C381" t="s">
        <v>1475</v>
      </c>
      <c r="D381" t="s">
        <v>2480</v>
      </c>
    </row>
    <row r="382" spans="1:4">
      <c r="A382">
        <v>406</v>
      </c>
      <c r="B382" s="13">
        <v>45821</v>
      </c>
      <c r="C382" t="s">
        <v>2481</v>
      </c>
      <c r="D382" t="s">
        <v>2487</v>
      </c>
    </row>
    <row r="383" spans="1:4">
      <c r="A383">
        <v>407</v>
      </c>
      <c r="B383" s="13">
        <v>45821</v>
      </c>
      <c r="C383" t="s">
        <v>1018</v>
      </c>
      <c r="D383" t="s">
        <v>2488</v>
      </c>
    </row>
    <row r="384" spans="1:4">
      <c r="A384">
        <v>408</v>
      </c>
      <c r="B384" s="13">
        <v>45821</v>
      </c>
      <c r="C384" t="s">
        <v>1805</v>
      </c>
      <c r="D384" t="s">
        <v>2489</v>
      </c>
    </row>
    <row r="385" spans="1:4">
      <c r="A385">
        <v>409</v>
      </c>
      <c r="B385" s="13">
        <v>45821</v>
      </c>
      <c r="C385" t="s">
        <v>1976</v>
      </c>
      <c r="D385" t="s">
        <v>2490</v>
      </c>
    </row>
    <row r="386" spans="1:4">
      <c r="A386">
        <v>410</v>
      </c>
      <c r="B386" s="13">
        <v>45821</v>
      </c>
      <c r="C386" t="s">
        <v>2491</v>
      </c>
      <c r="D386" t="s">
        <v>2492</v>
      </c>
    </row>
    <row r="387" spans="1:4">
      <c r="A387">
        <v>411</v>
      </c>
      <c r="B387" s="13">
        <v>45821</v>
      </c>
      <c r="C387" t="s">
        <v>1465</v>
      </c>
      <c r="D387" t="s">
        <v>2496</v>
      </c>
    </row>
    <row r="388" spans="1:4">
      <c r="A388">
        <v>412</v>
      </c>
      <c r="B388" s="13">
        <v>45821</v>
      </c>
      <c r="C388" t="s">
        <v>1490</v>
      </c>
      <c r="D388" t="s">
        <v>2501</v>
      </c>
    </row>
    <row r="389" spans="1:4">
      <c r="A389">
        <v>413</v>
      </c>
      <c r="B389" s="13">
        <v>45822</v>
      </c>
      <c r="C389" t="s">
        <v>1395</v>
      </c>
      <c r="D389" t="s">
        <v>2502</v>
      </c>
    </row>
    <row r="390" spans="1:4">
      <c r="A390">
        <v>414</v>
      </c>
      <c r="B390" s="13">
        <v>45822</v>
      </c>
      <c r="C390" t="s">
        <v>1537</v>
      </c>
      <c r="D390" t="s">
        <v>2503</v>
      </c>
    </row>
    <row r="391" spans="1:4">
      <c r="A391">
        <v>415</v>
      </c>
      <c r="B391" s="13">
        <v>45824</v>
      </c>
      <c r="C391" t="s">
        <v>1450</v>
      </c>
      <c r="D391" t="s">
        <v>2504</v>
      </c>
    </row>
    <row r="392" spans="1:4">
      <c r="A392">
        <v>416</v>
      </c>
      <c r="B392" s="13">
        <v>45824</v>
      </c>
      <c r="C392" t="s">
        <v>1018</v>
      </c>
      <c r="D392" t="s">
        <v>2509</v>
      </c>
    </row>
    <row r="393" spans="1:4">
      <c r="A393">
        <v>417</v>
      </c>
      <c r="B393" s="13">
        <v>45824</v>
      </c>
      <c r="C393" t="s">
        <v>1395</v>
      </c>
      <c r="D393" t="s">
        <v>2510</v>
      </c>
    </row>
    <row r="394" spans="1:4">
      <c r="A394">
        <v>418</v>
      </c>
      <c r="B394" s="13">
        <v>45825</v>
      </c>
      <c r="C394" t="s">
        <v>1374</v>
      </c>
      <c r="D394" t="s">
        <v>2511</v>
      </c>
    </row>
    <row r="395" spans="1:4">
      <c r="A395">
        <v>419</v>
      </c>
      <c r="B395" s="13">
        <v>45825</v>
      </c>
      <c r="C395" t="s">
        <v>1537</v>
      </c>
      <c r="D395" t="s">
        <v>2551</v>
      </c>
    </row>
    <row r="396" spans="1:4">
      <c r="A396">
        <v>420</v>
      </c>
      <c r="B396" s="13">
        <v>45825</v>
      </c>
      <c r="C396" t="s">
        <v>1395</v>
      </c>
      <c r="D396" t="s">
        <v>2554</v>
      </c>
    </row>
    <row r="397" spans="1:4">
      <c r="A397">
        <v>421</v>
      </c>
      <c r="B397" s="13">
        <v>45825</v>
      </c>
      <c r="C397" t="s">
        <v>2553</v>
      </c>
      <c r="D397" t="s">
        <v>2555</v>
      </c>
    </row>
    <row r="398" spans="1:4">
      <c r="A398">
        <v>422</v>
      </c>
      <c r="B398" s="13">
        <v>45826</v>
      </c>
      <c r="C398" t="s">
        <v>1018</v>
      </c>
      <c r="D398" t="s">
        <v>2559</v>
      </c>
    </row>
    <row r="399" spans="1:4">
      <c r="A399">
        <v>423</v>
      </c>
      <c r="B399" s="13">
        <v>45826</v>
      </c>
      <c r="C399" t="s">
        <v>1395</v>
      </c>
      <c r="D399" t="s">
        <v>2562</v>
      </c>
    </row>
    <row r="400" spans="1:4">
      <c r="A400">
        <v>424</v>
      </c>
      <c r="B400" s="13">
        <v>45826</v>
      </c>
      <c r="C400" t="s">
        <v>2471</v>
      </c>
      <c r="D400" t="s">
        <v>2563</v>
      </c>
    </row>
    <row r="401" spans="1:4">
      <c r="A401">
        <v>425</v>
      </c>
      <c r="B401" s="13">
        <v>45826</v>
      </c>
      <c r="C401" t="s">
        <v>1973</v>
      </c>
      <c r="D401" t="s">
        <v>2564</v>
      </c>
    </row>
    <row r="402" spans="1:4">
      <c r="A402">
        <v>426</v>
      </c>
      <c r="B402" s="13">
        <v>45826</v>
      </c>
      <c r="C402" t="s">
        <v>2288</v>
      </c>
      <c r="D402" t="s">
        <v>2565</v>
      </c>
    </row>
    <row r="403" spans="1:4">
      <c r="A403">
        <v>427</v>
      </c>
      <c r="B403" s="13">
        <v>45826</v>
      </c>
      <c r="C403" t="s">
        <v>1718</v>
      </c>
      <c r="D403" t="s">
        <v>2566</v>
      </c>
    </row>
    <row r="404" spans="1:4">
      <c r="A404">
        <v>428</v>
      </c>
      <c r="B404" s="13">
        <v>45826</v>
      </c>
      <c r="C404" t="s">
        <v>1395</v>
      </c>
      <c r="D404" t="s">
        <v>2567</v>
      </c>
    </row>
    <row r="405" spans="1:4">
      <c r="A405">
        <v>429</v>
      </c>
      <c r="B405" s="13">
        <v>45827</v>
      </c>
      <c r="C405" t="s">
        <v>1973</v>
      </c>
      <c r="D405" t="s">
        <v>2569</v>
      </c>
    </row>
    <row r="406" spans="1:4">
      <c r="A406">
        <v>430</v>
      </c>
      <c r="B406" s="13">
        <v>45827</v>
      </c>
      <c r="C406" t="s">
        <v>1445</v>
      </c>
      <c r="D406" t="s">
        <v>2570</v>
      </c>
    </row>
    <row r="407" spans="1:4">
      <c r="A407">
        <v>431</v>
      </c>
      <c r="B407" s="13">
        <v>45827</v>
      </c>
      <c r="C407" t="s">
        <v>2553</v>
      </c>
      <c r="D407" t="s">
        <v>2575</v>
      </c>
    </row>
    <row r="408" spans="1:4">
      <c r="A408">
        <v>432</v>
      </c>
      <c r="B408" s="13">
        <v>45827</v>
      </c>
      <c r="C408" t="s">
        <v>1395</v>
      </c>
      <c r="D408" t="s">
        <v>2578</v>
      </c>
    </row>
    <row r="409" spans="1:4">
      <c r="A409">
        <v>433</v>
      </c>
      <c r="B409" s="13">
        <v>45827</v>
      </c>
      <c r="C409" t="s">
        <v>1440</v>
      </c>
      <c r="D409" t="s">
        <v>2579</v>
      </c>
    </row>
    <row r="410" spans="1:4">
      <c r="A410">
        <v>434</v>
      </c>
      <c r="B410" s="13">
        <v>45827</v>
      </c>
      <c r="C410" t="s">
        <v>1718</v>
      </c>
      <c r="D410" t="s">
        <v>2580</v>
      </c>
    </row>
    <row r="411" spans="1:4">
      <c r="A411">
        <v>435</v>
      </c>
      <c r="B411" s="13">
        <v>45827</v>
      </c>
      <c r="C411" t="s">
        <v>2405</v>
      </c>
      <c r="D411" t="s">
        <v>2581</v>
      </c>
    </row>
    <row r="412" spans="1:4">
      <c r="A412">
        <v>436</v>
      </c>
      <c r="B412" s="13">
        <v>45827</v>
      </c>
      <c r="C412" t="s">
        <v>1573</v>
      </c>
      <c r="D412" t="s">
        <v>2583</v>
      </c>
    </row>
    <row r="413" spans="1:4">
      <c r="A413">
        <v>437</v>
      </c>
      <c r="B413" s="13">
        <v>45827</v>
      </c>
      <c r="C413" t="s">
        <v>1573</v>
      </c>
      <c r="D413" t="s">
        <v>2585</v>
      </c>
    </row>
    <row r="414" spans="1:4">
      <c r="A414">
        <v>438</v>
      </c>
      <c r="B414" s="13">
        <v>45828</v>
      </c>
      <c r="C414" t="s">
        <v>2592</v>
      </c>
      <c r="D414" t="s">
        <v>2593</v>
      </c>
    </row>
    <row r="415" spans="1:4">
      <c r="A415">
        <v>439</v>
      </c>
      <c r="B415" s="13">
        <v>45828</v>
      </c>
      <c r="C415" t="s">
        <v>1576</v>
      </c>
      <c r="D415" t="s">
        <v>2594</v>
      </c>
    </row>
    <row r="416" spans="1:4">
      <c r="A416">
        <v>440</v>
      </c>
      <c r="B416" s="13">
        <v>45828</v>
      </c>
      <c r="C416" t="s">
        <v>1015</v>
      </c>
      <c r="D416" t="s">
        <v>2595</v>
      </c>
    </row>
    <row r="417" spans="1:4">
      <c r="A417">
        <v>441</v>
      </c>
      <c r="B417" s="13">
        <v>45828</v>
      </c>
      <c r="C417" t="s">
        <v>1537</v>
      </c>
      <c r="D417" t="s">
        <v>2596</v>
      </c>
    </row>
    <row r="418" spans="1:4">
      <c r="A418">
        <v>442</v>
      </c>
      <c r="B418" s="13">
        <v>45828</v>
      </c>
      <c r="C418" t="s">
        <v>2597</v>
      </c>
      <c r="D418" t="s">
        <v>2598</v>
      </c>
    </row>
    <row r="419" spans="1:4">
      <c r="A419">
        <v>443</v>
      </c>
      <c r="B419" s="13">
        <v>45828</v>
      </c>
      <c r="C419" t="s">
        <v>1576</v>
      </c>
      <c r="D419" t="s">
        <v>2599</v>
      </c>
    </row>
    <row r="420" spans="1:4">
      <c r="A420">
        <v>444</v>
      </c>
      <c r="B420" s="13">
        <v>45828</v>
      </c>
      <c r="C420" t="s">
        <v>2605</v>
      </c>
      <c r="D420" t="s">
        <v>2606</v>
      </c>
    </row>
    <row r="421" spans="1:4">
      <c r="A421">
        <v>445</v>
      </c>
      <c r="B421" s="13">
        <v>45829</v>
      </c>
      <c r="C421" t="s">
        <v>1582</v>
      </c>
      <c r="D421" t="s">
        <v>2608</v>
      </c>
    </row>
    <row r="422" spans="1:4">
      <c r="A422">
        <v>446</v>
      </c>
      <c r="B422" s="13">
        <v>45829</v>
      </c>
      <c r="C422" t="s">
        <v>2497</v>
      </c>
      <c r="D422" t="s">
        <v>2609</v>
      </c>
    </row>
    <row r="423" spans="1:4">
      <c r="A423">
        <v>447</v>
      </c>
      <c r="B423" s="13">
        <v>45829</v>
      </c>
      <c r="C423" t="s">
        <v>1718</v>
      </c>
      <c r="D423" t="s">
        <v>2612</v>
      </c>
    </row>
    <row r="424" spans="1:4">
      <c r="A424">
        <v>448</v>
      </c>
      <c r="B424" s="13">
        <v>45831</v>
      </c>
      <c r="C424" t="s">
        <v>2613</v>
      </c>
      <c r="D424" t="s">
        <v>2614</v>
      </c>
    </row>
    <row r="425" spans="1:4">
      <c r="A425">
        <v>449</v>
      </c>
      <c r="B425" s="13">
        <v>45831</v>
      </c>
      <c r="C425" t="s">
        <v>2618</v>
      </c>
      <c r="D425" t="s">
        <v>2619</v>
      </c>
    </row>
    <row r="426" spans="1:4">
      <c r="A426">
        <v>450</v>
      </c>
      <c r="B426" s="13">
        <v>45832</v>
      </c>
      <c r="C426" t="s">
        <v>1145</v>
      </c>
      <c r="D426" t="s">
        <v>2625</v>
      </c>
    </row>
    <row r="427" spans="1:4">
      <c r="A427">
        <v>451</v>
      </c>
      <c r="B427" s="13">
        <v>45832</v>
      </c>
      <c r="C427" t="s">
        <v>1576</v>
      </c>
      <c r="D427" t="s">
        <v>2626</v>
      </c>
    </row>
    <row r="428" spans="1:4">
      <c r="A428">
        <v>452</v>
      </c>
      <c r="B428" s="13">
        <v>45832</v>
      </c>
      <c r="C428" t="s">
        <v>2471</v>
      </c>
      <c r="D428" t="s">
        <v>2633</v>
      </c>
    </row>
    <row r="429" spans="1:4">
      <c r="A429">
        <v>453</v>
      </c>
      <c r="B429" s="13">
        <v>45832</v>
      </c>
      <c r="C429" t="s">
        <v>2627</v>
      </c>
      <c r="D429" t="s">
        <v>2634</v>
      </c>
    </row>
    <row r="430" spans="1:4">
      <c r="A430">
        <v>454</v>
      </c>
      <c r="B430" s="13">
        <v>45832</v>
      </c>
      <c r="C430" t="s">
        <v>1718</v>
      </c>
      <c r="D430" t="s">
        <v>2635</v>
      </c>
    </row>
    <row r="431" spans="1:4">
      <c r="A431">
        <v>455</v>
      </c>
      <c r="B431" s="13">
        <v>45832</v>
      </c>
      <c r="C431" t="s">
        <v>1537</v>
      </c>
      <c r="D431" t="s">
        <v>2636</v>
      </c>
    </row>
    <row r="432" spans="1:4">
      <c r="A432">
        <v>456</v>
      </c>
      <c r="B432" s="13">
        <v>45833</v>
      </c>
      <c r="C432" t="s">
        <v>1046</v>
      </c>
      <c r="D432" t="s">
        <v>2643</v>
      </c>
    </row>
    <row r="433" spans="1:4">
      <c r="A433">
        <v>457</v>
      </c>
      <c r="B433" s="13">
        <v>45833</v>
      </c>
      <c r="C433" t="s">
        <v>979</v>
      </c>
      <c r="D433" t="s">
        <v>2644</v>
      </c>
    </row>
    <row r="434" spans="1:4">
      <c r="A434">
        <v>458</v>
      </c>
      <c r="B434" s="13">
        <v>45833</v>
      </c>
      <c r="C434" t="s">
        <v>1890</v>
      </c>
      <c r="D434" t="s">
        <v>2645</v>
      </c>
    </row>
    <row r="435" spans="1:4">
      <c r="A435">
        <v>459</v>
      </c>
      <c r="B435" s="13">
        <v>45833</v>
      </c>
      <c r="C435" t="s">
        <v>1594</v>
      </c>
      <c r="D435" t="s">
        <v>2647</v>
      </c>
    </row>
    <row r="436" spans="1:4">
      <c r="A436">
        <v>460</v>
      </c>
      <c r="B436" s="13">
        <v>45833</v>
      </c>
      <c r="C436" t="s">
        <v>2638</v>
      </c>
      <c r="D436" t="s">
        <v>2648</v>
      </c>
    </row>
    <row r="437" spans="1:4">
      <c r="A437">
        <v>461</v>
      </c>
      <c r="B437" s="13">
        <v>45833</v>
      </c>
      <c r="C437" t="s">
        <v>1053</v>
      </c>
      <c r="D437" t="s">
        <v>2650</v>
      </c>
    </row>
    <row r="438" spans="1:4">
      <c r="A438">
        <v>462</v>
      </c>
      <c r="B438" s="13">
        <v>45833</v>
      </c>
      <c r="C438" t="s">
        <v>1582</v>
      </c>
      <c r="D438" t="s">
        <v>2651</v>
      </c>
    </row>
    <row r="439" spans="1:4">
      <c r="A439">
        <v>463</v>
      </c>
      <c r="B439" s="13">
        <v>45833</v>
      </c>
      <c r="C439" t="s">
        <v>1475</v>
      </c>
      <c r="D439" t="s">
        <v>2656</v>
      </c>
    </row>
    <row r="440" spans="1:4">
      <c r="A440">
        <v>464</v>
      </c>
      <c r="B440" s="13">
        <v>45834</v>
      </c>
      <c r="C440" t="s">
        <v>1465</v>
      </c>
      <c r="D440" t="s">
        <v>2657</v>
      </c>
    </row>
    <row r="441" spans="1:4">
      <c r="A441">
        <v>465</v>
      </c>
      <c r="B441" s="13">
        <v>45834</v>
      </c>
      <c r="C441" t="s">
        <v>1718</v>
      </c>
      <c r="D441" t="s">
        <v>2660</v>
      </c>
    </row>
    <row r="442" spans="1:4">
      <c r="A442">
        <v>466</v>
      </c>
      <c r="B442" s="13">
        <v>45834</v>
      </c>
      <c r="C442" t="s">
        <v>1395</v>
      </c>
      <c r="D442" t="s">
        <v>2661</v>
      </c>
    </row>
    <row r="443" spans="1:4">
      <c r="A443">
        <v>467</v>
      </c>
      <c r="B443" s="13">
        <v>45834</v>
      </c>
      <c r="C443" t="s">
        <v>1395</v>
      </c>
      <c r="D443" t="s">
        <v>2663</v>
      </c>
    </row>
    <row r="444" spans="1:4">
      <c r="A444">
        <v>468</v>
      </c>
      <c r="B444" s="13">
        <v>45834</v>
      </c>
      <c r="C444" t="s">
        <v>1395</v>
      </c>
      <c r="D444" t="s">
        <v>2673</v>
      </c>
    </row>
    <row r="445" spans="1:4">
      <c r="A445">
        <v>469</v>
      </c>
      <c r="B445" s="13">
        <v>45834</v>
      </c>
      <c r="C445" t="s">
        <v>1053</v>
      </c>
      <c r="D445" t="s">
        <v>2676</v>
      </c>
    </row>
    <row r="446" spans="1:4">
      <c r="A446">
        <v>470</v>
      </c>
      <c r="B446" s="13">
        <v>45835</v>
      </c>
      <c r="C446" t="s">
        <v>1374</v>
      </c>
      <c r="D446" t="s">
        <v>2687</v>
      </c>
    </row>
    <row r="447" spans="1:4">
      <c r="A447">
        <v>471</v>
      </c>
      <c r="B447" s="13">
        <v>45835</v>
      </c>
      <c r="C447" t="s">
        <v>1463</v>
      </c>
      <c r="D447" t="s">
        <v>2688</v>
      </c>
    </row>
    <row r="448" spans="1:4">
      <c r="A448">
        <v>472</v>
      </c>
      <c r="B448" s="13">
        <v>45835</v>
      </c>
      <c r="C448" t="s">
        <v>1053</v>
      </c>
      <c r="D448" t="s">
        <v>2690</v>
      </c>
    </row>
    <row r="449" spans="1:4">
      <c r="A449">
        <v>473</v>
      </c>
      <c r="B449" s="13">
        <v>45835</v>
      </c>
      <c r="C449" t="s">
        <v>1573</v>
      </c>
      <c r="D449" t="s">
        <v>2691</v>
      </c>
    </row>
    <row r="450" spans="1:4">
      <c r="A450">
        <v>474</v>
      </c>
      <c r="B450" s="13">
        <v>45835</v>
      </c>
      <c r="C450" t="s">
        <v>1718</v>
      </c>
      <c r="D450" t="s">
        <v>2693</v>
      </c>
    </row>
    <row r="451" spans="1:4">
      <c r="A451">
        <v>475</v>
      </c>
      <c r="B451" s="13">
        <v>45835</v>
      </c>
      <c r="C451" t="s">
        <v>1469</v>
      </c>
      <c r="D451" t="s">
        <v>2694</v>
      </c>
    </row>
    <row r="452" spans="1:4">
      <c r="A452">
        <v>476</v>
      </c>
      <c r="B452" s="13">
        <v>45838</v>
      </c>
      <c r="C452" t="s">
        <v>2288</v>
      </c>
      <c r="D452" t="s">
        <v>2698</v>
      </c>
    </row>
    <row r="453" spans="1:4">
      <c r="A453">
        <v>477</v>
      </c>
      <c r="B453" s="13">
        <v>45838</v>
      </c>
      <c r="C453" t="s">
        <v>1718</v>
      </c>
      <c r="D453" t="s">
        <v>2706</v>
      </c>
    </row>
    <row r="454" spans="1:4">
      <c r="A454">
        <v>478</v>
      </c>
      <c r="B454" s="13">
        <v>45838</v>
      </c>
      <c r="C454" t="s">
        <v>1082</v>
      </c>
      <c r="D454" t="s">
        <v>2709</v>
      </c>
    </row>
    <row r="455" spans="1:4">
      <c r="A455">
        <v>479</v>
      </c>
      <c r="B455" s="13">
        <v>45838</v>
      </c>
      <c r="C455" t="s">
        <v>2699</v>
      </c>
      <c r="D455" t="s">
        <v>2710</v>
      </c>
    </row>
    <row r="456" spans="1:4">
      <c r="A456">
        <v>480</v>
      </c>
      <c r="B456" s="13">
        <v>45838</v>
      </c>
      <c r="C456" t="s">
        <v>1440</v>
      </c>
      <c r="D456" t="s">
        <v>2711</v>
      </c>
    </row>
    <row r="457" spans="1:4">
      <c r="A457">
        <v>481</v>
      </c>
      <c r="B457" s="13">
        <v>45838</v>
      </c>
      <c r="C457" t="s">
        <v>1718</v>
      </c>
      <c r="D457" t="s">
        <v>2712</v>
      </c>
    </row>
    <row r="458" spans="1:4">
      <c r="A458">
        <v>482</v>
      </c>
      <c r="B458" s="13">
        <v>45838</v>
      </c>
      <c r="C458" t="s">
        <v>1976</v>
      </c>
      <c r="D458" t="s">
        <v>2713</v>
      </c>
    </row>
    <row r="459" spans="1:4">
      <c r="A459">
        <v>483</v>
      </c>
      <c r="B459" s="13">
        <v>45838</v>
      </c>
      <c r="C459" t="s">
        <v>1463</v>
      </c>
      <c r="D459" t="s">
        <v>2716</v>
      </c>
    </row>
    <row r="460" spans="1:4">
      <c r="A460">
        <v>484</v>
      </c>
      <c r="B460" s="13">
        <v>45839</v>
      </c>
      <c r="C460" t="s">
        <v>2720</v>
      </c>
      <c r="D460" t="s">
        <v>2721</v>
      </c>
    </row>
    <row r="461" spans="1:4">
      <c r="A461">
        <v>485</v>
      </c>
      <c r="B461" s="13">
        <v>45839</v>
      </c>
      <c r="C461" t="s">
        <v>1475</v>
      </c>
      <c r="D461" t="s">
        <v>2722</v>
      </c>
    </row>
    <row r="462" spans="1:4">
      <c r="A462">
        <v>486</v>
      </c>
      <c r="B462" s="13">
        <v>45839</v>
      </c>
      <c r="C462" t="s">
        <v>1576</v>
      </c>
      <c r="D462" t="s">
        <v>2724</v>
      </c>
    </row>
    <row r="463" spans="1:4">
      <c r="A463">
        <v>487</v>
      </c>
      <c r="B463" s="13">
        <v>45839</v>
      </c>
      <c r="C463" t="s">
        <v>2727</v>
      </c>
      <c r="D463" t="s">
        <v>2730</v>
      </c>
    </row>
    <row r="464" spans="1:4">
      <c r="A464">
        <v>488</v>
      </c>
      <c r="B464" s="13">
        <v>45839</v>
      </c>
      <c r="C464" t="s">
        <v>1440</v>
      </c>
      <c r="D464" t="s">
        <v>2731</v>
      </c>
    </row>
    <row r="465" spans="1:4">
      <c r="A465">
        <v>489</v>
      </c>
      <c r="B465" s="13">
        <v>45840</v>
      </c>
      <c r="C465" t="s">
        <v>2735</v>
      </c>
      <c r="D465" t="s">
        <v>2736</v>
      </c>
    </row>
    <row r="466" spans="1:4">
      <c r="A466">
        <v>490</v>
      </c>
      <c r="B466" s="13">
        <v>45840</v>
      </c>
      <c r="C466" t="s">
        <v>2737</v>
      </c>
      <c r="D466" t="s">
        <v>2741</v>
      </c>
    </row>
    <row r="467" spans="1:4">
      <c r="A467">
        <v>491</v>
      </c>
      <c r="B467" s="13">
        <v>45840</v>
      </c>
      <c r="C467" t="s">
        <v>1576</v>
      </c>
      <c r="D467" t="s">
        <v>2748</v>
      </c>
    </row>
    <row r="468" spans="1:4">
      <c r="A468">
        <v>492</v>
      </c>
      <c r="B468" s="13">
        <v>45840</v>
      </c>
      <c r="C468" t="s">
        <v>1957</v>
      </c>
      <c r="D468" t="s">
        <v>2749</v>
      </c>
    </row>
    <row r="469" spans="1:4">
      <c r="A469">
        <v>493</v>
      </c>
      <c r="B469" s="13">
        <v>45840</v>
      </c>
      <c r="C469" t="s">
        <v>2097</v>
      </c>
      <c r="D469" t="s">
        <v>2750</v>
      </c>
    </row>
    <row r="470" spans="1:4">
      <c r="A470">
        <v>494</v>
      </c>
      <c r="B470" s="13">
        <v>45841</v>
      </c>
      <c r="C470" t="s">
        <v>1046</v>
      </c>
      <c r="D470" t="s">
        <v>2751</v>
      </c>
    </row>
    <row r="471" spans="1:4">
      <c r="A471">
        <v>495</v>
      </c>
      <c r="B471" s="13">
        <v>45841</v>
      </c>
      <c r="C471" t="s">
        <v>2757</v>
      </c>
      <c r="D471" t="s">
        <v>2760</v>
      </c>
    </row>
    <row r="472" spans="1:4">
      <c r="A472">
        <v>496</v>
      </c>
      <c r="B472" s="13">
        <v>45841</v>
      </c>
      <c r="C472" t="s">
        <v>1805</v>
      </c>
      <c r="D472" t="s">
        <v>2761</v>
      </c>
    </row>
    <row r="473" spans="1:4">
      <c r="A473">
        <v>497</v>
      </c>
      <c r="B473" s="13">
        <v>45841</v>
      </c>
      <c r="C473" t="s">
        <v>2257</v>
      </c>
      <c r="D473" t="s">
        <v>2762</v>
      </c>
    </row>
    <row r="474" spans="1:4">
      <c r="A474">
        <v>498</v>
      </c>
      <c r="B474" s="13">
        <v>45841</v>
      </c>
      <c r="C474" t="s">
        <v>1576</v>
      </c>
      <c r="D474" t="s">
        <v>2763</v>
      </c>
    </row>
    <row r="475" spans="1:4">
      <c r="A475">
        <v>499</v>
      </c>
      <c r="B475" s="13">
        <v>45842</v>
      </c>
      <c r="C475" t="s">
        <v>1594</v>
      </c>
      <c r="D475" t="s">
        <v>2768</v>
      </c>
    </row>
    <row r="476" spans="1:4">
      <c r="A476">
        <v>500</v>
      </c>
      <c r="B476" s="13">
        <v>45842</v>
      </c>
      <c r="C476" t="s">
        <v>1576</v>
      </c>
      <c r="D476" t="s">
        <v>2769</v>
      </c>
    </row>
    <row r="477" spans="1:4">
      <c r="A477">
        <v>501</v>
      </c>
      <c r="B477" s="13">
        <v>45842</v>
      </c>
      <c r="C477" t="s">
        <v>1463</v>
      </c>
      <c r="D477" t="s">
        <v>2771</v>
      </c>
    </row>
    <row r="478" spans="1:4">
      <c r="A478">
        <v>502</v>
      </c>
      <c r="B478" s="13">
        <v>45842</v>
      </c>
      <c r="C478" t="s">
        <v>1145</v>
      </c>
      <c r="D478" t="s">
        <v>2772</v>
      </c>
    </row>
    <row r="479" spans="1:4">
      <c r="A479">
        <v>503</v>
      </c>
      <c r="B479" s="13">
        <v>45843</v>
      </c>
      <c r="C479" t="s">
        <v>1537</v>
      </c>
      <c r="D479" t="s">
        <v>2774</v>
      </c>
    </row>
    <row r="480" spans="1:4">
      <c r="A480">
        <v>504</v>
      </c>
      <c r="B480" s="13">
        <v>45845</v>
      </c>
      <c r="C480" t="s">
        <v>1537</v>
      </c>
      <c r="D480" t="s">
        <v>2775</v>
      </c>
    </row>
    <row r="481" spans="1:4">
      <c r="A481">
        <v>505</v>
      </c>
      <c r="B481" s="13">
        <v>45845</v>
      </c>
      <c r="C481" t="s">
        <v>1440</v>
      </c>
      <c r="D481" t="s">
        <v>2776</v>
      </c>
    </row>
    <row r="482" spans="1:4">
      <c r="A482">
        <v>506</v>
      </c>
      <c r="B482" s="13">
        <v>45845</v>
      </c>
      <c r="C482" t="s">
        <v>1475</v>
      </c>
      <c r="D482" t="s">
        <v>2777</v>
      </c>
    </row>
    <row r="483" spans="1:4">
      <c r="A483">
        <v>507</v>
      </c>
      <c r="B483" s="13">
        <v>45845</v>
      </c>
      <c r="C483" t="s">
        <v>2784</v>
      </c>
      <c r="D483" t="s">
        <v>2788</v>
      </c>
    </row>
    <row r="484" spans="1:4">
      <c r="A484">
        <v>508</v>
      </c>
      <c r="B484" s="13">
        <v>45845</v>
      </c>
      <c r="C484" t="s">
        <v>2592</v>
      </c>
      <c r="D484" t="s">
        <v>2789</v>
      </c>
    </row>
    <row r="485" spans="1:4">
      <c r="A485">
        <v>509</v>
      </c>
      <c r="B485" s="13">
        <v>45845</v>
      </c>
      <c r="C485" t="s">
        <v>2778</v>
      </c>
      <c r="D485" t="s">
        <v>2790</v>
      </c>
    </row>
    <row r="486" spans="1:4">
      <c r="A486">
        <v>510</v>
      </c>
      <c r="B486" s="13">
        <v>45845</v>
      </c>
      <c r="C486" t="s">
        <v>1145</v>
      </c>
      <c r="D486" t="s">
        <v>2791</v>
      </c>
    </row>
    <row r="487" spans="1:4">
      <c r="A487">
        <v>511</v>
      </c>
      <c r="B487" s="13">
        <v>45845</v>
      </c>
      <c r="C487" t="s">
        <v>1866</v>
      </c>
      <c r="D487" t="s">
        <v>2792</v>
      </c>
    </row>
    <row r="488" spans="1:4">
      <c r="A488">
        <v>512</v>
      </c>
      <c r="B488" s="13">
        <v>45845</v>
      </c>
      <c r="C488" t="s">
        <v>1440</v>
      </c>
      <c r="D488" t="s">
        <v>2793</v>
      </c>
    </row>
    <row r="489" spans="1:4">
      <c r="A489">
        <v>513</v>
      </c>
      <c r="B489" s="13">
        <v>45845</v>
      </c>
      <c r="C489" t="s">
        <v>1718</v>
      </c>
      <c r="D489" t="s">
        <v>2795</v>
      </c>
    </row>
    <row r="490" spans="1:4">
      <c r="A490">
        <v>514</v>
      </c>
      <c r="B490" s="13">
        <v>45846</v>
      </c>
      <c r="C490" t="s">
        <v>1395</v>
      </c>
      <c r="D490" t="s">
        <v>2798</v>
      </c>
    </row>
    <row r="491" spans="1:4">
      <c r="A491">
        <v>515</v>
      </c>
      <c r="B491" s="13">
        <v>45846</v>
      </c>
      <c r="C491" t="s">
        <v>2784</v>
      </c>
      <c r="D491" t="s">
        <v>2801</v>
      </c>
    </row>
    <row r="492" spans="1:4">
      <c r="A492">
        <v>516</v>
      </c>
      <c r="B492" s="13">
        <v>45846</v>
      </c>
      <c r="C492" t="s">
        <v>1537</v>
      </c>
      <c r="D492" t="s">
        <v>2802</v>
      </c>
    </row>
    <row r="493" spans="1:4">
      <c r="A493">
        <v>517</v>
      </c>
      <c r="B493" s="13">
        <v>45846</v>
      </c>
      <c r="C493" t="s">
        <v>1805</v>
      </c>
      <c r="D493" t="s">
        <v>2803</v>
      </c>
    </row>
    <row r="494" spans="1:4">
      <c r="A494">
        <v>518</v>
      </c>
      <c r="B494" s="13">
        <v>45846</v>
      </c>
      <c r="C494" t="s">
        <v>2804</v>
      </c>
      <c r="D494" t="s">
        <v>2808</v>
      </c>
    </row>
    <row r="495" spans="1:4">
      <c r="A495">
        <v>519</v>
      </c>
      <c r="B495" s="13">
        <v>45846</v>
      </c>
      <c r="C495" t="s">
        <v>1015</v>
      </c>
      <c r="D495" t="s">
        <v>2810</v>
      </c>
    </row>
    <row r="496" spans="1:4">
      <c r="A496">
        <v>520</v>
      </c>
      <c r="B496" s="13">
        <v>45846</v>
      </c>
      <c r="C496" t="s">
        <v>1582</v>
      </c>
      <c r="D496" t="s">
        <v>2811</v>
      </c>
    </row>
    <row r="497" spans="1:4">
      <c r="A497">
        <v>521</v>
      </c>
      <c r="B497" s="13">
        <v>45846</v>
      </c>
      <c r="C497" t="s">
        <v>1573</v>
      </c>
      <c r="D497" t="s">
        <v>2812</v>
      </c>
    </row>
    <row r="498" spans="1:4">
      <c r="A498">
        <v>522</v>
      </c>
      <c r="B498" s="13">
        <v>45846</v>
      </c>
      <c r="C498" t="s">
        <v>1145</v>
      </c>
      <c r="D498" t="s">
        <v>2813</v>
      </c>
    </row>
    <row r="499" spans="1:4">
      <c r="A499">
        <v>523</v>
      </c>
      <c r="B499" s="13">
        <v>45847</v>
      </c>
      <c r="C499" t="s">
        <v>1395</v>
      </c>
      <c r="D499" t="s">
        <v>2814</v>
      </c>
    </row>
    <row r="500" spans="1:4">
      <c r="A500">
        <v>524</v>
      </c>
      <c r="B500" s="13">
        <v>45847</v>
      </c>
      <c r="C500" t="s">
        <v>2405</v>
      </c>
      <c r="D500" t="s">
        <v>2816</v>
      </c>
    </row>
    <row r="501" spans="1:4">
      <c r="A501">
        <v>525</v>
      </c>
      <c r="B501" s="13">
        <v>45847</v>
      </c>
      <c r="C501" t="s">
        <v>2254</v>
      </c>
      <c r="D501" t="s">
        <v>2820</v>
      </c>
    </row>
    <row r="502" spans="1:4">
      <c r="A502">
        <v>526</v>
      </c>
      <c r="B502" s="13">
        <v>45847</v>
      </c>
      <c r="C502" t="s">
        <v>1440</v>
      </c>
      <c r="D502" t="s">
        <v>2821</v>
      </c>
    </row>
    <row r="503" spans="1:4">
      <c r="A503">
        <v>527</v>
      </c>
      <c r="B503" s="13">
        <v>45847</v>
      </c>
      <c r="C503" t="s">
        <v>1718</v>
      </c>
      <c r="D503" t="s">
        <v>2822</v>
      </c>
    </row>
    <row r="504" spans="1:4">
      <c r="A504">
        <v>528</v>
      </c>
      <c r="B504" s="13">
        <v>45847</v>
      </c>
      <c r="C504" t="s">
        <v>1395</v>
      </c>
      <c r="D504" t="s">
        <v>2823</v>
      </c>
    </row>
    <row r="505" spans="1:4">
      <c r="A505">
        <v>529</v>
      </c>
      <c r="B505" s="13">
        <v>45847</v>
      </c>
      <c r="C505" t="s">
        <v>1743</v>
      </c>
      <c r="D505" t="s">
        <v>2824</v>
      </c>
    </row>
    <row r="506" spans="1:4">
      <c r="A506">
        <v>530</v>
      </c>
      <c r="B506" s="13">
        <v>45847</v>
      </c>
      <c r="C506" t="s">
        <v>2405</v>
      </c>
      <c r="D506" t="s">
        <v>2825</v>
      </c>
    </row>
    <row r="507" spans="1:4">
      <c r="A507">
        <v>531</v>
      </c>
      <c r="B507" s="13">
        <v>45848</v>
      </c>
      <c r="C507" t="s">
        <v>2720</v>
      </c>
      <c r="D507" t="s">
        <v>2830</v>
      </c>
    </row>
    <row r="508" spans="1:4">
      <c r="A508">
        <v>532</v>
      </c>
      <c r="B508" s="13">
        <v>45848</v>
      </c>
      <c r="C508" t="s">
        <v>2315</v>
      </c>
      <c r="D508" t="s">
        <v>2832</v>
      </c>
    </row>
    <row r="509" spans="1:4">
      <c r="A509">
        <v>533</v>
      </c>
      <c r="B509" s="13">
        <v>45848</v>
      </c>
      <c r="C509" t="s">
        <v>1395</v>
      </c>
      <c r="D509" t="s">
        <v>2833</v>
      </c>
    </row>
    <row r="510" spans="1:4">
      <c r="A510">
        <v>534</v>
      </c>
      <c r="B510" s="13">
        <v>45848</v>
      </c>
      <c r="C510" t="s">
        <v>1026</v>
      </c>
      <c r="D510" t="s">
        <v>2834</v>
      </c>
    </row>
    <row r="511" spans="1:4">
      <c r="A511">
        <v>535</v>
      </c>
      <c r="B511" s="13">
        <v>45848</v>
      </c>
      <c r="C511" t="s">
        <v>1015</v>
      </c>
      <c r="D511" t="s">
        <v>2836</v>
      </c>
    </row>
    <row r="512" spans="1:4">
      <c r="A512">
        <v>536</v>
      </c>
      <c r="B512" s="13">
        <v>45849</v>
      </c>
      <c r="C512" t="s">
        <v>1573</v>
      </c>
      <c r="D512" t="s">
        <v>2846</v>
      </c>
    </row>
    <row r="513" spans="1:4">
      <c r="A513">
        <v>537</v>
      </c>
      <c r="B513" s="13">
        <v>45849</v>
      </c>
      <c r="C513" t="s">
        <v>1576</v>
      </c>
      <c r="D513" t="s">
        <v>2847</v>
      </c>
    </row>
    <row r="514" spans="1:4">
      <c r="A514">
        <v>538</v>
      </c>
      <c r="B514" s="13">
        <v>45849</v>
      </c>
      <c r="C514" t="s">
        <v>1395</v>
      </c>
      <c r="D514" t="s">
        <v>2848</v>
      </c>
    </row>
    <row r="515" spans="1:4">
      <c r="A515">
        <v>539</v>
      </c>
      <c r="B515" s="13">
        <v>45849</v>
      </c>
      <c r="C515" t="s">
        <v>1454</v>
      </c>
      <c r="D515" t="s">
        <v>2849</v>
      </c>
    </row>
    <row r="516" spans="1:4">
      <c r="A516">
        <v>540</v>
      </c>
      <c r="B516" s="13">
        <v>45849</v>
      </c>
      <c r="C516" t="s">
        <v>1445</v>
      </c>
      <c r="D516" t="s">
        <v>2850</v>
      </c>
    </row>
    <row r="517" spans="1:4">
      <c r="A517">
        <v>541</v>
      </c>
      <c r="B517" s="13">
        <v>45849</v>
      </c>
      <c r="C517" t="s">
        <v>1582</v>
      </c>
      <c r="D517" t="s">
        <v>2851</v>
      </c>
    </row>
    <row r="518" spans="1:4">
      <c r="A518">
        <v>542</v>
      </c>
      <c r="B518" s="13">
        <v>45849</v>
      </c>
      <c r="C518" t="s">
        <v>1582</v>
      </c>
      <c r="D518" t="s">
        <v>2852</v>
      </c>
    </row>
    <row r="519" spans="1:4">
      <c r="A519">
        <v>543</v>
      </c>
      <c r="B519" s="13">
        <v>45849</v>
      </c>
      <c r="C519" t="s">
        <v>2853</v>
      </c>
      <c r="D519" t="s">
        <v>2854</v>
      </c>
    </row>
    <row r="520" spans="1:4">
      <c r="A520">
        <v>544</v>
      </c>
      <c r="B520" s="13">
        <v>45850</v>
      </c>
      <c r="C520" t="s">
        <v>1594</v>
      </c>
      <c r="D520" t="s">
        <v>2857</v>
      </c>
    </row>
    <row r="521" spans="1:4">
      <c r="A521">
        <v>545</v>
      </c>
      <c r="B521" s="13">
        <v>45850</v>
      </c>
      <c r="C521" t="s">
        <v>2720</v>
      </c>
      <c r="D521" t="s">
        <v>2859</v>
      </c>
    </row>
    <row r="522" spans="1:4">
      <c r="A522">
        <v>546</v>
      </c>
      <c r="B522" s="13">
        <v>45852</v>
      </c>
      <c r="C522" t="s">
        <v>2864</v>
      </c>
      <c r="D522" t="s">
        <v>2867</v>
      </c>
    </row>
    <row r="523" spans="1:4">
      <c r="A523">
        <v>547</v>
      </c>
      <c r="B523" s="13">
        <v>45852</v>
      </c>
      <c r="C523" t="s">
        <v>2868</v>
      </c>
      <c r="D523" t="s">
        <v>2872</v>
      </c>
    </row>
    <row r="524" spans="1:4">
      <c r="A524">
        <v>548</v>
      </c>
      <c r="B524" s="13">
        <v>45852</v>
      </c>
      <c r="C524" t="s">
        <v>1395</v>
      </c>
      <c r="D524" t="s">
        <v>2873</v>
      </c>
    </row>
    <row r="525" spans="1:4">
      <c r="A525">
        <v>549</v>
      </c>
      <c r="B525" s="13">
        <v>45852</v>
      </c>
      <c r="C525" t="s">
        <v>2405</v>
      </c>
      <c r="D525" t="s">
        <v>2874</v>
      </c>
    </row>
    <row r="526" spans="1:4">
      <c r="A526">
        <v>550</v>
      </c>
      <c r="B526" s="13">
        <v>45852</v>
      </c>
      <c r="C526" t="s">
        <v>2315</v>
      </c>
      <c r="D526" t="s">
        <v>2876</v>
      </c>
    </row>
    <row r="527" spans="1:4">
      <c r="A527">
        <v>551</v>
      </c>
      <c r="B527" s="13">
        <v>45852</v>
      </c>
      <c r="C527" t="s">
        <v>1594</v>
      </c>
      <c r="D527" t="s">
        <v>2877</v>
      </c>
    </row>
    <row r="528" spans="1:4">
      <c r="A528">
        <v>552</v>
      </c>
      <c r="B528" s="13">
        <v>45852</v>
      </c>
      <c r="C528" t="s">
        <v>1440</v>
      </c>
      <c r="D528" t="s">
        <v>2878</v>
      </c>
    </row>
    <row r="529" spans="1:4">
      <c r="A529">
        <v>553</v>
      </c>
      <c r="B529" s="13">
        <v>45853</v>
      </c>
      <c r="C529" t="s">
        <v>2405</v>
      </c>
      <c r="D529" t="s">
        <v>2889</v>
      </c>
    </row>
    <row r="530" spans="1:4">
      <c r="A530">
        <v>554</v>
      </c>
      <c r="B530" s="13">
        <v>45853</v>
      </c>
      <c r="C530" t="s">
        <v>1015</v>
      </c>
      <c r="D530" t="s">
        <v>2890</v>
      </c>
    </row>
    <row r="531" spans="1:4">
      <c r="A531">
        <v>555</v>
      </c>
      <c r="B531" s="13">
        <v>45853</v>
      </c>
      <c r="C531" t="s">
        <v>2891</v>
      </c>
      <c r="D531" t="s">
        <v>2894</v>
      </c>
    </row>
    <row r="532" spans="1:4">
      <c r="A532">
        <v>556</v>
      </c>
      <c r="B532" s="13">
        <v>45853</v>
      </c>
      <c r="C532" t="s">
        <v>2315</v>
      </c>
      <c r="D532" t="s">
        <v>2895</v>
      </c>
    </row>
    <row r="533" spans="1:4">
      <c r="A533">
        <v>557</v>
      </c>
      <c r="B533" s="13">
        <v>45853</v>
      </c>
      <c r="C533" t="s">
        <v>1463</v>
      </c>
      <c r="D533" t="s">
        <v>2896</v>
      </c>
    </row>
    <row r="534" spans="1:4">
      <c r="A534">
        <v>558</v>
      </c>
      <c r="B534" s="13">
        <v>45853</v>
      </c>
      <c r="C534" t="s">
        <v>1145</v>
      </c>
      <c r="D534" t="s">
        <v>2897</v>
      </c>
    </row>
    <row r="535" spans="1:4">
      <c r="A535">
        <v>559</v>
      </c>
      <c r="B535" s="13">
        <v>45853</v>
      </c>
      <c r="C535" t="s">
        <v>1452</v>
      </c>
      <c r="D535" t="s">
        <v>2898</v>
      </c>
    </row>
    <row r="536" spans="1:4">
      <c r="A536">
        <v>560</v>
      </c>
      <c r="B536" s="13">
        <v>45853</v>
      </c>
      <c r="C536" t="s">
        <v>2885</v>
      </c>
      <c r="D536" t="s">
        <v>2900</v>
      </c>
    </row>
    <row r="537" spans="1:4">
      <c r="A537">
        <v>561</v>
      </c>
      <c r="B537" s="13">
        <v>45853</v>
      </c>
      <c r="C537" t="s">
        <v>1718</v>
      </c>
      <c r="D537" t="s">
        <v>2901</v>
      </c>
    </row>
    <row r="538" spans="1:4">
      <c r="A538">
        <v>562</v>
      </c>
      <c r="B538" s="13">
        <v>45854</v>
      </c>
      <c r="C538" t="s">
        <v>2288</v>
      </c>
      <c r="D538" t="s">
        <v>2907</v>
      </c>
    </row>
    <row r="539" spans="1:4">
      <c r="A539">
        <v>563</v>
      </c>
      <c r="B539" s="13">
        <v>45854</v>
      </c>
      <c r="C539" t="s">
        <v>1801</v>
      </c>
      <c r="D539" t="s">
        <v>2909</v>
      </c>
    </row>
    <row r="540" spans="1:4">
      <c r="A540">
        <v>564</v>
      </c>
      <c r="B540" s="13">
        <v>45854</v>
      </c>
      <c r="C540" t="s">
        <v>1667</v>
      </c>
      <c r="D540" t="s">
        <v>2910</v>
      </c>
    </row>
    <row r="541" spans="1:4">
      <c r="A541">
        <v>565</v>
      </c>
      <c r="B541" s="13">
        <v>45854</v>
      </c>
      <c r="C541" t="s">
        <v>2911</v>
      </c>
      <c r="D541" t="s">
        <v>2913</v>
      </c>
    </row>
    <row r="542" spans="1:4">
      <c r="A542">
        <v>566</v>
      </c>
      <c r="B542" s="13">
        <v>45855</v>
      </c>
      <c r="C542" t="s">
        <v>1018</v>
      </c>
      <c r="D542" t="s">
        <v>2920</v>
      </c>
    </row>
    <row r="543" spans="1:4">
      <c r="A543">
        <v>567</v>
      </c>
      <c r="B543" s="13">
        <v>45855</v>
      </c>
      <c r="C543" t="s">
        <v>1463</v>
      </c>
      <c r="D543" t="s">
        <v>2922</v>
      </c>
    </row>
    <row r="544" spans="1:4">
      <c r="A544">
        <v>568</v>
      </c>
      <c r="B544" s="13">
        <v>45855</v>
      </c>
      <c r="C544" t="s">
        <v>2618</v>
      </c>
      <c r="D544" t="s">
        <v>2923</v>
      </c>
    </row>
    <row r="545" spans="1:4">
      <c r="A545">
        <v>569</v>
      </c>
      <c r="B545" s="13">
        <v>45855</v>
      </c>
      <c r="C545" t="s">
        <v>1395</v>
      </c>
      <c r="D545" t="s">
        <v>2924</v>
      </c>
    </row>
    <row r="546" spans="1:4">
      <c r="A546">
        <v>570</v>
      </c>
      <c r="B546" s="13">
        <v>45856</v>
      </c>
      <c r="C546" t="s">
        <v>1445</v>
      </c>
      <c r="D546" t="s">
        <v>2929</v>
      </c>
    </row>
    <row r="547" spans="1:4">
      <c r="A547">
        <v>571</v>
      </c>
      <c r="B547" s="13">
        <v>45856</v>
      </c>
      <c r="C547" t="s">
        <v>2930</v>
      </c>
      <c r="D547" t="s">
        <v>2934</v>
      </c>
    </row>
    <row r="548" spans="1:4">
      <c r="A548">
        <v>572</v>
      </c>
      <c r="B548" s="13">
        <v>45856</v>
      </c>
      <c r="C548" t="s">
        <v>1475</v>
      </c>
      <c r="D548" t="s">
        <v>2936</v>
      </c>
    </row>
    <row r="549" spans="1:4">
      <c r="A549">
        <v>573</v>
      </c>
      <c r="B549" s="13">
        <v>45856</v>
      </c>
      <c r="C549" t="s">
        <v>2937</v>
      </c>
      <c r="D549" t="s">
        <v>2939</v>
      </c>
    </row>
    <row r="550" spans="1:4">
      <c r="A550">
        <v>574</v>
      </c>
      <c r="B550" s="13">
        <v>45856</v>
      </c>
      <c r="C550" t="s">
        <v>1843</v>
      </c>
      <c r="D550" t="s">
        <v>2940</v>
      </c>
    </row>
    <row r="551" spans="1:4">
      <c r="A551">
        <v>575</v>
      </c>
      <c r="B551" s="13">
        <v>45856</v>
      </c>
      <c r="C551" t="s">
        <v>1976</v>
      </c>
      <c r="D551" t="s">
        <v>2941</v>
      </c>
    </row>
    <row r="552" spans="1:4">
      <c r="A552">
        <v>576</v>
      </c>
      <c r="B552" s="13">
        <v>45857</v>
      </c>
      <c r="C552" t="s">
        <v>2315</v>
      </c>
      <c r="D552" t="s">
        <v>2946</v>
      </c>
    </row>
    <row r="553" spans="1:4">
      <c r="A553">
        <v>577</v>
      </c>
      <c r="B553" s="13">
        <v>45859</v>
      </c>
      <c r="C553" t="s">
        <v>2605</v>
      </c>
      <c r="D553" t="s">
        <v>2948</v>
      </c>
    </row>
    <row r="554" spans="1:4">
      <c r="A554">
        <v>578</v>
      </c>
      <c r="B554" s="13">
        <v>45859</v>
      </c>
      <c r="C554" t="s">
        <v>2254</v>
      </c>
      <c r="D554" t="s">
        <v>2951</v>
      </c>
    </row>
    <row r="555" spans="1:4">
      <c r="A555">
        <v>579</v>
      </c>
      <c r="B555" s="13">
        <v>45859</v>
      </c>
      <c r="C555" t="s">
        <v>1550</v>
      </c>
      <c r="D555" t="s">
        <v>2952</v>
      </c>
    </row>
    <row r="556" spans="1:4">
      <c r="A556">
        <v>580</v>
      </c>
      <c r="B556" s="13">
        <v>45859</v>
      </c>
      <c r="C556" t="s">
        <v>1145</v>
      </c>
      <c r="D556" t="s">
        <v>2954</v>
      </c>
    </row>
    <row r="557" spans="1:4">
      <c r="A557">
        <v>581</v>
      </c>
      <c r="B557" s="13">
        <v>45859</v>
      </c>
      <c r="C557" t="s">
        <v>1465</v>
      </c>
      <c r="D557" t="s">
        <v>2955</v>
      </c>
    </row>
    <row r="558" spans="1:4">
      <c r="A558">
        <v>582</v>
      </c>
      <c r="B558" s="13">
        <v>45860</v>
      </c>
      <c r="C558" t="s">
        <v>1537</v>
      </c>
      <c r="D558" t="s">
        <v>2956</v>
      </c>
    </row>
    <row r="559" spans="1:4">
      <c r="A559">
        <v>583</v>
      </c>
      <c r="B559" s="13">
        <v>45860</v>
      </c>
      <c r="C559" t="s">
        <v>1808</v>
      </c>
      <c r="D559" t="s">
        <v>2957</v>
      </c>
    </row>
    <row r="560" spans="1:4">
      <c r="A560">
        <v>584</v>
      </c>
      <c r="B560" s="13">
        <v>45860</v>
      </c>
      <c r="C560" t="s">
        <v>1018</v>
      </c>
      <c r="D560" t="s">
        <v>2958</v>
      </c>
    </row>
    <row r="561" spans="1:4">
      <c r="A561">
        <v>585</v>
      </c>
      <c r="B561" s="13">
        <v>45860</v>
      </c>
      <c r="C561" t="s">
        <v>2959</v>
      </c>
      <c r="D561" t="s">
        <v>2963</v>
      </c>
    </row>
    <row r="562" spans="1:4">
      <c r="A562">
        <v>586</v>
      </c>
      <c r="B562" s="13">
        <v>45860</v>
      </c>
      <c r="C562" t="s">
        <v>1718</v>
      </c>
      <c r="D562" t="s">
        <v>2964</v>
      </c>
    </row>
    <row r="563" spans="1:4">
      <c r="A563">
        <v>587</v>
      </c>
      <c r="B563" s="13">
        <v>45860</v>
      </c>
      <c r="C563" t="s">
        <v>2885</v>
      </c>
      <c r="D563" t="s">
        <v>2965</v>
      </c>
    </row>
    <row r="564" spans="1:4">
      <c r="A564">
        <v>588</v>
      </c>
      <c r="B564" s="13">
        <v>45861</v>
      </c>
      <c r="C564" t="s">
        <v>1395</v>
      </c>
      <c r="D564" t="s">
        <v>2971</v>
      </c>
    </row>
    <row r="565" spans="1:4">
      <c r="A565">
        <v>589</v>
      </c>
      <c r="B565" s="13">
        <v>45861</v>
      </c>
      <c r="C565" t="s">
        <v>1743</v>
      </c>
      <c r="D565" t="s">
        <v>2972</v>
      </c>
    </row>
    <row r="566" spans="1:4">
      <c r="A566">
        <v>590</v>
      </c>
      <c r="B566" s="13">
        <v>45861</v>
      </c>
      <c r="C566" t="s">
        <v>1805</v>
      </c>
      <c r="D566" t="s">
        <v>2973</v>
      </c>
    </row>
    <row r="567" spans="1:4">
      <c r="A567">
        <v>591</v>
      </c>
      <c r="B567" s="13">
        <v>45861</v>
      </c>
      <c r="C567" t="s">
        <v>1843</v>
      </c>
      <c r="D567" t="s">
        <v>2974</v>
      </c>
    </row>
    <row r="568" spans="1:4">
      <c r="A568">
        <v>592</v>
      </c>
      <c r="B568" s="13">
        <v>45861</v>
      </c>
      <c r="C568" t="s">
        <v>1463</v>
      </c>
      <c r="D568" t="s">
        <v>2975</v>
      </c>
    </row>
    <row r="569" spans="1:4">
      <c r="A569">
        <v>593</v>
      </c>
      <c r="B569" s="13">
        <v>45861</v>
      </c>
      <c r="C569" t="s">
        <v>1053</v>
      </c>
      <c r="D569" t="s">
        <v>2976</v>
      </c>
    </row>
    <row r="570" spans="1:4">
      <c r="A570">
        <v>594</v>
      </c>
      <c r="B570" s="13">
        <v>45861</v>
      </c>
      <c r="C570" t="s">
        <v>2315</v>
      </c>
      <c r="D570" t="s">
        <v>2977</v>
      </c>
    </row>
    <row r="571" spans="1:4">
      <c r="A571">
        <v>595</v>
      </c>
      <c r="B571" s="13">
        <v>45862</v>
      </c>
      <c r="C571" t="s">
        <v>1395</v>
      </c>
      <c r="D571" t="s">
        <v>2984</v>
      </c>
    </row>
    <row r="572" spans="1:4">
      <c r="A572">
        <v>596</v>
      </c>
      <c r="B572" s="13">
        <v>45862</v>
      </c>
      <c r="C572" t="s">
        <v>1866</v>
      </c>
      <c r="D572" t="s">
        <v>2985</v>
      </c>
    </row>
    <row r="573" spans="1:4">
      <c r="A573">
        <v>597</v>
      </c>
      <c r="B573" s="13">
        <v>45862</v>
      </c>
      <c r="C573" t="s">
        <v>1454</v>
      </c>
      <c r="D573" t="s">
        <v>2986</v>
      </c>
    </row>
    <row r="574" spans="1:4">
      <c r="A574">
        <v>598</v>
      </c>
      <c r="B574" s="13">
        <v>45862</v>
      </c>
      <c r="C574" t="s">
        <v>1445</v>
      </c>
      <c r="D574" t="s">
        <v>2987</v>
      </c>
    </row>
    <row r="575" spans="1:4">
      <c r="A575">
        <v>599</v>
      </c>
      <c r="B575" s="13">
        <v>45862</v>
      </c>
      <c r="C575" t="s">
        <v>1576</v>
      </c>
      <c r="D575" t="s">
        <v>2988</v>
      </c>
    </row>
    <row r="576" spans="1:4">
      <c r="A576">
        <v>600</v>
      </c>
      <c r="B576" s="13">
        <v>45862</v>
      </c>
      <c r="C576" t="s">
        <v>1440</v>
      </c>
      <c r="D576" t="s">
        <v>2991</v>
      </c>
    </row>
    <row r="577" spans="1:4">
      <c r="A577">
        <v>601</v>
      </c>
      <c r="B577" s="13">
        <v>45862</v>
      </c>
      <c r="C577" t="s">
        <v>1448</v>
      </c>
      <c r="D577" t="s">
        <v>2992</v>
      </c>
    </row>
    <row r="578" spans="1:4">
      <c r="A578">
        <v>602</v>
      </c>
      <c r="B578" s="13">
        <v>45862</v>
      </c>
      <c r="C578" t="s">
        <v>2993</v>
      </c>
      <c r="D578" t="s">
        <v>2994</v>
      </c>
    </row>
    <row r="579" spans="1:4">
      <c r="A579">
        <v>603</v>
      </c>
      <c r="B579" s="13">
        <v>45862</v>
      </c>
      <c r="C579" t="s">
        <v>1454</v>
      </c>
      <c r="D579" t="s">
        <v>2997</v>
      </c>
    </row>
    <row r="580" spans="1:4">
      <c r="A580">
        <v>604</v>
      </c>
      <c r="B580" s="13">
        <v>45863</v>
      </c>
      <c r="C580" t="s">
        <v>2381</v>
      </c>
      <c r="D580" t="s">
        <v>3001</v>
      </c>
    </row>
    <row r="581" spans="1:4">
      <c r="A581">
        <v>605</v>
      </c>
      <c r="B581" s="13">
        <v>45863</v>
      </c>
      <c r="C581" t="s">
        <v>1976</v>
      </c>
      <c r="D581" t="s">
        <v>3002</v>
      </c>
    </row>
    <row r="582" spans="1:4">
      <c r="A582">
        <v>606</v>
      </c>
      <c r="B582" s="13">
        <v>45863</v>
      </c>
      <c r="C582" t="s">
        <v>1976</v>
      </c>
      <c r="D582" t="s">
        <v>3003</v>
      </c>
    </row>
    <row r="583" spans="1:4">
      <c r="A583">
        <v>607</v>
      </c>
      <c r="B583" s="13">
        <v>45863</v>
      </c>
      <c r="C583" t="s">
        <v>1594</v>
      </c>
      <c r="D583" t="s">
        <v>3004</v>
      </c>
    </row>
    <row r="584" spans="1:4">
      <c r="A584">
        <v>608</v>
      </c>
      <c r="B584" s="13">
        <v>45863</v>
      </c>
      <c r="C584" t="s">
        <v>979</v>
      </c>
      <c r="D584" t="s">
        <v>3006</v>
      </c>
    </row>
    <row r="585" spans="1:4">
      <c r="A585">
        <v>609</v>
      </c>
      <c r="B585" s="13">
        <v>45863</v>
      </c>
      <c r="C585" t="s">
        <v>1082</v>
      </c>
      <c r="D585" t="s">
        <v>3007</v>
      </c>
    </row>
    <row r="586" spans="1:4">
      <c r="A586">
        <v>610</v>
      </c>
      <c r="B586" s="13">
        <v>45863</v>
      </c>
      <c r="C586" t="s">
        <v>1475</v>
      </c>
      <c r="D586" t="s">
        <v>3008</v>
      </c>
    </row>
    <row r="587" spans="1:4">
      <c r="A587">
        <v>611</v>
      </c>
      <c r="B587" s="13">
        <v>45863</v>
      </c>
      <c r="C587" t="s">
        <v>1465</v>
      </c>
      <c r="D587" t="s">
        <v>3009</v>
      </c>
    </row>
    <row r="588" spans="1:4">
      <c r="A588">
        <v>612</v>
      </c>
      <c r="B588" s="13">
        <v>45864</v>
      </c>
      <c r="C588" t="s">
        <v>1440</v>
      </c>
      <c r="D588" t="s">
        <v>3010</v>
      </c>
    </row>
    <row r="589" spans="1:4">
      <c r="A589">
        <v>613</v>
      </c>
      <c r="B589" s="13">
        <v>45866</v>
      </c>
      <c r="C589" t="s">
        <v>1053</v>
      </c>
      <c r="D589" t="s">
        <v>3011</v>
      </c>
    </row>
    <row r="590" spans="1:4">
      <c r="A590">
        <v>614</v>
      </c>
      <c r="B590" s="13">
        <v>45866</v>
      </c>
      <c r="C590" t="s">
        <v>1395</v>
      </c>
      <c r="D590" t="s">
        <v>3012</v>
      </c>
    </row>
    <row r="591" spans="1:4">
      <c r="A591">
        <v>615</v>
      </c>
      <c r="B591" s="13">
        <v>45866</v>
      </c>
      <c r="C591" t="s">
        <v>1743</v>
      </c>
      <c r="D591" t="s">
        <v>3013</v>
      </c>
    </row>
    <row r="592" spans="1:4">
      <c r="A592">
        <v>616</v>
      </c>
      <c r="B592" s="13">
        <v>45866</v>
      </c>
      <c r="C592" t="s">
        <v>1843</v>
      </c>
      <c r="D592" t="s">
        <v>3014</v>
      </c>
    </row>
    <row r="593" spans="1:4">
      <c r="A593">
        <v>617</v>
      </c>
      <c r="B593" s="13">
        <v>45866</v>
      </c>
      <c r="C593" t="s">
        <v>1667</v>
      </c>
      <c r="D593" t="s">
        <v>3015</v>
      </c>
    </row>
    <row r="594" spans="1:4">
      <c r="A594">
        <v>618</v>
      </c>
      <c r="B594" s="13">
        <v>45866</v>
      </c>
      <c r="C594" t="s">
        <v>1469</v>
      </c>
      <c r="D594" t="s">
        <v>3016</v>
      </c>
    </row>
    <row r="595" spans="1:4">
      <c r="A595">
        <v>619</v>
      </c>
      <c r="B595" s="13">
        <v>45866</v>
      </c>
      <c r="C595" t="s">
        <v>3017</v>
      </c>
      <c r="D595" t="s">
        <v>3020</v>
      </c>
    </row>
    <row r="596" spans="1:4">
      <c r="A596">
        <v>620</v>
      </c>
      <c r="B596" s="13">
        <v>45866</v>
      </c>
      <c r="C596" t="s">
        <v>1540</v>
      </c>
      <c r="D596" t="s">
        <v>3021</v>
      </c>
    </row>
    <row r="597" spans="1:4">
      <c r="A597">
        <v>621</v>
      </c>
      <c r="B597" s="13">
        <v>45866</v>
      </c>
      <c r="C597" t="s">
        <v>1857</v>
      </c>
      <c r="D597" t="s">
        <v>3022</v>
      </c>
    </row>
    <row r="598" spans="1:4">
      <c r="A598">
        <v>622</v>
      </c>
      <c r="B598" s="13">
        <v>45866</v>
      </c>
      <c r="C598" t="s">
        <v>1743</v>
      </c>
      <c r="D598" t="s">
        <v>3023</v>
      </c>
    </row>
    <row r="599" spans="1:4">
      <c r="A599">
        <v>623</v>
      </c>
      <c r="B599" s="13">
        <v>45866</v>
      </c>
      <c r="C599" t="s">
        <v>1445</v>
      </c>
      <c r="D599" t="s">
        <v>3024</v>
      </c>
    </row>
    <row r="600" spans="1:4">
      <c r="A600">
        <v>624</v>
      </c>
      <c r="B600" s="13">
        <v>45866</v>
      </c>
      <c r="C600" t="s">
        <v>3025</v>
      </c>
      <c r="D600" t="s">
        <v>3030</v>
      </c>
    </row>
    <row r="601" spans="1:4">
      <c r="A601">
        <v>625</v>
      </c>
      <c r="B601" s="13">
        <v>45867</v>
      </c>
      <c r="C601" t="s">
        <v>1440</v>
      </c>
      <c r="D601" t="s">
        <v>3057</v>
      </c>
    </row>
    <row r="602" spans="1:4">
      <c r="A602">
        <v>626</v>
      </c>
      <c r="B602" s="13">
        <v>45867</v>
      </c>
      <c r="C602" t="s">
        <v>1786</v>
      </c>
      <c r="D602" t="s">
        <v>3058</v>
      </c>
    </row>
    <row r="603" spans="1:4">
      <c r="A603">
        <v>627</v>
      </c>
      <c r="B603" s="13">
        <v>45867</v>
      </c>
      <c r="C603" t="s">
        <v>1082</v>
      </c>
      <c r="D603" t="s">
        <v>3059</v>
      </c>
    </row>
    <row r="604" spans="1:4">
      <c r="A604">
        <v>628</v>
      </c>
      <c r="B604" s="13">
        <v>45867</v>
      </c>
      <c r="C604" t="s">
        <v>1302</v>
      </c>
      <c r="D604" t="s">
        <v>3060</v>
      </c>
    </row>
    <row r="605" spans="1:4">
      <c r="A605">
        <v>629</v>
      </c>
      <c r="B605" s="13">
        <v>45867</v>
      </c>
      <c r="C605" t="s">
        <v>1801</v>
      </c>
      <c r="D605" t="s">
        <v>3061</v>
      </c>
    </row>
    <row r="606" spans="1:4">
      <c r="A606">
        <v>630</v>
      </c>
      <c r="B606" s="13">
        <v>45867</v>
      </c>
      <c r="C606" t="s">
        <v>2911</v>
      </c>
      <c r="D606" t="s">
        <v>3062</v>
      </c>
    </row>
    <row r="607" spans="1:4">
      <c r="A607">
        <v>631</v>
      </c>
      <c r="B607" s="13">
        <v>45867</v>
      </c>
      <c r="C607" t="s">
        <v>1718</v>
      </c>
      <c r="D607" t="s">
        <v>3063</v>
      </c>
    </row>
    <row r="608" spans="1:4">
      <c r="A608">
        <v>632</v>
      </c>
      <c r="B608" s="13">
        <v>45867</v>
      </c>
      <c r="C608" t="s">
        <v>1440</v>
      </c>
      <c r="D608" t="s">
        <v>3064</v>
      </c>
    </row>
    <row r="609" spans="1:4">
      <c r="A609">
        <v>633</v>
      </c>
      <c r="B609" s="13">
        <v>45868</v>
      </c>
      <c r="C609" t="s">
        <v>1973</v>
      </c>
      <c r="D609" t="s">
        <v>3067</v>
      </c>
    </row>
    <row r="610" spans="1:4">
      <c r="A610">
        <v>634</v>
      </c>
      <c r="B610" s="13">
        <v>45868</v>
      </c>
      <c r="C610" t="s">
        <v>1805</v>
      </c>
      <c r="D610" t="s">
        <v>3068</v>
      </c>
    </row>
    <row r="611" spans="1:4">
      <c r="A611">
        <v>635</v>
      </c>
      <c r="B611" s="13">
        <v>45868</v>
      </c>
      <c r="C611" t="s">
        <v>2784</v>
      </c>
      <c r="D611" t="s">
        <v>3069</v>
      </c>
    </row>
    <row r="612" spans="1:4">
      <c r="A612">
        <v>636</v>
      </c>
      <c r="B612" s="13">
        <v>45868</v>
      </c>
      <c r="C612" t="s">
        <v>1801</v>
      </c>
      <c r="D612" t="s">
        <v>3071</v>
      </c>
    </row>
    <row r="613" spans="1:4">
      <c r="A613">
        <v>637</v>
      </c>
      <c r="B613" s="13">
        <v>45868</v>
      </c>
      <c r="C613" t="s">
        <v>1573</v>
      </c>
      <c r="D613" t="s">
        <v>3072</v>
      </c>
    </row>
    <row r="614" spans="1:4">
      <c r="A614">
        <v>638</v>
      </c>
      <c r="B614" s="13">
        <v>45868</v>
      </c>
      <c r="C614" t="s">
        <v>3073</v>
      </c>
      <c r="D614" t="s">
        <v>3077</v>
      </c>
    </row>
    <row r="615" spans="1:4">
      <c r="A615">
        <v>639</v>
      </c>
      <c r="B615" s="13">
        <v>45868</v>
      </c>
      <c r="C615" t="s">
        <v>2315</v>
      </c>
      <c r="D615" t="s">
        <v>3078</v>
      </c>
    </row>
    <row r="616" spans="1:4">
      <c r="A616">
        <v>640</v>
      </c>
      <c r="B616" s="13">
        <v>45869</v>
      </c>
      <c r="C616" t="s">
        <v>1469</v>
      </c>
      <c r="D616" t="s">
        <v>3081</v>
      </c>
    </row>
    <row r="617" spans="1:4">
      <c r="A617">
        <v>641</v>
      </c>
      <c r="B617" s="13">
        <v>45869</v>
      </c>
      <c r="C617" t="s">
        <v>1786</v>
      </c>
      <c r="D617" t="s">
        <v>3082</v>
      </c>
    </row>
    <row r="618" spans="1:4">
      <c r="A618">
        <v>642</v>
      </c>
      <c r="B618" s="13">
        <v>45869</v>
      </c>
      <c r="C618" t="s">
        <v>1494</v>
      </c>
      <c r="D618" t="s">
        <v>3083</v>
      </c>
    </row>
    <row r="619" spans="1:4">
      <c r="A619">
        <v>643</v>
      </c>
      <c r="B619" s="13">
        <v>45869</v>
      </c>
      <c r="C619" t="s">
        <v>1667</v>
      </c>
      <c r="D619" t="s">
        <v>3084</v>
      </c>
    </row>
    <row r="620" spans="1:4">
      <c r="A620">
        <v>644</v>
      </c>
      <c r="B620" s="13">
        <v>45869</v>
      </c>
      <c r="C620" t="s">
        <v>1576</v>
      </c>
      <c r="D620" t="s">
        <v>3085</v>
      </c>
    </row>
    <row r="621" spans="1:4">
      <c r="A621">
        <v>645</v>
      </c>
      <c r="B621" s="13">
        <v>45870</v>
      </c>
      <c r="C621" t="s">
        <v>1469</v>
      </c>
      <c r="D621" t="s">
        <v>3088</v>
      </c>
    </row>
    <row r="622" spans="1:4">
      <c r="A622">
        <v>646</v>
      </c>
      <c r="B622" s="13">
        <v>45870</v>
      </c>
      <c r="C622" t="s">
        <v>3089</v>
      </c>
      <c r="D622" t="s">
        <v>3090</v>
      </c>
    </row>
    <row r="623" spans="1:4">
      <c r="A623">
        <v>647</v>
      </c>
      <c r="B623" s="13">
        <v>45870</v>
      </c>
      <c r="C623" t="s">
        <v>1938</v>
      </c>
      <c r="D623" t="s">
        <v>3091</v>
      </c>
    </row>
    <row r="624" spans="1:4">
      <c r="A624">
        <v>648</v>
      </c>
      <c r="B624" s="13">
        <v>45870</v>
      </c>
      <c r="C624" t="s">
        <v>1395</v>
      </c>
      <c r="D624" t="s">
        <v>3092</v>
      </c>
    </row>
    <row r="625" spans="1:4">
      <c r="A625">
        <v>649</v>
      </c>
      <c r="B625" s="13">
        <v>45868</v>
      </c>
      <c r="C625" t="s">
        <v>1718</v>
      </c>
      <c r="D625" t="s">
        <v>3096</v>
      </c>
    </row>
    <row r="626" spans="1:4">
      <c r="A626">
        <v>650</v>
      </c>
      <c r="B626" s="13">
        <v>45873</v>
      </c>
      <c r="C626" t="s">
        <v>1573</v>
      </c>
      <c r="D626" t="s">
        <v>3097</v>
      </c>
    </row>
    <row r="627" spans="1:4">
      <c r="A627">
        <v>651</v>
      </c>
      <c r="B627" s="13">
        <v>45873</v>
      </c>
      <c r="C627" t="s">
        <v>2868</v>
      </c>
      <c r="D627" t="s">
        <v>3098</v>
      </c>
    </row>
    <row r="628" spans="1:4">
      <c r="A628">
        <v>652</v>
      </c>
      <c r="B628" s="13">
        <v>45873</v>
      </c>
      <c r="C628" t="s">
        <v>1438</v>
      </c>
      <c r="D628" t="s">
        <v>3099</v>
      </c>
    </row>
    <row r="629" spans="1:4">
      <c r="A629">
        <v>653</v>
      </c>
      <c r="B629" s="13">
        <v>45873</v>
      </c>
      <c r="C629" t="s">
        <v>2868</v>
      </c>
      <c r="D629" t="s">
        <v>3100</v>
      </c>
    </row>
    <row r="630" spans="1:4">
      <c r="A630">
        <v>654</v>
      </c>
      <c r="B630" s="13">
        <v>45873</v>
      </c>
      <c r="C630" t="s">
        <v>1395</v>
      </c>
      <c r="D630" t="s">
        <v>3101</v>
      </c>
    </row>
    <row r="631" spans="1:4">
      <c r="A631">
        <v>655</v>
      </c>
      <c r="B631" s="13">
        <v>45873</v>
      </c>
      <c r="C631" t="s">
        <v>1015</v>
      </c>
      <c r="D631" t="s">
        <v>3102</v>
      </c>
    </row>
    <row r="632" spans="1:4">
      <c r="A632">
        <v>656</v>
      </c>
      <c r="B632" s="13">
        <v>45873</v>
      </c>
      <c r="C632" t="s">
        <v>2144</v>
      </c>
      <c r="D632" t="s">
        <v>3103</v>
      </c>
    </row>
    <row r="633" spans="1:4">
      <c r="A633">
        <v>657</v>
      </c>
      <c r="B633" s="13">
        <v>45873</v>
      </c>
      <c r="C633" t="s">
        <v>1469</v>
      </c>
      <c r="D633" t="s">
        <v>3104</v>
      </c>
    </row>
    <row r="634" spans="1:4">
      <c r="A634">
        <v>658</v>
      </c>
      <c r="B634" s="13">
        <v>45873</v>
      </c>
      <c r="C634" t="s">
        <v>1469</v>
      </c>
      <c r="D634" t="s">
        <v>3105</v>
      </c>
    </row>
    <row r="635" spans="1:4">
      <c r="A635">
        <v>659</v>
      </c>
      <c r="B635" s="13">
        <v>45873</v>
      </c>
      <c r="C635" t="s">
        <v>1469</v>
      </c>
      <c r="D635" t="s">
        <v>3107</v>
      </c>
    </row>
    <row r="636" spans="1:4">
      <c r="A636">
        <v>660</v>
      </c>
      <c r="B636" s="13">
        <v>45873</v>
      </c>
      <c r="C636" t="s">
        <v>1469</v>
      </c>
      <c r="D636" t="s">
        <v>3108</v>
      </c>
    </row>
    <row r="637" spans="1:4">
      <c r="A637">
        <v>661</v>
      </c>
      <c r="B637" s="13">
        <v>45873</v>
      </c>
      <c r="C637" t="s">
        <v>2144</v>
      </c>
      <c r="D637" t="s">
        <v>3109</v>
      </c>
    </row>
    <row r="638" spans="1:4">
      <c r="A638">
        <v>662</v>
      </c>
      <c r="B638" s="13">
        <v>45873</v>
      </c>
      <c r="C638" t="s">
        <v>1015</v>
      </c>
      <c r="D638" t="s">
        <v>3110</v>
      </c>
    </row>
    <row r="639" spans="1:4">
      <c r="A639">
        <v>663</v>
      </c>
      <c r="B639" s="13">
        <v>45875</v>
      </c>
      <c r="C639" t="s">
        <v>1490</v>
      </c>
      <c r="D639" t="s">
        <v>3122</v>
      </c>
    </row>
    <row r="640" spans="1:4">
      <c r="A640">
        <v>664</v>
      </c>
      <c r="B640" s="13">
        <v>45875</v>
      </c>
      <c r="C640" t="s">
        <v>1026</v>
      </c>
      <c r="D640" t="s">
        <v>3123</v>
      </c>
    </row>
    <row r="641" spans="1:4">
      <c r="A641">
        <v>665</v>
      </c>
      <c r="B641" s="13">
        <v>45875</v>
      </c>
      <c r="C641" t="s">
        <v>3116</v>
      </c>
      <c r="D641" t="s">
        <v>3128</v>
      </c>
    </row>
    <row r="642" spans="1:4">
      <c r="A642">
        <v>666</v>
      </c>
      <c r="B642" s="13">
        <v>45875</v>
      </c>
      <c r="C642" t="s">
        <v>1145</v>
      </c>
      <c r="D642" t="s">
        <v>3130</v>
      </c>
    </row>
    <row r="643" spans="1:4">
      <c r="A643">
        <v>667</v>
      </c>
      <c r="B643" s="13">
        <v>45875</v>
      </c>
      <c r="C643" t="s">
        <v>1805</v>
      </c>
      <c r="D643" t="s">
        <v>3131</v>
      </c>
    </row>
    <row r="644" spans="1:4">
      <c r="A644">
        <v>668</v>
      </c>
      <c r="B644" s="13">
        <v>45875</v>
      </c>
      <c r="C644" t="s">
        <v>3132</v>
      </c>
      <c r="D644" t="s">
        <v>3133</v>
      </c>
    </row>
    <row r="645" spans="1:4">
      <c r="A645">
        <v>669</v>
      </c>
      <c r="B645" s="13">
        <v>45875</v>
      </c>
      <c r="C645" t="s">
        <v>2141</v>
      </c>
      <c r="D645" t="s">
        <v>3134</v>
      </c>
    </row>
    <row r="646" spans="1:4">
      <c r="A646">
        <v>670</v>
      </c>
      <c r="B646" s="13">
        <v>45875</v>
      </c>
      <c r="C646" t="s">
        <v>1573</v>
      </c>
      <c r="D646" t="s">
        <v>3136</v>
      </c>
    </row>
    <row r="647" spans="1:4">
      <c r="A647">
        <v>671</v>
      </c>
      <c r="B647" s="13">
        <v>45875</v>
      </c>
      <c r="C647" t="s">
        <v>1743</v>
      </c>
      <c r="D647" t="s">
        <v>3137</v>
      </c>
    </row>
    <row r="648" spans="1:4">
      <c r="A648">
        <v>672</v>
      </c>
      <c r="B648" s="13">
        <v>45876</v>
      </c>
      <c r="C648" t="s">
        <v>1440</v>
      </c>
      <c r="D648" t="s">
        <v>3141</v>
      </c>
    </row>
    <row r="649" spans="1:4">
      <c r="A649">
        <v>673</v>
      </c>
      <c r="B649" s="13">
        <v>45876</v>
      </c>
      <c r="C649" t="s">
        <v>2778</v>
      </c>
      <c r="D649" t="s">
        <v>3142</v>
      </c>
    </row>
    <row r="650" spans="1:4">
      <c r="A650">
        <v>674</v>
      </c>
      <c r="B650" s="13">
        <v>45876</v>
      </c>
      <c r="C650" t="s">
        <v>2405</v>
      </c>
      <c r="D650" t="s">
        <v>3143</v>
      </c>
    </row>
    <row r="651" spans="1:4">
      <c r="A651">
        <v>675</v>
      </c>
      <c r="B651" s="13">
        <v>45877</v>
      </c>
      <c r="C651" t="s">
        <v>3145</v>
      </c>
      <c r="D651" t="s">
        <v>3146</v>
      </c>
    </row>
    <row r="652" spans="1:4">
      <c r="A652">
        <v>676</v>
      </c>
      <c r="B652" s="13">
        <v>45877</v>
      </c>
      <c r="C652" t="s">
        <v>3147</v>
      </c>
      <c r="D652" t="s">
        <v>3151</v>
      </c>
    </row>
    <row r="653" spans="1:4">
      <c r="A653">
        <v>677</v>
      </c>
      <c r="B653" s="13">
        <v>45877</v>
      </c>
      <c r="C653" t="s">
        <v>3145</v>
      </c>
      <c r="D653" t="s">
        <v>3152</v>
      </c>
    </row>
    <row r="654" spans="1:4">
      <c r="A654">
        <v>678</v>
      </c>
      <c r="B654" s="13">
        <v>45877</v>
      </c>
      <c r="C654" t="s">
        <v>3147</v>
      </c>
      <c r="D654" t="s">
        <v>3153</v>
      </c>
    </row>
    <row r="655" spans="1:4">
      <c r="A655">
        <v>679</v>
      </c>
      <c r="B655" s="13">
        <v>45877</v>
      </c>
      <c r="C655" t="s">
        <v>3145</v>
      </c>
      <c r="D655" t="s">
        <v>3154</v>
      </c>
    </row>
    <row r="656" spans="1:4">
      <c r="A656">
        <v>680</v>
      </c>
      <c r="B656" s="13">
        <v>45878</v>
      </c>
      <c r="C656" t="s">
        <v>1018</v>
      </c>
      <c r="D656" t="s">
        <v>3156</v>
      </c>
    </row>
    <row r="657" spans="1:4">
      <c r="A657">
        <v>681</v>
      </c>
      <c r="B657" s="13">
        <v>45878</v>
      </c>
      <c r="C657" t="s">
        <v>3157</v>
      </c>
      <c r="D657" t="s">
        <v>3158</v>
      </c>
    </row>
    <row r="658" spans="1:4">
      <c r="A658">
        <v>682</v>
      </c>
      <c r="B658" s="13">
        <v>45880</v>
      </c>
      <c r="C658" t="s">
        <v>2315</v>
      </c>
      <c r="D658" t="s">
        <v>3159</v>
      </c>
    </row>
    <row r="659" spans="1:4">
      <c r="A659">
        <v>683</v>
      </c>
      <c r="B659" s="13">
        <v>45880</v>
      </c>
      <c r="C659" t="s">
        <v>1743</v>
      </c>
      <c r="D659" t="s">
        <v>3160</v>
      </c>
    </row>
    <row r="660" spans="1:4">
      <c r="A660">
        <v>684</v>
      </c>
      <c r="B660" s="13">
        <v>45880</v>
      </c>
      <c r="C660" t="s">
        <v>1576</v>
      </c>
      <c r="D660" t="s">
        <v>3161</v>
      </c>
    </row>
    <row r="661" spans="1:4">
      <c r="A661">
        <v>685</v>
      </c>
      <c r="B661" t="s">
        <v>3163</v>
      </c>
      <c r="C661" t="s">
        <v>1490</v>
      </c>
      <c r="D661" t="s">
        <v>3164</v>
      </c>
    </row>
    <row r="662" spans="1:4">
      <c r="A662">
        <v>686</v>
      </c>
      <c r="B662" s="13">
        <v>45880</v>
      </c>
      <c r="C662" t="s">
        <v>1395</v>
      </c>
      <c r="D662" t="s">
        <v>3165</v>
      </c>
    </row>
    <row r="663" spans="1:4">
      <c r="A663">
        <v>687</v>
      </c>
      <c r="B663" s="13">
        <v>45880</v>
      </c>
      <c r="C663" t="s">
        <v>1890</v>
      </c>
      <c r="D663" t="s">
        <v>3166</v>
      </c>
    </row>
    <row r="664" spans="1:4">
      <c r="A664">
        <v>688</v>
      </c>
      <c r="B664" s="13">
        <v>45880</v>
      </c>
      <c r="C664" t="s">
        <v>2911</v>
      </c>
      <c r="D664" t="s">
        <v>3167</v>
      </c>
    </row>
    <row r="665" spans="1:4">
      <c r="A665">
        <v>689</v>
      </c>
      <c r="B665" s="13">
        <v>45881</v>
      </c>
      <c r="C665" t="s">
        <v>1463</v>
      </c>
      <c r="D665" t="s">
        <v>3168</v>
      </c>
    </row>
    <row r="666" spans="1:4">
      <c r="A666">
        <v>690</v>
      </c>
      <c r="B666" s="13">
        <v>45881</v>
      </c>
      <c r="C666" t="s">
        <v>1469</v>
      </c>
      <c r="D666" t="s">
        <v>3169</v>
      </c>
    </row>
    <row r="667" spans="1:4">
      <c r="A667">
        <v>691</v>
      </c>
      <c r="B667" s="13">
        <v>45881</v>
      </c>
      <c r="C667" t="s">
        <v>2315</v>
      </c>
      <c r="D667" t="s">
        <v>3170</v>
      </c>
    </row>
    <row r="668" spans="1:4">
      <c r="A668">
        <v>692</v>
      </c>
      <c r="B668" s="13">
        <v>45881</v>
      </c>
      <c r="C668" t="s">
        <v>2993</v>
      </c>
      <c r="D668" t="s">
        <v>3172</v>
      </c>
    </row>
    <row r="669" spans="1:4">
      <c r="A669">
        <v>693</v>
      </c>
      <c r="B669" s="13">
        <v>45882</v>
      </c>
      <c r="C669" t="s">
        <v>1801</v>
      </c>
      <c r="D669" t="s">
        <v>3174</v>
      </c>
    </row>
    <row r="670" spans="1:4">
      <c r="A670">
        <v>694</v>
      </c>
      <c r="B670" s="13">
        <v>45882</v>
      </c>
      <c r="C670" t="s">
        <v>1576</v>
      </c>
      <c r="D670" t="s">
        <v>3175</v>
      </c>
    </row>
    <row r="671" spans="1:4">
      <c r="A671">
        <v>695</v>
      </c>
      <c r="B671" s="13">
        <v>45882</v>
      </c>
      <c r="C671" t="s">
        <v>1395</v>
      </c>
      <c r="D671" t="s">
        <v>3176</v>
      </c>
    </row>
    <row r="672" spans="1:4">
      <c r="A672">
        <v>696</v>
      </c>
      <c r="B672" s="13">
        <v>45882</v>
      </c>
      <c r="C672" t="s">
        <v>1573</v>
      </c>
      <c r="D672" t="s">
        <v>3177</v>
      </c>
    </row>
    <row r="673" spans="1:4">
      <c r="A673">
        <v>697</v>
      </c>
      <c r="B673" s="13">
        <v>45882</v>
      </c>
      <c r="C673" t="s">
        <v>1018</v>
      </c>
      <c r="D673" t="s">
        <v>3178</v>
      </c>
    </row>
    <row r="674" spans="1:4">
      <c r="A674">
        <v>698</v>
      </c>
      <c r="B674" s="13">
        <v>45882</v>
      </c>
      <c r="C674" t="s">
        <v>3182</v>
      </c>
      <c r="D674" t="s">
        <v>3186</v>
      </c>
    </row>
    <row r="675" spans="1:4">
      <c r="A675">
        <v>699</v>
      </c>
      <c r="B675" s="13">
        <v>45882</v>
      </c>
      <c r="C675" t="s">
        <v>3179</v>
      </c>
      <c r="D675" t="s">
        <v>3188</v>
      </c>
    </row>
    <row r="676" spans="1:4">
      <c r="A676">
        <v>700</v>
      </c>
      <c r="B676" s="13">
        <v>45883</v>
      </c>
      <c r="C676" t="s">
        <v>1463</v>
      </c>
      <c r="D676" t="s">
        <v>3189</v>
      </c>
    </row>
    <row r="677" spans="1:4">
      <c r="A677">
        <v>701</v>
      </c>
      <c r="B677" s="13">
        <v>45883</v>
      </c>
      <c r="C677" t="s">
        <v>1475</v>
      </c>
      <c r="D677" t="s">
        <v>3191</v>
      </c>
    </row>
    <row r="678" spans="1:4">
      <c r="A678">
        <v>702</v>
      </c>
      <c r="B678" s="13">
        <v>45883</v>
      </c>
      <c r="C678" t="s">
        <v>987</v>
      </c>
      <c r="D678" t="s">
        <v>3193</v>
      </c>
    </row>
    <row r="679" spans="1:4">
      <c r="A679">
        <v>703</v>
      </c>
      <c r="B679" s="13">
        <v>45883</v>
      </c>
      <c r="C679" t="s">
        <v>1026</v>
      </c>
      <c r="D679" t="s">
        <v>3194</v>
      </c>
    </row>
    <row r="680" spans="1:4">
      <c r="A680">
        <v>704</v>
      </c>
      <c r="B680" s="13">
        <v>45883</v>
      </c>
      <c r="C680" t="s">
        <v>1224</v>
      </c>
      <c r="D680" t="s">
        <v>3196</v>
      </c>
    </row>
    <row r="681" spans="1:4">
      <c r="A681">
        <v>705</v>
      </c>
      <c r="B681" s="13">
        <v>45883</v>
      </c>
      <c r="C681" t="s">
        <v>3197</v>
      </c>
      <c r="D681" t="s">
        <v>3199</v>
      </c>
    </row>
    <row r="682" spans="1:4">
      <c r="A682">
        <v>706</v>
      </c>
      <c r="B682" s="13">
        <v>45883</v>
      </c>
      <c r="C682" t="s">
        <v>2592</v>
      </c>
      <c r="D682" t="s">
        <v>3200</v>
      </c>
    </row>
    <row r="683" spans="1:4">
      <c r="A683">
        <v>707</v>
      </c>
      <c r="B683" s="13">
        <v>45883</v>
      </c>
      <c r="C683" t="s">
        <v>2405</v>
      </c>
      <c r="D683" t="s">
        <v>3201</v>
      </c>
    </row>
    <row r="684" spans="1:4">
      <c r="A684">
        <v>708</v>
      </c>
      <c r="B684" s="13">
        <v>45884</v>
      </c>
      <c r="C684" t="s">
        <v>1445</v>
      </c>
      <c r="D684" t="s">
        <v>3204</v>
      </c>
    </row>
    <row r="685" spans="1:4">
      <c r="A685">
        <v>709</v>
      </c>
      <c r="B685" s="13">
        <v>45884</v>
      </c>
      <c r="C685" t="s">
        <v>1395</v>
      </c>
      <c r="D685" t="s">
        <v>3205</v>
      </c>
    </row>
    <row r="686" spans="1:4">
      <c r="A686">
        <v>710</v>
      </c>
      <c r="B686" s="13">
        <v>45884</v>
      </c>
      <c r="C686" t="s">
        <v>3206</v>
      </c>
      <c r="D686" t="s">
        <v>3209</v>
      </c>
    </row>
    <row r="687" spans="1:4">
      <c r="A687">
        <v>711</v>
      </c>
      <c r="B687" s="13">
        <v>45885</v>
      </c>
      <c r="C687" t="s">
        <v>1718</v>
      </c>
      <c r="D687" t="s">
        <v>3210</v>
      </c>
    </row>
    <row r="688" spans="1:4">
      <c r="A688">
        <v>712</v>
      </c>
      <c r="B688" s="13">
        <v>45885</v>
      </c>
      <c r="C688" t="s">
        <v>1718</v>
      </c>
      <c r="D688" t="s">
        <v>3211</v>
      </c>
    </row>
    <row r="689" spans="1:4">
      <c r="A689">
        <v>713</v>
      </c>
      <c r="B689" s="13">
        <v>45887</v>
      </c>
      <c r="C689" t="s">
        <v>1395</v>
      </c>
      <c r="D689" t="s">
        <v>3215</v>
      </c>
    </row>
    <row r="690" spans="1:4">
      <c r="A690">
        <v>714</v>
      </c>
      <c r="B690" s="13">
        <v>45887</v>
      </c>
      <c r="C690" t="s">
        <v>1475</v>
      </c>
      <c r="D690" t="s">
        <v>3216</v>
      </c>
    </row>
    <row r="691" spans="1:4">
      <c r="A691">
        <v>715</v>
      </c>
      <c r="B691" s="13">
        <v>45887</v>
      </c>
      <c r="C691" t="s">
        <v>1440</v>
      </c>
      <c r="D691" t="s">
        <v>3217</v>
      </c>
    </row>
    <row r="692" spans="1:4">
      <c r="A692">
        <v>716</v>
      </c>
      <c r="B692" s="13">
        <v>45887</v>
      </c>
      <c r="C692" t="s">
        <v>1463</v>
      </c>
      <c r="D692" t="s">
        <v>3220</v>
      </c>
    </row>
    <row r="693" spans="1:4">
      <c r="A693">
        <v>717</v>
      </c>
      <c r="B693" s="13">
        <v>45887</v>
      </c>
      <c r="C693" t="s">
        <v>1445</v>
      </c>
      <c r="D693" t="s">
        <v>3221</v>
      </c>
    </row>
    <row r="694" spans="1:4">
      <c r="A694">
        <v>718</v>
      </c>
      <c r="B694" s="13">
        <v>45887</v>
      </c>
      <c r="C694" t="s">
        <v>1973</v>
      </c>
      <c r="D694" t="s">
        <v>3222</v>
      </c>
    </row>
    <row r="695" spans="1:4">
      <c r="A695">
        <v>719</v>
      </c>
      <c r="B695" s="13">
        <v>45887</v>
      </c>
      <c r="C695" t="s">
        <v>2605</v>
      </c>
      <c r="D695" t="s">
        <v>3224</v>
      </c>
    </row>
    <row r="696" spans="1:4">
      <c r="A696">
        <v>720</v>
      </c>
      <c r="B696" s="13">
        <v>45887</v>
      </c>
      <c r="C696" t="s">
        <v>1594</v>
      </c>
      <c r="D696" t="s">
        <v>3226</v>
      </c>
    </row>
    <row r="697" spans="1:4">
      <c r="A697">
        <v>721</v>
      </c>
      <c r="B697" s="13">
        <v>45887</v>
      </c>
      <c r="C697" t="s">
        <v>1450</v>
      </c>
      <c r="D697" t="s">
        <v>3228</v>
      </c>
    </row>
    <row r="698" spans="1:4">
      <c r="A698">
        <v>722</v>
      </c>
      <c r="B698" s="13">
        <v>45888</v>
      </c>
      <c r="C698" t="s">
        <v>1573</v>
      </c>
      <c r="D698" t="s">
        <v>3230</v>
      </c>
    </row>
    <row r="699" spans="1:4">
      <c r="A699">
        <v>723</v>
      </c>
      <c r="B699" s="13">
        <v>45888</v>
      </c>
      <c r="C699" t="s">
        <v>1395</v>
      </c>
      <c r="D699" t="s">
        <v>3231</v>
      </c>
    </row>
    <row r="700" spans="1:4">
      <c r="A700">
        <v>724</v>
      </c>
      <c r="B700" s="13">
        <v>45888</v>
      </c>
      <c r="C700" t="s">
        <v>1469</v>
      </c>
      <c r="D700" t="s">
        <v>3232</v>
      </c>
    </row>
    <row r="701" spans="1:4">
      <c r="A701">
        <v>725</v>
      </c>
      <c r="B701" s="13">
        <v>45888</v>
      </c>
      <c r="C701" t="s">
        <v>1594</v>
      </c>
      <c r="D701" t="s">
        <v>3233</v>
      </c>
    </row>
    <row r="702" spans="1:4">
      <c r="A702">
        <v>726</v>
      </c>
      <c r="B702" s="13">
        <v>45888</v>
      </c>
      <c r="C702" t="s">
        <v>1395</v>
      </c>
      <c r="D702" t="s">
        <v>3235</v>
      </c>
    </row>
    <row r="703" spans="1:4">
      <c r="A703">
        <v>727</v>
      </c>
      <c r="B703" s="13">
        <v>45889</v>
      </c>
      <c r="C703" t="s">
        <v>1026</v>
      </c>
      <c r="D703" t="s">
        <v>3237</v>
      </c>
    </row>
    <row r="704" spans="1:4">
      <c r="A704">
        <v>728</v>
      </c>
      <c r="B704" s="13">
        <v>45889</v>
      </c>
      <c r="C704" t="s">
        <v>1537</v>
      </c>
      <c r="D704" t="s">
        <v>3238</v>
      </c>
    </row>
    <row r="705" spans="1:4">
      <c r="A705">
        <v>729</v>
      </c>
      <c r="B705" s="13">
        <v>45889</v>
      </c>
      <c r="C705" t="s">
        <v>1046</v>
      </c>
      <c r="D705" t="s">
        <v>3239</v>
      </c>
    </row>
    <row r="706" spans="1:4">
      <c r="A706">
        <v>730</v>
      </c>
      <c r="B706" s="13">
        <v>45889</v>
      </c>
      <c r="C706" t="s">
        <v>2553</v>
      </c>
      <c r="D706" t="s">
        <v>3241</v>
      </c>
    </row>
    <row r="707" spans="1:4">
      <c r="A707">
        <v>731</v>
      </c>
      <c r="B707" s="13">
        <v>45889</v>
      </c>
      <c r="C707" t="s">
        <v>2257</v>
      </c>
      <c r="D707" t="s">
        <v>3242</v>
      </c>
    </row>
    <row r="708" spans="1:4">
      <c r="A708">
        <v>732</v>
      </c>
      <c r="B708" s="13">
        <v>45889</v>
      </c>
      <c r="C708" t="s">
        <v>2362</v>
      </c>
      <c r="D708" t="s">
        <v>3244</v>
      </c>
    </row>
    <row r="709" spans="1:4">
      <c r="A709">
        <v>733</v>
      </c>
      <c r="B709" s="13">
        <v>45890</v>
      </c>
      <c r="C709" t="s">
        <v>1374</v>
      </c>
      <c r="D709" t="s">
        <v>3245</v>
      </c>
    </row>
    <row r="710" spans="1:4">
      <c r="A710">
        <v>734</v>
      </c>
      <c r="B710" s="13">
        <v>45890</v>
      </c>
      <c r="C710" t="s">
        <v>2911</v>
      </c>
      <c r="D710" t="s">
        <v>3246</v>
      </c>
    </row>
    <row r="711" spans="1:4">
      <c r="A711">
        <v>735</v>
      </c>
      <c r="B711" s="13">
        <v>45890</v>
      </c>
      <c r="C711" t="s">
        <v>1576</v>
      </c>
      <c r="D711" t="s">
        <v>3247</v>
      </c>
    </row>
    <row r="712" spans="1:4">
      <c r="A712">
        <v>736</v>
      </c>
      <c r="B712" s="13">
        <v>45890</v>
      </c>
      <c r="C712" t="s">
        <v>2553</v>
      </c>
      <c r="D712" t="s">
        <v>3248</v>
      </c>
    </row>
    <row r="713" spans="1:4">
      <c r="A713">
        <v>737</v>
      </c>
      <c r="B713" s="13">
        <v>45890</v>
      </c>
      <c r="C713" t="s">
        <v>1718</v>
      </c>
      <c r="D713" t="s">
        <v>3250</v>
      </c>
    </row>
    <row r="714" spans="1:4">
      <c r="A714">
        <v>738</v>
      </c>
      <c r="B714" s="13">
        <v>45890</v>
      </c>
      <c r="C714" t="s">
        <v>1395</v>
      </c>
      <c r="D714" t="s">
        <v>3253</v>
      </c>
    </row>
    <row r="715" spans="1:4">
      <c r="A715">
        <v>739</v>
      </c>
      <c r="B715" s="13">
        <v>45890</v>
      </c>
      <c r="C715" t="s">
        <v>3116</v>
      </c>
      <c r="D715" t="s">
        <v>3254</v>
      </c>
    </row>
    <row r="716" spans="1:4">
      <c r="A716">
        <v>740</v>
      </c>
      <c r="B716" s="13">
        <v>45891</v>
      </c>
      <c r="C716" t="s">
        <v>2853</v>
      </c>
      <c r="D716" t="s">
        <v>3256</v>
      </c>
    </row>
    <row r="717" spans="1:4">
      <c r="A717">
        <v>741</v>
      </c>
      <c r="B717" s="13">
        <v>45891</v>
      </c>
      <c r="C717" t="s">
        <v>1808</v>
      </c>
      <c r="D717" t="s">
        <v>3258</v>
      </c>
    </row>
    <row r="718" spans="1:4">
      <c r="A718">
        <v>742</v>
      </c>
      <c r="B718" s="13">
        <v>45891</v>
      </c>
      <c r="C718" t="s">
        <v>3259</v>
      </c>
      <c r="D718" t="s">
        <v>3263</v>
      </c>
    </row>
    <row r="719" spans="1:4">
      <c r="A719">
        <v>743</v>
      </c>
      <c r="B719" s="13">
        <v>45891</v>
      </c>
      <c r="C719" t="s">
        <v>2605</v>
      </c>
      <c r="D719" t="s">
        <v>3264</v>
      </c>
    </row>
    <row r="720" spans="1:4">
      <c r="A720">
        <v>744</v>
      </c>
      <c r="B720" s="13">
        <v>45891</v>
      </c>
      <c r="C720" t="s">
        <v>3265</v>
      </c>
      <c r="D720" t="s">
        <v>3268</v>
      </c>
    </row>
    <row r="721" spans="1:4">
      <c r="A721">
        <v>745</v>
      </c>
      <c r="B721" s="13">
        <v>45892</v>
      </c>
      <c r="C721" t="s">
        <v>1007</v>
      </c>
      <c r="D721" t="s">
        <v>3270</v>
      </c>
    </row>
    <row r="722" spans="1:4">
      <c r="A722">
        <v>746</v>
      </c>
      <c r="B722" s="13">
        <v>45894</v>
      </c>
      <c r="C722" t="s">
        <v>1395</v>
      </c>
      <c r="D722" t="s">
        <v>3275</v>
      </c>
    </row>
    <row r="723" spans="1:4">
      <c r="A723">
        <v>747</v>
      </c>
      <c r="B723" s="13">
        <v>45894</v>
      </c>
      <c r="C723" t="s">
        <v>1395</v>
      </c>
      <c r="D723" t="s">
        <v>3276</v>
      </c>
    </row>
    <row r="724" spans="1:4">
      <c r="A724">
        <v>748</v>
      </c>
      <c r="B724" s="13">
        <v>45894</v>
      </c>
      <c r="C724" t="s">
        <v>1395</v>
      </c>
      <c r="D724" t="s">
        <v>3277</v>
      </c>
    </row>
    <row r="725" spans="1:4">
      <c r="A725">
        <v>749</v>
      </c>
      <c r="B725" s="13">
        <v>45894</v>
      </c>
      <c r="C725" t="s">
        <v>1801</v>
      </c>
      <c r="D725" t="s">
        <v>3278</v>
      </c>
    </row>
    <row r="726" spans="1:4">
      <c r="A726">
        <v>750</v>
      </c>
      <c r="B726" s="13">
        <v>45894</v>
      </c>
      <c r="C726" t="s">
        <v>3116</v>
      </c>
      <c r="D726" t="s">
        <v>3282</v>
      </c>
    </row>
    <row r="727" spans="1:4">
      <c r="A727">
        <v>751</v>
      </c>
      <c r="B727" s="13">
        <v>45894</v>
      </c>
      <c r="C727" t="s">
        <v>2911</v>
      </c>
      <c r="D727" t="s">
        <v>3283</v>
      </c>
    </row>
    <row r="728" spans="1:4">
      <c r="A728">
        <v>752</v>
      </c>
      <c r="B728" s="13">
        <v>45894</v>
      </c>
      <c r="C728" t="s">
        <v>1573</v>
      </c>
      <c r="D728" t="s">
        <v>3284</v>
      </c>
    </row>
    <row r="729" spans="1:4">
      <c r="A729">
        <v>753</v>
      </c>
      <c r="B729" s="13">
        <v>45894</v>
      </c>
      <c r="C729" t="s">
        <v>2288</v>
      </c>
      <c r="D729" t="s">
        <v>3285</v>
      </c>
    </row>
    <row r="730" spans="1:4">
      <c r="A730">
        <v>754</v>
      </c>
      <c r="B730" s="13">
        <v>45894</v>
      </c>
      <c r="C730" t="s">
        <v>2553</v>
      </c>
      <c r="D730" t="s">
        <v>3286</v>
      </c>
    </row>
    <row r="731" spans="1:4">
      <c r="A731">
        <v>755</v>
      </c>
      <c r="B731" s="13">
        <v>45894</v>
      </c>
      <c r="C731" t="s">
        <v>3287</v>
      </c>
      <c r="D731" t="s">
        <v>3291</v>
      </c>
    </row>
    <row r="732" spans="1:4">
      <c r="A732">
        <v>756</v>
      </c>
      <c r="B732" s="13">
        <v>45894</v>
      </c>
      <c r="C732" t="s">
        <v>3287</v>
      </c>
      <c r="D732" t="s">
        <v>3292</v>
      </c>
    </row>
    <row r="733" spans="1:4">
      <c r="A733">
        <v>757</v>
      </c>
      <c r="B733" s="13">
        <v>45894</v>
      </c>
      <c r="C733" t="s">
        <v>987</v>
      </c>
      <c r="D733" t="s">
        <v>3293</v>
      </c>
    </row>
    <row r="734" spans="1:4">
      <c r="A734">
        <v>758</v>
      </c>
      <c r="B734" s="13">
        <v>45894</v>
      </c>
      <c r="C734" t="s">
        <v>2405</v>
      </c>
      <c r="D734" t="s">
        <v>3295</v>
      </c>
    </row>
    <row r="735" spans="1:4">
      <c r="A735">
        <v>759</v>
      </c>
      <c r="B735" s="13">
        <v>45894</v>
      </c>
      <c r="C735" t="s">
        <v>2302</v>
      </c>
      <c r="D735" t="s">
        <v>3296</v>
      </c>
    </row>
    <row r="736" spans="1:4">
      <c r="A736">
        <v>760</v>
      </c>
      <c r="B736" s="13">
        <v>45894</v>
      </c>
      <c r="C736" t="s">
        <v>1573</v>
      </c>
      <c r="D736" t="s">
        <v>3297</v>
      </c>
    </row>
    <row r="737" spans="1:4">
      <c r="A737">
        <v>761</v>
      </c>
      <c r="B737" s="13">
        <v>45894</v>
      </c>
      <c r="C737" t="s">
        <v>1573</v>
      </c>
      <c r="D737" t="s">
        <v>3298</v>
      </c>
    </row>
    <row r="738" spans="1:4">
      <c r="A738">
        <v>762</v>
      </c>
      <c r="B738" s="13">
        <v>45894</v>
      </c>
      <c r="C738" t="s">
        <v>1015</v>
      </c>
      <c r="D738" t="s">
        <v>3299</v>
      </c>
    </row>
    <row r="739" spans="1:4">
      <c r="A739">
        <v>763</v>
      </c>
      <c r="B739" s="13">
        <v>45895</v>
      </c>
      <c r="C739" t="s">
        <v>1537</v>
      </c>
      <c r="D739" t="s">
        <v>3303</v>
      </c>
    </row>
    <row r="740" spans="1:4">
      <c r="A740">
        <v>764</v>
      </c>
      <c r="B740" s="13">
        <v>45895</v>
      </c>
      <c r="C740" t="s">
        <v>1465</v>
      </c>
      <c r="D740" t="s">
        <v>3304</v>
      </c>
    </row>
    <row r="741" spans="1:4">
      <c r="A741">
        <v>765</v>
      </c>
      <c r="B741" s="13">
        <v>45895</v>
      </c>
      <c r="C741" t="s">
        <v>1015</v>
      </c>
      <c r="D741" t="s">
        <v>3305</v>
      </c>
    </row>
    <row r="742" spans="1:4">
      <c r="A742">
        <v>766</v>
      </c>
      <c r="B742" s="13">
        <v>45895</v>
      </c>
      <c r="C742" t="s">
        <v>1576</v>
      </c>
      <c r="D742" t="s">
        <v>3307</v>
      </c>
    </row>
    <row r="743" spans="1:4">
      <c r="A743">
        <v>767</v>
      </c>
      <c r="B743" s="13">
        <v>45895</v>
      </c>
      <c r="C743" t="s">
        <v>1440</v>
      </c>
      <c r="D743" t="s">
        <v>3308</v>
      </c>
    </row>
    <row r="744" spans="1:4">
      <c r="A744">
        <v>768</v>
      </c>
      <c r="B744" s="13">
        <v>45895</v>
      </c>
      <c r="C744" t="s">
        <v>2853</v>
      </c>
      <c r="D744" t="s">
        <v>3311</v>
      </c>
    </row>
    <row r="745" spans="1:4">
      <c r="A745">
        <v>769</v>
      </c>
      <c r="B745" s="13">
        <v>45895</v>
      </c>
      <c r="C745" t="s">
        <v>2853</v>
      </c>
      <c r="D745" t="s">
        <v>3312</v>
      </c>
    </row>
    <row r="746" spans="1:4">
      <c r="A746">
        <v>770</v>
      </c>
      <c r="B746" s="13">
        <v>45896</v>
      </c>
      <c r="C746" t="s">
        <v>1469</v>
      </c>
      <c r="D746" t="s">
        <v>3316</v>
      </c>
    </row>
    <row r="747" spans="1:4">
      <c r="A747">
        <v>771</v>
      </c>
      <c r="B747" s="13">
        <v>45896</v>
      </c>
      <c r="C747" t="s">
        <v>3111</v>
      </c>
      <c r="D747" t="s">
        <v>3318</v>
      </c>
    </row>
    <row r="748" spans="1:4">
      <c r="A748">
        <v>772</v>
      </c>
      <c r="B748" s="13">
        <v>45896</v>
      </c>
      <c r="C748" t="s">
        <v>1743</v>
      </c>
      <c r="D748" t="s">
        <v>3319</v>
      </c>
    </row>
    <row r="749" spans="1:4">
      <c r="A749">
        <v>773</v>
      </c>
      <c r="B749" s="13">
        <v>45896</v>
      </c>
      <c r="C749" t="s">
        <v>1082</v>
      </c>
      <c r="D749" t="s">
        <v>3320</v>
      </c>
    </row>
    <row r="750" spans="1:4">
      <c r="A750">
        <v>774</v>
      </c>
      <c r="B750" s="13">
        <v>45896</v>
      </c>
      <c r="C750" t="s">
        <v>2462</v>
      </c>
      <c r="D750" t="s">
        <v>3321</v>
      </c>
    </row>
    <row r="751" spans="1:4">
      <c r="A751">
        <v>775</v>
      </c>
      <c r="B751" s="13">
        <v>45897</v>
      </c>
      <c r="C751" t="s">
        <v>1576</v>
      </c>
      <c r="D751" t="s">
        <v>3329</v>
      </c>
    </row>
    <row r="752" spans="1:4">
      <c r="A752">
        <v>776</v>
      </c>
      <c r="B752" s="13">
        <v>45897</v>
      </c>
      <c r="C752" t="s">
        <v>1786</v>
      </c>
      <c r="D752" t="s">
        <v>3330</v>
      </c>
    </row>
    <row r="753" spans="1:4">
      <c r="A753">
        <v>777</v>
      </c>
      <c r="B753" s="13">
        <v>45897</v>
      </c>
      <c r="C753" t="s">
        <v>1145</v>
      </c>
      <c r="D753" t="s">
        <v>3331</v>
      </c>
    </row>
    <row r="754" spans="1:4">
      <c r="A754">
        <v>778</v>
      </c>
      <c r="B754" s="13">
        <v>45897</v>
      </c>
      <c r="C754" t="s">
        <v>1046</v>
      </c>
      <c r="D754" t="s">
        <v>3332</v>
      </c>
    </row>
    <row r="755" spans="1:4">
      <c r="A755">
        <v>779</v>
      </c>
      <c r="B755" s="13">
        <v>45897</v>
      </c>
      <c r="C755" t="s">
        <v>1170</v>
      </c>
      <c r="D755" t="s">
        <v>3333</v>
      </c>
    </row>
    <row r="756" spans="1:4">
      <c r="A756">
        <v>780</v>
      </c>
      <c r="B756" s="13">
        <v>45897</v>
      </c>
      <c r="C756" t="s">
        <v>1573</v>
      </c>
      <c r="D756" t="s">
        <v>3334</v>
      </c>
    </row>
    <row r="757" spans="1:4">
      <c r="A757">
        <v>781</v>
      </c>
      <c r="B757" s="13">
        <v>45897</v>
      </c>
      <c r="C757" t="s">
        <v>1718</v>
      </c>
      <c r="D757" t="s">
        <v>3335</v>
      </c>
    </row>
    <row r="758" spans="1:4">
      <c r="A758">
        <v>782</v>
      </c>
      <c r="B758" s="13">
        <v>45898</v>
      </c>
      <c r="C758" t="s">
        <v>2993</v>
      </c>
      <c r="D758" t="s">
        <v>3340</v>
      </c>
    </row>
    <row r="759" spans="1:4">
      <c r="A759">
        <v>783</v>
      </c>
      <c r="B759" s="13">
        <v>45898</v>
      </c>
      <c r="C759" t="s">
        <v>1550</v>
      </c>
      <c r="D759" t="s">
        <v>3341</v>
      </c>
    </row>
    <row r="760" spans="1:4">
      <c r="A760">
        <v>784</v>
      </c>
      <c r="B760" s="13">
        <v>45898</v>
      </c>
      <c r="C760" t="s">
        <v>1718</v>
      </c>
      <c r="D760" t="s">
        <v>3342</v>
      </c>
    </row>
    <row r="761" spans="1:4">
      <c r="A761">
        <v>785</v>
      </c>
      <c r="B761" s="13">
        <v>45898</v>
      </c>
      <c r="C761" t="s">
        <v>3197</v>
      </c>
      <c r="D761" t="s">
        <v>3343</v>
      </c>
    </row>
    <row r="762" spans="1:4">
      <c r="A762">
        <v>786</v>
      </c>
      <c r="B762" s="13">
        <v>45899</v>
      </c>
      <c r="C762" t="s">
        <v>2864</v>
      </c>
      <c r="D762" t="s">
        <v>3344</v>
      </c>
    </row>
    <row r="763" spans="1:4">
      <c r="A763">
        <v>787</v>
      </c>
      <c r="B763" s="13">
        <v>45899</v>
      </c>
      <c r="C763" t="s">
        <v>1743</v>
      </c>
      <c r="D763" t="s">
        <v>3345</v>
      </c>
    </row>
    <row r="764" spans="1:4">
      <c r="A764">
        <v>788</v>
      </c>
      <c r="B764" s="13">
        <v>45901</v>
      </c>
      <c r="C764" t="s">
        <v>1395</v>
      </c>
      <c r="D764" t="s">
        <v>3352</v>
      </c>
    </row>
    <row r="765" spans="1:4">
      <c r="A765">
        <v>789</v>
      </c>
      <c r="B765" s="13">
        <v>45901</v>
      </c>
      <c r="C765" t="s">
        <v>1395</v>
      </c>
      <c r="D765" t="s">
        <v>3353</v>
      </c>
    </row>
    <row r="766" spans="1:4">
      <c r="A766">
        <v>790</v>
      </c>
      <c r="B766" s="13">
        <v>45901</v>
      </c>
      <c r="C766" t="s">
        <v>1550</v>
      </c>
      <c r="D766" t="s">
        <v>3354</v>
      </c>
    </row>
    <row r="767" spans="1:4">
      <c r="A767">
        <v>791</v>
      </c>
      <c r="B767" s="13">
        <v>45901</v>
      </c>
      <c r="C767" t="s">
        <v>1469</v>
      </c>
      <c r="D767" t="s">
        <v>3355</v>
      </c>
    </row>
    <row r="768" spans="1:4">
      <c r="A768">
        <v>792</v>
      </c>
      <c r="B768" s="13">
        <v>45901</v>
      </c>
      <c r="C768" t="s">
        <v>1808</v>
      </c>
      <c r="D768" t="s">
        <v>3356</v>
      </c>
    </row>
    <row r="769" spans="1:4">
      <c r="A769">
        <v>793</v>
      </c>
      <c r="B769" s="13">
        <v>45901</v>
      </c>
      <c r="C769" t="s">
        <v>1440</v>
      </c>
      <c r="D769" t="s">
        <v>3357</v>
      </c>
    </row>
    <row r="770" spans="1:4">
      <c r="A770">
        <v>794</v>
      </c>
      <c r="B770" s="13">
        <v>45901</v>
      </c>
      <c r="C770" t="s">
        <v>2757</v>
      </c>
      <c r="D770" t="s">
        <v>3358</v>
      </c>
    </row>
    <row r="771" spans="1:4">
      <c r="A771">
        <v>795</v>
      </c>
      <c r="B771" s="13">
        <v>45901</v>
      </c>
      <c r="C771" t="s">
        <v>3346</v>
      </c>
      <c r="D771" t="s">
        <v>3359</v>
      </c>
    </row>
    <row r="772" spans="1:4">
      <c r="A772">
        <v>796</v>
      </c>
      <c r="B772" s="13">
        <v>45901</v>
      </c>
      <c r="C772" t="s">
        <v>1440</v>
      </c>
      <c r="D772" t="s">
        <v>3360</v>
      </c>
    </row>
    <row r="773" spans="1:4">
      <c r="A773">
        <v>797</v>
      </c>
      <c r="B773" s="13">
        <v>45902</v>
      </c>
      <c r="C773" t="s">
        <v>1170</v>
      </c>
      <c r="D773" t="s">
        <v>3364</v>
      </c>
    </row>
    <row r="774" spans="1:4">
      <c r="A774">
        <v>798</v>
      </c>
      <c r="B774" s="13">
        <v>45902</v>
      </c>
      <c r="C774" t="s">
        <v>1973</v>
      </c>
      <c r="D774" t="s">
        <v>3365</v>
      </c>
    </row>
    <row r="775" spans="1:4">
      <c r="A775">
        <v>799</v>
      </c>
      <c r="B775" s="13">
        <v>45902</v>
      </c>
      <c r="C775" t="s">
        <v>2993</v>
      </c>
      <c r="D775" t="s">
        <v>3366</v>
      </c>
    </row>
    <row r="776" spans="1:4">
      <c r="A776">
        <v>800</v>
      </c>
      <c r="B776" s="13">
        <v>45902</v>
      </c>
      <c r="C776" t="s">
        <v>1145</v>
      </c>
      <c r="D776" t="s">
        <v>3367</v>
      </c>
    </row>
    <row r="777" spans="1:4">
      <c r="A777">
        <v>801</v>
      </c>
      <c r="B777" s="13">
        <v>45902</v>
      </c>
      <c r="C777" t="s">
        <v>1573</v>
      </c>
      <c r="D777" t="s">
        <v>3368</v>
      </c>
    </row>
    <row r="778" spans="1:4">
      <c r="A778">
        <v>802</v>
      </c>
      <c r="B778" s="13">
        <v>45902</v>
      </c>
      <c r="C778" t="s">
        <v>1490</v>
      </c>
      <c r="D778" t="s">
        <v>3370</v>
      </c>
    </row>
    <row r="779" spans="1:4">
      <c r="A779">
        <v>803</v>
      </c>
      <c r="B779" s="13">
        <v>45902</v>
      </c>
      <c r="C779" t="s">
        <v>1007</v>
      </c>
      <c r="D779" t="s">
        <v>3371</v>
      </c>
    </row>
    <row r="780" spans="1:4">
      <c r="A780">
        <v>804</v>
      </c>
      <c r="B780" s="13">
        <v>45903</v>
      </c>
      <c r="C780" t="s">
        <v>1786</v>
      </c>
      <c r="D780" t="s">
        <v>3372</v>
      </c>
    </row>
    <row r="781" spans="1:4">
      <c r="A781">
        <v>805</v>
      </c>
      <c r="B781" s="13">
        <v>45903</v>
      </c>
      <c r="C781" t="s">
        <v>1463</v>
      </c>
      <c r="D781" t="s">
        <v>3373</v>
      </c>
    </row>
    <row r="782" spans="1:4">
      <c r="A782">
        <v>806</v>
      </c>
      <c r="B782" s="13">
        <v>45903</v>
      </c>
      <c r="C782" t="s">
        <v>1440</v>
      </c>
      <c r="D782" t="s">
        <v>3374</v>
      </c>
    </row>
    <row r="783" spans="1:4">
      <c r="A783">
        <v>807</v>
      </c>
      <c r="B783" s="13">
        <v>45903</v>
      </c>
      <c r="C783" t="s">
        <v>1170</v>
      </c>
      <c r="D783" t="s">
        <v>3376</v>
      </c>
    </row>
    <row r="784" spans="1:4">
      <c r="A784">
        <v>808</v>
      </c>
      <c r="B784" s="13">
        <v>45903</v>
      </c>
      <c r="C784" t="s">
        <v>1494</v>
      </c>
      <c r="D784" t="s">
        <v>3378</v>
      </c>
    </row>
    <row r="785" spans="1:4">
      <c r="A785">
        <v>809</v>
      </c>
      <c r="B785" s="13">
        <v>45903</v>
      </c>
      <c r="C785" t="s">
        <v>1576</v>
      </c>
      <c r="D785" t="s">
        <v>3381</v>
      </c>
    </row>
    <row r="786" spans="1:4">
      <c r="A786">
        <v>810</v>
      </c>
      <c r="B786" s="13">
        <v>45903</v>
      </c>
      <c r="C786" t="s">
        <v>3287</v>
      </c>
      <c r="D786" t="s">
        <v>3382</v>
      </c>
    </row>
    <row r="787" spans="1:4">
      <c r="A787">
        <v>811</v>
      </c>
      <c r="B787" s="13">
        <v>45903</v>
      </c>
      <c r="C787" t="s">
        <v>1445</v>
      </c>
      <c r="D787" t="s">
        <v>3386</v>
      </c>
    </row>
    <row r="788" spans="1:4">
      <c r="A788">
        <v>812</v>
      </c>
      <c r="B788" s="13">
        <v>45903</v>
      </c>
      <c r="C788" t="s">
        <v>1445</v>
      </c>
      <c r="D788" t="s">
        <v>3387</v>
      </c>
    </row>
    <row r="789" spans="1:4">
      <c r="A789">
        <v>813</v>
      </c>
      <c r="B789" s="13">
        <v>45903</v>
      </c>
      <c r="C789" t="s">
        <v>2315</v>
      </c>
      <c r="D789" t="s">
        <v>3391</v>
      </c>
    </row>
    <row r="790" spans="1:4">
      <c r="A790">
        <v>814</v>
      </c>
      <c r="B790" s="13">
        <v>45903</v>
      </c>
      <c r="C790" t="s">
        <v>3388</v>
      </c>
      <c r="D790" t="s">
        <v>3392</v>
      </c>
    </row>
    <row r="791" spans="1:4">
      <c r="A791">
        <v>815</v>
      </c>
      <c r="B791" s="13">
        <v>45903</v>
      </c>
      <c r="C791" t="s">
        <v>1743</v>
      </c>
      <c r="D791" t="s">
        <v>3393</v>
      </c>
    </row>
    <row r="792" spans="1:4">
      <c r="A792">
        <v>816</v>
      </c>
      <c r="B792" s="13">
        <v>45903</v>
      </c>
      <c r="C792" t="s">
        <v>2315</v>
      </c>
      <c r="D792" t="s">
        <v>3394</v>
      </c>
    </row>
    <row r="793" spans="1:4">
      <c r="A793">
        <v>817</v>
      </c>
      <c r="B793" s="13">
        <v>45903</v>
      </c>
      <c r="C793" t="s">
        <v>1843</v>
      </c>
      <c r="D793" t="s">
        <v>3396</v>
      </c>
    </row>
    <row r="794" spans="1:4">
      <c r="A794">
        <v>818</v>
      </c>
      <c r="B794" s="13">
        <v>45903</v>
      </c>
      <c r="C794" t="s">
        <v>1743</v>
      </c>
      <c r="D794" t="s">
        <v>3398</v>
      </c>
    </row>
    <row r="795" spans="1:4">
      <c r="A795">
        <v>819</v>
      </c>
      <c r="B795" s="13">
        <v>45899</v>
      </c>
      <c r="C795" t="s">
        <v>1743</v>
      </c>
      <c r="D795" t="s">
        <v>3399</v>
      </c>
    </row>
    <row r="796" spans="1:4">
      <c r="A796">
        <v>820</v>
      </c>
      <c r="B796" s="13">
        <v>45904</v>
      </c>
      <c r="C796" t="s">
        <v>1718</v>
      </c>
      <c r="D796" t="s">
        <v>3408</v>
      </c>
    </row>
    <row r="797" spans="1:4">
      <c r="A797">
        <v>821</v>
      </c>
      <c r="B797" s="13">
        <v>45904</v>
      </c>
      <c r="C797" t="s">
        <v>1469</v>
      </c>
      <c r="D797" t="s">
        <v>3409</v>
      </c>
    </row>
    <row r="798" spans="1:4">
      <c r="A798">
        <v>822</v>
      </c>
      <c r="B798" s="13">
        <v>45904</v>
      </c>
      <c r="C798" t="s">
        <v>2911</v>
      </c>
      <c r="D798" t="s">
        <v>3410</v>
      </c>
    </row>
    <row r="799" spans="1:4">
      <c r="A799">
        <v>823</v>
      </c>
      <c r="B799" s="13">
        <v>45904</v>
      </c>
      <c r="C799" t="s">
        <v>1475</v>
      </c>
      <c r="D799" t="s">
        <v>3411</v>
      </c>
    </row>
    <row r="800" spans="1:4">
      <c r="A800">
        <v>824</v>
      </c>
      <c r="B800" s="13">
        <v>45904</v>
      </c>
      <c r="C800" t="s">
        <v>3404</v>
      </c>
      <c r="D800" t="s">
        <v>3412</v>
      </c>
    </row>
    <row r="801" spans="1:4">
      <c r="A801">
        <v>825</v>
      </c>
      <c r="B801" s="13">
        <v>45904</v>
      </c>
      <c r="C801" t="s">
        <v>1490</v>
      </c>
      <c r="D801" t="s">
        <v>3415</v>
      </c>
    </row>
    <row r="802" spans="1:4">
      <c r="A802">
        <v>826</v>
      </c>
      <c r="B802" s="13">
        <v>45904</v>
      </c>
      <c r="C802" t="s">
        <v>1490</v>
      </c>
      <c r="D802" t="s">
        <v>3416</v>
      </c>
    </row>
    <row r="803" spans="1:4">
      <c r="A803">
        <v>827</v>
      </c>
      <c r="B803" s="13">
        <v>45904</v>
      </c>
      <c r="C803" t="s">
        <v>1469</v>
      </c>
      <c r="D803" t="s">
        <v>3417</v>
      </c>
    </row>
    <row r="804" spans="1:4">
      <c r="A804">
        <v>828</v>
      </c>
      <c r="B804" s="13">
        <v>45904</v>
      </c>
      <c r="C804" t="s">
        <v>3397</v>
      </c>
      <c r="D804" t="s">
        <v>3418</v>
      </c>
    </row>
    <row r="805" spans="1:4">
      <c r="A805">
        <v>829</v>
      </c>
      <c r="B805" s="13">
        <v>45904</v>
      </c>
      <c r="C805" t="s">
        <v>3397</v>
      </c>
      <c r="D805" t="s">
        <v>3419</v>
      </c>
    </row>
    <row r="806" spans="1:4">
      <c r="A806">
        <v>830</v>
      </c>
      <c r="B806" s="13">
        <v>45904</v>
      </c>
      <c r="C806" t="s">
        <v>1469</v>
      </c>
      <c r="D806" t="s">
        <v>3420</v>
      </c>
    </row>
    <row r="807" spans="1:4">
      <c r="A807">
        <v>831</v>
      </c>
      <c r="B807" s="13">
        <v>45904</v>
      </c>
      <c r="C807" t="s">
        <v>1490</v>
      </c>
      <c r="D807" t="s">
        <v>3421</v>
      </c>
    </row>
    <row r="808" spans="1:4">
      <c r="A808">
        <v>832</v>
      </c>
      <c r="B808" s="13">
        <v>45904</v>
      </c>
      <c r="C808" t="s">
        <v>1490</v>
      </c>
      <c r="D808" t="s">
        <v>3422</v>
      </c>
    </row>
    <row r="809" spans="1:4">
      <c r="A809">
        <v>833</v>
      </c>
      <c r="B809" s="13">
        <v>45904</v>
      </c>
      <c r="C809" t="s">
        <v>3404</v>
      </c>
      <c r="D809" t="s">
        <v>3423</v>
      </c>
    </row>
    <row r="810" spans="1:4">
      <c r="A810">
        <v>834</v>
      </c>
      <c r="B810" s="13">
        <v>45904</v>
      </c>
      <c r="C810" t="s">
        <v>1475</v>
      </c>
      <c r="D810" t="s">
        <v>3424</v>
      </c>
    </row>
    <row r="811" spans="1:4">
      <c r="A811">
        <v>835</v>
      </c>
      <c r="B811" s="13">
        <v>45904</v>
      </c>
      <c r="C811" t="s">
        <v>2911</v>
      </c>
      <c r="D811" t="s">
        <v>3425</v>
      </c>
    </row>
    <row r="812" spans="1:4">
      <c r="A812">
        <v>836</v>
      </c>
      <c r="B812" s="13">
        <v>45904</v>
      </c>
      <c r="C812" t="s">
        <v>1469</v>
      </c>
      <c r="D812" t="s">
        <v>3426</v>
      </c>
    </row>
    <row r="813" spans="1:4">
      <c r="A813">
        <v>837</v>
      </c>
      <c r="B813" s="13">
        <v>45904</v>
      </c>
      <c r="C813" t="s">
        <v>1718</v>
      </c>
      <c r="D813" t="s">
        <v>3427</v>
      </c>
    </row>
    <row r="814" spans="1:4">
      <c r="A814">
        <v>838</v>
      </c>
      <c r="B814" s="13">
        <v>45905</v>
      </c>
      <c r="C814" t="s">
        <v>1463</v>
      </c>
      <c r="D814" t="s">
        <v>3433</v>
      </c>
    </row>
    <row r="815" spans="1:4">
      <c r="A815">
        <v>839</v>
      </c>
      <c r="B815" s="13">
        <v>45905</v>
      </c>
      <c r="C815" t="s">
        <v>1018</v>
      </c>
      <c r="D815" t="s">
        <v>3434</v>
      </c>
    </row>
    <row r="816" spans="1:4">
      <c r="A816">
        <v>840</v>
      </c>
      <c r="B816" s="13">
        <v>45905</v>
      </c>
      <c r="C816" t="s">
        <v>1440</v>
      </c>
      <c r="D816" t="s">
        <v>3436</v>
      </c>
    </row>
    <row r="817" spans="1:4">
      <c r="A817">
        <v>841</v>
      </c>
      <c r="B817" s="13">
        <v>45905</v>
      </c>
      <c r="C817" t="s">
        <v>1302</v>
      </c>
      <c r="D817" t="s">
        <v>3437</v>
      </c>
    </row>
    <row r="818" spans="1:4">
      <c r="A818">
        <v>842</v>
      </c>
      <c r="B818" s="13">
        <v>45905</v>
      </c>
      <c r="C818" t="s">
        <v>1718</v>
      </c>
      <c r="D818" t="s">
        <v>3439</v>
      </c>
    </row>
    <row r="819" spans="1:4">
      <c r="A819">
        <v>843</v>
      </c>
      <c r="B819" s="13">
        <v>45905</v>
      </c>
      <c r="C819" t="s">
        <v>3145</v>
      </c>
      <c r="D819" t="s">
        <v>3440</v>
      </c>
    </row>
    <row r="820" spans="1:4">
      <c r="A820">
        <v>844</v>
      </c>
      <c r="B820" s="13">
        <v>45905</v>
      </c>
      <c r="C820" t="s">
        <v>3441</v>
      </c>
      <c r="D820" t="s">
        <v>3442</v>
      </c>
    </row>
    <row r="821" spans="1:4">
      <c r="A821">
        <v>845</v>
      </c>
      <c r="B821" s="13">
        <v>45905</v>
      </c>
      <c r="C821" t="s">
        <v>1395</v>
      </c>
      <c r="D821" t="s">
        <v>3443</v>
      </c>
    </row>
    <row r="822" spans="1:4">
      <c r="A822">
        <v>846</v>
      </c>
      <c r="B822" s="13">
        <v>45905</v>
      </c>
      <c r="C822" t="s">
        <v>1469</v>
      </c>
      <c r="D822" t="s">
        <v>3454</v>
      </c>
    </row>
    <row r="823" spans="1:4">
      <c r="A823">
        <v>847</v>
      </c>
      <c r="B823" s="13">
        <v>45906</v>
      </c>
      <c r="C823" t="s">
        <v>3455</v>
      </c>
      <c r="D823" t="s">
        <v>3464</v>
      </c>
    </row>
    <row r="824" spans="1:4">
      <c r="A824">
        <v>848</v>
      </c>
      <c r="B824" s="13">
        <v>45906</v>
      </c>
      <c r="C824" t="s">
        <v>2993</v>
      </c>
      <c r="D824" t="s">
        <v>3466</v>
      </c>
    </row>
    <row r="825" spans="1:4">
      <c r="A825">
        <v>849</v>
      </c>
      <c r="B825" s="13">
        <v>45906</v>
      </c>
      <c r="C825" t="s">
        <v>3458</v>
      </c>
      <c r="D825" t="s">
        <v>3468</v>
      </c>
    </row>
    <row r="826" spans="1:4">
      <c r="A826">
        <v>850</v>
      </c>
      <c r="B826" s="13">
        <v>45908</v>
      </c>
      <c r="C826" t="s">
        <v>1490</v>
      </c>
      <c r="D826" t="s">
        <v>3470</v>
      </c>
    </row>
    <row r="827" spans="1:4">
      <c r="A827">
        <v>851</v>
      </c>
      <c r="B827" s="13">
        <v>45908</v>
      </c>
      <c r="C827" t="s">
        <v>1582</v>
      </c>
      <c r="D827" t="s">
        <v>3471</v>
      </c>
    </row>
    <row r="828" spans="1:4">
      <c r="A828">
        <v>852</v>
      </c>
      <c r="B828" s="13">
        <v>45908</v>
      </c>
      <c r="C828" t="s">
        <v>1302</v>
      </c>
      <c r="D828" t="s">
        <v>3472</v>
      </c>
    </row>
    <row r="829" spans="1:4">
      <c r="A829">
        <v>853</v>
      </c>
      <c r="B829" s="13">
        <v>45908</v>
      </c>
      <c r="C829" t="s">
        <v>1576</v>
      </c>
      <c r="D829" t="s">
        <v>3473</v>
      </c>
    </row>
    <row r="830" spans="1:4">
      <c r="A830">
        <v>854</v>
      </c>
      <c r="B830" s="13">
        <v>45908</v>
      </c>
      <c r="C830" t="s">
        <v>1667</v>
      </c>
      <c r="D830" t="s">
        <v>3476</v>
      </c>
    </row>
    <row r="831" spans="1:4">
      <c r="A831">
        <v>855</v>
      </c>
      <c r="B831" s="13">
        <v>45908</v>
      </c>
      <c r="C831" t="s">
        <v>1053</v>
      </c>
      <c r="D831" t="s">
        <v>3477</v>
      </c>
    </row>
    <row r="832" spans="1:4">
      <c r="A832">
        <v>856</v>
      </c>
      <c r="B832" s="13">
        <v>45908</v>
      </c>
      <c r="C832" t="s">
        <v>1475</v>
      </c>
      <c r="D832" t="s">
        <v>3478</v>
      </c>
    </row>
    <row r="833" spans="1:4">
      <c r="A833">
        <v>857</v>
      </c>
      <c r="B833" s="13">
        <v>45908</v>
      </c>
      <c r="C833" t="s">
        <v>1395</v>
      </c>
      <c r="D833" t="s">
        <v>3479</v>
      </c>
    </row>
    <row r="834" spans="1:4">
      <c r="A834">
        <v>858</v>
      </c>
      <c r="B834" s="13">
        <v>45909</v>
      </c>
      <c r="C834" t="s">
        <v>2618</v>
      </c>
      <c r="D834" t="s">
        <v>3488</v>
      </c>
    </row>
    <row r="835" spans="1:4">
      <c r="A835">
        <v>859</v>
      </c>
      <c r="B835" s="13">
        <v>45909</v>
      </c>
      <c r="C835" t="s">
        <v>2405</v>
      </c>
      <c r="D835" t="s">
        <v>3489</v>
      </c>
    </row>
    <row r="836" spans="1:4">
      <c r="A836">
        <v>860</v>
      </c>
      <c r="B836" s="13">
        <v>45909</v>
      </c>
      <c r="C836" t="s">
        <v>987</v>
      </c>
      <c r="D836" t="s">
        <v>3490</v>
      </c>
    </row>
    <row r="837" spans="1:4">
      <c r="A837">
        <v>861</v>
      </c>
      <c r="B837" s="13">
        <v>45909</v>
      </c>
      <c r="C837" t="s">
        <v>2462</v>
      </c>
      <c r="D837" t="s">
        <v>3491</v>
      </c>
    </row>
    <row r="838" spans="1:4">
      <c r="A838">
        <v>862</v>
      </c>
      <c r="B838" s="13">
        <v>45909</v>
      </c>
      <c r="C838" t="s">
        <v>1863</v>
      </c>
      <c r="D838" t="s">
        <v>3492</v>
      </c>
    </row>
    <row r="839" spans="1:4">
      <c r="A839">
        <v>863</v>
      </c>
      <c r="B839" s="13">
        <v>45910</v>
      </c>
      <c r="C839" t="s">
        <v>1445</v>
      </c>
      <c r="D839" t="s">
        <v>3493</v>
      </c>
    </row>
    <row r="840" spans="1:4">
      <c r="A840">
        <v>864</v>
      </c>
      <c r="B840" s="13">
        <v>45910</v>
      </c>
      <c r="C840" t="s">
        <v>1667</v>
      </c>
      <c r="D840" t="s">
        <v>3494</v>
      </c>
    </row>
    <row r="841" spans="1:4">
      <c r="A841">
        <v>865</v>
      </c>
      <c r="B841" s="13">
        <v>45910</v>
      </c>
      <c r="C841" t="s">
        <v>1866</v>
      </c>
      <c r="D841" t="s">
        <v>3495</v>
      </c>
    </row>
    <row r="842" spans="1:4">
      <c r="A842">
        <v>866</v>
      </c>
      <c r="B842" s="13">
        <v>45910</v>
      </c>
      <c r="C842" t="s">
        <v>1537</v>
      </c>
      <c r="D842" t="s">
        <v>3498</v>
      </c>
    </row>
    <row r="843" spans="1:4">
      <c r="A843">
        <v>867</v>
      </c>
      <c r="B843" s="13">
        <v>45910</v>
      </c>
      <c r="C843" t="s">
        <v>3496</v>
      </c>
      <c r="D843" t="s">
        <v>3500</v>
      </c>
    </row>
    <row r="844" spans="1:4">
      <c r="A844">
        <v>868</v>
      </c>
      <c r="B844" s="13">
        <v>45910</v>
      </c>
      <c r="C844" t="s">
        <v>1440</v>
      </c>
      <c r="D844" t="s">
        <v>3501</v>
      </c>
    </row>
    <row r="845" spans="1:4">
      <c r="A845">
        <v>869</v>
      </c>
      <c r="B845" s="13">
        <v>45910</v>
      </c>
      <c r="C845" t="s">
        <v>3388</v>
      </c>
      <c r="D845" t="s">
        <v>3502</v>
      </c>
    </row>
    <row r="846" spans="1:4">
      <c r="A846">
        <v>870</v>
      </c>
      <c r="B846" s="13">
        <v>45910</v>
      </c>
      <c r="C846" t="s">
        <v>1440</v>
      </c>
      <c r="D846" t="s">
        <v>3503</v>
      </c>
    </row>
    <row r="847" spans="1:4">
      <c r="A847">
        <v>871</v>
      </c>
      <c r="B847" s="13">
        <v>45910</v>
      </c>
      <c r="C847" t="s">
        <v>1302</v>
      </c>
      <c r="D847" t="s">
        <v>3504</v>
      </c>
    </row>
    <row r="848" spans="1:4">
      <c r="A848">
        <v>872</v>
      </c>
      <c r="B848" s="13">
        <v>45910</v>
      </c>
      <c r="C848" t="s">
        <v>2778</v>
      </c>
      <c r="D848" t="s">
        <v>3505</v>
      </c>
    </row>
    <row r="849" spans="1:4">
      <c r="A849">
        <v>873</v>
      </c>
      <c r="B849" s="13">
        <v>45910</v>
      </c>
      <c r="C849" t="s">
        <v>2778</v>
      </c>
      <c r="D849" t="s">
        <v>3506</v>
      </c>
    </row>
    <row r="850" spans="1:4">
      <c r="A850">
        <v>874</v>
      </c>
      <c r="B850" s="13">
        <v>45910</v>
      </c>
      <c r="C850" t="s">
        <v>1445</v>
      </c>
      <c r="D850" t="s">
        <v>3507</v>
      </c>
    </row>
    <row r="851" spans="1:4">
      <c r="A851">
        <v>875</v>
      </c>
      <c r="B851" s="13">
        <v>45910</v>
      </c>
      <c r="C851" t="s">
        <v>1445</v>
      </c>
      <c r="D851" t="s">
        <v>3508</v>
      </c>
    </row>
    <row r="852" spans="1:4">
      <c r="A852">
        <v>876</v>
      </c>
      <c r="B852" s="13">
        <v>45910</v>
      </c>
      <c r="C852" t="s">
        <v>1786</v>
      </c>
      <c r="D852" t="s">
        <v>3509</v>
      </c>
    </row>
    <row r="853" spans="1:4">
      <c r="A853">
        <v>877</v>
      </c>
      <c r="B853" s="13">
        <v>45911</v>
      </c>
      <c r="C853" t="s">
        <v>1463</v>
      </c>
      <c r="D853" t="s">
        <v>3514</v>
      </c>
    </row>
    <row r="854" spans="1:4">
      <c r="A854">
        <v>878</v>
      </c>
      <c r="B854" s="13">
        <v>45911</v>
      </c>
      <c r="C854" t="s">
        <v>1082</v>
      </c>
      <c r="D854" t="s">
        <v>3515</v>
      </c>
    </row>
    <row r="855" spans="1:4">
      <c r="A855">
        <v>879</v>
      </c>
      <c r="B855" s="13">
        <v>45911</v>
      </c>
      <c r="C855" t="s">
        <v>1082</v>
      </c>
      <c r="D855" t="s">
        <v>3516</v>
      </c>
    </row>
    <row r="856" spans="1:4">
      <c r="A856">
        <v>880</v>
      </c>
      <c r="B856" s="13">
        <v>45911</v>
      </c>
      <c r="C856" t="s">
        <v>1808</v>
      </c>
      <c r="D856" t="s">
        <v>3517</v>
      </c>
    </row>
    <row r="857" spans="1:4">
      <c r="A857">
        <v>881</v>
      </c>
      <c r="B857" s="13">
        <v>45911</v>
      </c>
      <c r="C857" t="s">
        <v>987</v>
      </c>
      <c r="D857" t="s">
        <v>3518</v>
      </c>
    </row>
    <row r="858" spans="1:4">
      <c r="A858">
        <v>882</v>
      </c>
      <c r="B858" s="13">
        <v>45911</v>
      </c>
      <c r="C858" t="s">
        <v>1445</v>
      </c>
      <c r="D858" t="s">
        <v>3521</v>
      </c>
    </row>
    <row r="859" spans="1:4">
      <c r="A859">
        <v>883</v>
      </c>
      <c r="B859" s="13">
        <v>45911</v>
      </c>
      <c r="C859" t="s">
        <v>1395</v>
      </c>
      <c r="D859" t="s">
        <v>3522</v>
      </c>
    </row>
    <row r="860" spans="1:4">
      <c r="A860">
        <v>884</v>
      </c>
      <c r="B860" s="13">
        <v>45911</v>
      </c>
      <c r="C860" t="s">
        <v>1395</v>
      </c>
      <c r="D860" t="s">
        <v>3523</v>
      </c>
    </row>
    <row r="861" spans="1:4">
      <c r="A861">
        <v>885</v>
      </c>
      <c r="B861" s="13">
        <v>45911</v>
      </c>
      <c r="C861" t="s">
        <v>1786</v>
      </c>
      <c r="D861" t="s">
        <v>3524</v>
      </c>
    </row>
    <row r="862" spans="1:4">
      <c r="A862">
        <v>886</v>
      </c>
      <c r="B862" s="13">
        <v>45911</v>
      </c>
      <c r="C862" t="s">
        <v>3111</v>
      </c>
      <c r="D862" t="s">
        <v>3525</v>
      </c>
    </row>
    <row r="863" spans="1:4">
      <c r="A863">
        <v>887</v>
      </c>
      <c r="B863" s="13">
        <v>45912</v>
      </c>
      <c r="C863" t="s">
        <v>1469</v>
      </c>
      <c r="D863" t="s">
        <v>3527</v>
      </c>
    </row>
    <row r="864" spans="1:4">
      <c r="A864">
        <v>888</v>
      </c>
      <c r="B864" s="13">
        <v>45912</v>
      </c>
      <c r="C864" t="s">
        <v>1667</v>
      </c>
      <c r="D864" t="s">
        <v>3528</v>
      </c>
    </row>
    <row r="865" spans="1:4">
      <c r="A865">
        <v>889</v>
      </c>
      <c r="B865" s="13">
        <v>45912</v>
      </c>
      <c r="C865" t="s">
        <v>1718</v>
      </c>
      <c r="D865" t="s">
        <v>3529</v>
      </c>
    </row>
    <row r="866" spans="1:4">
      <c r="A866">
        <v>890</v>
      </c>
      <c r="B866" s="13">
        <v>45912</v>
      </c>
      <c r="C866" t="s">
        <v>2911</v>
      </c>
      <c r="D866" t="s">
        <v>3530</v>
      </c>
    </row>
    <row r="867" spans="1:4">
      <c r="A867">
        <v>891</v>
      </c>
      <c r="B867" s="13">
        <v>45912</v>
      </c>
      <c r="C867" t="s">
        <v>1718</v>
      </c>
      <c r="D867" t="s">
        <v>3532</v>
      </c>
    </row>
    <row r="868" spans="1:4">
      <c r="A868">
        <v>892</v>
      </c>
      <c r="B868" s="13">
        <v>45912</v>
      </c>
      <c r="C868" t="s">
        <v>1465</v>
      </c>
      <c r="D868" t="s">
        <v>3533</v>
      </c>
    </row>
    <row r="869" spans="1:4">
      <c r="A869">
        <v>893</v>
      </c>
      <c r="B869" s="13">
        <v>45912</v>
      </c>
      <c r="C869" t="s">
        <v>3534</v>
      </c>
      <c r="D869" t="s">
        <v>3535</v>
      </c>
    </row>
    <row r="870" spans="1:4">
      <c r="A870">
        <v>894</v>
      </c>
      <c r="B870" s="13">
        <v>45913</v>
      </c>
      <c r="C870" t="s">
        <v>1718</v>
      </c>
      <c r="D870" t="s">
        <v>3536</v>
      </c>
    </row>
    <row r="871" spans="1:4">
      <c r="A871">
        <v>895</v>
      </c>
      <c r="B871" s="13">
        <v>45915</v>
      </c>
      <c r="C871" t="s">
        <v>1445</v>
      </c>
      <c r="D871" t="s">
        <v>3539</v>
      </c>
    </row>
    <row r="872" spans="1:4">
      <c r="A872">
        <v>896</v>
      </c>
      <c r="B872" s="13">
        <v>45915</v>
      </c>
      <c r="C872" t="s">
        <v>1976</v>
      </c>
      <c r="D872" t="s">
        <v>3540</v>
      </c>
    </row>
    <row r="873" spans="1:4">
      <c r="A873">
        <v>897</v>
      </c>
      <c r="B873" s="13">
        <v>45915</v>
      </c>
      <c r="C873" t="s">
        <v>1053</v>
      </c>
      <c r="D873" t="s">
        <v>3541</v>
      </c>
    </row>
    <row r="874" spans="1:4">
      <c r="A874">
        <v>898</v>
      </c>
      <c r="B874" s="13">
        <v>45915</v>
      </c>
      <c r="C874" t="s">
        <v>1857</v>
      </c>
      <c r="D874" t="s">
        <v>3542</v>
      </c>
    </row>
    <row r="875" spans="1:4">
      <c r="A875">
        <v>899</v>
      </c>
      <c r="B875" s="13">
        <v>45915</v>
      </c>
      <c r="C875" t="s">
        <v>1395</v>
      </c>
      <c r="D875" t="s">
        <v>3543</v>
      </c>
    </row>
    <row r="876" spans="1:4">
      <c r="A876">
        <v>900</v>
      </c>
      <c r="B876" s="13">
        <v>45915</v>
      </c>
      <c r="C876" t="s">
        <v>1145</v>
      </c>
      <c r="D876" t="s">
        <v>3544</v>
      </c>
    </row>
    <row r="877" spans="1:4">
      <c r="A877">
        <v>901</v>
      </c>
      <c r="B877" s="13">
        <v>45915</v>
      </c>
      <c r="C877" t="s">
        <v>1440</v>
      </c>
      <c r="D877" t="s">
        <v>3546</v>
      </c>
    </row>
    <row r="878" spans="1:4">
      <c r="A878">
        <v>902</v>
      </c>
      <c r="B878" s="13">
        <v>45916</v>
      </c>
      <c r="C878" t="s">
        <v>1576</v>
      </c>
      <c r="D878" t="s">
        <v>3548</v>
      </c>
    </row>
    <row r="879" spans="1:4">
      <c r="A879">
        <v>903</v>
      </c>
      <c r="B879" s="13">
        <v>45916</v>
      </c>
      <c r="C879" t="s">
        <v>2288</v>
      </c>
      <c r="D879" t="s">
        <v>3549</v>
      </c>
    </row>
    <row r="880" spans="1:4">
      <c r="A880">
        <v>904</v>
      </c>
      <c r="B880" s="13">
        <v>45916</v>
      </c>
      <c r="C880" t="s">
        <v>1976</v>
      </c>
      <c r="D880" t="s">
        <v>3551</v>
      </c>
    </row>
    <row r="881" spans="1:4">
      <c r="A881">
        <v>905</v>
      </c>
      <c r="B881" s="13">
        <v>45916</v>
      </c>
      <c r="C881" t="s">
        <v>1440</v>
      </c>
      <c r="D881" t="s">
        <v>3552</v>
      </c>
    </row>
    <row r="882" spans="1:4">
      <c r="A882">
        <v>906</v>
      </c>
      <c r="B882" s="13">
        <v>45916</v>
      </c>
      <c r="C882" t="s">
        <v>1450</v>
      </c>
      <c r="D882" t="s">
        <v>3553</v>
      </c>
    </row>
    <row r="883" spans="1:4">
      <c r="A883">
        <v>907</v>
      </c>
      <c r="B883" s="13">
        <v>45916</v>
      </c>
      <c r="C883" t="s">
        <v>1015</v>
      </c>
      <c r="D883" t="s">
        <v>3554</v>
      </c>
    </row>
    <row r="884" spans="1:4">
      <c r="A884">
        <v>908</v>
      </c>
      <c r="B884" s="13">
        <v>45916</v>
      </c>
      <c r="C884" t="s">
        <v>1718</v>
      </c>
      <c r="D884" t="s">
        <v>3555</v>
      </c>
    </row>
    <row r="885" spans="1:4">
      <c r="A885">
        <v>909</v>
      </c>
      <c r="B885" s="13">
        <v>45916</v>
      </c>
      <c r="C885" t="s">
        <v>987</v>
      </c>
      <c r="D885" t="s">
        <v>3556</v>
      </c>
    </row>
    <row r="886" spans="1:4">
      <c r="A886">
        <v>910</v>
      </c>
      <c r="B886" s="13">
        <v>45916</v>
      </c>
      <c r="C886" t="s">
        <v>1490</v>
      </c>
      <c r="D886" t="s">
        <v>3557</v>
      </c>
    </row>
    <row r="887" spans="1:4">
      <c r="A887">
        <v>911</v>
      </c>
      <c r="B887" s="13">
        <v>45917</v>
      </c>
      <c r="C887" t="s">
        <v>3563</v>
      </c>
      <c r="D887" t="s">
        <v>3570</v>
      </c>
    </row>
    <row r="888" spans="1:4">
      <c r="A888">
        <v>912</v>
      </c>
      <c r="B888" s="13">
        <v>45917</v>
      </c>
      <c r="C888" t="s">
        <v>1801</v>
      </c>
      <c r="D888" t="s">
        <v>3571</v>
      </c>
    </row>
    <row r="889" spans="1:4">
      <c r="A889">
        <v>913</v>
      </c>
      <c r="B889" s="13">
        <v>45917</v>
      </c>
      <c r="C889" t="s">
        <v>1743</v>
      </c>
      <c r="D889" t="s">
        <v>3572</v>
      </c>
    </row>
    <row r="890" spans="1:4">
      <c r="A890">
        <v>914</v>
      </c>
      <c r="B890" s="13">
        <v>45917</v>
      </c>
      <c r="C890" t="s">
        <v>1718</v>
      </c>
      <c r="D890" t="s">
        <v>3574</v>
      </c>
    </row>
    <row r="891" spans="1:4">
      <c r="A891">
        <v>915</v>
      </c>
      <c r="B891" s="13">
        <v>45917</v>
      </c>
      <c r="C891" t="s">
        <v>2141</v>
      </c>
      <c r="D891" t="s">
        <v>3575</v>
      </c>
    </row>
    <row r="892" spans="1:4">
      <c r="A892">
        <v>916</v>
      </c>
      <c r="B892" s="13">
        <v>45917</v>
      </c>
      <c r="C892" t="s">
        <v>2144</v>
      </c>
      <c r="D892" t="s">
        <v>3576</v>
      </c>
    </row>
    <row r="893" spans="1:4">
      <c r="A893">
        <v>917</v>
      </c>
      <c r="B893" s="13">
        <v>45917</v>
      </c>
      <c r="C893" t="s">
        <v>1667</v>
      </c>
      <c r="D893" t="s">
        <v>3577</v>
      </c>
    </row>
    <row r="894" spans="1:4">
      <c r="A894">
        <v>918</v>
      </c>
      <c r="B894" s="13">
        <v>45918</v>
      </c>
      <c r="C894" t="s">
        <v>1395</v>
      </c>
      <c r="D894" t="s">
        <v>3589</v>
      </c>
    </row>
    <row r="895" spans="1:4">
      <c r="A895">
        <v>919</v>
      </c>
      <c r="B895" s="13">
        <v>45918</v>
      </c>
      <c r="C895" t="s">
        <v>1026</v>
      </c>
      <c r="D895" t="s">
        <v>3590</v>
      </c>
    </row>
    <row r="896" spans="1:4">
      <c r="A896">
        <v>920</v>
      </c>
      <c r="B896" s="13">
        <v>45918</v>
      </c>
      <c r="C896" t="s">
        <v>1463</v>
      </c>
      <c r="D896" t="s">
        <v>3591</v>
      </c>
    </row>
    <row r="897" spans="1:4">
      <c r="A897">
        <v>921</v>
      </c>
      <c r="B897" s="13">
        <v>45918</v>
      </c>
      <c r="C897" t="s">
        <v>1469</v>
      </c>
      <c r="D897" t="s">
        <v>3592</v>
      </c>
    </row>
    <row r="898" spans="1:4">
      <c r="A898">
        <v>922</v>
      </c>
      <c r="B898" s="13">
        <v>45918</v>
      </c>
      <c r="C898" t="s">
        <v>3116</v>
      </c>
      <c r="D898" t="s">
        <v>3594</v>
      </c>
    </row>
    <row r="899" spans="1:4">
      <c r="A899">
        <v>923</v>
      </c>
      <c r="B899" s="13">
        <v>45918</v>
      </c>
      <c r="C899" t="s">
        <v>1927</v>
      </c>
      <c r="D899" t="s">
        <v>3595</v>
      </c>
    </row>
    <row r="900" spans="1:4">
      <c r="A900">
        <v>924</v>
      </c>
      <c r="B900" s="13">
        <v>45918</v>
      </c>
      <c r="C900" t="s">
        <v>3447</v>
      </c>
      <c r="D900" t="s">
        <v>3596</v>
      </c>
    </row>
    <row r="901" spans="1:4">
      <c r="A901">
        <v>925</v>
      </c>
      <c r="B901" s="13">
        <v>45918</v>
      </c>
      <c r="C901" t="s">
        <v>1440</v>
      </c>
      <c r="D901" t="s">
        <v>3597</v>
      </c>
    </row>
    <row r="902" spans="1:4">
      <c r="A902">
        <v>926</v>
      </c>
      <c r="B902" s="13">
        <v>45918</v>
      </c>
      <c r="C902" t="s">
        <v>1743</v>
      </c>
      <c r="D902" t="s">
        <v>3598</v>
      </c>
    </row>
    <row r="903" spans="1:4">
      <c r="A903">
        <v>927</v>
      </c>
      <c r="B903" s="13">
        <v>45918</v>
      </c>
      <c r="C903" t="s">
        <v>2804</v>
      </c>
      <c r="D903" t="s">
        <v>3599</v>
      </c>
    </row>
    <row r="904" spans="1:4">
      <c r="A904">
        <v>928</v>
      </c>
      <c r="B904" s="13">
        <v>45918</v>
      </c>
      <c r="C904" t="s">
        <v>3111</v>
      </c>
      <c r="D904" t="s">
        <v>3600</v>
      </c>
    </row>
    <row r="905" spans="1:4">
      <c r="A905">
        <v>929</v>
      </c>
      <c r="B905" s="13">
        <v>45918</v>
      </c>
      <c r="C905" t="s">
        <v>2699</v>
      </c>
      <c r="D905" t="s">
        <v>3601</v>
      </c>
    </row>
    <row r="906" spans="1:4">
      <c r="A906">
        <v>930</v>
      </c>
      <c r="B906" s="13">
        <v>45918</v>
      </c>
      <c r="C906" t="s">
        <v>2315</v>
      </c>
      <c r="D906" t="s">
        <v>3602</v>
      </c>
    </row>
    <row r="907" spans="1:4">
      <c r="A907">
        <v>931</v>
      </c>
      <c r="B907" s="13">
        <v>45919</v>
      </c>
      <c r="C907" t="s">
        <v>1082</v>
      </c>
      <c r="D907" t="s">
        <v>3606</v>
      </c>
    </row>
    <row r="908" spans="1:4">
      <c r="A908">
        <v>932</v>
      </c>
      <c r="B908" s="13">
        <v>45919</v>
      </c>
      <c r="C908" t="s">
        <v>1395</v>
      </c>
      <c r="D908" t="s">
        <v>3607</v>
      </c>
    </row>
    <row r="909" spans="1:4">
      <c r="A909">
        <v>933</v>
      </c>
      <c r="B909" s="13">
        <v>45919</v>
      </c>
      <c r="C909" t="s">
        <v>1018</v>
      </c>
      <c r="D909" t="s">
        <v>3608</v>
      </c>
    </row>
    <row r="910" spans="1:4">
      <c r="A910">
        <v>934</v>
      </c>
      <c r="B910" s="13">
        <v>45919</v>
      </c>
      <c r="C910" t="s">
        <v>2737</v>
      </c>
      <c r="D910" t="s">
        <v>3610</v>
      </c>
    </row>
    <row r="911" spans="1:4">
      <c r="A911">
        <v>935</v>
      </c>
      <c r="B911" s="13">
        <v>45920</v>
      </c>
      <c r="C911" t="s">
        <v>1805</v>
      </c>
      <c r="D911" t="s">
        <v>3615</v>
      </c>
    </row>
    <row r="912" spans="1:4">
      <c r="A912">
        <v>936</v>
      </c>
      <c r="B912" s="13">
        <v>45922</v>
      </c>
      <c r="C912" t="s">
        <v>1433</v>
      </c>
      <c r="D912" t="s">
        <v>3620</v>
      </c>
    </row>
    <row r="913" spans="1:4">
      <c r="A913">
        <v>937</v>
      </c>
      <c r="B913" s="13">
        <v>45922</v>
      </c>
      <c r="C913" t="s">
        <v>1973</v>
      </c>
      <c r="D913" t="s">
        <v>3621</v>
      </c>
    </row>
    <row r="914" spans="1:4">
      <c r="A914">
        <v>938</v>
      </c>
      <c r="B914" s="13">
        <v>45922</v>
      </c>
      <c r="C914" t="s">
        <v>1576</v>
      </c>
      <c r="D914" t="s">
        <v>3622</v>
      </c>
    </row>
    <row r="915" spans="1:4">
      <c r="A915">
        <v>939</v>
      </c>
      <c r="B915" s="13">
        <v>45922</v>
      </c>
      <c r="C915" t="s">
        <v>1463</v>
      </c>
      <c r="D915" t="s">
        <v>3623</v>
      </c>
    </row>
    <row r="916" spans="1:4">
      <c r="A916">
        <v>940</v>
      </c>
      <c r="B916" s="13">
        <v>45922</v>
      </c>
      <c r="C916" t="s">
        <v>1438</v>
      </c>
      <c r="D916" t="s">
        <v>3624</v>
      </c>
    </row>
    <row r="917" spans="1:4">
      <c r="A917">
        <v>941</v>
      </c>
      <c r="B917" s="13">
        <v>45922</v>
      </c>
      <c r="C917" t="s">
        <v>2405</v>
      </c>
      <c r="D917" t="s">
        <v>3625</v>
      </c>
    </row>
    <row r="918" spans="1:4">
      <c r="A918">
        <v>942</v>
      </c>
      <c r="B918" s="13">
        <v>45922</v>
      </c>
      <c r="C918" t="s">
        <v>1026</v>
      </c>
      <c r="D918" t="s">
        <v>3626</v>
      </c>
    </row>
    <row r="919" spans="1:4">
      <c r="A919">
        <v>943</v>
      </c>
      <c r="B919" s="13">
        <v>45923</v>
      </c>
      <c r="C919" t="s">
        <v>1053</v>
      </c>
      <c r="D919" t="s">
        <v>3631</v>
      </c>
    </row>
    <row r="920" spans="1:4">
      <c r="A920">
        <v>944</v>
      </c>
      <c r="B920" s="13">
        <v>45923</v>
      </c>
      <c r="C920" t="s">
        <v>1018</v>
      </c>
      <c r="D920" t="s">
        <v>3633</v>
      </c>
    </row>
    <row r="921" spans="1:4">
      <c r="A921">
        <v>945</v>
      </c>
      <c r="B921" s="13">
        <v>45923</v>
      </c>
      <c r="C921" t="s">
        <v>1007</v>
      </c>
      <c r="D921" t="s">
        <v>3634</v>
      </c>
    </row>
    <row r="922" spans="1:4">
      <c r="A922">
        <v>946</v>
      </c>
      <c r="B922" s="13">
        <v>45923</v>
      </c>
      <c r="C922" t="s">
        <v>1857</v>
      </c>
      <c r="D922" t="s">
        <v>3635</v>
      </c>
    </row>
    <row r="923" spans="1:4">
      <c r="A923">
        <v>947</v>
      </c>
      <c r="B923" s="13">
        <v>45923</v>
      </c>
      <c r="C923" t="s">
        <v>1448</v>
      </c>
      <c r="D923" t="s">
        <v>3636</v>
      </c>
    </row>
    <row r="924" spans="1:4">
      <c r="A924">
        <v>948</v>
      </c>
      <c r="B924" s="13">
        <v>45923</v>
      </c>
      <c r="C924" t="s">
        <v>1654</v>
      </c>
      <c r="D924" t="s">
        <v>3637</v>
      </c>
    </row>
    <row r="925" spans="1:4">
      <c r="A925">
        <v>949</v>
      </c>
      <c r="B925" s="13">
        <v>45923</v>
      </c>
      <c r="C925" t="s">
        <v>1015</v>
      </c>
      <c r="D925" t="s">
        <v>3638</v>
      </c>
    </row>
    <row r="926" spans="1:4">
      <c r="A926">
        <v>950</v>
      </c>
      <c r="B926" s="13">
        <v>45923</v>
      </c>
      <c r="C926" t="s">
        <v>1053</v>
      </c>
      <c r="D926" t="s">
        <v>3640</v>
      </c>
    </row>
    <row r="927" spans="1:4">
      <c r="A927">
        <v>951</v>
      </c>
      <c r="B927" s="13">
        <v>45923</v>
      </c>
      <c r="C927" t="s">
        <v>1537</v>
      </c>
      <c r="D927" t="s">
        <v>3642</v>
      </c>
    </row>
    <row r="928" spans="1:4">
      <c r="A928">
        <v>952</v>
      </c>
      <c r="B928" s="13">
        <v>45924</v>
      </c>
      <c r="C928" t="s">
        <v>1387</v>
      </c>
      <c r="D928" t="s">
        <v>3646</v>
      </c>
    </row>
    <row r="929" spans="1:4">
      <c r="A929">
        <v>953</v>
      </c>
      <c r="B929" s="13">
        <v>45924</v>
      </c>
      <c r="C929" t="s">
        <v>987</v>
      </c>
      <c r="D929" t="s">
        <v>3648</v>
      </c>
    </row>
    <row r="930" spans="1:4">
      <c r="A930">
        <v>954</v>
      </c>
      <c r="B930" s="13">
        <v>45924</v>
      </c>
      <c r="C930" t="s">
        <v>1395</v>
      </c>
      <c r="D930" t="s">
        <v>3649</v>
      </c>
    </row>
    <row r="931" spans="1:4">
      <c r="A931">
        <v>955</v>
      </c>
      <c r="B931" s="13">
        <v>45924</v>
      </c>
      <c r="C931" t="s">
        <v>2737</v>
      </c>
      <c r="D931" t="s">
        <v>3650</v>
      </c>
    </row>
    <row r="932" spans="1:4">
      <c r="A932">
        <v>956</v>
      </c>
      <c r="B932" s="13">
        <v>45924</v>
      </c>
      <c r="C932" t="s">
        <v>1445</v>
      </c>
      <c r="D932" t="s">
        <v>3651</v>
      </c>
    </row>
    <row r="933" spans="1:4">
      <c r="A933">
        <v>957</v>
      </c>
      <c r="B933" s="13">
        <v>45926</v>
      </c>
      <c r="C933" t="s">
        <v>1801</v>
      </c>
      <c r="D933" t="s">
        <v>3697</v>
      </c>
    </row>
    <row r="934" spans="1:4">
      <c r="A934">
        <v>958</v>
      </c>
      <c r="B934" s="13">
        <v>45926</v>
      </c>
      <c r="C934" t="s">
        <v>1170</v>
      </c>
      <c r="D934" t="s">
        <v>3698</v>
      </c>
    </row>
    <row r="935" spans="1:4">
      <c r="A935">
        <v>959</v>
      </c>
      <c r="B935" s="13">
        <v>45926</v>
      </c>
      <c r="C935" t="s">
        <v>1395</v>
      </c>
      <c r="D935" t="s">
        <v>3699</v>
      </c>
    </row>
    <row r="936" spans="1:4">
      <c r="A936">
        <v>960</v>
      </c>
      <c r="B936" s="13">
        <v>45926</v>
      </c>
      <c r="C936" t="s">
        <v>1537</v>
      </c>
      <c r="D936" t="s">
        <v>3700</v>
      </c>
    </row>
    <row r="937" spans="1:4">
      <c r="A937">
        <v>961</v>
      </c>
      <c r="B937" s="13">
        <v>45926</v>
      </c>
      <c r="C937" t="s">
        <v>3701</v>
      </c>
      <c r="D937" t="s">
        <v>3703</v>
      </c>
    </row>
    <row r="938" spans="1:4">
      <c r="A938">
        <v>962</v>
      </c>
      <c r="B938" s="13">
        <v>45927</v>
      </c>
      <c r="C938" t="s">
        <v>3704</v>
      </c>
      <c r="D938" t="s">
        <v>3708</v>
      </c>
    </row>
    <row r="939" spans="1:4">
      <c r="A939">
        <v>963</v>
      </c>
      <c r="B939" s="13">
        <v>45927</v>
      </c>
      <c r="C939" t="s">
        <v>1957</v>
      </c>
      <c r="D939" t="s">
        <v>3711</v>
      </c>
    </row>
    <row r="940" spans="1:4">
      <c r="A940">
        <v>964</v>
      </c>
      <c r="B940" s="13">
        <v>45929</v>
      </c>
      <c r="C940" t="s">
        <v>2254</v>
      </c>
      <c r="D940" t="s">
        <v>3716</v>
      </c>
    </row>
    <row r="941" spans="1:4">
      <c r="A941">
        <v>965</v>
      </c>
      <c r="B941" s="13">
        <v>45925</v>
      </c>
      <c r="C941" t="s">
        <v>1463</v>
      </c>
      <c r="D941" t="s">
        <v>3722</v>
      </c>
    </row>
    <row r="942" spans="1:4">
      <c r="A942">
        <v>966</v>
      </c>
      <c r="B942" s="13">
        <v>45929</v>
      </c>
      <c r="C942" t="s">
        <v>1463</v>
      </c>
      <c r="D942" t="s">
        <v>3724</v>
      </c>
    </row>
    <row r="943" spans="1:4">
      <c r="A943">
        <v>967</v>
      </c>
      <c r="B943" s="13">
        <v>45929</v>
      </c>
      <c r="C943" t="s">
        <v>1743</v>
      </c>
      <c r="D943" t="s">
        <v>3725</v>
      </c>
    </row>
    <row r="944" spans="1:4">
      <c r="A944">
        <v>968</v>
      </c>
      <c r="B944" s="13">
        <v>45929</v>
      </c>
      <c r="C944" t="s">
        <v>2853</v>
      </c>
      <c r="D944" t="s">
        <v>3726</v>
      </c>
    </row>
    <row r="945" spans="1:4">
      <c r="A945">
        <v>969</v>
      </c>
      <c r="B945" s="13">
        <v>45929</v>
      </c>
      <c r="C945" t="s">
        <v>1387</v>
      </c>
      <c r="D945" t="s">
        <v>3727</v>
      </c>
    </row>
    <row r="946" spans="1:4">
      <c r="A946">
        <v>970</v>
      </c>
      <c r="B946" s="13">
        <v>45929</v>
      </c>
      <c r="C946" t="s">
        <v>1957</v>
      </c>
      <c r="D946" t="s">
        <v>3729</v>
      </c>
    </row>
    <row r="947" spans="1:4">
      <c r="A947">
        <v>971</v>
      </c>
      <c r="B947" s="13">
        <v>45929</v>
      </c>
      <c r="C947" t="s">
        <v>3265</v>
      </c>
      <c r="D947" t="s">
        <v>3731</v>
      </c>
    </row>
    <row r="948" spans="1:4">
      <c r="A948">
        <v>972</v>
      </c>
      <c r="B948" s="13">
        <v>45929</v>
      </c>
      <c r="C948" t="s">
        <v>3458</v>
      </c>
      <c r="D948" t="s">
        <v>3733</v>
      </c>
    </row>
    <row r="949" spans="1:4">
      <c r="A949">
        <v>973</v>
      </c>
      <c r="B949" s="13">
        <v>45929</v>
      </c>
      <c r="C949" t="s">
        <v>1718</v>
      </c>
      <c r="D949" t="s">
        <v>3734</v>
      </c>
    </row>
    <row r="950" spans="1:4">
      <c r="A950">
        <v>974</v>
      </c>
      <c r="B950" s="13">
        <v>45925</v>
      </c>
      <c r="C950" t="s">
        <v>1395</v>
      </c>
      <c r="D950" t="s">
        <v>3735</v>
      </c>
    </row>
    <row r="951" spans="1:4">
      <c r="A951">
        <v>975</v>
      </c>
      <c r="B951" s="13">
        <v>45925</v>
      </c>
      <c r="C951" t="s">
        <v>1537</v>
      </c>
      <c r="D951" t="s">
        <v>3736</v>
      </c>
    </row>
    <row r="952" spans="1:4">
      <c r="A952">
        <v>976</v>
      </c>
      <c r="B952" s="13">
        <v>45925</v>
      </c>
      <c r="C952" t="s">
        <v>1374</v>
      </c>
      <c r="D952" t="s">
        <v>3737</v>
      </c>
    </row>
    <row r="953" spans="1:4">
      <c r="A953">
        <v>977</v>
      </c>
      <c r="B953" s="13">
        <v>45929</v>
      </c>
      <c r="C953" t="s">
        <v>1537</v>
      </c>
      <c r="D953" t="s">
        <v>3738</v>
      </c>
    </row>
    <row r="954" spans="1:4">
      <c r="A954">
        <v>978</v>
      </c>
      <c r="B954" s="13">
        <v>45930</v>
      </c>
      <c r="C954" t="s">
        <v>2144</v>
      </c>
      <c r="D954" t="s">
        <v>3749</v>
      </c>
    </row>
    <row r="955" spans="1:4">
      <c r="A955">
        <v>979</v>
      </c>
      <c r="B955" s="13">
        <v>45930</v>
      </c>
      <c r="C955" t="s">
        <v>1537</v>
      </c>
      <c r="D955" t="s">
        <v>3750</v>
      </c>
    </row>
    <row r="956" spans="1:4">
      <c r="A956">
        <v>980</v>
      </c>
      <c r="B956" s="13">
        <v>45930</v>
      </c>
      <c r="C956" t="s">
        <v>2618</v>
      </c>
      <c r="D956" t="s">
        <v>3752</v>
      </c>
    </row>
    <row r="957" spans="1:4">
      <c r="A957">
        <v>981</v>
      </c>
      <c r="B957" s="13">
        <v>45930</v>
      </c>
      <c r="C957" t="s">
        <v>1395</v>
      </c>
      <c r="D957" t="s">
        <v>3753</v>
      </c>
    </row>
    <row r="958" spans="1:4">
      <c r="A958">
        <v>982</v>
      </c>
      <c r="B958" s="13">
        <v>45930</v>
      </c>
      <c r="C958" t="s">
        <v>1463</v>
      </c>
      <c r="D958" t="s">
        <v>3754</v>
      </c>
    </row>
    <row r="959" spans="1:4">
      <c r="A959">
        <v>983</v>
      </c>
      <c r="B959" s="13">
        <v>45930</v>
      </c>
      <c r="C959" t="s">
        <v>1718</v>
      </c>
      <c r="D959" t="s">
        <v>3755</v>
      </c>
    </row>
    <row r="960" spans="1:4">
      <c r="A960">
        <v>984</v>
      </c>
      <c r="B960" s="13">
        <v>45930</v>
      </c>
      <c r="C960" t="s">
        <v>1743</v>
      </c>
      <c r="D960" t="s">
        <v>3756</v>
      </c>
    </row>
    <row r="961" spans="1:4">
      <c r="A961">
        <v>985</v>
      </c>
      <c r="B961" s="13">
        <v>45930</v>
      </c>
      <c r="C961" t="s">
        <v>3741</v>
      </c>
      <c r="D961" t="s">
        <v>3757</v>
      </c>
    </row>
    <row r="962" spans="1:4">
      <c r="A962">
        <v>986</v>
      </c>
      <c r="B962" s="13">
        <v>45931</v>
      </c>
      <c r="C962" t="s">
        <v>1843</v>
      </c>
      <c r="D962" t="s">
        <v>3788</v>
      </c>
    </row>
    <row r="963" spans="1:4">
      <c r="A963">
        <v>987</v>
      </c>
      <c r="B963" s="13">
        <v>45931</v>
      </c>
      <c r="C963" t="s">
        <v>1743</v>
      </c>
      <c r="D963" t="s">
        <v>3789</v>
      </c>
    </row>
    <row r="964" spans="1:4">
      <c r="A964">
        <v>988</v>
      </c>
      <c r="B964" s="13">
        <v>45931</v>
      </c>
      <c r="C964" t="s">
        <v>1886</v>
      </c>
      <c r="D964" t="s">
        <v>3790</v>
      </c>
    </row>
    <row r="965" spans="1:4">
      <c r="A965">
        <v>989</v>
      </c>
      <c r="B965" s="13">
        <v>45931</v>
      </c>
      <c r="C965" t="s">
        <v>1015</v>
      </c>
      <c r="D965" t="s">
        <v>3791</v>
      </c>
    </row>
    <row r="966" spans="1:4">
      <c r="A966">
        <v>990</v>
      </c>
      <c r="B966" s="13">
        <v>45931</v>
      </c>
      <c r="C966" t="s">
        <v>1866</v>
      </c>
      <c r="D966" t="s">
        <v>3793</v>
      </c>
    </row>
    <row r="967" spans="1:4">
      <c r="A967">
        <v>991</v>
      </c>
      <c r="B967" s="13">
        <v>45931</v>
      </c>
      <c r="C967" t="s">
        <v>3794</v>
      </c>
      <c r="D967" t="s">
        <v>3795</v>
      </c>
    </row>
    <row r="968" spans="1:4">
      <c r="A968">
        <v>992</v>
      </c>
      <c r="B968" s="13">
        <v>45932</v>
      </c>
      <c r="C968" t="s">
        <v>1718</v>
      </c>
      <c r="D968" t="s">
        <v>3800</v>
      </c>
    </row>
    <row r="969" spans="1:4">
      <c r="A969">
        <v>993</v>
      </c>
      <c r="B969" s="13">
        <v>45932</v>
      </c>
      <c r="C969" t="s">
        <v>1786</v>
      </c>
      <c r="D969" t="s">
        <v>3801</v>
      </c>
    </row>
    <row r="970" spans="1:4">
      <c r="A970">
        <v>994</v>
      </c>
      <c r="B970" s="13">
        <v>45932</v>
      </c>
      <c r="C970" t="s">
        <v>1395</v>
      </c>
      <c r="D970" t="s">
        <v>3806</v>
      </c>
    </row>
    <row r="971" spans="1:4">
      <c r="A971">
        <v>995</v>
      </c>
      <c r="B971" s="13">
        <v>45932</v>
      </c>
      <c r="C971" t="s">
        <v>3797</v>
      </c>
      <c r="D971" t="s">
        <v>3808</v>
      </c>
    </row>
    <row r="972" spans="1:4">
      <c r="A972">
        <v>996</v>
      </c>
      <c r="B972" s="13">
        <v>45932</v>
      </c>
      <c r="C972" t="s">
        <v>2141</v>
      </c>
      <c r="D972" t="s">
        <v>3809</v>
      </c>
    </row>
    <row r="973" spans="1:4">
      <c r="A973">
        <v>997</v>
      </c>
      <c r="B973" s="13">
        <v>45933</v>
      </c>
      <c r="C973" t="s">
        <v>2141</v>
      </c>
      <c r="D973" t="s">
        <v>3815</v>
      </c>
    </row>
    <row r="974" spans="1:4">
      <c r="A974">
        <v>998</v>
      </c>
      <c r="B974" s="13">
        <v>45933</v>
      </c>
      <c r="C974" t="s">
        <v>1927</v>
      </c>
      <c r="D974" t="s">
        <v>3818</v>
      </c>
    </row>
    <row r="975" spans="1:4">
      <c r="A975">
        <v>999</v>
      </c>
      <c r="B975" s="13">
        <v>45933</v>
      </c>
      <c r="C975" t="s">
        <v>1927</v>
      </c>
      <c r="D975" t="s">
        <v>3819</v>
      </c>
    </row>
    <row r="976" spans="1:4">
      <c r="A976">
        <v>1000</v>
      </c>
      <c r="B976" s="13">
        <v>45939</v>
      </c>
      <c r="C976" t="s">
        <v>1576</v>
      </c>
      <c r="D976" t="s">
        <v>3821</v>
      </c>
    </row>
    <row r="977" spans="1:4">
      <c r="A977">
        <v>1001</v>
      </c>
      <c r="B977" s="13">
        <v>45939</v>
      </c>
      <c r="C977" t="s">
        <v>1440</v>
      </c>
      <c r="D977" t="s">
        <v>3822</v>
      </c>
    </row>
    <row r="978" spans="1:4">
      <c r="A978">
        <v>1002</v>
      </c>
      <c r="B978" s="13">
        <v>45940</v>
      </c>
      <c r="C978" t="s">
        <v>1302</v>
      </c>
      <c r="D978" t="s">
        <v>3826</v>
      </c>
    </row>
    <row r="979" spans="1:4">
      <c r="A979">
        <v>1003</v>
      </c>
      <c r="B979" s="13">
        <v>45940</v>
      </c>
      <c r="C979" t="s">
        <v>1743</v>
      </c>
      <c r="D979" t="s">
        <v>3832</v>
      </c>
    </row>
    <row r="980" spans="1:4">
      <c r="A980">
        <v>1004</v>
      </c>
      <c r="B980" s="13">
        <v>45940</v>
      </c>
      <c r="C980" t="s">
        <v>1573</v>
      </c>
      <c r="D980" t="s">
        <v>3833</v>
      </c>
    </row>
    <row r="981" spans="1:4">
      <c r="A981">
        <v>1005</v>
      </c>
      <c r="B981" s="13">
        <v>45940</v>
      </c>
      <c r="C981" t="s">
        <v>1374</v>
      </c>
      <c r="D981" t="s">
        <v>3834</v>
      </c>
    </row>
    <row r="982" spans="1:4">
      <c r="A982">
        <v>1006</v>
      </c>
      <c r="B982" s="13">
        <v>45940</v>
      </c>
      <c r="C982" t="s">
        <v>1369</v>
      </c>
      <c r="D982" t="s">
        <v>3836</v>
      </c>
    </row>
    <row r="983" spans="1:4">
      <c r="A983">
        <v>1007</v>
      </c>
      <c r="B983" s="13">
        <v>45940</v>
      </c>
      <c r="C983" t="s">
        <v>1015</v>
      </c>
      <c r="D983" t="s">
        <v>3837</v>
      </c>
    </row>
    <row r="984" spans="1:4">
      <c r="A984">
        <v>1008</v>
      </c>
      <c r="B984" s="13">
        <v>45940</v>
      </c>
      <c r="C984" t="s">
        <v>3397</v>
      </c>
      <c r="D984" t="s">
        <v>3838</v>
      </c>
    </row>
    <row r="985" spans="1:4">
      <c r="A985">
        <v>1009</v>
      </c>
      <c r="B985" s="13">
        <v>45940</v>
      </c>
      <c r="C985" t="s">
        <v>1170</v>
      </c>
      <c r="D985" t="s">
        <v>3839</v>
      </c>
    </row>
    <row r="986" spans="1:4">
      <c r="A986">
        <v>1010</v>
      </c>
      <c r="B986" s="13">
        <v>45940</v>
      </c>
      <c r="C986" t="s">
        <v>2481</v>
      </c>
      <c r="D986" t="s">
        <v>3840</v>
      </c>
    </row>
    <row r="987" spans="1:4">
      <c r="A987">
        <v>1011</v>
      </c>
      <c r="B987" s="13">
        <v>45940</v>
      </c>
      <c r="C987" t="s">
        <v>3794</v>
      </c>
      <c r="D987" t="s">
        <v>3841</v>
      </c>
    </row>
    <row r="988" spans="1:4">
      <c r="A988">
        <v>1012</v>
      </c>
      <c r="B988" s="13">
        <v>45940</v>
      </c>
      <c r="C988" t="s">
        <v>1594</v>
      </c>
      <c r="D988" t="s">
        <v>3842</v>
      </c>
    </row>
    <row r="989" spans="1:4">
      <c r="A989">
        <v>1013</v>
      </c>
      <c r="B989" s="13">
        <v>45940</v>
      </c>
      <c r="C989" t="s">
        <v>1528</v>
      </c>
      <c r="D989" t="s">
        <v>3843</v>
      </c>
    </row>
    <row r="990" spans="1:4">
      <c r="A990">
        <v>1014</v>
      </c>
      <c r="B990" s="13">
        <v>45932</v>
      </c>
      <c r="C990" t="s">
        <v>1786</v>
      </c>
      <c r="D990" t="s">
        <v>3852</v>
      </c>
    </row>
    <row r="991" spans="1:4">
      <c r="A991">
        <v>1015</v>
      </c>
      <c r="B991" s="13">
        <v>45940</v>
      </c>
      <c r="C991" t="s">
        <v>2481</v>
      </c>
      <c r="D991" t="s">
        <v>3853</v>
      </c>
    </row>
    <row r="992" spans="1:4">
      <c r="A992">
        <v>1016</v>
      </c>
      <c r="B992" s="13">
        <v>45941</v>
      </c>
      <c r="C992" t="s">
        <v>2993</v>
      </c>
      <c r="D992" t="s">
        <v>3854</v>
      </c>
    </row>
    <row r="993" spans="1:4">
      <c r="A993">
        <v>1017</v>
      </c>
      <c r="B993" s="13">
        <v>45941</v>
      </c>
      <c r="C993" t="s">
        <v>1718</v>
      </c>
      <c r="D993" t="s">
        <v>3855</v>
      </c>
    </row>
    <row r="994" spans="1:4">
      <c r="A994">
        <v>1018</v>
      </c>
      <c r="B994" s="13">
        <v>45943</v>
      </c>
      <c r="C994" t="s">
        <v>1374</v>
      </c>
      <c r="D994" t="s">
        <v>3859</v>
      </c>
    </row>
    <row r="995" spans="1:4">
      <c r="A995">
        <v>1019</v>
      </c>
      <c r="B995" s="13">
        <v>45943</v>
      </c>
      <c r="C995" t="s">
        <v>1395</v>
      </c>
      <c r="D995" t="s">
        <v>3861</v>
      </c>
    </row>
    <row r="996" spans="1:4">
      <c r="A996">
        <v>1020</v>
      </c>
      <c r="B996" s="13">
        <v>45943</v>
      </c>
      <c r="C996" t="s">
        <v>1374</v>
      </c>
      <c r="D996" t="s">
        <v>3863</v>
      </c>
    </row>
    <row r="997" spans="1:4">
      <c r="A997">
        <v>1021</v>
      </c>
      <c r="B997" s="13">
        <v>45943</v>
      </c>
      <c r="C997" t="s">
        <v>3864</v>
      </c>
      <c r="D997" t="s">
        <v>3867</v>
      </c>
    </row>
    <row r="998" spans="1:4">
      <c r="A998">
        <v>1022</v>
      </c>
      <c r="B998" s="13">
        <v>45943</v>
      </c>
      <c r="C998" t="s">
        <v>1576</v>
      </c>
      <c r="D998" t="s">
        <v>3868</v>
      </c>
    </row>
    <row r="999" spans="1:4">
      <c r="A999">
        <v>1023</v>
      </c>
      <c r="B999" s="13">
        <v>45943</v>
      </c>
      <c r="C999" t="s">
        <v>2613</v>
      </c>
      <c r="D999" t="s">
        <v>3869</v>
      </c>
    </row>
    <row r="1000" spans="1:4">
      <c r="A1000">
        <v>1024</v>
      </c>
      <c r="B1000" s="13">
        <v>45943</v>
      </c>
      <c r="C1000" t="s">
        <v>3870</v>
      </c>
      <c r="D1000" t="s">
        <v>3871</v>
      </c>
    </row>
    <row r="1001" spans="1:4">
      <c r="A1001">
        <v>1025</v>
      </c>
      <c r="B1001" s="13">
        <v>45943</v>
      </c>
      <c r="C1001" t="s">
        <v>3265</v>
      </c>
      <c r="D1001" t="s">
        <v>3872</v>
      </c>
    </row>
    <row r="1002" spans="1:4">
      <c r="A1002">
        <v>1026</v>
      </c>
      <c r="B1002" s="13">
        <v>45943</v>
      </c>
      <c r="C1002" t="s">
        <v>1863</v>
      </c>
      <c r="D1002" t="s">
        <v>3886</v>
      </c>
    </row>
    <row r="1003" spans="1:4">
      <c r="A1003">
        <v>1027</v>
      </c>
      <c r="B1003" s="13">
        <v>45943</v>
      </c>
      <c r="C1003" t="s">
        <v>1550</v>
      </c>
      <c r="D1003" t="s">
        <v>3887</v>
      </c>
    </row>
    <row r="1004" spans="1:4">
      <c r="A1004">
        <v>1028</v>
      </c>
      <c r="B1004" s="13">
        <v>45972</v>
      </c>
      <c r="C1004" t="s">
        <v>1573</v>
      </c>
      <c r="D1004" t="s">
        <v>3927</v>
      </c>
    </row>
    <row r="1005" spans="1:4">
      <c r="A1005">
        <v>1029</v>
      </c>
      <c r="B1005" s="13">
        <v>45972</v>
      </c>
      <c r="C1005" t="s">
        <v>2757</v>
      </c>
      <c r="D1005" t="s">
        <v>3928</v>
      </c>
    </row>
    <row r="1006" spans="1:4">
      <c r="A1006">
        <v>1030</v>
      </c>
      <c r="B1006" s="13">
        <v>45972</v>
      </c>
      <c r="C1006" t="s">
        <v>1573</v>
      </c>
      <c r="D1006" t="s">
        <v>3929</v>
      </c>
    </row>
    <row r="1007" spans="1:4">
      <c r="A1007">
        <v>1031</v>
      </c>
      <c r="B1007" s="13">
        <v>45972</v>
      </c>
      <c r="C1007" t="s">
        <v>1573</v>
      </c>
      <c r="D1007" t="s">
        <v>3930</v>
      </c>
    </row>
    <row r="1008" spans="1:4">
      <c r="A1008">
        <v>1032</v>
      </c>
      <c r="B1008" s="13">
        <v>45972</v>
      </c>
      <c r="C1008" t="s">
        <v>1573</v>
      </c>
      <c r="D1008" t="s">
        <v>3931</v>
      </c>
    </row>
    <row r="1009" spans="1:4">
      <c r="A1009">
        <v>1033</v>
      </c>
      <c r="B1009" s="13">
        <v>45972</v>
      </c>
      <c r="C1009" t="s">
        <v>1433</v>
      </c>
      <c r="D1009" t="s">
        <v>3932</v>
      </c>
    </row>
    <row r="1010" spans="1:4">
      <c r="A1010">
        <v>1034</v>
      </c>
      <c r="B1010" s="13">
        <v>45972</v>
      </c>
      <c r="C1010" t="s">
        <v>2868</v>
      </c>
      <c r="D1010" t="s">
        <v>3933</v>
      </c>
    </row>
    <row r="1011" spans="1:4">
      <c r="A1011">
        <v>1035</v>
      </c>
      <c r="B1011" s="13">
        <v>45972</v>
      </c>
      <c r="C1011" t="s">
        <v>978</v>
      </c>
      <c r="D1011" t="s">
        <v>3939</v>
      </c>
    </row>
    <row r="1012" spans="1:4">
      <c r="A1012">
        <v>1036</v>
      </c>
      <c r="B1012" s="13">
        <v>45975</v>
      </c>
      <c r="C1012" t="s">
        <v>2366</v>
      </c>
      <c r="D1012" t="s">
        <v>3941</v>
      </c>
    </row>
    <row r="1013" spans="1:4">
      <c r="A1013">
        <v>1037</v>
      </c>
      <c r="B1013" s="13">
        <v>45975</v>
      </c>
      <c r="C1013" t="s">
        <v>2366</v>
      </c>
      <c r="D1013" t="s">
        <v>3942</v>
      </c>
    </row>
    <row r="1014" spans="1:4">
      <c r="A1014">
        <v>1038</v>
      </c>
      <c r="B1014" s="13">
        <v>45975</v>
      </c>
      <c r="C1014" t="s">
        <v>2868</v>
      </c>
      <c r="D1014" t="s">
        <v>3943</v>
      </c>
    </row>
    <row r="1015" spans="1:4">
      <c r="A1015">
        <v>1039</v>
      </c>
      <c r="B1015" s="13">
        <v>45975</v>
      </c>
      <c r="C1015" t="s">
        <v>1433</v>
      </c>
      <c r="D1015" t="s">
        <v>3944</v>
      </c>
    </row>
    <row r="1016" spans="1:4">
      <c r="A1016">
        <v>1040</v>
      </c>
      <c r="B1016" s="13">
        <v>45975</v>
      </c>
      <c r="C1016" t="s">
        <v>1433</v>
      </c>
      <c r="D1016" t="s">
        <v>3947</v>
      </c>
    </row>
    <row r="1017" spans="1:4">
      <c r="A1017">
        <v>1041</v>
      </c>
      <c r="B1017" s="13">
        <v>45975</v>
      </c>
      <c r="C1017" t="s">
        <v>1573</v>
      </c>
      <c r="D1017" t="s">
        <v>3949</v>
      </c>
    </row>
    <row r="1018" spans="1:4">
      <c r="A1018">
        <v>1042</v>
      </c>
      <c r="B1018" s="13">
        <v>45975</v>
      </c>
      <c r="C1018" t="s">
        <v>2366</v>
      </c>
      <c r="D1018" t="s">
        <v>3951</v>
      </c>
    </row>
    <row r="1019" spans="1:4">
      <c r="A1019">
        <v>1043</v>
      </c>
      <c r="B1019" s="13">
        <v>45975</v>
      </c>
      <c r="C1019" t="s">
        <v>1433</v>
      </c>
      <c r="D1019" t="s">
        <v>3952</v>
      </c>
    </row>
    <row r="1020" spans="1:4">
      <c r="A1020">
        <v>1044</v>
      </c>
      <c r="B1020" s="13">
        <v>45975</v>
      </c>
      <c r="C1020" t="s">
        <v>2868</v>
      </c>
      <c r="D1020" t="s">
        <v>3953</v>
      </c>
    </row>
    <row r="1021" spans="1:4">
      <c r="A1021">
        <v>1045</v>
      </c>
      <c r="B1021" s="13">
        <v>45976</v>
      </c>
      <c r="C1021" t="s">
        <v>1433</v>
      </c>
      <c r="D1021" t="s">
        <v>3955</v>
      </c>
    </row>
    <row r="1022" spans="1:4">
      <c r="A1022">
        <v>1046</v>
      </c>
      <c r="B1022" s="13">
        <v>45976</v>
      </c>
      <c r="C1022" t="s">
        <v>2757</v>
      </c>
      <c r="D1022" t="s">
        <v>3956</v>
      </c>
    </row>
    <row r="1023" spans="1:4">
      <c r="A1023">
        <v>1047</v>
      </c>
      <c r="B1023" s="13">
        <v>46013</v>
      </c>
      <c r="C1023" t="s">
        <v>1395</v>
      </c>
      <c r="D1023" t="s">
        <v>3957</v>
      </c>
    </row>
    <row r="1024" spans="1:4">
      <c r="A1024">
        <v>1048</v>
      </c>
      <c r="B1024" s="13">
        <v>46013</v>
      </c>
      <c r="C1024" t="s">
        <v>2381</v>
      </c>
      <c r="D1024" t="s">
        <v>3958</v>
      </c>
    </row>
    <row r="1025" spans="1:4">
      <c r="A1025">
        <v>1049</v>
      </c>
      <c r="B1025" s="13">
        <v>46013</v>
      </c>
      <c r="C1025" t="s">
        <v>2381</v>
      </c>
      <c r="D1025" t="s">
        <v>3959</v>
      </c>
    </row>
    <row r="1026" spans="1:4">
      <c r="A1026">
        <v>1050</v>
      </c>
      <c r="B1026" s="13">
        <v>46013</v>
      </c>
      <c r="C1026" t="s">
        <v>2868</v>
      </c>
      <c r="D1026" t="s">
        <v>3960</v>
      </c>
    </row>
    <row r="1027" spans="1:4">
      <c r="A1027">
        <v>1051</v>
      </c>
      <c r="B1027" s="13">
        <v>46030</v>
      </c>
      <c r="C1027" t="s">
        <v>2868</v>
      </c>
      <c r="D1027" t="s">
        <v>3962</v>
      </c>
    </row>
    <row r="1028" spans="1:4">
      <c r="A1028">
        <v>1052</v>
      </c>
      <c r="B1028" s="13">
        <v>46030</v>
      </c>
      <c r="C1028" t="s">
        <v>1433</v>
      </c>
      <c r="D1028" t="s">
        <v>3963</v>
      </c>
    </row>
    <row r="1029" spans="1:4">
      <c r="A1029">
        <v>1053</v>
      </c>
      <c r="B1029" s="13">
        <v>46030</v>
      </c>
      <c r="C1029" t="s">
        <v>2757</v>
      </c>
      <c r="D1029" t="s">
        <v>3964</v>
      </c>
    </row>
    <row r="1030" spans="1:4">
      <c r="A1030">
        <v>1054</v>
      </c>
      <c r="B1030" s="13">
        <v>46041</v>
      </c>
      <c r="C1030" t="s">
        <v>2366</v>
      </c>
      <c r="D1030" t="s">
        <v>3966</v>
      </c>
    </row>
    <row r="1031" spans="1:4">
      <c r="A1031">
        <v>1055</v>
      </c>
      <c r="B1031" s="13">
        <v>46041</v>
      </c>
      <c r="C1031" t="s">
        <v>1573</v>
      </c>
      <c r="D1031" t="s">
        <v>3968</v>
      </c>
    </row>
    <row r="1032" spans="1:4">
      <c r="A1032">
        <v>1056</v>
      </c>
      <c r="B1032" s="13">
        <v>46041</v>
      </c>
      <c r="C1032" t="s">
        <v>2381</v>
      </c>
      <c r="D1032" t="s">
        <v>3970</v>
      </c>
    </row>
    <row r="1033" spans="1:4">
      <c r="A1033">
        <v>1057</v>
      </c>
      <c r="B1033" s="13">
        <v>46041</v>
      </c>
      <c r="C1033" t="s">
        <v>1573</v>
      </c>
      <c r="D1033" t="s">
        <v>3971</v>
      </c>
    </row>
    <row r="1034" spans="1:4">
      <c r="A1034">
        <v>1058</v>
      </c>
      <c r="B1034" s="13">
        <v>46041</v>
      </c>
      <c r="C1034" t="s">
        <v>2366</v>
      </c>
      <c r="D1034" t="s">
        <v>3973</v>
      </c>
    </row>
    <row r="1035" spans="1:4">
      <c r="A1035">
        <v>1059</v>
      </c>
      <c r="B1035" s="13">
        <v>46041</v>
      </c>
      <c r="C1035" t="s">
        <v>1433</v>
      </c>
      <c r="D1035" t="s">
        <v>3974</v>
      </c>
    </row>
    <row r="1036" spans="1:4">
      <c r="A1036">
        <v>1060</v>
      </c>
      <c r="B1036" s="13">
        <v>46041</v>
      </c>
      <c r="C1036" t="s">
        <v>1517</v>
      </c>
      <c r="D1036" t="s">
        <v>3976</v>
      </c>
    </row>
    <row r="1037" spans="1:4">
      <c r="A1037">
        <v>1061</v>
      </c>
      <c r="B1037" s="13">
        <v>46042</v>
      </c>
      <c r="C1037" t="s">
        <v>1433</v>
      </c>
      <c r="D1037" t="s">
        <v>3981</v>
      </c>
    </row>
    <row r="1038" spans="1:4">
      <c r="A1038">
        <v>1062</v>
      </c>
      <c r="B1038" s="13">
        <v>46042</v>
      </c>
      <c r="C1038" t="s">
        <v>2868</v>
      </c>
      <c r="D1038" t="s">
        <v>3983</v>
      </c>
    </row>
    <row r="1039" spans="1:4">
      <c r="A1039">
        <v>1063</v>
      </c>
      <c r="B1039" s="13">
        <v>46042</v>
      </c>
      <c r="C1039" t="s">
        <v>2366</v>
      </c>
      <c r="D1039" t="s">
        <v>3985</v>
      </c>
    </row>
    <row r="1040" spans="1:4">
      <c r="A1040">
        <v>1064</v>
      </c>
      <c r="B1040" s="13">
        <v>46042</v>
      </c>
      <c r="C1040" t="s">
        <v>2868</v>
      </c>
      <c r="D1040" t="s">
        <v>4274</v>
      </c>
    </row>
    <row r="1041" spans="1:4">
      <c r="A1041">
        <v>1065</v>
      </c>
      <c r="B1041" s="13">
        <v>46042</v>
      </c>
      <c r="C1041" t="s">
        <v>2868</v>
      </c>
      <c r="D1041" t="s">
        <v>4277</v>
      </c>
    </row>
    <row r="1042" spans="1:4">
      <c r="A1042">
        <v>1066</v>
      </c>
      <c r="B1042" s="13">
        <v>46042</v>
      </c>
      <c r="C1042" t="s">
        <v>1517</v>
      </c>
      <c r="D1042" t="s">
        <v>4279</v>
      </c>
    </row>
    <row r="1043" spans="1:4">
      <c r="A1043">
        <v>1067</v>
      </c>
      <c r="B1043" s="13">
        <v>46042</v>
      </c>
      <c r="C1043" t="s">
        <v>1433</v>
      </c>
      <c r="D1043" t="s">
        <v>4284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7.399999999999999"/>
  <cols>
    <col min="1" max="1" width="5.59765625" style="47" customWidth="1"/>
    <col min="2" max="2" width="26.8984375" bestFit="1" customWidth="1"/>
    <col min="3" max="3" width="14.3984375" customWidth="1"/>
    <col min="4" max="4" width="15" customWidth="1"/>
    <col min="5" max="5" width="45.8984375" customWidth="1"/>
    <col min="6" max="6" width="12.69921875" customWidth="1"/>
    <col min="7" max="7" width="31.19921875" customWidth="1"/>
    <col min="8" max="8" width="28.69921875" style="192" customWidth="1"/>
    <col min="9" max="9" width="11.59765625" style="52" bestFit="1" customWidth="1"/>
    <col min="10" max="10" width="19" bestFit="1" customWidth="1"/>
    <col min="11" max="11" width="10.19921875" bestFit="1" customWidth="1"/>
    <col min="13" max="13" width="10.19921875" bestFit="1" customWidth="1"/>
  </cols>
  <sheetData>
    <row r="1" spans="1:11" ht="18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190</v>
      </c>
      <c r="J1" s="276"/>
      <c r="K1" s="275"/>
    </row>
    <row r="2" spans="1:11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2">
        <f>SUMIF(주문_리스트!D:D,거래처!$B2,주문_리스트!M:M)+SUMIF(주문_리스트!D:D,거래처!B2,주문_리스트!N:N)-1543201</f>
        <v>736999.60000000149</v>
      </c>
      <c r="I2" s="192" t="s">
        <v>3873</v>
      </c>
    </row>
    <row r="3" spans="1:11">
      <c r="A3" s="47">
        <v>2</v>
      </c>
      <c r="B3" t="s">
        <v>2587</v>
      </c>
      <c r="C3" t="s">
        <v>2588</v>
      </c>
      <c r="E3" t="s">
        <v>2589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1271</v>
      </c>
      <c r="C4" t="s">
        <v>3627</v>
      </c>
      <c r="E4" t="s">
        <v>3628</v>
      </c>
      <c r="F4" t="s">
        <v>963</v>
      </c>
      <c r="G4" t="s">
        <v>3629</v>
      </c>
      <c r="H4" s="192">
        <f>SUMIF(주문_리스트!D:D,거래처!B4,주문_리스트!M:M)+SUMIF(주문_리스트!D:D,거래처!B4,주문_리스트!N:N)-2000000</f>
        <v>0</v>
      </c>
    </row>
    <row r="5" spans="1:11">
      <c r="A5" s="47">
        <v>4</v>
      </c>
      <c r="B5" t="s">
        <v>1156</v>
      </c>
      <c r="C5" t="s">
        <v>1157</v>
      </c>
      <c r="E5" t="s">
        <v>1158</v>
      </c>
      <c r="F5" t="s">
        <v>1159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1272</v>
      </c>
      <c r="C6" t="s">
        <v>2590</v>
      </c>
      <c r="E6" t="s">
        <v>2591</v>
      </c>
      <c r="F6" t="s">
        <v>1178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1287</v>
      </c>
      <c r="C8" t="s">
        <v>1087</v>
      </c>
      <c r="E8" t="s">
        <v>1088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1274</v>
      </c>
      <c r="C9" t="s">
        <v>1105</v>
      </c>
      <c r="E9" t="s">
        <v>1106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2">
        <f>SUMIF(주문_리스트!D:D,거래처!B10,주문_리스트!M:M)+SUMIF(주문_리스트!D:D,거래처!B10,주문_리스트!N:N)</f>
        <v>1650000</v>
      </c>
      <c r="I10" s="52" t="s">
        <v>3873</v>
      </c>
    </row>
    <row r="11" spans="1:11">
      <c r="A11" s="47">
        <v>10</v>
      </c>
      <c r="B11" t="s">
        <v>1277</v>
      </c>
      <c r="C11" t="s">
        <v>1611</v>
      </c>
      <c r="E11" t="s">
        <v>1612</v>
      </c>
      <c r="F11" t="s">
        <v>963</v>
      </c>
      <c r="G11" t="s">
        <v>2998</v>
      </c>
      <c r="H11" s="192">
        <f>SUMIF(주문_리스트!D:D,거래처!B11,주문_리스트!M:M)+SUMIF(주문_리스트!D:D,거래처!B11,주문_리스트!N:N)+60000</f>
        <v>0</v>
      </c>
    </row>
    <row r="12" spans="1:11">
      <c r="A12" s="47">
        <v>11</v>
      </c>
      <c r="B12" t="s">
        <v>1278</v>
      </c>
      <c r="C12" t="s">
        <v>2127</v>
      </c>
      <c r="E12" t="s">
        <v>2128</v>
      </c>
      <c r="H12" s="192">
        <f>SUMIF(주문_리스트!D:D,거래처!B12,주문_리스트!M:M)+SUMIF(주문_리스트!D:D,거래처!B12,주문_리스트!N:N)</f>
        <v>0</v>
      </c>
    </row>
    <row r="13" spans="1:11">
      <c r="A13" s="47">
        <v>12</v>
      </c>
      <c r="B13" t="s">
        <v>1279</v>
      </c>
      <c r="C13" t="s">
        <v>1207</v>
      </c>
      <c r="E13" t="s">
        <v>3323</v>
      </c>
      <c r="F13" t="s">
        <v>32</v>
      </c>
      <c r="G13" t="s">
        <v>3313</v>
      </c>
      <c r="H13" s="192">
        <f>SUMIF(주문_리스트!D:D,거래처!B13,주문_리스트!M:M)+SUMIF(주문_리스트!D:D,거래처!B13,주문_리스트!N:N)-1320000</f>
        <v>0</v>
      </c>
    </row>
    <row r="14" spans="1:11">
      <c r="A14" s="47">
        <v>13</v>
      </c>
      <c r="B14" t="s">
        <v>1280</v>
      </c>
      <c r="C14" t="s">
        <v>2498</v>
      </c>
      <c r="E14" t="s">
        <v>3775</v>
      </c>
      <c r="F14" t="s">
        <v>3770</v>
      </c>
      <c r="G14" t="s">
        <v>3776</v>
      </c>
      <c r="H14" s="192">
        <f>SUMIF(주문_리스트!D:D,거래처!B14,주문_리스트!M:M)+SUMIF(주문_리스트!D:D,거래처!B14,주문_리스트!N:N)-1280000</f>
        <v>0</v>
      </c>
    </row>
    <row r="15" spans="1:11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2">
        <f>SUMIF(주문_리스트!D:D,거래처!B16,주문_리스트!M:M)+SUMIF(주문_리스트!D:D,거래처!B16,주문_리스트!N:N)</f>
        <v>0</v>
      </c>
    </row>
    <row r="17" spans="1:1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2">
        <f>SUMIF(주문_리스트!D:D,거래처!B17,주문_리스트!M:M)+SUMIF(주문_리스트!D:D,거래처!B17,주문_리스트!N:N)+13873000</f>
        <v>16245500.200000003</v>
      </c>
      <c r="I17" s="52" t="s">
        <v>3873</v>
      </c>
    </row>
    <row r="18" spans="1:13">
      <c r="A18" s="47">
        <v>17</v>
      </c>
      <c r="B18" t="s">
        <v>1284</v>
      </c>
      <c r="C18" t="s">
        <v>1174</v>
      </c>
      <c r="E18" t="s">
        <v>1175</v>
      </c>
      <c r="F18" t="s">
        <v>1176</v>
      </c>
      <c r="G18" t="s">
        <v>1177</v>
      </c>
      <c r="H18" s="192">
        <f>SUMIF(주문_리스트!D:D,거래처!B18,주문_리스트!M:M)+SUMIF(주문_리스트!D:D,거래처!B18,주문_리스트!N:N)-2524500</f>
        <v>0</v>
      </c>
    </row>
    <row r="19" spans="1:1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2">
        <f>SUMIF(주문_리스트!D:D,거래처!B19,주문_리스트!M:M)+SUMIF(주문_리스트!D:D,거래처!B19,주문_리스트!N:N)+9970000</f>
        <v>15083000</v>
      </c>
      <c r="I19" s="52" t="s">
        <v>3873</v>
      </c>
      <c r="M19" s="275"/>
    </row>
    <row r="20" spans="1:13">
      <c r="A20" s="47">
        <v>19</v>
      </c>
      <c r="B20" t="s">
        <v>1286</v>
      </c>
      <c r="C20" t="s">
        <v>1228</v>
      </c>
      <c r="E20" t="s">
        <v>1229</v>
      </c>
      <c r="F20" t="s">
        <v>1222</v>
      </c>
      <c r="G20" t="s">
        <v>1121</v>
      </c>
      <c r="H20" s="192">
        <f>SUMIF(주문_리스트!D:D,거래처!B20,주문_리스트!M:M)+SUMIF(주문_리스트!D:D,거래처!B20,주문_리스트!N:N)-10000</f>
        <v>384999.69999999925</v>
      </c>
      <c r="I20" s="52" t="s">
        <v>3873</v>
      </c>
    </row>
    <row r="21" spans="1:1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2">
        <f>SUMIF(주문_리스트!D:D,거래처!B21,주문_리스트!M:M)+SUMIF(주문_리스트!D:D,거래처!B21,주문_리스트!N:N)</f>
        <v>250000</v>
      </c>
      <c r="I21" s="52" t="s">
        <v>3202</v>
      </c>
    </row>
    <row r="22" spans="1:1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22</v>
      </c>
      <c r="B23" t="s">
        <v>1289</v>
      </c>
      <c r="C23" t="s">
        <v>992</v>
      </c>
      <c r="E23" t="s">
        <v>993</v>
      </c>
      <c r="H23" s="192">
        <f>SUMIF(주문_리스트!D:D,거래처!B23,주문_리스트!M:M)+SUMIF(주문_리스트!D:D,거래처!B23,주문_리스트!N:N)</f>
        <v>0</v>
      </c>
    </row>
    <row r="24" spans="1:13">
      <c r="A24" s="47">
        <v>23</v>
      </c>
      <c r="B24" t="s">
        <v>1290</v>
      </c>
      <c r="C24" t="s">
        <v>3389</v>
      </c>
      <c r="E24" t="s">
        <v>3390</v>
      </c>
      <c r="F24" t="s">
        <v>1178</v>
      </c>
      <c r="H24" s="192">
        <f>SUMIF(주문_리스트!D:D,거래처!B24,주문_리스트!M:M)+SUMIF(주문_리스트!D:D,거래처!B24,주문_리스트!N:N)</f>
        <v>0</v>
      </c>
      <c r="I24" s="52" t="s">
        <v>3512</v>
      </c>
    </row>
    <row r="25" spans="1:1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2">
        <f>SUMIF(주문_리스트!D:D,거래처!B25,주문_리스트!M:M)+SUMIF(주문_리스트!D:D,거래처!B25,주문_리스트!N:N)-210000</f>
        <v>0</v>
      </c>
    </row>
    <row r="26" spans="1:13">
      <c r="A26" s="47">
        <v>25</v>
      </c>
      <c r="B26" t="s">
        <v>1292</v>
      </c>
      <c r="C26" t="s">
        <v>1044</v>
      </c>
      <c r="E26" t="s">
        <v>1045</v>
      </c>
      <c r="H26" s="192">
        <f>SUMIF(주문_리스트!D:D,거래처!B26,주문_리스트!M:M)+SUMIF(주문_리스트!D:D,거래처!B26,주문_리스트!N:N)-1200000</f>
        <v>1200000</v>
      </c>
    </row>
    <row r="27" spans="1:1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3453</v>
      </c>
      <c r="H27" s="192">
        <f>SUMIF(주문_리스트!D:D,거래처!B27,주문_리스트!M:M)+SUMIF(주문_리스트!D:D,거래처!B27,주문_리스트!N:N)</f>
        <v>0</v>
      </c>
    </row>
    <row r="28" spans="1:1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2">
        <f>SUMIF(주문_리스트!D:D,거래처!B28,주문_리스트!M:M)+SUMIF(주문_리스트!D:D,거래처!B28,주문_리스트!N:N)-1683000</f>
        <v>0</v>
      </c>
    </row>
    <row r="29" spans="1:1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2">
        <f>SUMIF(주문_리스트!D:D,거래처!B29,주문_리스트!M:M)+SUMIF(주문_리스트!D:D,거래처!B29,주문_리스트!N:N)-3710000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2">
        <f>SUMIF(주문_리스트!D:D,거래처!B30,주문_리스트!M:M)+SUMIF(주문_리스트!D:D,거래처!B30,주문_리스트!N:N)</f>
        <v>0</v>
      </c>
    </row>
    <row r="31" spans="1:1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2">
        <f>SUMIF(주문_리스트!D:D,거래처!B31,주문_리스트!M:M)+SUMIF(주문_리스트!D:D,거래처!B31,주문_리스트!N:N)-1200000</f>
        <v>0</v>
      </c>
      <c r="I31" s="52" t="s">
        <v>3873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2">
        <f>SUMIF(주문_리스트!D:D,거래처!B32,주문_리스트!M:M)+SUMIF(주문_리스트!D:D,거래처!B32,주문_리스트!N:N)</f>
        <v>1870000</v>
      </c>
    </row>
    <row r="33" spans="1:10">
      <c r="A33" s="47">
        <v>32</v>
      </c>
      <c r="B33" t="s">
        <v>1295</v>
      </c>
      <c r="C33" t="s">
        <v>3324</v>
      </c>
      <c r="E33" t="s">
        <v>3325</v>
      </c>
      <c r="F33" t="s">
        <v>3326</v>
      </c>
      <c r="G33" t="s">
        <v>1057</v>
      </c>
      <c r="H33" s="192">
        <f>SUMIF(주문_리스트!D:D,거래처!B33,주문_리스트!M:M)+SUMIF(주문_리스트!D:D,거래처!B33,주문_리스트!N:N)</f>
        <v>0</v>
      </c>
      <c r="I33" s="52" t="s">
        <v>3605</v>
      </c>
      <c r="J33" t="s">
        <v>3605</v>
      </c>
    </row>
    <row r="34" spans="1:10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2">
        <f>SUMIF(주문_리스트!D:D,거래처!B34,주문_리스트!M:M)+SUMIF(주문_리스트!D:D,거래처!B34,주문_리스트!N:N)</f>
        <v>0</v>
      </c>
    </row>
    <row r="35" spans="1:10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2">
        <f>SUMIF(주문_리스트!D:D,거래처!B35,주문_리스트!M:M)+SUMIF(주문_리스트!D:D,거래처!B35,주문_리스트!N:N)</f>
        <v>0</v>
      </c>
    </row>
    <row r="36" spans="1:10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3087</v>
      </c>
      <c r="H36" s="192">
        <f>SUMIF(주문_리스트!D:D,거래처!B36,주문_리스트!M:M)+SUMIF(주문_리스트!D:D,거래처!B36,주문_리스트!N:N)-2200000</f>
        <v>0</v>
      </c>
    </row>
    <row r="37" spans="1:10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2">
        <f>SUMIF(주문_리스트!D:D,거래처!B37,주문_리스트!M:M)+SUMIF(주문_리스트!D:D,거래처!B37,주문_리스트!N:N)-6136000</f>
        <v>1775000</v>
      </c>
      <c r="I37" s="52" t="s">
        <v>3873</v>
      </c>
    </row>
    <row r="38" spans="1:10">
      <c r="A38" s="47">
        <v>37</v>
      </c>
      <c r="B38" t="s">
        <v>1035</v>
      </c>
      <c r="C38" t="s">
        <v>966</v>
      </c>
      <c r="E38" t="s">
        <v>3784</v>
      </c>
      <c r="F38" t="s">
        <v>32</v>
      </c>
      <c r="G38" t="s">
        <v>1560</v>
      </c>
      <c r="H38" s="192">
        <f>SUMIF(주문_리스트!D:D,거래처!B38,주문_리스트!M:M)+SUMIF(주문_리스트!D:D,거래처!B38,주문_리스트!N:N)</f>
        <v>1869999.8999999985</v>
      </c>
      <c r="I38" s="52" t="s">
        <v>3480</v>
      </c>
    </row>
    <row r="39" spans="1:10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2">
        <f>SUMIF(주문_리스트!D:D,거래처!B39,주문_리스트!M:M)+SUMIF(주문_리스트!D:D,거래처!B39,주문_리스트!N:N)-2200000</f>
        <v>0</v>
      </c>
      <c r="I39" s="52" t="s">
        <v>3740</v>
      </c>
    </row>
    <row r="40" spans="1:10">
      <c r="A40" s="47">
        <v>39</v>
      </c>
      <c r="B40" t="s">
        <v>1300</v>
      </c>
      <c r="C40" t="s">
        <v>995</v>
      </c>
      <c r="E40" t="s">
        <v>996</v>
      </c>
      <c r="H40" s="192">
        <f>SUMIF(주문_리스트!D:D,거래처!B40,주문_리스트!M:M)+SUMIF(주문_리스트!D:D,거래처!B40,주문_리스트!N:N)</f>
        <v>0</v>
      </c>
    </row>
    <row r="41" spans="1:10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2">
        <f>SUMIF(주문_리스트!D:D,거래처!B41,주문_리스트!M:M)+SUMIF(주문_리스트!D:D,거래처!B41,주문_리스트!N:N)+1210000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2">
        <f>SUMIF(주문_리스트!D:D,거래처!B42,주문_리스트!M:M)+SUMIF(주문_리스트!D:D,거래처!B42,주문_리스트!N:N)</f>
        <v>0</v>
      </c>
    </row>
    <row r="43" spans="1:10">
      <c r="A43" s="47">
        <v>42</v>
      </c>
      <c r="B43" t="s">
        <v>1303</v>
      </c>
      <c r="C43" t="s">
        <v>1360</v>
      </c>
      <c r="E43" t="s">
        <v>1361</v>
      </c>
      <c r="F43" t="s">
        <v>2344</v>
      </c>
      <c r="G43" t="s">
        <v>2345</v>
      </c>
      <c r="H43" s="192">
        <f>SUMIF(주문_리스트!D:D,거래처!B43,주문_리스트!M:M)+SUMIF(주문_리스트!D:D,거래처!B43,주문_리스트!N:N)-1600000</f>
        <v>0</v>
      </c>
      <c r="I43" s="52" t="s">
        <v>3512</v>
      </c>
    </row>
    <row r="44" spans="1:10">
      <c r="A44" s="47">
        <v>43</v>
      </c>
      <c r="B44" t="s">
        <v>1304</v>
      </c>
      <c r="C44" t="s">
        <v>2639</v>
      </c>
      <c r="E44" t="s">
        <v>2640</v>
      </c>
      <c r="F44" t="s">
        <v>963</v>
      </c>
      <c r="G44" t="s">
        <v>2641</v>
      </c>
      <c r="H44" s="192">
        <f>SUMIF(주문_리스트!D:D,거래처!B44,주문_리스트!M:M)+SUMIF(주문_리스트!D:D,거래처!B44,주문_리스트!N:N)</f>
        <v>0</v>
      </c>
    </row>
    <row r="45" spans="1:10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2">
        <f>SUMIF(주문_리스트!D:D,거래처!B45,주문_리스트!M:M)+SUMIF(주문_리스트!D:D,거래처!B45,주문_리스트!N:N)</f>
        <v>0</v>
      </c>
    </row>
    <row r="46" spans="1:10">
      <c r="A46" s="47">
        <v>45</v>
      </c>
      <c r="B46" t="s">
        <v>1306</v>
      </c>
      <c r="C46" t="s">
        <v>2437</v>
      </c>
      <c r="E46" t="s">
        <v>2439</v>
      </c>
      <c r="F46" t="s">
        <v>1178</v>
      </c>
      <c r="G46" t="s">
        <v>2438</v>
      </c>
      <c r="H46" s="192">
        <f>SUMIF(주문_리스트!D:D,거래처!B46,주문_리스트!M:M)+SUMIF(주문_리스트!D:D,거래처!B46,주문_리스트!N:N)-200000</f>
        <v>0</v>
      </c>
    </row>
    <row r="47" spans="1:10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2">
        <f>SUMIF(주문_리스트!D:D,거래처!B47,주문_리스트!M:M)+SUMIF(주문_리스트!D:D,거래처!B47,주문_리스트!N:N)</f>
        <v>0</v>
      </c>
    </row>
    <row r="48" spans="1:10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2">
        <f>SUMIF(주문_리스트!D:D,거래처!B48,주문_리스트!M:M)+SUMIF(주문_리스트!D:D,거래처!B48,주문_리스트!N:N)</f>
        <v>0</v>
      </c>
    </row>
    <row r="49" spans="1:9">
      <c r="A49" s="47">
        <v>48</v>
      </c>
      <c r="B49" t="s">
        <v>1309</v>
      </c>
      <c r="C49" t="s">
        <v>1220</v>
      </c>
      <c r="E49" t="s">
        <v>1221</v>
      </c>
      <c r="F49" t="s">
        <v>1222</v>
      </c>
      <c r="G49" t="s">
        <v>1223</v>
      </c>
      <c r="H49" s="192">
        <f>SUMIF(주문_리스트!D:D,거래처!B49,주문_리스트!M:M)+SUMIF(주문_리스트!D:D,거래처!B49,주문_리스트!N:N)-5199000</f>
        <v>0.10000000149011612</v>
      </c>
    </row>
    <row r="50" spans="1:9">
      <c r="A50" s="47">
        <v>49</v>
      </c>
      <c r="B50" t="s">
        <v>1264</v>
      </c>
      <c r="C50" t="s">
        <v>1265</v>
      </c>
      <c r="E50" t="s">
        <v>1266</v>
      </c>
      <c r="H50" s="192">
        <f>SUMIF(주문_리스트!D:D,거래처!B50,주문_리스트!M:M)+SUMIF(주문_리스트!D:D,거래처!B50,주문_리스트!N:N)-1500000</f>
        <v>0</v>
      </c>
      <c r="I50" s="52" t="s">
        <v>3844</v>
      </c>
    </row>
    <row r="51" spans="1:9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2">
        <f>SUMIF(주문_리스트!D:D,거래처!B51,주문_리스트!M:M)+SUMIF(주문_리스트!D:D,거래처!B51,주문_리스트!N:N)-3500000</f>
        <v>0</v>
      </c>
    </row>
    <row r="52" spans="1:9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2">
        <f>SUMIF(주문_리스트!D:D,거래처!B52,주문_리스트!M:M)+SUMIF(주문_리스트!D:D,거래처!B52,주문_리스트!N:N)-650000</f>
        <v>0</v>
      </c>
    </row>
    <row r="53" spans="1:9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2">
        <f>SUMIF(주문_리스트!D:D,거래처!B53,주문_리스트!M:M)+SUMIF(주문_리스트!D:D,거래처!B53,주문_리스트!N:N)</f>
        <v>0</v>
      </c>
    </row>
    <row r="54" spans="1:9">
      <c r="A54" s="47">
        <v>53</v>
      </c>
      <c r="B54" t="s">
        <v>1146</v>
      </c>
      <c r="C54" t="s">
        <v>1785</v>
      </c>
      <c r="E54" t="s">
        <v>2621</v>
      </c>
      <c r="F54" t="s">
        <v>32</v>
      </c>
      <c r="G54" t="s">
        <v>2622</v>
      </c>
      <c r="H54" s="192">
        <f>SUMIF(주문_리스트!D:D,거래처!B54,주문_리스트!M:M)+SUMIF(주문_리스트!D:D,거래처!B54,주문_리스트!N:N)-4015000</f>
        <v>1370000</v>
      </c>
      <c r="I54" s="52" t="s">
        <v>3740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2">
        <f>SUMIF(주문_리스트!D:D,거래처!B55,주문_리스트!M:M)+SUMIF(주문_리스트!D:D,거래처!B55,주문_리스트!N:N)</f>
        <v>0</v>
      </c>
    </row>
    <row r="56" spans="1:9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2">
        <f>SUMIF(주문_리스트!D:D,거래처!B56,주문_리스트!M:M)+SUMIF(주문_리스트!D:D,거래처!B56,주문_리스트!N:N)</f>
        <v>0</v>
      </c>
    </row>
    <row r="57" spans="1:9">
      <c r="A57" s="47">
        <v>56</v>
      </c>
      <c r="B57" t="s">
        <v>1313</v>
      </c>
      <c r="C57" t="s">
        <v>26</v>
      </c>
      <c r="E57" t="s">
        <v>27</v>
      </c>
      <c r="H57" s="192">
        <f>SUMIF(주문_리스트!D:D,거래처!B57,주문_리스트!M:M)+SUMIF(주문_리스트!D:D,거래처!B57,주문_리스트!N:N)+3478000</f>
        <v>0</v>
      </c>
    </row>
    <row r="58" spans="1:9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2">
        <f>SUMIF(주문_리스트!D:D,거래처!B58,주문_리스트!M:M)+SUMIF(주문_리스트!D:D,거래처!B58,주문_리스트!N:N)-650000</f>
        <v>0</v>
      </c>
    </row>
    <row r="59" spans="1:9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2">
        <f>SUMIF(주문_리스트!D:D,거래처!B59,주문_리스트!M:M)+SUMIF(주문_리스트!D:D,거래처!B59,주문_리스트!N:N)</f>
        <v>0</v>
      </c>
      <c r="I59" s="52" t="s">
        <v>3269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2">
        <f>SUMIF(주문_리스트!D:D,거래처!B60,주문_리스트!M:M)+SUMIF(주문_리스트!D:D,거래처!B60,주문_리스트!N:N)</f>
        <v>0</v>
      </c>
    </row>
    <row r="61" spans="1:9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2">
        <f>SUMIF(주문_리스트!D:D,거래처!B61,주문_리스트!M:M)+SUMIF(주문_리스트!D:D,거래처!B61,주문_리스트!N:N)</f>
        <v>0</v>
      </c>
    </row>
    <row r="62" spans="1:9">
      <c r="A62" s="47">
        <v>61</v>
      </c>
      <c r="B62" t="s">
        <v>1317</v>
      </c>
      <c r="C62" t="s">
        <v>2600</v>
      </c>
      <c r="E62" t="s">
        <v>2601</v>
      </c>
      <c r="F62" t="s">
        <v>2602</v>
      </c>
      <c r="G62" t="s">
        <v>2603</v>
      </c>
      <c r="H62" s="192">
        <f>SUMIF(주문_리스트!D:D,거래처!B62,주문_리스트!M:M)+SUMIF(주문_리스트!D:D,거래처!B62,주문_리스트!N:N)</f>
        <v>0</v>
      </c>
    </row>
    <row r="63" spans="1:9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2">
        <f>SUMIF(주문_리스트!D:D,거래처!B63,주문_리스트!M:M)+SUMIF(주문_리스트!D:D,거래처!B63,주문_리스트!N:N)</f>
        <v>0</v>
      </c>
    </row>
    <row r="64" spans="1:9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2">
        <f>SUMIF(주문_리스트!D:D,거래처!B64,주문_리스트!M:M)+SUMIF(주문_리스트!D:D,거래처!B64,주문_리스트!N:N)</f>
        <v>0</v>
      </c>
    </row>
    <row r="65" spans="1:10">
      <c r="A65" s="47">
        <v>64</v>
      </c>
      <c r="B65" t="s">
        <v>1320</v>
      </c>
      <c r="C65" t="s">
        <v>2615</v>
      </c>
      <c r="E65" t="s">
        <v>2616</v>
      </c>
      <c r="F65" t="s">
        <v>33</v>
      </c>
      <c r="G65" t="s">
        <v>3856</v>
      </c>
      <c r="H65" s="192">
        <f>SUMIF(주문_리스트!D:D,거래처!B65,주문_리스트!M:M)+SUMIF(주문_리스트!D:D,거래처!B65,주문_리스트!N:N)</f>
        <v>0</v>
      </c>
      <c r="J65" t="s">
        <v>3875</v>
      </c>
    </row>
    <row r="66" spans="1:10">
      <c r="A66" s="47">
        <v>65</v>
      </c>
      <c r="B66" t="s">
        <v>1185</v>
      </c>
      <c r="C66" t="s">
        <v>1186</v>
      </c>
      <c r="E66" t="s">
        <v>1187</v>
      </c>
      <c r="F66" t="s">
        <v>2043</v>
      </c>
      <c r="G66" t="s">
        <v>2044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2">
        <f>SUMIF(주문_리스트!D:D,거래처!B67,주문_리스트!M:M)+SUMIF(주문_리스트!D:D,거래처!B67,주문_리스트!N:N)</f>
        <v>0</v>
      </c>
    </row>
    <row r="68" spans="1:10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2">
        <f>SUMIF(주문_리스트!D:D,거래처!B68,주문_리스트!M:M)+SUMIF(주문_리스트!D:D,거래처!B68,주문_리스트!N:N)-1000000</f>
        <v>0</v>
      </c>
      <c r="I68" s="52" t="s">
        <v>3558</v>
      </c>
    </row>
    <row r="69" spans="1:10">
      <c r="A69" s="47">
        <v>68</v>
      </c>
      <c r="B69" t="s">
        <v>1323</v>
      </c>
      <c r="C69" t="s">
        <v>1071</v>
      </c>
      <c r="E69" t="s">
        <v>1072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69</v>
      </c>
      <c r="B70" t="s">
        <v>1324</v>
      </c>
      <c r="C70" t="s">
        <v>2098</v>
      </c>
      <c r="E70" t="s">
        <v>2099</v>
      </c>
      <c r="F70" t="s">
        <v>32</v>
      </c>
      <c r="G70" t="s">
        <v>2440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70</v>
      </c>
      <c r="B71" t="s">
        <v>1325</v>
      </c>
      <c r="C71" t="s">
        <v>2499</v>
      </c>
      <c r="E71" t="s">
        <v>2500</v>
      </c>
      <c r="F71" t="s">
        <v>1178</v>
      </c>
      <c r="G71" t="s">
        <v>618</v>
      </c>
      <c r="H71" s="192">
        <f>SUMIF(주문_리스트!D:D,거래처!B71,주문_리스트!M:M)+SUMIF(주문_리스트!D:D,거래처!B71,주문_리스트!N:N)</f>
        <v>0</v>
      </c>
    </row>
    <row r="72" spans="1:10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2">
        <f>SUMIF(주문_리스트!D:D,거래처!B72,주문_리스트!M:M)+SUMIF(주문_리스트!D:D,거래처!B72,주문_리스트!N:N)-1890000</f>
        <v>150000</v>
      </c>
      <c r="I72" s="52" t="s">
        <v>3558</v>
      </c>
    </row>
    <row r="73" spans="1:10">
      <c r="A73" s="47">
        <v>72</v>
      </c>
      <c r="B73" t="s">
        <v>1484</v>
      </c>
      <c r="C73" t="s">
        <v>1485</v>
      </c>
      <c r="E73" t="s">
        <v>3769</v>
      </c>
      <c r="F73" t="s">
        <v>3770</v>
      </c>
      <c r="G73" t="s">
        <v>3771</v>
      </c>
      <c r="H73" s="192">
        <f>SUMIF(주문_리스트!D:D,거래처!B73,주문_리스트!M:M)+SUMIF(주문_리스트!D:D,거래처!B73,주문_리스트!N:N)-3100000+1500000</f>
        <v>100000</v>
      </c>
      <c r="I73" s="52" t="s">
        <v>3338</v>
      </c>
      <c r="J73" t="s">
        <v>3363</v>
      </c>
    </row>
    <row r="74" spans="1:10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3829</v>
      </c>
      <c r="H74" s="192">
        <f>SUMIF(주문_리스트!D:D,거래처!B74,주문_리스트!M:M)+SUMIF(주문_리스트!D:D,거래처!B74,주문_리스트!N:N)-1500000</f>
        <v>0</v>
      </c>
      <c r="I74" s="52" t="s">
        <v>3873</v>
      </c>
    </row>
    <row r="75" spans="1:10">
      <c r="A75" s="47">
        <v>74</v>
      </c>
      <c r="B75" t="s">
        <v>1327</v>
      </c>
      <c r="C75" t="s">
        <v>994</v>
      </c>
      <c r="E75" t="s">
        <v>1328</v>
      </c>
      <c r="H75" s="192">
        <f>SUMIF(주문_리스트!D:D,거래처!B75,주문_리스트!M:M)+SUMIF(주문_리스트!D:D,거래처!B75,주문_리스트!N:N)</f>
        <v>0</v>
      </c>
    </row>
    <row r="76" spans="1:10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2">
        <f>SUMIF(주문_리스트!D:D,거래처!B76,주문_리스트!M:M)+SUMIF(주문_리스트!D:D,거래처!B76,주문_리스트!N:N)-8677000</f>
        <v>410000</v>
      </c>
    </row>
    <row r="77" spans="1:10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2">
        <f>SUMIF(주문_리스트!D:D,거래처!B77,주문_리스트!M:M)+SUMIF(주문_리스트!D:D,거래처!B77,주문_리스트!N:N)-5800000</f>
        <v>0</v>
      </c>
    </row>
    <row r="78" spans="1:10">
      <c r="A78" s="47">
        <v>77</v>
      </c>
      <c r="B78" t="s">
        <v>1331</v>
      </c>
      <c r="C78" t="s">
        <v>3405</v>
      </c>
      <c r="E78" t="s">
        <v>3406</v>
      </c>
      <c r="F78" t="s">
        <v>963</v>
      </c>
      <c r="G78" t="s">
        <v>3407</v>
      </c>
      <c r="H78" s="192">
        <f>SUMIF(주문_리스트!D:D,거래처!B78,주문_리스트!M:M)+SUMIF(주문_리스트!D:D,거래처!B78,주문_리스트!N:N)</f>
        <v>0</v>
      </c>
    </row>
    <row r="79" spans="1:10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2">
        <f>SUMIF(주문_리스트!D:D,거래처!B79,주문_리스트!M:M)+SUMIF(주문_리스트!D:D,거래처!B79,주문_리스트!N:N)+84700</f>
        <v>0</v>
      </c>
      <c r="I79" s="52" t="s">
        <v>3873</v>
      </c>
    </row>
    <row r="80" spans="1:10">
      <c r="A80" s="47">
        <v>79</v>
      </c>
      <c r="B80" t="s">
        <v>1333</v>
      </c>
      <c r="C80" t="s">
        <v>1097</v>
      </c>
      <c r="E80" t="s">
        <v>1098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80</v>
      </c>
      <c r="B81" t="s">
        <v>1334</v>
      </c>
      <c r="C81" t="s">
        <v>1069</v>
      </c>
      <c r="E81" t="s">
        <v>1070</v>
      </c>
      <c r="H81" s="192">
        <f>SUMIF(주문_리스트!D:D,거래처!B81,주문_리스트!M:M)+SUMIF(주문_리스트!D:D,거래처!B81,주문_리스트!N:N)</f>
        <v>0</v>
      </c>
    </row>
    <row r="82" spans="1:11">
      <c r="A82" s="47">
        <v>81</v>
      </c>
      <c r="B82" t="s">
        <v>1335</v>
      </c>
      <c r="C82" t="s">
        <v>3379</v>
      </c>
      <c r="E82" t="s">
        <v>3380</v>
      </c>
      <c r="F82" t="s">
        <v>1178</v>
      </c>
      <c r="H82" s="192">
        <f>SUMIF(주문_리스트!D:D,거래처!B82,주문_리스트!M:M)+SUMIF(주문_리스트!D:D,거래처!B82,주문_리스트!N:N)-1200000</f>
        <v>0</v>
      </c>
      <c r="I82" s="52" t="s">
        <v>3086</v>
      </c>
      <c r="K82" t="s">
        <v>3400</v>
      </c>
    </row>
    <row r="83" spans="1:11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2">
        <f>SUMIF(주문_리스트!D:D,거래처!B83,주문_리스트!M:M)+SUMIF(주문_리스트!D:D,거래처!B83,주문_리스트!N:N)</f>
        <v>0</v>
      </c>
    </row>
    <row r="84" spans="1:11">
      <c r="A84" s="47">
        <v>83</v>
      </c>
      <c r="B84" t="s">
        <v>1337</v>
      </c>
      <c r="C84" t="s">
        <v>1169</v>
      </c>
      <c r="E84" t="s">
        <v>3782</v>
      </c>
      <c r="F84" t="s">
        <v>3770</v>
      </c>
      <c r="G84" t="s">
        <v>3783</v>
      </c>
      <c r="H84" s="192">
        <f>SUMIF(주문_리스트!D:D,거래처!B84,주문_리스트!M:M)+SUMIF(주문_리스트!D:D,거래처!B84,주문_리스트!N:N)-1100000</f>
        <v>0</v>
      </c>
    </row>
    <row r="85" spans="1:11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2">
        <f>SUMIF(주문_리스트!D:D,거래처!B85,주문_리스트!M:M)+SUMIF(주문_리스트!D:D,거래처!B85,주문_리스트!N:N)</f>
        <v>0</v>
      </c>
      <c r="I85" s="52" t="s">
        <v>3873</v>
      </c>
    </row>
    <row r="86" spans="1:11">
      <c r="A86" s="47">
        <v>85</v>
      </c>
      <c r="B86" t="s">
        <v>1339</v>
      </c>
      <c r="C86" t="s">
        <v>990</v>
      </c>
      <c r="E86" t="s">
        <v>991</v>
      </c>
      <c r="H86" s="192">
        <f>SUMIF(주문_리스트!D:D,거래처!B86,주문_리스트!M:M)+SUMIF(주문_리스트!D:D,거래처!B86,주문_리스트!N:N)</f>
        <v>0</v>
      </c>
    </row>
    <row r="87" spans="1:11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2">
        <f>SUMIF(주문_리스트!D:D,거래처!B87,주문_리스트!M:M)+SUMIF(주문_리스트!D:D,거래처!B87,주문_리스트!N:N)-650000</f>
        <v>0</v>
      </c>
    </row>
    <row r="88" spans="1:11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2">
        <f>SUMIF(주문_리스트!D:D,거래처!B88,주문_리스트!M:M)+SUMIF(주문_리스트!D:D,거래처!B88,주문_리스트!N:N)-3130000</f>
        <v>0</v>
      </c>
      <c r="I88" s="52" t="s">
        <v>3740</v>
      </c>
    </row>
    <row r="89" spans="1:11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2">
        <f>SUMIF(주문_리스트!D:D,거래처!B89,주문_리스트!M:M)+SUMIF(주문_리스트!D:D,거래처!B89,주문_리스트!N:N)</f>
        <v>0</v>
      </c>
    </row>
    <row r="90" spans="1:11">
      <c r="A90" s="47">
        <v>89</v>
      </c>
      <c r="B90" t="s">
        <v>1343</v>
      </c>
      <c r="C90" t="s">
        <v>1099</v>
      </c>
      <c r="E90" t="s">
        <v>1100</v>
      </c>
      <c r="H90" s="192">
        <f>SUMIF(주문_리스트!D:D,거래처!B90,주문_리스트!M:M)+SUMIF(주문_리스트!D:D,거래처!B90,주문_리스트!N:N)</f>
        <v>0</v>
      </c>
    </row>
    <row r="91" spans="1:11">
      <c r="A91" s="47">
        <v>90</v>
      </c>
      <c r="B91" t="s">
        <v>1344</v>
      </c>
      <c r="C91" t="s">
        <v>2385</v>
      </c>
      <c r="E91" t="s">
        <v>2386</v>
      </c>
      <c r="F91" t="s">
        <v>2387</v>
      </c>
      <c r="H91" s="192">
        <f>SUMIF(주문_리스트!D:D,거래처!B91,주문_리스트!M:M)+SUMIF(주문_리스트!D:D,거래처!B91,주문_리스트!N:N)-700000</f>
        <v>0</v>
      </c>
      <c r="I91" s="52" t="s">
        <v>2942</v>
      </c>
    </row>
    <row r="92" spans="1:11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2">
        <f>SUMIF(주문_리스트!D:D,거래처!B92,주문_리스트!M:M)+SUMIF(주문_리스트!D:D,거래처!B92,주문_리스트!N:N)-2089000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1346</v>
      </c>
      <c r="C93" t="s">
        <v>1051</v>
      </c>
      <c r="E93" t="s">
        <v>1052</v>
      </c>
      <c r="H93" s="192">
        <f>SUMIF(주문_리스트!D:D,거래처!B93,주문_리스트!M:M)+SUMIF(주문_리스트!D:D,거래처!B93,주문_리스트!N:N)</f>
        <v>0</v>
      </c>
    </row>
    <row r="94" spans="1:11">
      <c r="A94" s="47">
        <v>93</v>
      </c>
      <c r="B94" t="s">
        <v>2215</v>
      </c>
      <c r="C94" t="s">
        <v>2216</v>
      </c>
      <c r="E94" t="s">
        <v>2217</v>
      </c>
      <c r="F94" t="s">
        <v>2218</v>
      </c>
      <c r="H94" s="192">
        <f>SUMIF(주문_리스트!D:D,거래처!B94,주문_리스트!M:M)+SUMIF(주문_리스트!D:D,거래처!B94,주문_리스트!N:N)-1320000</f>
        <v>275000</v>
      </c>
      <c r="I94" s="52" t="s">
        <v>3873</v>
      </c>
    </row>
    <row r="95" spans="1:11">
      <c r="A95" s="47">
        <v>94</v>
      </c>
      <c r="B95" t="s">
        <v>1347</v>
      </c>
      <c r="C95" t="s">
        <v>1809</v>
      </c>
      <c r="E95" t="s">
        <v>3777</v>
      </c>
      <c r="F95" t="s">
        <v>3770</v>
      </c>
      <c r="G95" t="s">
        <v>3778</v>
      </c>
      <c r="H95" s="192">
        <f>SUMIF(주문_리스트!D:D,거래처!B95,주문_리스트!M:M)+SUMIF(주문_리스트!D:D,거래처!B95,주문_리스트!N:N)-715000</f>
        <v>0</v>
      </c>
      <c r="I95" s="52" t="s">
        <v>3558</v>
      </c>
    </row>
    <row r="96" spans="1:11">
      <c r="A96" s="47">
        <v>95</v>
      </c>
      <c r="B96" t="s">
        <v>1348</v>
      </c>
      <c r="C96" t="s">
        <v>3586</v>
      </c>
      <c r="E96" t="s">
        <v>3587</v>
      </c>
      <c r="F96" t="s">
        <v>963</v>
      </c>
      <c r="G96" t="s">
        <v>3588</v>
      </c>
      <c r="H96" s="192">
        <f>SUMIF(주문_리스트!D:D,거래처!B96,주문_리스트!M:M)+SUMIF(주문_리스트!D:D,거래처!B96,주문_리스트!N:N)</f>
        <v>1950022</v>
      </c>
      <c r="I96" s="52" t="s">
        <v>3873</v>
      </c>
    </row>
    <row r="97" spans="1:10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2">
        <f>SUMIF(주문_리스트!D:D,거래처!B97,주문_리스트!M:M)+SUMIF(주문_리스트!D:D,거래처!B97,주문_리스트!N:N)-650000</f>
        <v>1067000</v>
      </c>
      <c r="I97" s="52" t="s">
        <v>3873</v>
      </c>
    </row>
    <row r="98" spans="1:10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2">
        <f>SUMIF(주문_리스트!D:D,거래처!B98,주문_리스트!M:M)+SUMIF(주문_리스트!D:D,거래처!B98,주문_리스트!N:N)-650000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3487</v>
      </c>
      <c r="H99" s="192">
        <f>SUMIF(주문_리스트!D:D,거래처!B99,주문_리스트!M:M)+SUMIF(주문_리스트!D:D,거래처!B99,주문_리스트!N:N)</f>
        <v>0</v>
      </c>
      <c r="I99" s="52" t="s">
        <v>3630</v>
      </c>
    </row>
    <row r="100" spans="1:10">
      <c r="A100" s="47">
        <v>99</v>
      </c>
      <c r="B100" t="s">
        <v>2433</v>
      </c>
      <c r="C100" t="s">
        <v>2434</v>
      </c>
      <c r="E100" t="s">
        <v>2435</v>
      </c>
      <c r="F100" t="s">
        <v>2436</v>
      </c>
      <c r="G100" t="s">
        <v>215</v>
      </c>
      <c r="H100" s="192">
        <f>SUMIF(주문_리스트!D:D,거래처!B100,주문_리스트!M:M)+SUMIF(주문_리스트!D:D,거래처!B100,주문_리스트!N:N)-2286900</f>
        <v>0</v>
      </c>
      <c r="I100" s="52" t="s">
        <v>3558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2">
        <f>SUMIF(주문_리스트!D:D,거래처!B101,주문_리스트!M:M)+SUMIF(주문_리스트!D:D,거래처!B101,주문_리스트!N:N)-2824500</f>
        <v>-0.30000000074505806</v>
      </c>
      <c r="I101" s="52" t="s">
        <v>3512</v>
      </c>
    </row>
    <row r="102" spans="1:10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H102" s="192">
        <f>SUMIF(주문_리스트!D:D,거래처!B102,주문_리스트!M:M)+SUMIF(주문_리스트!D:D,거래처!B102,주문_리스트!N:N)</f>
        <v>0</v>
      </c>
      <c r="J102" t="s">
        <v>3877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2">
        <f>SUMIF(주문_리스트!D:D,거래처!B103,주문_리스트!M:M)+SUMIF(주문_리스트!D:D,거래처!B103,주문_리스트!N:N)</f>
        <v>0</v>
      </c>
    </row>
    <row r="104" spans="1:10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2">
        <f>SUMIF(주문_리스트!D:D,거래처!B104,주문_리스트!M:M)+SUMIF(주문_리스트!D:D,거래처!B104,주문_리스트!N:N)-3050000</f>
        <v>2720000</v>
      </c>
    </row>
    <row r="105" spans="1:10">
      <c r="A105" s="47">
        <v>104</v>
      </c>
      <c r="B105" t="s">
        <v>1353</v>
      </c>
      <c r="C105" t="s">
        <v>2289</v>
      </c>
      <c r="E105" t="s">
        <v>2290</v>
      </c>
      <c r="F105" t="s">
        <v>2291</v>
      </c>
      <c r="H105" s="192">
        <f>SUMIF(주문_리스트!D:D,거래처!B105,주문_리스트!M:M)+SUMIF(주문_리스트!D:D,거래처!B105,주문_리스트!N:N)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3825</v>
      </c>
      <c r="H106" s="192">
        <f>SUMIF(주문_리스트!D:D,거래처!B106,주문_리스트!M:M)+SUMIF(주문_리스트!D:D,거래처!B106,주문_리스트!N:N)</f>
        <v>0</v>
      </c>
      <c r="J106" t="s">
        <v>3848</v>
      </c>
    </row>
    <row r="107" spans="1:10">
      <c r="A107" s="47">
        <v>106</v>
      </c>
      <c r="B107" t="s">
        <v>3124</v>
      </c>
      <c r="C107" t="s">
        <v>3125</v>
      </c>
      <c r="E107" t="s">
        <v>3126</v>
      </c>
      <c r="F107" t="s">
        <v>963</v>
      </c>
      <c r="G107" t="s">
        <v>3127</v>
      </c>
      <c r="H107" s="192">
        <f>SUMIF(주문_리스트!D:D,거래처!B107,주문_리스트!M:M)+SUMIF(주문_리스트!D:D,거래처!B107,주문_리스트!N:N)-450000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2">
        <f>SUMIF(주문_리스트!D:D,거래처!B108,주문_리스트!M:M)+SUMIF(주문_리스트!D:D,거래처!B108,주문_리스트!N:N)</f>
        <v>0</v>
      </c>
      <c r="I108" s="52" t="s">
        <v>3873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2">
        <f>SUMIF(주문_리스트!D:D,거래처!B109,주문_리스트!M:M)+SUMIF(주문_리스트!D:D,거래처!B109,주문_리스트!N:N)-3550000</f>
        <v>1120000</v>
      </c>
      <c r="J109" t="s">
        <v>3879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2">
        <f>SUMIF(주문_리스트!D:D,거래처!B110,주문_리스트!M:M)+SUMIF(주문_리스트!D:D,거래처!B110,주문_리스트!N:N)-1200000</f>
        <v>0</v>
      </c>
      <c r="I110" s="52" t="s">
        <v>3630</v>
      </c>
    </row>
    <row r="111" spans="1:10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2">
        <f>SUMIF(주문_리스트!D:D,거래처!B111,주문_리스트!M:M)+SUMIF(주문_리스트!D:D,거래처!B111,주문_리스트!N:N)</f>
        <v>0</v>
      </c>
    </row>
    <row r="112" spans="1:10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2">
        <f>SUMIF(주문_리스트!D:D,거래처!B112,주문_리스트!M:M)+SUMIF(주문_리스트!D:D,거래처!B112,주문_리스트!N:N)</f>
        <v>-1500000</v>
      </c>
    </row>
    <row r="113" spans="1:10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2">
        <f>SUMIF(주문_리스트!D:D,거래처!B113,주문_리스트!M:M)+SUMIF(주문_리스트!D:D,거래처!B113,주문_리스트!N:N)-5100000</f>
        <v>580000</v>
      </c>
    </row>
    <row r="114" spans="1:10">
      <c r="A114" s="47">
        <v>113</v>
      </c>
      <c r="B114" t="s">
        <v>1355</v>
      </c>
      <c r="C114" t="s">
        <v>1149</v>
      </c>
      <c r="E114" t="s">
        <v>1150</v>
      </c>
      <c r="H114" s="192">
        <f>SUMIF(주문_리스트!D:D,거래처!B114,주문_리스트!M:M)+SUMIF(주문_리스트!D:D,거래처!B114,주문_리스트!N:N)-650000</f>
        <v>0</v>
      </c>
      <c r="J114" t="s">
        <v>3605</v>
      </c>
    </row>
    <row r="115" spans="1:10">
      <c r="A115" s="47">
        <v>114</v>
      </c>
      <c r="B115" t="s">
        <v>1153</v>
      </c>
      <c r="C115" t="s">
        <v>1154</v>
      </c>
      <c r="E115" t="s">
        <v>1155</v>
      </c>
      <c r="F115" t="s">
        <v>963</v>
      </c>
      <c r="H115" s="192">
        <f>SUMIF(주문_리스트!D:D,거래처!B115,주문_리스트!M:M)+SUMIF(주문_리스트!D:D,거래처!B115,주문_리스트!N:N)-1200000</f>
        <v>0</v>
      </c>
    </row>
    <row r="116" spans="1:10">
      <c r="A116" s="47">
        <v>115</v>
      </c>
      <c r="B116" t="s">
        <v>1170</v>
      </c>
      <c r="C116" t="s">
        <v>1171</v>
      </c>
      <c r="E116" t="s">
        <v>1172</v>
      </c>
      <c r="F116" t="s">
        <v>963</v>
      </c>
      <c r="G116" t="s">
        <v>1173</v>
      </c>
      <c r="H116" s="192">
        <f>SUMIF(주문_리스트!D:D,거래처!B116,주문_리스트!M:M)+SUMIF(주문_리스트!D:D,거래처!B116,주문_리스트!N:N)-2300000</f>
        <v>0</v>
      </c>
      <c r="J116" t="s">
        <v>3881</v>
      </c>
    </row>
    <row r="117" spans="1:10">
      <c r="A117" s="47">
        <v>116</v>
      </c>
      <c r="B117" t="s">
        <v>1356</v>
      </c>
      <c r="C117" t="s">
        <v>1101</v>
      </c>
      <c r="E117" t="s">
        <v>1102</v>
      </c>
      <c r="F117" t="s">
        <v>1178</v>
      </c>
      <c r="G117" t="s">
        <v>1102</v>
      </c>
      <c r="H117" s="192">
        <f>SUMIF(주문_리스트!D:D,거래처!B117,주문_리스트!M:M)+SUMIF(주문_리스트!D:D,거래처!B117,주문_리스트!N:N)</f>
        <v>0</v>
      </c>
      <c r="I117" s="52" t="s">
        <v>2858</v>
      </c>
    </row>
    <row r="118" spans="1:10">
      <c r="A118" s="47">
        <v>117</v>
      </c>
      <c r="B118" t="s">
        <v>1188</v>
      </c>
      <c r="C118" t="s">
        <v>1189</v>
      </c>
      <c r="E118" t="s">
        <v>1190</v>
      </c>
      <c r="F118" t="s">
        <v>1191</v>
      </c>
      <c r="G118" t="s">
        <v>1192</v>
      </c>
      <c r="H118" s="192">
        <f>SUMIF(주문_리스트!D:D,거래처!B118,주문_리스트!M:M)+SUMIF(주문_리스트!D:D,거래처!B118,주문_리스트!N:N)-1600000</f>
        <v>0</v>
      </c>
    </row>
    <row r="119" spans="1:10">
      <c r="A119" s="47">
        <v>118</v>
      </c>
      <c r="B119" t="s">
        <v>1224</v>
      </c>
      <c r="C119" t="s">
        <v>1225</v>
      </c>
      <c r="E119" t="s">
        <v>1226</v>
      </c>
      <c r="F119" t="s">
        <v>963</v>
      </c>
      <c r="G119" t="s">
        <v>1227</v>
      </c>
      <c r="H119" s="192">
        <f>SUMIF(주문_리스트!D:D,거래처!B119,주문_리스트!M:M)+SUMIF(주문_리스트!D:D,거래처!B119,주문_리스트!N:N)-1600000</f>
        <v>0</v>
      </c>
    </row>
    <row r="120" spans="1:10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2">
        <f>SUMIF(주문_리스트!D:D,거래처!B120,주문_리스트!M:M)+SUMIF(주문_리스트!D:D,거래처!B120,주문_리스트!N:N)-1600000</f>
        <v>0</v>
      </c>
    </row>
    <row r="121" spans="1:10">
      <c r="A121" s="47">
        <v>120</v>
      </c>
      <c r="B121" t="s">
        <v>2486</v>
      </c>
      <c r="C121" t="s">
        <v>1518</v>
      </c>
      <c r="E121" t="s">
        <v>1519</v>
      </c>
      <c r="H121" s="192">
        <f>SUMIF(주문_리스트!D:D,거래처!B146,주문_리스트!M:M)+SUMIF(주문_리스트!D:D,거래처!B146,주문_리스트!N:N)</f>
        <v>0</v>
      </c>
    </row>
    <row r="122" spans="1:10">
      <c r="A122" s="47">
        <v>121</v>
      </c>
      <c r="B122" t="s">
        <v>2279</v>
      </c>
      <c r="C122" t="s">
        <v>2280</v>
      </c>
      <c r="E122" t="s">
        <v>2281</v>
      </c>
      <c r="F122" t="s">
        <v>2282</v>
      </c>
      <c r="G122" t="s">
        <v>2283</v>
      </c>
      <c r="H122" s="192">
        <f>SUMIF(주문_리스트!D:D,거래처!B122,주문_리스트!M:M)+SUMIF(주문_리스트!D:D,거래처!B122,주문_리스트!N:N)-1500000</f>
        <v>0</v>
      </c>
    </row>
    <row r="123" spans="1:10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1223</v>
      </c>
      <c r="H123" s="192">
        <f>SUMIF(주문_리스트!D:D,거래처!B123,주문_리스트!M:M)+SUMIF(주문_리스트!D:D,거래처!B123,주문_리스트!N:N)</f>
        <v>0</v>
      </c>
    </row>
    <row r="124" spans="1:10">
      <c r="A124" s="47">
        <v>123</v>
      </c>
      <c r="B124" t="s">
        <v>1654</v>
      </c>
      <c r="C124" t="s">
        <v>1655</v>
      </c>
      <c r="E124" t="s">
        <v>1656</v>
      </c>
      <c r="F124" t="s">
        <v>1178</v>
      </c>
      <c r="G124" t="s">
        <v>1656</v>
      </c>
      <c r="H124" s="192">
        <f>SUMIF(주문_리스트!D:D,거래처!B124,주문_리스트!M:M)+SUMIF(주문_리스트!D:D,거래처!B124,주문_리스트!N:N)-250000</f>
        <v>0</v>
      </c>
    </row>
    <row r="125" spans="1:10">
      <c r="A125" s="47">
        <v>124</v>
      </c>
      <c r="B125" t="s">
        <v>1667</v>
      </c>
      <c r="C125" t="s">
        <v>1668</v>
      </c>
      <c r="E125" t="s">
        <v>1669</v>
      </c>
      <c r="H125" s="192">
        <f>SUMIF(주문_리스트!D:D,거래처!B125,주문_리스트!M:M)+SUMIF(주문_리스트!D:D,거래처!B125,주문_리스트!N:N)-4755000</f>
        <v>0</v>
      </c>
    </row>
    <row r="126" spans="1:10">
      <c r="A126" s="47">
        <v>125</v>
      </c>
      <c r="B126" t="s">
        <v>1834</v>
      </c>
      <c r="C126" t="s">
        <v>3093</v>
      </c>
      <c r="E126" t="s">
        <v>3094</v>
      </c>
      <c r="F126" t="s">
        <v>963</v>
      </c>
      <c r="G126" t="s">
        <v>3095</v>
      </c>
      <c r="H126" s="192">
        <v>0</v>
      </c>
    </row>
    <row r="127" spans="1:10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2">
        <f>SUMIF(주문_리스트!D:D,거래처!B127,주문_리스트!M:M)+SUMIF(주문_리스트!D:D,거래처!B127,주문_리스트!N:N)-250000</f>
        <v>0</v>
      </c>
    </row>
    <row r="128" spans="1:10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128</v>
      </c>
      <c r="B129" t="s">
        <v>2064</v>
      </c>
      <c r="C129" t="s">
        <v>2065</v>
      </c>
      <c r="E129" t="s">
        <v>2066</v>
      </c>
      <c r="F129" t="s">
        <v>963</v>
      </c>
      <c r="G129" t="s">
        <v>1906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129</v>
      </c>
      <c r="B130" t="s">
        <v>2030</v>
      </c>
      <c r="C130" t="s">
        <v>2031</v>
      </c>
      <c r="E130" t="s">
        <v>2032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130</v>
      </c>
      <c r="B131" t="s">
        <v>2035</v>
      </c>
      <c r="C131" t="s">
        <v>2036</v>
      </c>
      <c r="E131" t="s">
        <v>2037</v>
      </c>
      <c r="H131" s="192">
        <f>SUMIF(주문_리스트!D:D,거래처!B131,주문_리스트!M:M)+SUMIF(주문_리스트!D:D,거래처!B131,주문_리스트!N:N)</f>
        <v>0</v>
      </c>
    </row>
    <row r="132" spans="1:10">
      <c r="A132" s="47">
        <v>131</v>
      </c>
      <c r="B132" t="s">
        <v>2779</v>
      </c>
      <c r="C132" t="s">
        <v>2780</v>
      </c>
      <c r="E132" t="s">
        <v>2781</v>
      </c>
      <c r="F132" t="s">
        <v>2782</v>
      </c>
      <c r="G132" t="s">
        <v>2783</v>
      </c>
      <c r="H132" s="192">
        <f>SUMIF(주문_리스트!D:D,거래처!B132,주문_리스트!M:M)+SUMIF(주문_리스트!D:D,거래처!B132,주문_리스트!N:N)</f>
        <v>0</v>
      </c>
      <c r="I132" s="52" t="s">
        <v>3512</v>
      </c>
    </row>
    <row r="133" spans="1:10">
      <c r="A133" s="47">
        <v>132</v>
      </c>
      <c r="B133" t="s">
        <v>2091</v>
      </c>
      <c r="C133" t="s">
        <v>2092</v>
      </c>
      <c r="E133" t="s">
        <v>2093</v>
      </c>
      <c r="F133" t="s">
        <v>976</v>
      </c>
      <c r="G133" t="s">
        <v>2094</v>
      </c>
      <c r="H133" s="192">
        <f>SUMIF(주문_리스트!D:D,거래처!B133,주문_리스트!M:M)+SUMIF(주문_리스트!D:D,거래처!B133,주문_리스트!N:N)</f>
        <v>0</v>
      </c>
    </row>
    <row r="134" spans="1:10">
      <c r="A134" s="47">
        <v>133</v>
      </c>
      <c r="B134" t="s">
        <v>2303</v>
      </c>
      <c r="C134" t="s">
        <v>2116</v>
      </c>
      <c r="E134" t="s">
        <v>2117</v>
      </c>
      <c r="F134" t="s">
        <v>973</v>
      </c>
      <c r="H134" s="192">
        <f>SUMIF(주문_리스트!D:D,거래처!B134,주문_리스트!M:M)+SUMIF(주문_리스트!D:D,거래처!B134,주문_리스트!N:N)</f>
        <v>0</v>
      </c>
      <c r="I134" s="52" t="s">
        <v>3302</v>
      </c>
    </row>
    <row r="135" spans="1:10">
      <c r="A135" s="47">
        <v>134</v>
      </c>
      <c r="B135" t="s">
        <v>2129</v>
      </c>
      <c r="C135" t="s">
        <v>2130</v>
      </c>
      <c r="E135" t="s">
        <v>2131</v>
      </c>
      <c r="H135" s="192">
        <f>SUMIF(주문_리스트!D:D,거래처!B135,주문_리스트!M:M)+SUMIF(주문_리스트!D:D,거래처!B135,주문_리스트!N:N)</f>
        <v>0</v>
      </c>
    </row>
    <row r="136" spans="1:10">
      <c r="A136" s="47">
        <v>135</v>
      </c>
      <c r="B136" t="s">
        <v>2144</v>
      </c>
      <c r="C136" t="s">
        <v>2146</v>
      </c>
      <c r="E136" t="s">
        <v>2147</v>
      </c>
      <c r="H136" s="192">
        <f>SUMIF(주문_리스트!D:D,거래처!B136,주문_리스트!M:M)+SUMIF(주문_리스트!D:D,거래처!B136,주문_리스트!N:N)</f>
        <v>0</v>
      </c>
      <c r="I136" s="52" t="s">
        <v>3605</v>
      </c>
      <c r="J136">
        <v>45</v>
      </c>
    </row>
    <row r="137" spans="1:10">
      <c r="A137" s="47">
        <v>136</v>
      </c>
      <c r="B137" t="s">
        <v>2273</v>
      </c>
      <c r="C137" t="s">
        <v>2274</v>
      </c>
      <c r="E137" t="s">
        <v>2275</v>
      </c>
      <c r="F137" t="s">
        <v>25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137</v>
      </c>
      <c r="B138" t="s">
        <v>2752</v>
      </c>
      <c r="C138" t="s">
        <v>2753</v>
      </c>
      <c r="E138" t="s">
        <v>2754</v>
      </c>
      <c r="F138" t="s">
        <v>2755</v>
      </c>
      <c r="G138" t="s">
        <v>2756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138</v>
      </c>
      <c r="B139" t="s">
        <v>2370</v>
      </c>
      <c r="C139" t="s">
        <v>2371</v>
      </c>
      <c r="E139" t="s">
        <v>2372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139</v>
      </c>
      <c r="B140" t="s">
        <v>2254</v>
      </c>
      <c r="C140" t="s">
        <v>2353</v>
      </c>
      <c r="E140" t="s">
        <v>2354</v>
      </c>
      <c r="F140" t="s">
        <v>963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140</v>
      </c>
      <c r="B141" t="s">
        <v>2360</v>
      </c>
      <c r="C141" t="s">
        <v>2361</v>
      </c>
      <c r="E141" t="s">
        <v>2362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141</v>
      </c>
      <c r="B142" t="s">
        <v>2366</v>
      </c>
      <c r="C142" t="s">
        <v>2367</v>
      </c>
      <c r="E142" t="s">
        <v>2368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142</v>
      </c>
      <c r="B143" t="s">
        <v>2376</v>
      </c>
      <c r="C143" t="s">
        <v>2377</v>
      </c>
      <c r="E143" t="s">
        <v>2378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143</v>
      </c>
      <c r="B144" t="s">
        <v>2463</v>
      </c>
      <c r="C144" t="s">
        <v>2464</v>
      </c>
      <c r="E144" t="s">
        <v>2466</v>
      </c>
      <c r="F144" t="s">
        <v>2465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144</v>
      </c>
      <c r="B145" t="s">
        <v>2467</v>
      </c>
      <c r="C145" t="s">
        <v>2943</v>
      </c>
      <c r="E145" t="s">
        <v>2944</v>
      </c>
      <c r="F145" t="s">
        <v>963</v>
      </c>
      <c r="G145" t="s">
        <v>2945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145</v>
      </c>
      <c r="B146" t="s">
        <v>2482</v>
      </c>
      <c r="C146" t="s">
        <v>2483</v>
      </c>
      <c r="E146" t="s">
        <v>2484</v>
      </c>
      <c r="F146" t="s">
        <v>963</v>
      </c>
      <c r="G146" t="s">
        <v>2485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146</v>
      </c>
      <c r="B147" t="s">
        <v>2672</v>
      </c>
      <c r="C147" t="s">
        <v>2670</v>
      </c>
      <c r="E147" t="s">
        <v>2671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147</v>
      </c>
      <c r="B148" t="s">
        <v>2556</v>
      </c>
      <c r="C148" t="s">
        <v>2557</v>
      </c>
      <c r="E148" t="s">
        <v>3772</v>
      </c>
      <c r="F148" t="s">
        <v>3773</v>
      </c>
      <c r="G148" t="s">
        <v>3774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148</v>
      </c>
      <c r="B149" t="s">
        <v>2628</v>
      </c>
      <c r="C149" t="s">
        <v>2629</v>
      </c>
      <c r="D149" t="s">
        <v>2630</v>
      </c>
      <c r="E149" t="s">
        <v>2631</v>
      </c>
      <c r="F149" t="s">
        <v>32</v>
      </c>
      <c r="G149" t="s">
        <v>2632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149</v>
      </c>
      <c r="B150" t="s">
        <v>2699</v>
      </c>
      <c r="C150" t="s">
        <v>2700</v>
      </c>
      <c r="E150" t="s">
        <v>2701</v>
      </c>
      <c r="F150" t="s">
        <v>963</v>
      </c>
      <c r="G150" t="s">
        <v>2702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150</v>
      </c>
      <c r="B151" t="s">
        <v>2727</v>
      </c>
      <c r="C151" t="s">
        <v>2728</v>
      </c>
      <c r="E151" t="s">
        <v>2729</v>
      </c>
      <c r="F151" t="s">
        <v>1178</v>
      </c>
      <c r="H151" s="192">
        <f>SUMIF(주문_리스트!D:D,거래처!B151,주문_리스트!M:M)+SUMIF(주문_리스트!D:D,거래처!B151,주문_리스트!N:N)</f>
        <v>0</v>
      </c>
    </row>
    <row r="152" spans="1:9">
      <c r="A152" s="47">
        <v>151</v>
      </c>
      <c r="B152" t="s">
        <v>2737</v>
      </c>
      <c r="C152" t="s">
        <v>2738</v>
      </c>
      <c r="E152" t="s">
        <v>2739</v>
      </c>
      <c r="F152" t="s">
        <v>963</v>
      </c>
      <c r="G152" t="s">
        <v>2740</v>
      </c>
      <c r="H152" s="192">
        <f>SUMIF(주문_리스트!D:D,거래처!B152,주문_리스트!M:M)+SUMIF(주문_리스트!D:D,거래처!B152,주문_리스트!N:N)</f>
        <v>2150000</v>
      </c>
    </row>
    <row r="153" spans="1:9">
      <c r="A153" s="47">
        <v>152</v>
      </c>
      <c r="B153" t="s">
        <v>2757</v>
      </c>
      <c r="C153" t="s">
        <v>2758</v>
      </c>
      <c r="E153" t="s">
        <v>2759</v>
      </c>
      <c r="F153" t="s">
        <v>1178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153</v>
      </c>
      <c r="B154" t="s">
        <v>2764</v>
      </c>
      <c r="C154" t="s">
        <v>2765</v>
      </c>
      <c r="E154" t="s">
        <v>2766</v>
      </c>
      <c r="F154" t="s">
        <v>1178</v>
      </c>
      <c r="H154" s="192">
        <f>SUMIF(주문_리스트!D:D,거래처!B154,주문_리스트!M:M)+SUMIF(주문_리스트!D:D,거래처!B154,주문_리스트!N:N)</f>
        <v>0</v>
      </c>
    </row>
    <row r="155" spans="1:9">
      <c r="A155" s="47">
        <v>154</v>
      </c>
      <c r="B155" t="s">
        <v>2784</v>
      </c>
      <c r="C155" t="s">
        <v>2785</v>
      </c>
      <c r="E155" t="s">
        <v>2786</v>
      </c>
      <c r="F155" t="s">
        <v>1178</v>
      </c>
      <c r="G155" t="s">
        <v>2787</v>
      </c>
      <c r="H155" s="192">
        <f>SUMIF(주문_리스트!D:D,거래처!B155,주문_리스트!M:M)+SUMIF(주문_리스트!D:D,거래처!B155,주문_리스트!N:N)</f>
        <v>0</v>
      </c>
      <c r="I155" s="52" t="s">
        <v>3079</v>
      </c>
    </row>
    <row r="156" spans="1:9">
      <c r="A156" s="47">
        <v>155</v>
      </c>
      <c r="B156" t="s">
        <v>2804</v>
      </c>
      <c r="C156" t="s">
        <v>2805</v>
      </c>
      <c r="E156" t="s">
        <v>2806</v>
      </c>
      <c r="F156" t="s">
        <v>976</v>
      </c>
      <c r="G156" t="s">
        <v>2807</v>
      </c>
      <c r="H156" s="192">
        <f>SUMIF(주문_리스트!D:D,거래처!B156,주문_리스트!M:M)+SUMIF(주문_리스트!D:D,거래처!B156,주문_리스트!N:N)</f>
        <v>0</v>
      </c>
    </row>
    <row r="157" spans="1:9">
      <c r="A157" s="47">
        <v>156</v>
      </c>
      <c r="B157" t="s">
        <v>2855</v>
      </c>
      <c r="C157" t="s">
        <v>2861</v>
      </c>
      <c r="E157" t="s">
        <v>2862</v>
      </c>
      <c r="F157" t="s">
        <v>976</v>
      </c>
      <c r="G157" t="s">
        <v>3255</v>
      </c>
      <c r="H157" s="192">
        <f>SUMIF(주문_리스트!D:D,거래처!B157,주문_리스트!M:M)+SUMIF(주문_리스트!D:D,거래처!B157,주문_리스트!N:N)</f>
        <v>0</v>
      </c>
      <c r="I157" s="52" t="s">
        <v>3740</v>
      </c>
    </row>
    <row r="158" spans="1:9">
      <c r="A158" s="47">
        <v>157</v>
      </c>
      <c r="B158" t="s">
        <v>2864</v>
      </c>
      <c r="C158" t="s">
        <v>2865</v>
      </c>
      <c r="E158" t="s">
        <v>2866</v>
      </c>
      <c r="F158" t="s">
        <v>1178</v>
      </c>
      <c r="G158" t="s">
        <v>2875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158</v>
      </c>
      <c r="B159" t="s">
        <v>2868</v>
      </c>
      <c r="C159" t="s">
        <v>2869</v>
      </c>
      <c r="E159" t="s">
        <v>2870</v>
      </c>
      <c r="F159" t="s">
        <v>973</v>
      </c>
      <c r="H159" s="192">
        <f>SUMIF(주문_리스트!D:D,거래처!B159,주문_리스트!M:M)+SUMIF(주문_리스트!D:D,거래처!B159,주문_리스트!N:N)</f>
        <v>2300000</v>
      </c>
    </row>
    <row r="160" spans="1:9">
      <c r="A160" s="47">
        <v>159</v>
      </c>
      <c r="B160" t="s">
        <v>2885</v>
      </c>
      <c r="C160" t="s">
        <v>2886</v>
      </c>
      <c r="E160" t="s">
        <v>2887</v>
      </c>
      <c r="F160" t="s">
        <v>963</v>
      </c>
      <c r="G160" t="s">
        <v>2888</v>
      </c>
      <c r="H160" s="192">
        <f>SUMIF(주문_리스트!D:D,거래처!B160,주문_리스트!M:M)+SUMIF(주문_리스트!D:D,거래처!B160,주문_리스트!N:N)</f>
        <v>0</v>
      </c>
    </row>
    <row r="161" spans="1:10">
      <c r="A161" s="47">
        <v>160</v>
      </c>
      <c r="B161" t="s">
        <v>2891</v>
      </c>
      <c r="C161" t="s">
        <v>2892</v>
      </c>
      <c r="E161" t="s">
        <v>2893</v>
      </c>
      <c r="F161" t="s">
        <v>1178</v>
      </c>
      <c r="H161" s="192">
        <f>SUMIF(주문_리스트!D:D,거래처!B161,주문_리스트!M:M)+SUMIF(주문_리스트!D:D,거래처!B161,주문_리스트!N:N)</f>
        <v>0</v>
      </c>
    </row>
    <row r="162" spans="1:10">
      <c r="A162" s="47">
        <v>161</v>
      </c>
      <c r="B162" t="s">
        <v>2911</v>
      </c>
      <c r="C162" t="s">
        <v>2912</v>
      </c>
      <c r="E162" t="s">
        <v>655</v>
      </c>
      <c r="F162" t="s">
        <v>1178</v>
      </c>
      <c r="H162" s="192">
        <f>SUMIF(주문_리스트!D:D,거래처!B162,주문_리스트!M:M)+SUMIF(주문_리스트!D:D,거래처!B162,주문_리스트!N:N)</f>
        <v>0</v>
      </c>
    </row>
    <row r="163" spans="1:10">
      <c r="A163" s="47">
        <v>162</v>
      </c>
      <c r="B163" t="s">
        <v>2925</v>
      </c>
      <c r="C163" t="s">
        <v>2926</v>
      </c>
      <c r="E163" t="s">
        <v>2927</v>
      </c>
      <c r="F163" t="s">
        <v>976</v>
      </c>
      <c r="G163" t="s">
        <v>2928</v>
      </c>
      <c r="H163" s="192">
        <f>SUMIF(주문_리스트!D:D,거래처!B163,주문_리스트!M:M)+SUMIF(주문_리스트!D:D,거래처!B163,주문_리스트!N:N)</f>
        <v>0</v>
      </c>
    </row>
    <row r="164" spans="1:10">
      <c r="A164" s="47">
        <v>163</v>
      </c>
      <c r="B164" t="s">
        <v>2930</v>
      </c>
      <c r="C164" t="s">
        <v>2931</v>
      </c>
      <c r="E164" t="s">
        <v>2932</v>
      </c>
      <c r="F164" t="s">
        <v>973</v>
      </c>
      <c r="H164" s="192">
        <f>SUMIF(주문_리스트!D:D,거래처!B164,주문_리스트!M:M)+SUMIF(주문_리스트!D:D,거래처!B164,주문_리스트!N:N)</f>
        <v>0</v>
      </c>
      <c r="I164" s="52" t="s">
        <v>2942</v>
      </c>
    </row>
    <row r="165" spans="1:10">
      <c r="A165" s="47">
        <v>164</v>
      </c>
      <c r="B165" t="s">
        <v>2937</v>
      </c>
      <c r="C165" t="s">
        <v>2926</v>
      </c>
      <c r="E165" t="s">
        <v>2927</v>
      </c>
      <c r="F165" t="s">
        <v>976</v>
      </c>
      <c r="G165" t="s">
        <v>2928</v>
      </c>
      <c r="H165" s="192">
        <f>SUMIF(주문_리스트!D:D,거래처!B165,주문_리스트!M:M)+SUMIF(주문_리스트!D:D,거래처!B165,주문_리스트!N:N)</f>
        <v>0</v>
      </c>
    </row>
    <row r="166" spans="1:10">
      <c r="A166" s="47">
        <v>165</v>
      </c>
      <c r="B166" t="s">
        <v>2959</v>
      </c>
      <c r="C166" t="s">
        <v>2960</v>
      </c>
      <c r="E166" t="s">
        <v>2961</v>
      </c>
      <c r="F166" t="s">
        <v>963</v>
      </c>
      <c r="G166" t="s">
        <v>2962</v>
      </c>
      <c r="H166" s="192">
        <f>SUMIF(주문_리스트!D:D,거래처!B166,주문_리스트!M:M)+SUMIF(주문_리스트!D:D,거래처!B166,주문_리스트!N:N)</f>
        <v>0</v>
      </c>
    </row>
    <row r="167" spans="1:10">
      <c r="A167" s="47">
        <v>166</v>
      </c>
      <c r="B167" t="s">
        <v>3017</v>
      </c>
      <c r="C167" t="s">
        <v>3018</v>
      </c>
      <c r="E167" t="s">
        <v>3019</v>
      </c>
      <c r="F167" t="s">
        <v>973</v>
      </c>
      <c r="H167" s="192">
        <f>SUMIF(주문_리스트!D:D,거래처!B167,주문_리스트!M:M)+SUMIF(주문_리스트!D:D,거래처!B167,주문_리스트!N:N)</f>
        <v>0</v>
      </c>
    </row>
    <row r="168" spans="1:10">
      <c r="A168" s="47">
        <v>167</v>
      </c>
      <c r="B168" t="s">
        <v>3025</v>
      </c>
      <c r="C168" t="s">
        <v>3026</v>
      </c>
      <c r="D168" t="s">
        <v>3027</v>
      </c>
      <c r="E168" t="s">
        <v>3028</v>
      </c>
      <c r="F168" t="s">
        <v>976</v>
      </c>
      <c r="G168" t="s">
        <v>3029</v>
      </c>
      <c r="H168" s="192">
        <f>SUMIF(주문_리스트!D:D,거래처!B168,주문_리스트!M:M)+SUMIF(주문_리스트!D:D,거래처!B168,주문_리스트!N:N)</f>
        <v>0</v>
      </c>
    </row>
    <row r="169" spans="1:10">
      <c r="A169" s="47">
        <v>168</v>
      </c>
      <c r="B169" t="s">
        <v>3073</v>
      </c>
      <c r="C169" t="s">
        <v>3074</v>
      </c>
      <c r="E169" t="s">
        <v>3075</v>
      </c>
      <c r="F169" t="s">
        <v>976</v>
      </c>
      <c r="G169" t="s">
        <v>3076</v>
      </c>
      <c r="H169" s="192">
        <f>SUMIF(주문_리스트!D:D,거래처!B169,주문_리스트!M:M)+SUMIF(주문_리스트!D:D,거래처!B169,주문_리스트!N:N)</f>
        <v>0</v>
      </c>
      <c r="I169" s="52" t="s">
        <v>3079</v>
      </c>
    </row>
    <row r="170" spans="1:10">
      <c r="A170" s="47">
        <v>169</v>
      </c>
      <c r="B170" t="s">
        <v>3116</v>
      </c>
      <c r="C170" t="s">
        <v>3117</v>
      </c>
      <c r="E170" t="s">
        <v>3118</v>
      </c>
      <c r="F170" t="s">
        <v>963</v>
      </c>
      <c r="G170" t="s">
        <v>3119</v>
      </c>
      <c r="H170" s="192">
        <f>SUMIF(주문_리스트!D:D,거래처!B170,주문_리스트!M:M)+SUMIF(주문_리스트!D:D,거래처!B170,주문_리스트!N:N)</f>
        <v>0</v>
      </c>
    </row>
    <row r="171" spans="1:10">
      <c r="A171" s="47">
        <v>170</v>
      </c>
      <c r="B171" t="s">
        <v>3147</v>
      </c>
      <c r="C171" t="s">
        <v>3148</v>
      </c>
      <c r="E171" t="s">
        <v>3149</v>
      </c>
      <c r="F171" t="s">
        <v>976</v>
      </c>
      <c r="G171" t="s">
        <v>3150</v>
      </c>
      <c r="H171" s="192">
        <f>SUMIF(주문_리스트!D:D,거래처!B171,주문_리스트!M:M)+SUMIF(주문_리스트!D:D,거래처!B171,주문_리스트!N:N)</f>
        <v>0</v>
      </c>
    </row>
    <row r="172" spans="1:10">
      <c r="A172" s="47">
        <v>171</v>
      </c>
      <c r="B172" t="s">
        <v>3179</v>
      </c>
      <c r="C172" t="s">
        <v>3180</v>
      </c>
      <c r="E172" t="s">
        <v>3181</v>
      </c>
      <c r="F172" t="s">
        <v>963</v>
      </c>
      <c r="H172" s="192">
        <f>SUMIF(주문_리스트!D:D,거래처!B172,주문_리스트!M:M)+SUMIF(주문_리스트!D:D,거래처!B172,주문_리스트!N:N)</f>
        <v>0</v>
      </c>
    </row>
    <row r="173" spans="1:10">
      <c r="A173" s="47">
        <v>172</v>
      </c>
      <c r="B173" t="s">
        <v>3183</v>
      </c>
      <c r="C173" t="s">
        <v>3184</v>
      </c>
      <c r="E173" t="s">
        <v>3185</v>
      </c>
      <c r="F173" t="s">
        <v>32</v>
      </c>
      <c r="G173" t="s">
        <v>3190</v>
      </c>
      <c r="H173" s="192">
        <f>SUMIF(주문_리스트!D:D,거래처!B173,주문_리스트!M:M)+SUMIF(주문_리스트!D:D,거래처!B173,주문_리스트!N:N)</f>
        <v>0</v>
      </c>
    </row>
    <row r="174" spans="1:10">
      <c r="A174" s="47">
        <v>173</v>
      </c>
      <c r="B174" t="s">
        <v>3206</v>
      </c>
      <c r="C174" t="s">
        <v>3207</v>
      </c>
      <c r="E174" t="s">
        <v>3208</v>
      </c>
      <c r="F174" t="s">
        <v>963</v>
      </c>
      <c r="G174" t="s">
        <v>130</v>
      </c>
      <c r="H174" s="192">
        <f>SUMIF(주문_리스트!D:D,거래처!B174,주문_리스트!M:M)+SUMIF(주문_리스트!D:D,거래처!B174,주문_리스트!N:N)</f>
        <v>0</v>
      </c>
    </row>
    <row r="175" spans="1:10">
      <c r="A175" s="47">
        <v>174</v>
      </c>
      <c r="B175" t="s">
        <v>3259</v>
      </c>
      <c r="C175" t="s">
        <v>3260</v>
      </c>
      <c r="E175" t="s">
        <v>3261</v>
      </c>
      <c r="F175" t="s">
        <v>1178</v>
      </c>
      <c r="G175" t="s">
        <v>2787</v>
      </c>
      <c r="H175" s="192">
        <f>SUMIF(주문_리스트!D:D,거래처!B175,주문_리스트!M:M)+SUMIF(주문_리스트!D:D,거래처!B175,주문_리스트!N:N)</f>
        <v>0</v>
      </c>
    </row>
    <row r="176" spans="1:10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2">
        <f>SUMIF(주문_리스트!D:D,거래처!B176,주문_리스트!M:M)+SUMIF(주문_리스트!D:D,거래처!B176,주문_리스트!N:N)</f>
        <v>0</v>
      </c>
      <c r="J176" t="s">
        <v>3883</v>
      </c>
    </row>
    <row r="177" spans="1:11">
      <c r="A177" s="47">
        <v>176</v>
      </c>
      <c r="B177" t="s">
        <v>3287</v>
      </c>
      <c r="C177" t="s">
        <v>3288</v>
      </c>
      <c r="E177" t="s">
        <v>3289</v>
      </c>
      <c r="F177" t="s">
        <v>976</v>
      </c>
      <c r="G177" t="s">
        <v>3290</v>
      </c>
      <c r="H177" s="192">
        <f>SUMIF(주문_리스트!D:D,거래처!B177,주문_리스트!M:M)+SUMIF(주문_리스트!D:D,거래처!B177,주문_리스트!N:N)</f>
        <v>0</v>
      </c>
      <c r="K177" t="s">
        <v>3400</v>
      </c>
    </row>
    <row r="178" spans="1:11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2">
        <f>SUMIF(주문_리스트!D:D,거래처!B178,주문_리스트!M:M)+SUMIF(주문_리스트!D:D,거래처!B178,주문_리스트!N:N)</f>
        <v>0</v>
      </c>
    </row>
    <row r="179" spans="1:11">
      <c r="A179" s="47">
        <v>178</v>
      </c>
      <c r="B179" t="s">
        <v>3401</v>
      </c>
      <c r="C179" t="s">
        <v>3402</v>
      </c>
      <c r="E179" t="s">
        <v>3403</v>
      </c>
      <c r="F179" t="s">
        <v>963</v>
      </c>
      <c r="G179" t="s">
        <v>181</v>
      </c>
      <c r="H179" s="192">
        <f>SUMIF(주문_리스트!D:D,거래처!B179,주문_리스트!M:M)+SUMIF(주문_리스트!D:D,거래처!B179,주문_리스트!N:N)</f>
        <v>0</v>
      </c>
      <c r="J179" t="s">
        <v>3851</v>
      </c>
    </row>
    <row r="180" spans="1:11">
      <c r="A180" s="47">
        <v>179</v>
      </c>
      <c r="B180" t="s">
        <v>3448</v>
      </c>
      <c r="C180" t="s">
        <v>3449</v>
      </c>
      <c r="E180" t="s">
        <v>3450</v>
      </c>
      <c r="F180" t="s">
        <v>3451</v>
      </c>
      <c r="G180" t="s">
        <v>3452</v>
      </c>
      <c r="H180" s="192">
        <f>SUMIF(주문_리스트!D:D,거래처!B180,주문_리스트!M:M)+SUMIF(주문_리스트!D:D,거래처!B180,주문_리스트!N:N)</f>
        <v>0</v>
      </c>
      <c r="J180" t="s">
        <v>3605</v>
      </c>
    </row>
    <row r="181" spans="1:11">
      <c r="A181" s="47">
        <v>180</v>
      </c>
      <c r="B181" t="s">
        <v>3455</v>
      </c>
      <c r="C181" t="s">
        <v>3456</v>
      </c>
      <c r="E181" t="s">
        <v>3457</v>
      </c>
      <c r="F181" t="s">
        <v>973</v>
      </c>
      <c r="H181" s="192">
        <f>SUMIF(주문_리스트!D:D,거래처!B181,주문_리스트!M:M)+SUMIF(주문_리스트!D:D,거래처!B181,주문_리스트!N:N)</f>
        <v>0</v>
      </c>
    </row>
    <row r="182" spans="1:11">
      <c r="A182" s="47">
        <v>181</v>
      </c>
      <c r="B182" t="s">
        <v>3459</v>
      </c>
      <c r="C182" t="s">
        <v>3460</v>
      </c>
      <c r="E182" t="s">
        <v>3461</v>
      </c>
      <c r="F182" t="s">
        <v>1178</v>
      </c>
      <c r="G182" t="s">
        <v>2787</v>
      </c>
      <c r="H182" s="192">
        <f>SUMIF(주문_리스트!D:D,거래처!B182,주문_리스트!M:M)+SUMIF(주문_리스트!D:D,거래처!B182,주문_리스트!N:N)</f>
        <v>0</v>
      </c>
      <c r="J182" t="s">
        <v>3740</v>
      </c>
    </row>
    <row r="183" spans="1:11">
      <c r="A183" s="47">
        <v>182</v>
      </c>
      <c r="B183" t="s">
        <v>3742</v>
      </c>
      <c r="C183" t="s">
        <v>3743</v>
      </c>
      <c r="E183" t="s">
        <v>3744</v>
      </c>
      <c r="F183" t="s">
        <v>3745</v>
      </c>
      <c r="G183" t="s">
        <v>3746</v>
      </c>
      <c r="H183" s="192">
        <f>SUMIF(주문_리스트!D:D,거래처!B183,주문_리스트!M:M)+SUMIF(주문_리스트!D:D,거래처!B183,주문_리스트!N:N)</f>
        <v>0</v>
      </c>
      <c r="I183" s="52" t="s">
        <v>3512</v>
      </c>
    </row>
    <row r="184" spans="1:11">
      <c r="A184" s="47">
        <v>183</v>
      </c>
      <c r="B184" t="s">
        <v>3496</v>
      </c>
      <c r="C184" t="s">
        <v>3497</v>
      </c>
      <c r="E184" t="s">
        <v>3499</v>
      </c>
      <c r="F184" t="s">
        <v>973</v>
      </c>
      <c r="H184" s="192">
        <v>0</v>
      </c>
      <c r="I184" s="52" t="s">
        <v>3512</v>
      </c>
    </row>
    <row r="185" spans="1:11">
      <c r="A185" s="47">
        <v>184</v>
      </c>
      <c r="B185" t="s">
        <v>3564</v>
      </c>
      <c r="C185" t="s">
        <v>3565</v>
      </c>
      <c r="E185" t="s">
        <v>3566</v>
      </c>
      <c r="F185" t="s">
        <v>963</v>
      </c>
      <c r="G185" t="s">
        <v>3567</v>
      </c>
      <c r="H185" s="192">
        <f>SUMIF(주문_리스트!D:D,거래처!B185,주문_리스트!M:M)+SUMIF(주문_리스트!D:D,거래처!B185,주문_리스트!N:N)</f>
        <v>0</v>
      </c>
      <c r="J185" t="s">
        <v>3605</v>
      </c>
    </row>
    <row r="186" spans="1:11">
      <c r="A186" s="47">
        <v>185</v>
      </c>
      <c r="B186" t="s">
        <v>3617</v>
      </c>
      <c r="C186" t="s">
        <v>3618</v>
      </c>
      <c r="E186" t="s">
        <v>3619</v>
      </c>
      <c r="F186" t="s">
        <v>1178</v>
      </c>
      <c r="G186" t="s">
        <v>3616</v>
      </c>
      <c r="H186" s="192">
        <f>SUMIF(주문_리스트!D:D,거래처!B186,주문_리스트!M:M)+SUMIF(주문_리스트!D:D,거래처!B186,주문_리스트!N:N)-2100000</f>
        <v>1200000</v>
      </c>
    </row>
    <row r="187" spans="1:11">
      <c r="A187" s="47">
        <v>186</v>
      </c>
      <c r="B187" t="s">
        <v>3704</v>
      </c>
      <c r="C187" t="s">
        <v>3705</v>
      </c>
      <c r="E187" t="s">
        <v>3706</v>
      </c>
      <c r="F187" t="s">
        <v>1178</v>
      </c>
      <c r="G187" t="s">
        <v>3707</v>
      </c>
      <c r="H187" s="192">
        <f>SUMIF(주문_리스트!D:D,거래처!B187,주문_리스트!M:M)+SUMIF(주문_리스트!D:D,거래처!B187,주문_리스트!N:N)</f>
        <v>0</v>
      </c>
    </row>
    <row r="188" spans="1:11">
      <c r="A188" s="47">
        <v>188</v>
      </c>
      <c r="B188" t="s">
        <v>3797</v>
      </c>
      <c r="C188" t="s">
        <v>3798</v>
      </c>
      <c r="E188" t="s">
        <v>3799</v>
      </c>
      <c r="F188" t="s">
        <v>1178</v>
      </c>
      <c r="G188" t="s">
        <v>3799</v>
      </c>
      <c r="H188" s="192">
        <f>SUMIF(주문_리스트!D:D,거래처!B188,주문_리스트!M:M)+SUMIF(주문_리스트!D:D,거래처!B188,주문_리스트!N:N)</f>
        <v>0</v>
      </c>
    </row>
    <row r="189" spans="1:11">
      <c r="A189" s="47">
        <v>189</v>
      </c>
      <c r="B189" t="s">
        <v>3864</v>
      </c>
      <c r="C189" t="s">
        <v>3865</v>
      </c>
      <c r="E189" t="s">
        <v>3866</v>
      </c>
      <c r="F189" t="s">
        <v>973</v>
      </c>
      <c r="H189" s="192">
        <f>SUMIF(주문_리스트!D:D,거래처!B189,주문_리스트!M:M)+SUMIF(주문_리스트!D:D,거래처!B189,주문_리스트!N:N)</f>
        <v>0</v>
      </c>
      <c r="J189" t="s">
        <v>3885</v>
      </c>
    </row>
    <row r="190" spans="1:11">
      <c r="H190" s="192">
        <f>SUMIF(주문_리스트!D:D,거래처!B190,주문_리스트!M:M)+SUMIF(주문_리스트!D:D,거래처!B190,주문_리스트!N:N)</f>
        <v>0</v>
      </c>
    </row>
    <row r="191" spans="1:11">
      <c r="H191" s="192">
        <f>SUMIF(주문_리스트!D:D,거래처!B191,주문_리스트!M:M)+SUMIF(주문_리스트!D:D,거래처!B191,주문_리스트!N:N)</f>
        <v>0</v>
      </c>
    </row>
    <row r="192" spans="1:11">
      <c r="H192" s="192">
        <f>SUMIF(주문_리스트!D:D,거래처!B192,주문_리스트!M:M)+SUMIF(주문_리스트!D:D,거래처!B192,주문_리스트!N:N)</f>
        <v>0</v>
      </c>
    </row>
    <row r="193" spans="8:8">
      <c r="H193" s="192">
        <f>SUMIF(주문_리스트!D:D,거래처!B193,주문_리스트!M:M)+SUMIF(주문_리스트!D:D,거래처!B193,주문_리스트!N:N)</f>
        <v>0</v>
      </c>
    </row>
    <row r="194" spans="8:8">
      <c r="H194" s="192">
        <f>SUMIF(주문_리스트!D:D,거래처!B194,주문_리스트!M:M)+SUMIF(주문_리스트!D:D,거래처!B194,주문_리스트!N:N)</f>
        <v>0</v>
      </c>
    </row>
    <row r="195" spans="8:8">
      <c r="H195" s="192">
        <f>SUMIF(주문_리스트!D:D,거래처!B195,주문_리스트!M:M)+SUMIF(주문_리스트!D:D,거래처!B195,주문_리스트!N:N)</f>
        <v>0</v>
      </c>
    </row>
    <row r="196" spans="8:8">
      <c r="H196" s="192">
        <f>SUMIF(주문_리스트!D:D,거래처!B196,주문_리스트!M:M)+SUMIF(주문_리스트!D:D,거래처!B196,주문_리스트!N:N)</f>
        <v>0</v>
      </c>
    </row>
    <row r="197" spans="8:8">
      <c r="H197" s="192">
        <f>SUMIF(주문_리스트!D:D,거래처!B197,주문_리스트!M:M)+SUMIF(주문_리스트!D:D,거래처!B197,주문_리스트!N:N)</f>
        <v>0</v>
      </c>
    </row>
    <row r="198" spans="8:8">
      <c r="H198" s="192">
        <f>SUMIF(주문_리스트!D:D,거래처!B198,주문_리스트!M:M)+SUMIF(주문_리스트!D:D,거래처!B198,주문_리스트!N:N)</f>
        <v>0</v>
      </c>
    </row>
    <row r="199" spans="8:8">
      <c r="H199" s="192">
        <f>SUMIF(주문_리스트!D:D,거래처!B199,주문_리스트!M:M)+SUMIF(주문_리스트!D:D,거래처!B199,주문_리스트!N:N)</f>
        <v>0</v>
      </c>
    </row>
    <row r="200" spans="8:8">
      <c r="H200" s="192">
        <f>SUMIF(주문_리스트!D:D,거래처!B200,주문_리스트!M:M)+SUMIF(주문_리스트!D:D,거래처!B200,주문_리스트!N:N)</f>
        <v>0</v>
      </c>
    </row>
    <row r="201" spans="8:8">
      <c r="H201" s="192">
        <f>SUMIF(주문_리스트!D:D,거래처!B201,주문_리스트!M:M)+SUMIF(주문_리스트!D:D,거래처!B201,주문_리스트!N:N)</f>
        <v>0</v>
      </c>
    </row>
    <row r="202" spans="8:8">
      <c r="H202" s="192">
        <f>SUMIF(주문_리스트!D:D,거래처!B202,주문_리스트!M:M)+SUMIF(주문_리스트!D:D,거래처!B202,주문_리스트!N:N)</f>
        <v>0</v>
      </c>
    </row>
    <row r="203" spans="8:8">
      <c r="H203" s="192">
        <f>SUMIF(주문_리스트!D:D,거래처!B203,주문_리스트!M:M)+SUMIF(주문_리스트!D:D,거래처!B203,주문_리스트!N:N)</f>
        <v>0</v>
      </c>
    </row>
    <row r="204" spans="8:8">
      <c r="H204" s="192">
        <f>SUMIF(주문_리스트!D:D,거래처!B204,주문_리스트!M:M)+SUMIF(주문_리스트!D:D,거래처!B204,주문_리스트!N:N)</f>
        <v>0</v>
      </c>
    </row>
    <row r="205" spans="8:8">
      <c r="H205" s="192">
        <f>SUMIF(주문_리스트!D:D,거래처!B205,주문_리스트!M:M)+SUMIF(주문_리스트!D:D,거래처!B205,주문_리스트!N:N)</f>
        <v>0</v>
      </c>
    </row>
    <row r="206" spans="8:8">
      <c r="H206" s="192">
        <f>SUMIF(주문_리스트!D:D,거래처!B206,주문_리스트!M:M)+SUMIF(주문_리스트!D:D,거래처!B206,주문_리스트!N:N)</f>
        <v>0</v>
      </c>
    </row>
    <row r="207" spans="8:8">
      <c r="H207" s="192">
        <f>SUMIF(주문_리스트!D:D,거래처!B207,주문_리스트!M:M)+SUMIF(주문_리스트!D:D,거래처!B207,주문_리스트!N:N)</f>
        <v>0</v>
      </c>
    </row>
    <row r="208" spans="8:8">
      <c r="H208" s="192">
        <f>SUMIF(주문_리스트!D:D,거래처!B208,주문_리스트!M:M)+SUMIF(주문_리스트!D:D,거래처!B208,주문_리스트!N:N)</f>
        <v>0</v>
      </c>
    </row>
    <row r="209" spans="8:8">
      <c r="H209" s="192">
        <f>SUMIF(주문_리스트!D:D,거래처!B209,주문_리스트!M:M)+SUMIF(주문_리스트!D:D,거래처!B209,주문_리스트!N:N)</f>
        <v>0</v>
      </c>
    </row>
    <row r="210" spans="8:8">
      <c r="H210" s="192">
        <f>SUMIF(주문_리스트!D:D,거래처!B210,주문_리스트!M:M)+SUMIF(주문_리스트!D:D,거래처!B210,주문_리스트!N:N)</f>
        <v>0</v>
      </c>
    </row>
    <row r="211" spans="8:8">
      <c r="H211" s="192">
        <f>SUMIF(주문_리스트!D:D,거래처!B211,주문_리스트!M:M)+SUMIF(주문_리스트!D:D,거래처!B211,주문_리스트!N:N)</f>
        <v>0</v>
      </c>
    </row>
    <row r="212" spans="8:8">
      <c r="H212" s="192">
        <f>SUMIF(주문_리스트!D:D,거래처!B212,주문_리스트!M:M)+SUMIF(주문_리스트!D:D,거래처!B212,주문_리스트!N:N)</f>
        <v>0</v>
      </c>
    </row>
    <row r="213" spans="8:8">
      <c r="H213" s="192">
        <f>SUMIF(주문_리스트!D:D,거래처!B213,주문_리스트!M:M)+SUMIF(주문_리스트!D:D,거래처!B213,주문_리스트!N:N)</f>
        <v>0</v>
      </c>
    </row>
    <row r="214" spans="8:8">
      <c r="H214" s="192">
        <f>SUMIF(주문_리스트!D:D,거래처!B214,주문_리스트!M:M)+SUMIF(주문_리스트!D:D,거래처!B214,주문_리스트!N:N)</f>
        <v>0</v>
      </c>
    </row>
    <row r="215" spans="8:8">
      <c r="H215" s="192">
        <f>SUMIF(주문_리스트!D:D,거래처!B215,주문_리스트!M:M)+SUMIF(주문_리스트!D:D,거래처!B215,주문_리스트!N:N)</f>
        <v>0</v>
      </c>
    </row>
    <row r="216" spans="8:8">
      <c r="H216" s="192">
        <f>SUMIF(주문_리스트!D:D,거래처!B216,주문_리스트!M:M)+SUMIF(주문_리스트!D:D,거래처!B216,주문_리스트!N:N)</f>
        <v>0</v>
      </c>
    </row>
    <row r="217" spans="8:8">
      <c r="H217" s="192">
        <f>SUMIF(주문_리스트!D:D,거래처!B217,주문_리스트!M:M)+SUMIF(주문_리스트!D:D,거래처!B217,주문_리스트!N:N)</f>
        <v>0</v>
      </c>
    </row>
    <row r="218" spans="8:8">
      <c r="H218" s="192">
        <f>SUMIF(주문_리스트!D:D,거래처!B218,주문_리스트!M:M)+SUMIF(주문_리스트!D:D,거래처!B218,주문_리스트!N:N)</f>
        <v>0</v>
      </c>
    </row>
    <row r="219" spans="8:8">
      <c r="H219" s="192">
        <f>SUMIF(주문_리스트!D:D,거래처!B219,주문_리스트!M:M)+SUMIF(주문_리스트!D:D,거래처!B219,주문_리스트!N:N)</f>
        <v>0</v>
      </c>
    </row>
    <row r="220" spans="8:8">
      <c r="H220" s="192">
        <f>SUMIF(주문_리스트!D:D,거래처!B220,주문_리스트!M:M)+SUMIF(주문_리스트!D:D,거래처!B220,주문_리스트!N:N)</f>
        <v>0</v>
      </c>
    </row>
    <row r="221" spans="8:8">
      <c r="H221" s="192">
        <f>SUMIF(주문_리스트!D:D,거래처!B221,주문_리스트!M:M)+SUMIF(주문_리스트!D:D,거래처!B221,주문_리스트!N:N)</f>
        <v>0</v>
      </c>
    </row>
    <row r="222" spans="8:8">
      <c r="H222" s="192">
        <f>SUMIF(주문_리스트!D:D,거래처!B222,주문_리스트!M:M)+SUMIF(주문_리스트!D:D,거래처!B222,주문_리스트!N:N)</f>
        <v>0</v>
      </c>
    </row>
    <row r="223" spans="8:8">
      <c r="H223" s="192">
        <f>SUMIF(주문_리스트!D:D,거래처!B223,주문_리스트!M:M)+SUMIF(주문_리스트!D:D,거래처!B223,주문_리스트!N:N)</f>
        <v>0</v>
      </c>
    </row>
    <row r="224" spans="8:8">
      <c r="H224" s="192">
        <f>SUMIF(주문_리스트!D:D,거래처!B224,주문_리스트!M:M)+SUMIF(주문_리스트!D:D,거래처!B224,주문_리스트!N:N)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H125" sqref="H125"/>
    </sheetView>
  </sheetViews>
  <sheetFormatPr defaultColWidth="9" defaultRowHeight="17.399999999999999"/>
  <cols>
    <col min="1" max="1" width="11.69921875" customWidth="1"/>
    <col min="2" max="2" width="20.3984375" style="281" customWidth="1"/>
    <col min="3" max="3" width="26" style="281" bestFit="1" customWidth="1"/>
    <col min="4" max="4" width="15.59765625" style="281" customWidth="1"/>
    <col min="5" max="7" width="13.09765625" style="52" customWidth="1"/>
    <col min="8" max="8" width="68.3984375" style="52" bestFit="1" customWidth="1"/>
    <col min="9" max="9" width="13.09765625" bestFit="1" customWidth="1"/>
  </cols>
  <sheetData>
    <row r="1" spans="1:10" ht="18" thickBot="1">
      <c r="A1" s="31" t="s">
        <v>2</v>
      </c>
      <c r="B1" s="280" t="s">
        <v>1</v>
      </c>
      <c r="C1" s="280" t="s">
        <v>0</v>
      </c>
      <c r="D1" s="280" t="s">
        <v>44</v>
      </c>
      <c r="E1" s="51" t="s">
        <v>42</v>
      </c>
      <c r="F1" s="51" t="s">
        <v>1604</v>
      </c>
      <c r="G1" s="51" t="s">
        <v>1826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2514</v>
      </c>
      <c r="D2" s="281">
        <v>28120504</v>
      </c>
      <c r="E2" s="52">
        <v>1000000</v>
      </c>
      <c r="G2">
        <f>SUMIF(재고!E:E,제품!C2,재고!G:G)-SUMIF(주문_리스트!G:G,제품!C2,주문_리스트!J:J)</f>
        <v>-4</v>
      </c>
      <c r="H2"/>
    </row>
    <row r="3" spans="1:10">
      <c r="A3">
        <v>2</v>
      </c>
      <c r="C3" s="281" t="s">
        <v>2191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1139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1948</v>
      </c>
      <c r="C5" s="281" t="s">
        <v>1947</v>
      </c>
      <c r="D5" s="281" t="s">
        <v>1948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1636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1605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1739</v>
      </c>
      <c r="E8" s="52">
        <v>650000</v>
      </c>
      <c r="G8">
        <f>SUMIF(재고!E:E,제품!C8,재고!G:G)-SUMIF(주문_리스트!G:G,제품!C8,주문_리스트!J:J)</f>
        <v>-75</v>
      </c>
      <c r="H8"/>
    </row>
    <row r="9" spans="1:10">
      <c r="A9">
        <v>8</v>
      </c>
      <c r="B9" s="281" t="s">
        <v>3823</v>
      </c>
      <c r="C9" s="281" t="s">
        <v>1138</v>
      </c>
      <c r="D9" s="281" t="s">
        <v>3823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2916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1141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1142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1143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1">
        <v>415054509</v>
      </c>
      <c r="C14" s="281" t="s">
        <v>2517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1637</v>
      </c>
      <c r="J14">
        <v>75000</v>
      </c>
    </row>
    <row r="15" spans="1:10">
      <c r="A15">
        <v>14</v>
      </c>
      <c r="B15" s="281" t="s">
        <v>3824</v>
      </c>
      <c r="C15" s="281" t="s">
        <v>1650</v>
      </c>
      <c r="D15" s="281" t="s">
        <v>3647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1">
        <v>2830506</v>
      </c>
      <c r="C16" s="281" t="s">
        <v>2677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1">
        <v>2820403</v>
      </c>
      <c r="C17" s="281" t="s">
        <v>2681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-32</v>
      </c>
    </row>
    <row r="18" spans="1:8">
      <c r="A18">
        <v>17</v>
      </c>
      <c r="C18" s="281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2199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2197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1648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2181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1195</v>
      </c>
      <c r="C23" s="281" t="s">
        <v>2193</v>
      </c>
      <c r="D23" s="281" t="s">
        <v>1195</v>
      </c>
      <c r="E23" s="52">
        <v>1000000</v>
      </c>
      <c r="G23">
        <f>SUMIF(재고!E:E,제품!C23,재고!G:G)-SUMIF(주문_리스트!G:G,제품!C23,주문_리스트!J:J)</f>
        <v>-11</v>
      </c>
    </row>
    <row r="24" spans="1:8">
      <c r="A24">
        <v>23</v>
      </c>
      <c r="B24" s="281" t="s">
        <v>1196</v>
      </c>
      <c r="C24" s="281" t="s">
        <v>2193</v>
      </c>
      <c r="D24" s="281" t="s">
        <v>1196</v>
      </c>
      <c r="E24" s="52">
        <v>1000000</v>
      </c>
      <c r="G24">
        <f>SUMIF(재고!E:E,제품!C24,재고!G:G)-SUMIF(주문_리스트!G:G,제품!C24,주문_리스트!J:J)</f>
        <v>-11</v>
      </c>
    </row>
    <row r="25" spans="1:8">
      <c r="A25">
        <v>24</v>
      </c>
      <c r="B25" s="281" t="s">
        <v>1197</v>
      </c>
      <c r="C25" s="281" t="s">
        <v>2182</v>
      </c>
      <c r="D25" s="281" t="s">
        <v>1197</v>
      </c>
      <c r="E25" s="52">
        <v>1400000</v>
      </c>
      <c r="G25">
        <f>SUMIF(재고!E:E,제품!C25,재고!G:G)-SUMIF(주문_리스트!G:G,제품!C25,주문_리스트!J:J)</f>
        <v>-26</v>
      </c>
    </row>
    <row r="26" spans="1:8">
      <c r="A26">
        <v>25</v>
      </c>
      <c r="B26" s="281" t="s">
        <v>1198</v>
      </c>
      <c r="C26" s="281" t="s">
        <v>2176</v>
      </c>
      <c r="D26" s="281" t="s">
        <v>1198</v>
      </c>
      <c r="E26" s="52">
        <v>1500000</v>
      </c>
      <c r="G26">
        <f>SUMIF(재고!E:E,제품!C26,재고!G:G)-SUMIF(주문_리스트!G:G,제품!C26,주문_리스트!J:J)</f>
        <v>-93</v>
      </c>
    </row>
    <row r="27" spans="1:8">
      <c r="A27">
        <v>26</v>
      </c>
      <c r="B27" s="281" t="s">
        <v>1990</v>
      </c>
      <c r="C27" s="281" t="s">
        <v>1641</v>
      </c>
      <c r="D27" s="281" t="s">
        <v>1990</v>
      </c>
      <c r="E27" s="52">
        <v>1500000</v>
      </c>
      <c r="G27">
        <f>SUMIF(재고!E:E,제품!C27,재고!G:G)-SUMIF(주문_리스트!G:G,제품!C27,주문_리스트!J:J)</f>
        <v>-2</v>
      </c>
    </row>
    <row r="28" spans="1:8">
      <c r="A28">
        <v>27</v>
      </c>
      <c r="B28" s="281" t="s">
        <v>1217</v>
      </c>
      <c r="C28" s="281" t="s">
        <v>1215</v>
      </c>
      <c r="D28" s="281" t="s">
        <v>1217</v>
      </c>
      <c r="E28" s="52">
        <v>1400000</v>
      </c>
      <c r="G28">
        <f>SUMIF(재고!E:E,제품!C28,재고!G:G)-SUMIF(주문_리스트!G:G,제품!C28,주문_리스트!J:J)</f>
        <v>-147</v>
      </c>
      <c r="H28" s="52">
        <v>5000</v>
      </c>
    </row>
    <row r="29" spans="1:8">
      <c r="A29">
        <v>28</v>
      </c>
      <c r="B29" s="281" t="s">
        <v>1201</v>
      </c>
      <c r="C29" s="281" t="s">
        <v>1202</v>
      </c>
      <c r="D29" s="281" t="s">
        <v>1201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1" t="s">
        <v>1203</v>
      </c>
      <c r="C30" s="281" t="s">
        <v>1202</v>
      </c>
      <c r="D30" s="281" t="s">
        <v>1203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1" t="s">
        <v>1756</v>
      </c>
      <c r="C31" s="281" t="s">
        <v>3463</v>
      </c>
      <c r="D31" s="281" t="s">
        <v>1756</v>
      </c>
      <c r="E31" s="52">
        <v>569000</v>
      </c>
      <c r="F31" s="52">
        <v>480000</v>
      </c>
      <c r="G31">
        <f>SUMIF(재고!E:E,제품!C31,재고!G:G)-SUMIF(주문_리스트!G:G,제품!C31,주문_리스트!J:J)</f>
        <v>-51</v>
      </c>
    </row>
    <row r="32" spans="1:8">
      <c r="A32">
        <v>31</v>
      </c>
      <c r="B32" s="281" t="s">
        <v>1206</v>
      </c>
      <c r="C32" s="281" t="s">
        <v>1205</v>
      </c>
      <c r="D32" s="281" t="s">
        <v>1206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1208</v>
      </c>
      <c r="C33" s="281" t="s">
        <v>2461</v>
      </c>
      <c r="D33" s="281" t="s">
        <v>1208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1" t="s">
        <v>2571</v>
      </c>
      <c r="C34" s="281" t="s">
        <v>2572</v>
      </c>
      <c r="D34" s="281" t="s">
        <v>2571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1" t="s">
        <v>1211</v>
      </c>
      <c r="C35" s="281" t="s">
        <v>2175</v>
      </c>
      <c r="D35" s="281" t="s">
        <v>1211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1212</v>
      </c>
      <c r="C36" s="281" t="s">
        <v>1642</v>
      </c>
      <c r="D36" s="281" t="s">
        <v>1212</v>
      </c>
      <c r="E36" s="52">
        <v>1500000</v>
      </c>
      <c r="G36">
        <f>SUMIF(재고!E:E,제품!C36,재고!G:G)-SUMIF(주문_리스트!G:G,제품!C36,주문_리스트!J:J)</f>
        <v>-14</v>
      </c>
    </row>
    <row r="37" spans="1:7">
      <c r="A37">
        <v>36</v>
      </c>
      <c r="B37" s="281" t="s">
        <v>1219</v>
      </c>
      <c r="C37" s="281" t="s">
        <v>1362</v>
      </c>
      <c r="D37" s="281" t="s">
        <v>1363</v>
      </c>
      <c r="E37" s="52">
        <v>1600000</v>
      </c>
      <c r="G37">
        <f>SUMIF(재고!E:E,제품!C37,재고!G:G)-SUMIF(주문_리스트!G:G,제품!C37,주문_리스트!J:J)</f>
        <v>-18</v>
      </c>
    </row>
    <row r="38" spans="1:7">
      <c r="A38">
        <v>37</v>
      </c>
      <c r="B38" s="281" t="s">
        <v>1253</v>
      </c>
      <c r="C38" s="281" t="s">
        <v>1254</v>
      </c>
      <c r="D38" s="281" t="s">
        <v>1253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1" t="s">
        <v>1674</v>
      </c>
      <c r="C39" s="281" t="s">
        <v>2184</v>
      </c>
      <c r="D39" s="281" t="s">
        <v>1674</v>
      </c>
      <c r="E39" s="52">
        <v>130000</v>
      </c>
      <c r="F39" s="52">
        <v>90000</v>
      </c>
      <c r="G39">
        <f>SUMIF(재고!E:E,제품!C39,재고!G:G)-SUMIF(주문_리스트!G:G,제품!C39,주문_리스트!J:J)</f>
        <v>-51</v>
      </c>
    </row>
    <row r="40" spans="1:7">
      <c r="A40">
        <v>39</v>
      </c>
      <c r="B40" s="281" t="s">
        <v>1723</v>
      </c>
      <c r="C40" s="281" t="s">
        <v>1724</v>
      </c>
      <c r="D40" s="281" t="s">
        <v>1723</v>
      </c>
      <c r="E40" s="52">
        <v>50000</v>
      </c>
      <c r="G40">
        <f>SUMIF(재고!E:E,제품!C40,재고!G:G)-SUMIF(주문_리스트!G:G,제품!C40,주문_리스트!J:J)</f>
        <v>-77</v>
      </c>
    </row>
    <row r="41" spans="1:7">
      <c r="A41">
        <v>40</v>
      </c>
      <c r="C41" s="281" t="s">
        <v>1376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1466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1476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1482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2200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2185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1" t="s">
        <v>2715</v>
      </c>
      <c r="C47" s="281" t="s">
        <v>2333</v>
      </c>
      <c r="D47" s="281" t="s">
        <v>2715</v>
      </c>
      <c r="E47" s="52">
        <v>350000</v>
      </c>
      <c r="G47">
        <f>SUMIF(재고!E:E,제품!C47,재고!G:G)-SUMIF(주문_리스트!G:G,제품!C47,주문_리스트!J:J)</f>
        <v>-66</v>
      </c>
    </row>
    <row r="48" spans="1:7">
      <c r="A48">
        <v>47</v>
      </c>
      <c r="C48" s="281" t="s">
        <v>1502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1515</v>
      </c>
      <c r="E49" s="52">
        <v>20000</v>
      </c>
      <c r="G49">
        <f>SUMIF(재고!E:E,제품!C49,재고!G:G)-SUMIF(주문_리스트!G:G,제품!C49,주문_리스트!J:J)</f>
        <v>-40</v>
      </c>
    </row>
    <row r="50" spans="1:8">
      <c r="A50">
        <v>49</v>
      </c>
      <c r="C50" s="281" t="s">
        <v>1520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1531</v>
      </c>
      <c r="E53" s="52">
        <v>450000</v>
      </c>
      <c r="G53">
        <f>SUMIF(재고!E:E,제품!C53,재고!G:G)-SUMIF(주문_리스트!G:G,제품!C53,주문_리스트!J:J)</f>
        <v>-22</v>
      </c>
    </row>
    <row r="54" spans="1:8">
      <c r="A54">
        <v>53</v>
      </c>
      <c r="B54" s="281">
        <v>24152333903</v>
      </c>
      <c r="C54" s="281" t="s">
        <v>1813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-27</v>
      </c>
      <c r="H54" s="52" t="s">
        <v>1814</v>
      </c>
    </row>
    <row r="55" spans="1:8">
      <c r="A55">
        <v>54</v>
      </c>
      <c r="C55" s="281" t="s">
        <v>1551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1643</v>
      </c>
      <c r="C56" s="281" t="s">
        <v>1966</v>
      </c>
      <c r="D56" s="281" t="s">
        <v>1643</v>
      </c>
      <c r="E56" s="52">
        <v>1800000</v>
      </c>
      <c r="G56">
        <f>SUMIF(재고!E:E,제품!C56,재고!G:G)-SUMIF(주문_리스트!G:G,제품!C56,주문_리스트!J:J)</f>
        <v>-12</v>
      </c>
    </row>
    <row r="57" spans="1:8">
      <c r="A57">
        <v>56</v>
      </c>
      <c r="B57" s="281" t="s">
        <v>1206</v>
      </c>
      <c r="C57" s="281" t="s">
        <v>1422</v>
      </c>
      <c r="D57" s="281" t="s">
        <v>1206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1" t="s">
        <v>2743</v>
      </c>
      <c r="C58" s="281" t="s">
        <v>2202</v>
      </c>
      <c r="D58" s="281" t="s">
        <v>2743</v>
      </c>
      <c r="E58" s="52">
        <v>1100000</v>
      </c>
      <c r="G58">
        <f>SUMIF(재고!E:E,제품!C58,재고!G:G)-SUMIF(주문_리스트!G:G,제품!C58,주문_리스트!J:J)</f>
        <v>-13</v>
      </c>
    </row>
    <row r="59" spans="1:8">
      <c r="A59">
        <v>58</v>
      </c>
      <c r="B59" s="281" t="s">
        <v>1645</v>
      </c>
      <c r="C59" s="281" t="s">
        <v>1644</v>
      </c>
      <c r="D59" s="281" t="s">
        <v>1645</v>
      </c>
      <c r="E59" s="52">
        <v>1100000</v>
      </c>
      <c r="G59">
        <f>SUMIF(재고!E:E,제품!C59,재고!G:G)-SUMIF(주문_리스트!G:G,제품!C59,주문_리스트!J:J)</f>
        <v>-18</v>
      </c>
    </row>
    <row r="60" spans="1:8">
      <c r="A60">
        <v>59</v>
      </c>
      <c r="B60" s="281" t="s">
        <v>1646</v>
      </c>
      <c r="C60" s="281" t="s">
        <v>1647</v>
      </c>
      <c r="D60" s="281" t="s">
        <v>1646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2679</v>
      </c>
      <c r="D61" s="281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1">
        <v>415090409</v>
      </c>
      <c r="C62" s="281" t="s">
        <v>2517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2518</v>
      </c>
    </row>
    <row r="63" spans="1:8">
      <c r="A63">
        <v>62</v>
      </c>
      <c r="B63" s="281" t="s">
        <v>1622</v>
      </c>
      <c r="C63" s="281" t="s">
        <v>1623</v>
      </c>
      <c r="D63" s="281" t="s">
        <v>1622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1625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1632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2186</v>
      </c>
      <c r="D66" s="281">
        <v>50228</v>
      </c>
      <c r="E66" s="52">
        <v>110000</v>
      </c>
      <c r="G66">
        <f>SUMIF(재고!E:E,제품!C66,재고!G:G)-SUMIF(주문_리스트!G:G,제품!C66,주문_리스트!J:J)</f>
        <v>-76</v>
      </c>
    </row>
    <row r="67" spans="1:8">
      <c r="A67">
        <v>66</v>
      </c>
      <c r="B67" s="281">
        <v>50229</v>
      </c>
      <c r="C67" s="281" t="s">
        <v>2186</v>
      </c>
      <c r="D67" s="281">
        <v>50229</v>
      </c>
      <c r="E67" s="52">
        <v>75000</v>
      </c>
      <c r="G67">
        <f>SUMIF(재고!E:E,제품!C67,재고!G:G)-SUMIF(주문_리스트!G:G,제품!C67,주문_리스트!J:J)</f>
        <v>-76</v>
      </c>
    </row>
    <row r="68" spans="1:8">
      <c r="A68">
        <v>67</v>
      </c>
      <c r="C68" s="281" t="s">
        <v>1649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1649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1657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1664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2573</v>
      </c>
      <c r="C72" s="281" t="s">
        <v>2574</v>
      </c>
      <c r="D72" s="281" t="s">
        <v>2573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1675</v>
      </c>
      <c r="C73" s="281" t="s">
        <v>2194</v>
      </c>
      <c r="D73" s="281" t="s">
        <v>1675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1">
        <v>28111601</v>
      </c>
      <c r="C74" s="281" t="s">
        <v>1765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1770</v>
      </c>
    </row>
    <row r="75" spans="1:8">
      <c r="A75">
        <v>74</v>
      </c>
      <c r="C75" s="281" t="s">
        <v>1767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1766</v>
      </c>
    </row>
    <row r="76" spans="1:8">
      <c r="A76">
        <v>75</v>
      </c>
      <c r="C76" s="281" t="s">
        <v>2195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1689</v>
      </c>
      <c r="C77" s="281" t="s">
        <v>1704</v>
      </c>
      <c r="D77" s="281" t="s">
        <v>1689</v>
      </c>
      <c r="E77" s="52">
        <v>20000</v>
      </c>
      <c r="F77" s="52">
        <v>12000</v>
      </c>
      <c r="G77">
        <f>SUMIF(재고!E:E,제품!C77,재고!G:G)-SUMIF(주문_리스트!G:G,제품!C77,주문_리스트!J:J)</f>
        <v>-6</v>
      </c>
      <c r="H77" s="52" t="s">
        <v>1705</v>
      </c>
    </row>
    <row r="78" spans="1:8">
      <c r="A78">
        <v>77</v>
      </c>
      <c r="C78" s="281" t="s">
        <v>1676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1683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-13</v>
      </c>
      <c r="H79" s="52" t="s">
        <v>1693</v>
      </c>
    </row>
    <row r="80" spans="1:8">
      <c r="A80">
        <v>79</v>
      </c>
      <c r="C80" s="281" t="s">
        <v>2196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1677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1678</v>
      </c>
    </row>
    <row r="82" spans="1:8">
      <c r="A82">
        <v>81</v>
      </c>
      <c r="C82" s="281" t="s">
        <v>1687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1697</v>
      </c>
      <c r="D83" s="281">
        <v>24137542885</v>
      </c>
      <c r="G83">
        <f>SUMIF(재고!E:E,제품!C83,재고!G:G)-SUMIF(주문_리스트!G:G,제품!C83,주문_리스트!J:J)</f>
        <v>-1</v>
      </c>
      <c r="H83" s="52" t="s">
        <v>1698</v>
      </c>
    </row>
    <row r="84" spans="1:8">
      <c r="A84">
        <v>83</v>
      </c>
      <c r="B84" s="281">
        <v>24137519344</v>
      </c>
      <c r="C84" s="281" t="s">
        <v>1702</v>
      </c>
      <c r="D84" s="281">
        <v>24137519344</v>
      </c>
      <c r="G84">
        <f>SUMIF(재고!E:E,제품!C84,재고!G:G)-SUMIF(주문_리스트!G:G,제품!C84,주문_리스트!J:J)</f>
        <v>0</v>
      </c>
      <c r="H84" s="52" t="s">
        <v>1703</v>
      </c>
    </row>
    <row r="85" spans="1:8">
      <c r="A85">
        <v>84</v>
      </c>
      <c r="B85" s="281" t="s">
        <v>2745</v>
      </c>
      <c r="C85" s="281" t="s">
        <v>2732</v>
      </c>
      <c r="D85" s="281" t="s">
        <v>2745</v>
      </c>
      <c r="E85" s="52">
        <v>129000</v>
      </c>
      <c r="F85" s="52">
        <v>70000</v>
      </c>
      <c r="G85">
        <f>SUMIF(재고!E:E,제품!C85,재고!G:G)-SUMIF(주문_리스트!G:G,제품!C85,주문_리스트!J:J)</f>
        <v>-15</v>
      </c>
    </row>
    <row r="86" spans="1:8">
      <c r="A86">
        <v>85</v>
      </c>
      <c r="B86" s="281" t="s">
        <v>1700</v>
      </c>
      <c r="C86" s="281" t="s">
        <v>1701</v>
      </c>
      <c r="D86" s="281" t="s">
        <v>1700</v>
      </c>
      <c r="E86" s="52">
        <v>50000</v>
      </c>
      <c r="G86">
        <f>SUMIF(재고!E:E,제품!C86,재고!G:G)-SUMIF(주문_리스트!G:G,제품!C86,주문_리스트!J:J)</f>
        <v>-48</v>
      </c>
    </row>
    <row r="87" spans="1:8">
      <c r="A87">
        <v>86</v>
      </c>
      <c r="B87" s="281" t="s">
        <v>1711</v>
      </c>
      <c r="C87" s="281" t="s">
        <v>1712</v>
      </c>
      <c r="D87" s="281" t="s">
        <v>1711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>
        <v>2800802</v>
      </c>
      <c r="C88" s="281" t="s">
        <v>1719</v>
      </c>
      <c r="D88" s="281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-64</v>
      </c>
    </row>
    <row r="89" spans="1:8">
      <c r="A89">
        <v>88</v>
      </c>
      <c r="B89" s="281">
        <v>2800801</v>
      </c>
      <c r="C89" s="281" t="s">
        <v>1720</v>
      </c>
      <c r="D89" s="281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1" t="s">
        <v>1714</v>
      </c>
      <c r="C90" s="281" t="s">
        <v>2220</v>
      </c>
      <c r="D90" s="281" t="s">
        <v>1714</v>
      </c>
      <c r="E90" s="52">
        <v>250000</v>
      </c>
      <c r="F90" s="52">
        <v>45000</v>
      </c>
      <c r="G90">
        <f>SUMIF(재고!E:E,제품!C90,재고!G:G)-SUMIF(주문_리스트!G:G,제품!C90,주문_리스트!J:J)</f>
        <v>0</v>
      </c>
      <c r="H90" s="52" t="s">
        <v>2221</v>
      </c>
    </row>
    <row r="91" spans="1:8">
      <c r="A91">
        <v>90</v>
      </c>
      <c r="B91" s="281" t="s">
        <v>1716</v>
      </c>
      <c r="C91" s="281" t="s">
        <v>2179</v>
      </c>
      <c r="D91" s="281" t="s">
        <v>1716</v>
      </c>
      <c r="E91" s="52">
        <v>60000</v>
      </c>
      <c r="F91" s="52">
        <v>40000</v>
      </c>
      <c r="G91">
        <f>SUMIF(재고!E:E,제품!C91,재고!G:G)-SUMIF(주문_리스트!G:G,제품!C91,주문_리스트!J:J)</f>
        <v>-11</v>
      </c>
    </row>
    <row r="92" spans="1:8">
      <c r="A92">
        <v>91</v>
      </c>
      <c r="C92" s="281" t="s">
        <v>1726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1728</v>
      </c>
      <c r="C93" s="281" t="s">
        <v>2187</v>
      </c>
      <c r="D93" s="281" t="s">
        <v>1728</v>
      </c>
      <c r="E93" s="52">
        <v>30000</v>
      </c>
      <c r="F93" s="52">
        <v>16000</v>
      </c>
      <c r="G93">
        <f>SUMIF(재고!E:E,제품!C93,재고!G:G)-SUMIF(주문_리스트!G:G,제품!C93,주문_리스트!J:J)</f>
        <v>-62</v>
      </c>
    </row>
    <row r="94" spans="1:8">
      <c r="A94">
        <v>93</v>
      </c>
      <c r="B94" s="281" t="s">
        <v>1729</v>
      </c>
      <c r="C94" s="281" t="s">
        <v>2188</v>
      </c>
      <c r="D94" s="281" t="s">
        <v>1729</v>
      </c>
      <c r="E94" s="52">
        <v>10000</v>
      </c>
      <c r="F94" s="52">
        <v>8500</v>
      </c>
      <c r="G94">
        <f>SUMIF(재고!E:E,제품!C94,재고!G:G)-SUMIF(주문_리스트!G:G,제품!C94,주문_리스트!J:J)</f>
        <v>-80</v>
      </c>
      <c r="H94" s="52" t="s">
        <v>1777</v>
      </c>
    </row>
    <row r="95" spans="1:8">
      <c r="A95">
        <v>94</v>
      </c>
      <c r="B95" s="281" t="s">
        <v>1778</v>
      </c>
      <c r="C95" s="281" t="s">
        <v>2189</v>
      </c>
      <c r="D95" s="281" t="s">
        <v>1778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1" t="s">
        <v>1730</v>
      </c>
      <c r="C96" s="281" t="s">
        <v>1731</v>
      </c>
      <c r="D96" s="281" t="s">
        <v>1730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>
        <v>2850701</v>
      </c>
      <c r="C97" s="281" t="s">
        <v>1732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-5</v>
      </c>
    </row>
    <row r="98" spans="1:8">
      <c r="A98">
        <v>97</v>
      </c>
      <c r="B98" s="281" t="s">
        <v>2829</v>
      </c>
      <c r="C98" s="281" t="s">
        <v>2493</v>
      </c>
      <c r="D98" s="281" t="s">
        <v>2829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1">
        <v>2830701</v>
      </c>
      <c r="C99" s="281" t="s">
        <v>3896</v>
      </c>
      <c r="D99" s="281" t="s">
        <v>3897</v>
      </c>
      <c r="E99" s="52">
        <v>160000</v>
      </c>
      <c r="F99" s="52">
        <v>360000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1">
        <v>2801701</v>
      </c>
      <c r="C100" s="281" t="s">
        <v>1736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1737</v>
      </c>
    </row>
    <row r="101" spans="1:8">
      <c r="A101">
        <v>100</v>
      </c>
      <c r="B101" s="281">
        <v>2801702</v>
      </c>
      <c r="C101" s="281" t="s">
        <v>1736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1738</v>
      </c>
    </row>
    <row r="102" spans="1:8">
      <c r="A102">
        <v>101</v>
      </c>
      <c r="B102" s="281" t="s">
        <v>1751</v>
      </c>
      <c r="C102" s="281" t="s">
        <v>2177</v>
      </c>
      <c r="D102" s="281" t="s">
        <v>1751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-80</v>
      </c>
      <c r="H102" s="52" t="s">
        <v>1752</v>
      </c>
    </row>
    <row r="103" spans="1:8">
      <c r="A103">
        <v>102</v>
      </c>
      <c r="B103" s="281">
        <v>2830501</v>
      </c>
      <c r="C103" s="281" t="s">
        <v>1823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-16</v>
      </c>
    </row>
    <row r="104" spans="1:8">
      <c r="A104">
        <v>103</v>
      </c>
      <c r="B104" s="281" t="s">
        <v>1748</v>
      </c>
      <c r="C104" s="281" t="s">
        <v>1200</v>
      </c>
      <c r="D104" s="281" t="s">
        <v>1748</v>
      </c>
      <c r="E104" s="52">
        <v>1200000</v>
      </c>
      <c r="G104">
        <f>SUMIF(재고!E:E,제품!C104,재고!G:G)-SUMIF(주문_리스트!G:G,제품!C104,주문_리스트!J:J)</f>
        <v>-147</v>
      </c>
      <c r="H104" s="52" t="s">
        <v>1749</v>
      </c>
    </row>
    <row r="105" spans="1:8">
      <c r="A105">
        <v>104</v>
      </c>
      <c r="B105" s="281">
        <v>24347544930</v>
      </c>
      <c r="C105" s="281" t="s">
        <v>1754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0</v>
      </c>
      <c r="H105" s="52" t="s">
        <v>1753</v>
      </c>
    </row>
    <row r="106" spans="1:8">
      <c r="A106">
        <v>105</v>
      </c>
      <c r="B106" s="281">
        <v>501220641</v>
      </c>
      <c r="C106" s="281" t="s">
        <v>2084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-7</v>
      </c>
    </row>
    <row r="107" spans="1:8">
      <c r="A107">
        <v>106</v>
      </c>
      <c r="B107" s="281" t="s">
        <v>1759</v>
      </c>
      <c r="C107" s="281" t="s">
        <v>1760</v>
      </c>
      <c r="D107" s="281" t="s">
        <v>1759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-10</v>
      </c>
      <c r="H107" s="52" t="s">
        <v>1761</v>
      </c>
    </row>
    <row r="108" spans="1:8">
      <c r="A108">
        <v>107</v>
      </c>
      <c r="B108" s="281" t="s">
        <v>1762</v>
      </c>
      <c r="C108" s="281" t="s">
        <v>1760</v>
      </c>
      <c r="D108" s="281" t="s">
        <v>1762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-10</v>
      </c>
      <c r="H108" s="52" t="s">
        <v>1763</v>
      </c>
    </row>
    <row r="109" spans="1:8">
      <c r="A109">
        <v>108</v>
      </c>
      <c r="B109" s="281" t="s">
        <v>1764</v>
      </c>
      <c r="C109" s="281" t="s">
        <v>1557</v>
      </c>
      <c r="D109" s="281" t="s">
        <v>1764</v>
      </c>
      <c r="E109" s="52">
        <v>1400000</v>
      </c>
      <c r="G109">
        <f>SUMIF(재고!E:E,제품!C109,재고!G:G)-SUMIF(주문_리스트!G:G,제품!C109,주문_리스트!J:J)</f>
        <v>-18</v>
      </c>
    </row>
    <row r="110" spans="1:8">
      <c r="A110">
        <v>109</v>
      </c>
      <c r="B110" s="281">
        <v>1068298046</v>
      </c>
      <c r="C110" s="281" t="s">
        <v>1811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1812</v>
      </c>
    </row>
    <row r="111" spans="1:8">
      <c r="A111">
        <v>110</v>
      </c>
      <c r="B111" s="281">
        <v>1087298388</v>
      </c>
      <c r="C111" s="281" t="s">
        <v>2234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2232</v>
      </c>
    </row>
    <row r="112" spans="1:8">
      <c r="A112">
        <v>111</v>
      </c>
      <c r="B112" s="281">
        <v>1068298044</v>
      </c>
      <c r="C112" s="281" t="s">
        <v>1811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1816</v>
      </c>
    </row>
    <row r="113" spans="1:8">
      <c r="A113">
        <v>112</v>
      </c>
      <c r="B113" s="281">
        <v>24152333907</v>
      </c>
      <c r="C113" s="281" t="s">
        <v>1545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-27</v>
      </c>
      <c r="H113" s="52" t="s">
        <v>1815</v>
      </c>
    </row>
    <row r="114" spans="1:8">
      <c r="A114">
        <v>113</v>
      </c>
      <c r="B114" s="281">
        <v>6058008122</v>
      </c>
      <c r="C114" s="281" t="s">
        <v>1825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1" t="s">
        <v>1847</v>
      </c>
      <c r="C115" s="281" t="s">
        <v>1848</v>
      </c>
      <c r="D115" s="281" t="s">
        <v>1847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1850</v>
      </c>
    </row>
    <row r="116" spans="1:8">
      <c r="A116">
        <v>115</v>
      </c>
      <c r="B116" s="281">
        <v>415062109</v>
      </c>
      <c r="C116" s="281" t="s">
        <v>2517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1">
        <v>501218962</v>
      </c>
      <c r="C117" s="281" t="s">
        <v>2819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1" t="s">
        <v>1869</v>
      </c>
      <c r="C118" s="281" t="s">
        <v>1870</v>
      </c>
      <c r="D118" s="281" t="s">
        <v>1869</v>
      </c>
      <c r="E118" s="52">
        <v>10000</v>
      </c>
      <c r="F118" s="52">
        <v>0</v>
      </c>
      <c r="G118">
        <f>SUMIF(재고!E:E,제품!C118,재고!G:G)-SUMIF(주문_리스트!G:G,제품!C118,주문_리스트!J:J)</f>
        <v>-6</v>
      </c>
      <c r="H118" s="52" t="s">
        <v>1871</v>
      </c>
    </row>
    <row r="119" spans="1:8">
      <c r="A119">
        <v>118</v>
      </c>
      <c r="C119" s="281" t="s">
        <v>1889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1">
        <v>501215718</v>
      </c>
      <c r="C120" s="281" t="s">
        <v>1909</v>
      </c>
      <c r="D120" s="281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1907</v>
      </c>
    </row>
    <row r="121" spans="1:8">
      <c r="A121">
        <v>120</v>
      </c>
      <c r="B121" s="281">
        <v>501215783</v>
      </c>
      <c r="C121" s="281" t="s">
        <v>1909</v>
      </c>
      <c r="D121" s="281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1908</v>
      </c>
    </row>
    <row r="122" spans="1:8">
      <c r="A122">
        <v>121</v>
      </c>
      <c r="B122" s="281" t="s">
        <v>2050</v>
      </c>
      <c r="C122" s="281" t="s">
        <v>2051</v>
      </c>
      <c r="D122" s="281" t="s">
        <v>2050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1915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1" t="s">
        <v>1919</v>
      </c>
      <c r="C124" s="281" t="s">
        <v>1577</v>
      </c>
      <c r="D124" s="281" t="s">
        <v>1919</v>
      </c>
      <c r="E124" s="52">
        <v>1400000</v>
      </c>
      <c r="G124">
        <f>SUMIF(재고!E:E,제품!C124,재고!G:G)-SUMIF(주문_리스트!G:G,제품!C124,주문_리스트!J:J)</f>
        <v>-1</v>
      </c>
    </row>
    <row r="125" spans="1:8">
      <c r="A125">
        <v>124</v>
      </c>
      <c r="B125" s="281" t="s">
        <v>1935</v>
      </c>
      <c r="C125" s="281" t="s">
        <v>1936</v>
      </c>
      <c r="D125" s="281" t="s">
        <v>1935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1937</v>
      </c>
    </row>
    <row r="126" spans="1:8">
      <c r="A126">
        <v>125</v>
      </c>
      <c r="B126" s="281" t="s">
        <v>1933</v>
      </c>
      <c r="C126" s="281" t="s">
        <v>1934</v>
      </c>
      <c r="D126" s="281" t="s">
        <v>1933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2517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1" t="s">
        <v>1946</v>
      </c>
      <c r="C128" s="281" t="s">
        <v>1945</v>
      </c>
      <c r="D128" s="281" t="s">
        <v>1946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-2</v>
      </c>
    </row>
    <row r="129" spans="1:7">
      <c r="A129">
        <v>128</v>
      </c>
      <c r="C129" s="281" t="s">
        <v>1949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1955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2190</v>
      </c>
      <c r="E131" s="52">
        <v>600000</v>
      </c>
      <c r="G131">
        <f>SUMIF(재고!E:E,제품!C131,재고!G:G)-SUMIF(주문_리스트!G:G,제품!C131,주문_리스트!J:J)</f>
        <v>-17</v>
      </c>
    </row>
    <row r="132" spans="1:7">
      <c r="A132">
        <v>131</v>
      </c>
      <c r="B132" s="281">
        <v>7583332</v>
      </c>
      <c r="C132" s="281" t="s">
        <v>1979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1981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1" t="s">
        <v>1988</v>
      </c>
      <c r="C134" s="281" t="s">
        <v>1202</v>
      </c>
      <c r="D134" s="281" t="s">
        <v>1988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2006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1" t="s">
        <v>2018</v>
      </c>
      <c r="C136" s="281" t="s">
        <v>2019</v>
      </c>
      <c r="D136" s="281" t="s">
        <v>2018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2025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2028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3824</v>
      </c>
      <c r="C139" s="281" t="s">
        <v>2680</v>
      </c>
      <c r="D139" s="281" t="s">
        <v>3824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1" t="s">
        <v>3568</v>
      </c>
      <c r="C140" s="281" t="s">
        <v>2365</v>
      </c>
      <c r="D140" s="281" t="s">
        <v>3568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2045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1" t="s">
        <v>1907</v>
      </c>
      <c r="C142" s="281" t="s">
        <v>2136</v>
      </c>
      <c r="D142" s="281" t="s">
        <v>1907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2056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0</v>
      </c>
    </row>
    <row r="144" spans="1:7">
      <c r="A144">
        <v>143</v>
      </c>
      <c r="B144" s="281">
        <v>501220522</v>
      </c>
      <c r="C144" s="281" t="s">
        <v>2083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>
        <v>2830401</v>
      </c>
      <c r="C145" s="281" t="s">
        <v>2207</v>
      </c>
      <c r="D145" s="281">
        <v>2830401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1">
        <v>36050661</v>
      </c>
      <c r="C146" s="281" t="s">
        <v>2104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1" t="s">
        <v>2577</v>
      </c>
      <c r="C147" s="281" t="s">
        <v>2336</v>
      </c>
      <c r="D147" s="281" t="s">
        <v>2577</v>
      </c>
      <c r="E147" s="52">
        <v>65000</v>
      </c>
      <c r="F147" s="52">
        <v>35000</v>
      </c>
      <c r="G147">
        <f>SUMIF(재고!E:E,제품!C147,재고!G:G)-SUMIF(주문_리스트!G:G,제품!C147,주문_리스트!J:J)</f>
        <v>-7</v>
      </c>
    </row>
    <row r="148" spans="1:8">
      <c r="A148">
        <v>147</v>
      </c>
      <c r="B148" s="281" t="s">
        <v>3747</v>
      </c>
      <c r="C148" s="281" t="s">
        <v>2678</v>
      </c>
      <c r="D148" s="281" t="s">
        <v>3747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2122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2123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2682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1" t="s">
        <v>3569</v>
      </c>
      <c r="C152" s="281" t="s">
        <v>2513</v>
      </c>
      <c r="D152" s="281" t="s">
        <v>3569</v>
      </c>
      <c r="E152" s="52">
        <v>1550000</v>
      </c>
      <c r="G152">
        <f>SUMIF(재고!E:E,제품!C152,재고!G:G)-SUMIF(주문_리스트!G:G,제품!C152,주문_리스트!J:J)</f>
        <v>-2</v>
      </c>
    </row>
    <row r="153" spans="1:8">
      <c r="A153">
        <v>152</v>
      </c>
      <c r="C153" s="281" t="s">
        <v>2152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2689</v>
      </c>
    </row>
    <row r="154" spans="1:8">
      <c r="A154">
        <v>153</v>
      </c>
      <c r="C154" s="281" t="s">
        <v>2154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2156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1">
        <v>2295001282</v>
      </c>
      <c r="C156" s="281" t="s">
        <v>2517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2576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2226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2237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2242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2252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>
        <v>1068327224</v>
      </c>
      <c r="C162" s="281" t="s">
        <v>2268</v>
      </c>
      <c r="D162" s="281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1">
        <v>1087327175</v>
      </c>
      <c r="C163" s="281" t="s">
        <v>2266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2267</v>
      </c>
    </row>
    <row r="164" spans="1:8">
      <c r="A164">
        <v>163</v>
      </c>
      <c r="B164" s="281" t="s">
        <v>2269</v>
      </c>
      <c r="C164" s="281" t="s">
        <v>2270</v>
      </c>
      <c r="D164" s="281" t="s">
        <v>2269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1" t="s">
        <v>2468</v>
      </c>
      <c r="C165" s="281" t="s">
        <v>2469</v>
      </c>
      <c r="D165" s="281" t="s">
        <v>2468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2517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2286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2314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2295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1">
        <v>415089709</v>
      </c>
      <c r="C170" s="281" t="s">
        <v>2517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1" t="s">
        <v>2323</v>
      </c>
      <c r="C171" s="281" t="s">
        <v>3066</v>
      </c>
      <c r="D171" s="281" t="s">
        <v>2323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2325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2662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-10</v>
      </c>
    </row>
    <row r="174" spans="1:8">
      <c r="A174">
        <v>173</v>
      </c>
      <c r="C174" s="281" t="s">
        <v>2338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2342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1" t="s">
        <v>2882</v>
      </c>
      <c r="C176" s="281" t="s">
        <v>2883</v>
      </c>
      <c r="D176" s="281" t="s">
        <v>2882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2884</v>
      </c>
    </row>
    <row r="177" spans="1:7">
      <c r="A177">
        <v>176</v>
      </c>
      <c r="C177" s="281" t="s">
        <v>2392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2394</v>
      </c>
      <c r="C178" s="281" t="s">
        <v>2395</v>
      </c>
      <c r="D178" s="281" t="s">
        <v>2394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2399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1" t="s">
        <v>2412</v>
      </c>
      <c r="C180" s="281" t="s">
        <v>2379</v>
      </c>
      <c r="D180" s="281" t="s">
        <v>2412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1" t="s">
        <v>2419</v>
      </c>
      <c r="C181" s="281" t="s">
        <v>2420</v>
      </c>
      <c r="D181" s="281" t="s">
        <v>2419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2421</v>
      </c>
      <c r="C182" s="281" t="s">
        <v>2422</v>
      </c>
      <c r="D182" s="281" t="s">
        <v>2421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2450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2494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2508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2507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3328</v>
      </c>
      <c r="C187" s="281" t="s">
        <v>2561</v>
      </c>
      <c r="D187" s="281" t="s">
        <v>2560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1" t="s">
        <v>2817</v>
      </c>
      <c r="C188" s="281" t="s">
        <v>2818</v>
      </c>
      <c r="D188" s="281" t="s">
        <v>2817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-2</v>
      </c>
    </row>
    <row r="189" spans="1:7">
      <c r="A189">
        <v>188</v>
      </c>
      <c r="B189" s="281" t="s">
        <v>2610</v>
      </c>
      <c r="C189" s="281" t="s">
        <v>2611</v>
      </c>
      <c r="D189" s="281" t="s">
        <v>2610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-2</v>
      </c>
    </row>
    <row r="190" spans="1:7">
      <c r="A190">
        <v>189</v>
      </c>
      <c r="C190" s="281" t="s">
        <v>2617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2646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2684</v>
      </c>
      <c r="C192" s="281" t="s">
        <v>2685</v>
      </c>
      <c r="D192" s="281" t="s">
        <v>2684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1" t="s">
        <v>2707</v>
      </c>
      <c r="C193" s="281" t="s">
        <v>2708</v>
      </c>
      <c r="D193" s="281" t="s">
        <v>2707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2719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1">
        <v>7252703114</v>
      </c>
      <c r="C195" s="281" t="s">
        <v>2744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1">
        <v>1094302044</v>
      </c>
      <c r="C196" s="281" t="s">
        <v>2746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2747</v>
      </c>
    </row>
    <row r="197" spans="1:8">
      <c r="A197">
        <v>196</v>
      </c>
      <c r="B197" s="281" t="s">
        <v>2837</v>
      </c>
      <c r="C197" s="281" t="s">
        <v>2838</v>
      </c>
      <c r="D197" s="281" t="s">
        <v>2837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2839</v>
      </c>
    </row>
    <row r="198" spans="1:8">
      <c r="A198">
        <v>197</v>
      </c>
      <c r="B198" s="281">
        <v>501220639</v>
      </c>
      <c r="C198" s="281" t="s">
        <v>1755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-7</v>
      </c>
    </row>
    <row r="199" spans="1:8">
      <c r="A199">
        <v>198</v>
      </c>
      <c r="B199" s="281" t="s">
        <v>2843</v>
      </c>
      <c r="C199" s="281" t="s">
        <v>2845</v>
      </c>
      <c r="D199" s="281" t="s">
        <v>2843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2917</v>
      </c>
      <c r="C200" s="281" t="s">
        <v>2918</v>
      </c>
      <c r="D200" s="281" t="s">
        <v>2917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2879</v>
      </c>
      <c r="C201" s="281" t="s">
        <v>2880</v>
      </c>
      <c r="D201" s="281" t="s">
        <v>2879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2881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2899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2919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>
        <v>6058008117</v>
      </c>
      <c r="C205" s="281" t="s">
        <v>3121</v>
      </c>
      <c r="D205" s="281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3113</v>
      </c>
      <c r="C206" s="281" t="s">
        <v>3526</v>
      </c>
      <c r="D206" s="281" t="s">
        <v>3113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2949</v>
      </c>
      <c r="C207" s="281" t="s">
        <v>2950</v>
      </c>
      <c r="D207" s="281" t="s">
        <v>2949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2953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2982</v>
      </c>
      <c r="C209" s="281" t="s">
        <v>2983</v>
      </c>
      <c r="D209" s="281" t="s">
        <v>2982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3070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2914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1">
        <v>6058008122</v>
      </c>
      <c r="C212" s="281" t="s">
        <v>3120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1">
        <v>6058008068</v>
      </c>
      <c r="C213" s="281" t="s">
        <v>3120</v>
      </c>
      <c r="D213" s="281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3129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3162</v>
      </c>
      <c r="C215" s="281" t="s">
        <v>2379</v>
      </c>
      <c r="D215" s="281" t="s">
        <v>3162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1" t="s">
        <v>3559</v>
      </c>
      <c r="C216" s="281" t="s">
        <v>3560</v>
      </c>
      <c r="D216" s="281" t="s">
        <v>3559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3212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3273</v>
      </c>
      <c r="C218" s="281" t="s">
        <v>3213</v>
      </c>
      <c r="D218" s="281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1" t="s">
        <v>3274</v>
      </c>
      <c r="C219" s="281" t="s">
        <v>3271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3272</v>
      </c>
    </row>
    <row r="220" spans="1:8">
      <c r="A220">
        <v>219</v>
      </c>
      <c r="B220" s="281" t="s">
        <v>3280</v>
      </c>
      <c r="C220" s="281" t="s">
        <v>3281</v>
      </c>
      <c r="D220" s="281" t="s">
        <v>3280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3309</v>
      </c>
      <c r="C221" s="281" t="s">
        <v>3310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3383</v>
      </c>
      <c r="C222" s="281" t="s">
        <v>3384</v>
      </c>
      <c r="D222" s="281" t="s">
        <v>3383</v>
      </c>
      <c r="G222">
        <f>SUMIF(재고!E:E,제품!C222,재고!G:G)-SUMIF(주문_리스트!G:G,제품!C222,주문_리스트!J:J)</f>
        <v>-1</v>
      </c>
      <c r="H222" s="52" t="s">
        <v>3385</v>
      </c>
    </row>
    <row r="223" spans="1:8">
      <c r="A223">
        <v>222</v>
      </c>
      <c r="B223" s="281" t="s">
        <v>3413</v>
      </c>
      <c r="C223" s="281" t="s">
        <v>3414</v>
      </c>
      <c r="D223" s="281" t="s">
        <v>3413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3438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3474</v>
      </c>
      <c r="C225" s="281" t="s">
        <v>3475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3513</v>
      </c>
      <c r="C226" s="281" t="s">
        <v>3218</v>
      </c>
      <c r="D226" s="281" t="s">
        <v>3513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1" t="s">
        <v>3537</v>
      </c>
      <c r="C227" s="281" t="s">
        <v>3538</v>
      </c>
      <c r="D227" s="281" t="s">
        <v>3537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3545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3561</v>
      </c>
      <c r="C229" s="281" t="s">
        <v>3562</v>
      </c>
      <c r="D229" s="281" t="s">
        <v>3561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3573</v>
      </c>
      <c r="E230" s="52">
        <v>2200000</v>
      </c>
      <c r="G230">
        <f>SUMIF(재고!E:E,제품!C230,재고!G:G)-SUMIF(주문_리스트!G:G,제품!C230,주문_리스트!J:J)</f>
        <v>-11</v>
      </c>
    </row>
    <row r="231" spans="1:7">
      <c r="A231">
        <v>230</v>
      </c>
      <c r="B231" s="281" t="s">
        <v>3578</v>
      </c>
      <c r="C231" s="281" t="s">
        <v>3579</v>
      </c>
      <c r="D231" s="281" t="s">
        <v>3578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3581</v>
      </c>
      <c r="C232" s="281" t="s">
        <v>3582</v>
      </c>
      <c r="D232" s="281" t="s">
        <v>3581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3583</v>
      </c>
      <c r="C233" s="281" t="s">
        <v>3573</v>
      </c>
      <c r="D233" s="281" t="s">
        <v>3583</v>
      </c>
      <c r="E233" s="52">
        <v>2200000</v>
      </c>
      <c r="G233">
        <f>SUMIF(재고!E:E,제품!C233,재고!G:G)-SUMIF(주문_리스트!G:G,제품!C233,주문_리스트!J:J)</f>
        <v>-11</v>
      </c>
    </row>
    <row r="234" spans="1:7">
      <c r="A234">
        <v>233</v>
      </c>
      <c r="B234" s="281" t="s">
        <v>3584</v>
      </c>
      <c r="C234" s="281" t="s">
        <v>3585</v>
      </c>
      <c r="D234" s="281" t="s">
        <v>3584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1" t="s">
        <v>3613</v>
      </c>
      <c r="C235" s="281" t="s">
        <v>3614</v>
      </c>
      <c r="D235" s="281" t="s">
        <v>3613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1" t="s">
        <v>3804</v>
      </c>
      <c r="C236" s="281" t="s">
        <v>3805</v>
      </c>
      <c r="D236" s="281" t="s">
        <v>3804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3816</v>
      </c>
      <c r="C237" s="281" t="s">
        <v>3816</v>
      </c>
      <c r="D237" s="281" t="s">
        <v>3817</v>
      </c>
      <c r="E237" s="52">
        <v>2500000</v>
      </c>
      <c r="G237">
        <f>SUMIF(재고!E:E,제품!C237,재고!G:G)-SUMIF(주문_리스트!G:G,제품!C237,주문_리스트!J:J)</f>
        <v>-1</v>
      </c>
    </row>
    <row r="238" spans="1:7">
      <c r="A238">
        <v>241</v>
      </c>
      <c r="C238" s="281" t="s">
        <v>3830</v>
      </c>
      <c r="D238" s="281" t="s">
        <v>3831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242</v>
      </c>
      <c r="B239" s="281" t="s">
        <v>3857</v>
      </c>
      <c r="C239" s="281" t="s">
        <v>3858</v>
      </c>
      <c r="D239" s="281" t="s">
        <v>3857</v>
      </c>
      <c r="G239">
        <f>SUMIF(재고!E:E,제품!C239,재고!G:G)-SUMIF(주문_리스트!G:G,제품!C239,주문_리스트!J:J)</f>
        <v>-2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92"/>
  <sheetViews>
    <sheetView zoomScaleNormal="100" workbookViewId="0">
      <pane ySplit="1" topLeftCell="A2" activePane="bottomLeft" state="frozen"/>
      <selection activeCell="N26" sqref="N26"/>
      <selection pane="bottomLeft" activeCell="G17" sqref="G17"/>
    </sheetView>
  </sheetViews>
  <sheetFormatPr defaultColWidth="9" defaultRowHeight="17.399999999999999"/>
  <cols>
    <col min="1" max="1" width="5.59765625" customWidth="1"/>
    <col min="2" max="2" width="12.5" customWidth="1"/>
    <col min="3" max="3" width="9.5" bestFit="1" customWidth="1"/>
    <col min="4" max="4" width="19.09765625" style="281" customWidth="1"/>
    <col min="5" max="5" width="26" style="189" bestFit="1" customWidth="1"/>
    <col min="6" max="6" width="24.3984375" style="189" customWidth="1"/>
    <col min="7" max="8" width="13.09765625" style="52" customWidth="1"/>
    <col min="9" max="9" width="15.59765625" customWidth="1"/>
    <col min="10" max="10" width="18.69921875" customWidth="1"/>
  </cols>
  <sheetData>
    <row r="1" spans="1:11" ht="18" thickBot="1">
      <c r="A1" s="31" t="s">
        <v>2</v>
      </c>
      <c r="B1" s="31" t="s">
        <v>14</v>
      </c>
      <c r="C1" s="31" t="s">
        <v>3904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3902</v>
      </c>
      <c r="I1" s="7" t="s">
        <v>48</v>
      </c>
      <c r="J1" s="7" t="s">
        <v>49</v>
      </c>
      <c r="K1">
        <v>28</v>
      </c>
    </row>
    <row r="2" spans="1:11">
      <c r="A2">
        <v>1</v>
      </c>
      <c r="B2" s="13">
        <v>45975</v>
      </c>
      <c r="C2" s="13"/>
      <c r="D2" s="281" t="s">
        <v>3948</v>
      </c>
      <c r="E2" s="189" t="s">
        <v>3945</v>
      </c>
      <c r="F2" s="189" t="s">
        <v>3946</v>
      </c>
      <c r="G2" s="52">
        <v>1</v>
      </c>
      <c r="H2" s="52">
        <v>1100000</v>
      </c>
    </row>
    <row r="3" spans="1:11">
      <c r="A3">
        <v>2</v>
      </c>
      <c r="B3" s="13">
        <v>45966</v>
      </c>
      <c r="C3" s="13" t="s">
        <v>3925</v>
      </c>
      <c r="D3" s="281" t="s">
        <v>3899</v>
      </c>
      <c r="E3" s="189" t="s">
        <v>2176</v>
      </c>
      <c r="F3" s="189" t="s">
        <v>1198</v>
      </c>
      <c r="G3" s="52">
        <v>0</v>
      </c>
      <c r="H3" s="52">
        <v>1100000</v>
      </c>
      <c r="J3" t="s">
        <v>1517</v>
      </c>
    </row>
    <row r="4" spans="1:11">
      <c r="A4">
        <v>3</v>
      </c>
      <c r="B4" s="13">
        <v>45966</v>
      </c>
      <c r="C4" s="13" t="s">
        <v>3925</v>
      </c>
      <c r="D4" s="281" t="s">
        <v>3900</v>
      </c>
      <c r="E4" s="189" t="s">
        <v>2176</v>
      </c>
      <c r="F4" s="189" t="s">
        <v>3903</v>
      </c>
      <c r="G4" s="52">
        <v>0</v>
      </c>
      <c r="H4" s="52">
        <v>1100000</v>
      </c>
    </row>
    <row r="5" spans="1:11">
      <c r="A5">
        <v>4</v>
      </c>
      <c r="B5" s="13">
        <v>45966</v>
      </c>
      <c r="C5" s="13" t="s">
        <v>3925</v>
      </c>
      <c r="D5" s="281" t="s">
        <v>3901</v>
      </c>
      <c r="E5" s="189" t="s">
        <v>2176</v>
      </c>
      <c r="F5" s="189" t="s">
        <v>1198</v>
      </c>
      <c r="G5" s="52">
        <v>0</v>
      </c>
      <c r="H5" s="52">
        <v>1100000</v>
      </c>
    </row>
    <row r="6" spans="1:11">
      <c r="A6">
        <v>5</v>
      </c>
      <c r="B6" s="13">
        <v>45967</v>
      </c>
      <c r="C6" s="13"/>
      <c r="D6" s="281" t="s">
        <v>3905</v>
      </c>
      <c r="E6" s="189" t="s">
        <v>1577</v>
      </c>
      <c r="F6" s="189" t="s">
        <v>1919</v>
      </c>
      <c r="G6" s="52">
        <v>1</v>
      </c>
      <c r="H6" s="52">
        <v>1400000</v>
      </c>
    </row>
    <row r="7" spans="1:11">
      <c r="A7">
        <v>6</v>
      </c>
      <c r="B7" s="13">
        <v>45967</v>
      </c>
      <c r="C7" s="13"/>
      <c r="D7" s="281" t="s">
        <v>3906</v>
      </c>
      <c r="E7" s="189" t="s">
        <v>1577</v>
      </c>
      <c r="F7" s="189" t="s">
        <v>1919</v>
      </c>
      <c r="G7" s="52">
        <v>1</v>
      </c>
      <c r="H7" s="52">
        <v>1400000</v>
      </c>
    </row>
    <row r="8" spans="1:11">
      <c r="A8">
        <v>7</v>
      </c>
      <c r="B8" s="13">
        <v>45967</v>
      </c>
      <c r="C8" s="13"/>
      <c r="D8" s="281" t="s">
        <v>3907</v>
      </c>
      <c r="E8" s="189" t="s">
        <v>1577</v>
      </c>
      <c r="F8" s="189" t="s">
        <v>1919</v>
      </c>
      <c r="G8" s="52">
        <v>1</v>
      </c>
      <c r="H8" s="52">
        <v>1400000</v>
      </c>
    </row>
    <row r="9" spans="1:11">
      <c r="A9">
        <v>8</v>
      </c>
      <c r="B9" s="13">
        <v>45967</v>
      </c>
      <c r="C9" s="13" t="s">
        <v>3925</v>
      </c>
      <c r="D9" s="281" t="s">
        <v>3908</v>
      </c>
      <c r="E9" s="189" t="s">
        <v>3922</v>
      </c>
      <c r="F9" s="189" t="s">
        <v>3923</v>
      </c>
      <c r="G9" s="52">
        <v>0</v>
      </c>
      <c r="H9" s="52">
        <v>1100000</v>
      </c>
    </row>
    <row r="10" spans="1:11">
      <c r="A10">
        <v>9</v>
      </c>
      <c r="B10" s="13">
        <v>45967</v>
      </c>
      <c r="C10" s="13"/>
      <c r="D10" s="281" t="s">
        <v>3909</v>
      </c>
      <c r="E10" s="189" t="s">
        <v>3922</v>
      </c>
      <c r="F10" s="189" t="s">
        <v>3923</v>
      </c>
      <c r="G10" s="52">
        <v>1</v>
      </c>
      <c r="H10" s="52">
        <v>1100000</v>
      </c>
    </row>
    <row r="11" spans="1:11">
      <c r="A11">
        <v>10</v>
      </c>
      <c r="B11" s="13">
        <v>45967</v>
      </c>
      <c r="C11" s="13" t="s">
        <v>3925</v>
      </c>
      <c r="D11" s="281" t="s">
        <v>3911</v>
      </c>
      <c r="E11" s="189" t="s">
        <v>2193</v>
      </c>
      <c r="F11" s="189" t="s">
        <v>1195</v>
      </c>
      <c r="G11" s="52">
        <v>0</v>
      </c>
      <c r="H11" s="52">
        <v>1000000</v>
      </c>
    </row>
    <row r="12" spans="1:11">
      <c r="A12">
        <v>11</v>
      </c>
      <c r="B12" s="13">
        <v>45967</v>
      </c>
      <c r="C12" s="13"/>
      <c r="D12" s="281" t="s">
        <v>3912</v>
      </c>
      <c r="E12" s="189" t="s">
        <v>1200</v>
      </c>
      <c r="F12" s="189" t="s">
        <v>1748</v>
      </c>
      <c r="G12" s="52">
        <v>0</v>
      </c>
      <c r="H12" s="52">
        <v>1200000</v>
      </c>
      <c r="I12" t="s">
        <v>1749</v>
      </c>
    </row>
    <row r="13" spans="1:11">
      <c r="A13">
        <v>12</v>
      </c>
      <c r="B13" s="13">
        <v>45967</v>
      </c>
      <c r="C13" s="13"/>
      <c r="D13" s="281" t="s">
        <v>3913</v>
      </c>
      <c r="E13" s="189" t="s">
        <v>1200</v>
      </c>
      <c r="F13" s="189" t="s">
        <v>1748</v>
      </c>
      <c r="G13" s="52">
        <v>1</v>
      </c>
      <c r="H13" s="52">
        <v>1200000</v>
      </c>
      <c r="I13" t="s">
        <v>1749</v>
      </c>
    </row>
    <row r="14" spans="1:11">
      <c r="A14">
        <v>13</v>
      </c>
      <c r="B14" s="13">
        <v>45967</v>
      </c>
      <c r="C14" s="13"/>
      <c r="D14" s="281" t="s">
        <v>3914</v>
      </c>
      <c r="E14" s="189" t="s">
        <v>1200</v>
      </c>
      <c r="F14" s="189" t="s">
        <v>1748</v>
      </c>
      <c r="G14" s="52">
        <v>1</v>
      </c>
      <c r="H14" s="52">
        <v>1200000</v>
      </c>
      <c r="I14" t="s">
        <v>1749</v>
      </c>
    </row>
    <row r="15" spans="1:11">
      <c r="A15">
        <v>14</v>
      </c>
      <c r="B15" s="13">
        <v>45967</v>
      </c>
      <c r="C15" s="13"/>
      <c r="D15" s="281" t="s">
        <v>3915</v>
      </c>
      <c r="E15" s="189" t="s">
        <v>1200</v>
      </c>
      <c r="F15" s="189" t="s">
        <v>1748</v>
      </c>
      <c r="G15" s="52">
        <v>1</v>
      </c>
      <c r="H15" s="52">
        <v>1200000</v>
      </c>
      <c r="I15" t="s">
        <v>1749</v>
      </c>
    </row>
    <row r="16" spans="1:11">
      <c r="A16">
        <v>15</v>
      </c>
      <c r="B16" s="13">
        <v>45967</v>
      </c>
      <c r="C16" s="13"/>
      <c r="D16" s="281" t="s">
        <v>3916</v>
      </c>
      <c r="E16" s="189" t="s">
        <v>1200</v>
      </c>
      <c r="F16" s="189" t="s">
        <v>1748</v>
      </c>
      <c r="G16" s="52">
        <v>1</v>
      </c>
      <c r="H16" s="52">
        <v>1200000</v>
      </c>
      <c r="I16" t="s">
        <v>1749</v>
      </c>
    </row>
    <row r="17" spans="1:10">
      <c r="A17">
        <v>16</v>
      </c>
      <c r="B17" s="13">
        <v>45967</v>
      </c>
      <c r="C17" s="13" t="s">
        <v>3889</v>
      </c>
      <c r="D17" s="281" t="s">
        <v>3917</v>
      </c>
      <c r="E17" s="189" t="s">
        <v>1200</v>
      </c>
      <c r="F17" s="189" t="s">
        <v>1748</v>
      </c>
      <c r="G17" s="52" t="s">
        <v>4287</v>
      </c>
      <c r="H17" s="52">
        <v>1200000</v>
      </c>
      <c r="I17" t="s">
        <v>1749</v>
      </c>
      <c r="J17" t="s">
        <v>1433</v>
      </c>
    </row>
    <row r="18" spans="1:10">
      <c r="A18">
        <v>17</v>
      </c>
      <c r="B18" s="13">
        <v>45967</v>
      </c>
      <c r="C18" s="13" t="s">
        <v>3925</v>
      </c>
      <c r="D18" s="281" t="s">
        <v>3918</v>
      </c>
      <c r="E18" s="189" t="s">
        <v>1200</v>
      </c>
      <c r="F18" s="189" t="s">
        <v>1748</v>
      </c>
      <c r="G18" s="52">
        <v>0</v>
      </c>
      <c r="H18" s="52">
        <v>1200000</v>
      </c>
      <c r="I18" t="s">
        <v>1749</v>
      </c>
    </row>
    <row r="19" spans="1:10">
      <c r="A19">
        <v>18</v>
      </c>
      <c r="B19" s="13">
        <v>45967</v>
      </c>
      <c r="C19" s="13"/>
      <c r="D19" s="281" t="s">
        <v>3919</v>
      </c>
      <c r="E19" s="189" t="s">
        <v>1200</v>
      </c>
      <c r="F19" s="189" t="s">
        <v>1748</v>
      </c>
      <c r="G19" s="52">
        <v>0</v>
      </c>
      <c r="H19" s="52">
        <v>1200000</v>
      </c>
      <c r="I19" t="s">
        <v>1749</v>
      </c>
    </row>
    <row r="20" spans="1:10">
      <c r="A20">
        <v>19</v>
      </c>
      <c r="B20" s="13">
        <v>45968</v>
      </c>
      <c r="C20" s="13"/>
      <c r="D20" s="281" t="s">
        <v>3920</v>
      </c>
      <c r="E20" s="189" t="s">
        <v>2193</v>
      </c>
      <c r="F20" s="189" t="s">
        <v>1195</v>
      </c>
      <c r="G20" s="52">
        <v>1</v>
      </c>
      <c r="H20" s="52">
        <v>1000000</v>
      </c>
    </row>
    <row r="21" spans="1:10">
      <c r="A21">
        <v>20</v>
      </c>
      <c r="B21" s="13">
        <v>45968</v>
      </c>
      <c r="C21" s="13"/>
      <c r="D21" s="281" t="s">
        <v>3921</v>
      </c>
      <c r="E21" s="189" t="s">
        <v>2193</v>
      </c>
      <c r="F21" s="189" t="s">
        <v>1195</v>
      </c>
      <c r="G21" s="52">
        <v>1</v>
      </c>
      <c r="H21" s="52">
        <v>1000000</v>
      </c>
    </row>
    <row r="22" spans="1:10">
      <c r="A22">
        <v>21</v>
      </c>
      <c r="B22" s="13">
        <v>45968</v>
      </c>
      <c r="C22" s="13"/>
      <c r="D22" s="281" t="s">
        <v>3924</v>
      </c>
      <c r="E22" s="189" t="s">
        <v>2413</v>
      </c>
      <c r="F22" s="189" t="s">
        <v>2743</v>
      </c>
      <c r="G22" s="52">
        <v>1</v>
      </c>
      <c r="H22" s="52">
        <v>1100000</v>
      </c>
    </row>
    <row r="23" spans="1:10">
      <c r="A23">
        <v>22</v>
      </c>
      <c r="B23" s="13">
        <v>45972</v>
      </c>
      <c r="C23" s="13"/>
      <c r="D23" s="281" t="s">
        <v>3934</v>
      </c>
      <c r="E23" s="189" t="s">
        <v>2176</v>
      </c>
      <c r="F23" s="189" t="s">
        <v>1198</v>
      </c>
      <c r="G23" s="52">
        <v>1</v>
      </c>
      <c r="H23" s="52">
        <v>1500000</v>
      </c>
    </row>
    <row r="24" spans="1:10">
      <c r="A24">
        <v>23</v>
      </c>
      <c r="B24" s="13">
        <v>45972</v>
      </c>
      <c r="C24" s="13"/>
      <c r="D24" s="281" t="s">
        <v>3935</v>
      </c>
      <c r="E24" s="189" t="s">
        <v>2176</v>
      </c>
      <c r="F24" s="189" t="s">
        <v>1198</v>
      </c>
      <c r="G24" s="52">
        <v>1</v>
      </c>
      <c r="H24" s="52">
        <v>1500000</v>
      </c>
    </row>
    <row r="25" spans="1:10">
      <c r="A25">
        <v>24</v>
      </c>
      <c r="B25" s="13">
        <v>45972</v>
      </c>
      <c r="C25" s="13"/>
      <c r="D25" s="281" t="s">
        <v>3936</v>
      </c>
      <c r="E25" s="189" t="s">
        <v>2176</v>
      </c>
      <c r="F25" s="189" t="s">
        <v>1198</v>
      </c>
      <c r="G25" s="52">
        <v>1</v>
      </c>
      <c r="H25" s="52">
        <v>1500000</v>
      </c>
    </row>
    <row r="26" spans="1:10">
      <c r="A26">
        <v>26</v>
      </c>
      <c r="B26" s="13">
        <v>45972</v>
      </c>
      <c r="C26" s="13"/>
      <c r="D26" s="281" t="s">
        <v>3937</v>
      </c>
      <c r="E26" s="189" t="s">
        <v>2176</v>
      </c>
      <c r="F26" s="189" t="s">
        <v>1198</v>
      </c>
      <c r="G26" s="52">
        <v>1</v>
      </c>
      <c r="H26" s="52">
        <v>1500000</v>
      </c>
    </row>
    <row r="27" spans="1:10">
      <c r="A27">
        <v>27</v>
      </c>
      <c r="B27" s="13">
        <v>45972</v>
      </c>
      <c r="C27" s="13"/>
      <c r="D27" s="281" t="s">
        <v>3938</v>
      </c>
      <c r="E27" s="189" t="s">
        <v>2176</v>
      </c>
      <c r="F27" s="189" t="s">
        <v>1198</v>
      </c>
      <c r="G27" s="52">
        <v>1</v>
      </c>
      <c r="H27" s="52">
        <v>1100000</v>
      </c>
    </row>
    <row r="28" spans="1:10">
      <c r="B28" s="13"/>
      <c r="C28" s="13"/>
    </row>
    <row r="29" spans="1:10">
      <c r="B29" s="13"/>
      <c r="C29" s="13"/>
    </row>
    <row r="30" spans="1:10">
      <c r="B30" s="13"/>
      <c r="C30" s="13"/>
    </row>
    <row r="31" spans="1:10">
      <c r="B31" s="13"/>
      <c r="C31" s="13"/>
    </row>
    <row r="32" spans="1:10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7.399999999999999"/>
  <cols>
    <col min="1" max="1" width="14.097656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7.399999999999999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2669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7.399999999999999"/>
  <cols>
    <col min="2" max="2" width="12.3984375" customWidth="1"/>
  </cols>
  <sheetData>
    <row r="1" spans="1:3" ht="18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1727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1140</v>
      </c>
    </row>
    <row r="11" spans="1:3">
      <c r="A11">
        <v>12</v>
      </c>
      <c r="B11" t="s">
        <v>1758</v>
      </c>
    </row>
    <row r="12" spans="1:3">
      <c r="A12">
        <v>13</v>
      </c>
      <c r="B12" t="s">
        <v>1769</v>
      </c>
    </row>
    <row r="13" spans="1:3">
      <c r="A13">
        <v>14</v>
      </c>
      <c r="B13" t="s">
        <v>1914</v>
      </c>
    </row>
    <row r="14" spans="1:3">
      <c r="A14">
        <v>15</v>
      </c>
      <c r="B14" t="s">
        <v>2341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7.399999999999999"/>
  <sheetData>
    <row r="1" spans="1:1" ht="18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7.399999999999999"/>
  <sheetData>
    <row r="1" spans="1:3" ht="18" thickBot="1">
      <c r="A1" t="s">
        <v>956</v>
      </c>
      <c r="B1" t="s">
        <v>10</v>
      </c>
      <c r="C1" t="s">
        <v>9</v>
      </c>
    </row>
    <row r="2" spans="1:3" ht="53.4" thickBot="1">
      <c r="A2" s="39" t="s">
        <v>91</v>
      </c>
      <c r="B2" s="39" t="s">
        <v>92</v>
      </c>
      <c r="C2" s="40" t="s">
        <v>93</v>
      </c>
    </row>
    <row r="3" spans="1:3" ht="53.4" thickBot="1">
      <c r="A3" s="41" t="s">
        <v>94</v>
      </c>
      <c r="B3" s="42" t="s">
        <v>95</v>
      </c>
      <c r="C3" s="43" t="s">
        <v>96</v>
      </c>
    </row>
    <row r="4" spans="1:3" ht="53.4" thickBot="1">
      <c r="A4" s="39" t="s">
        <v>97</v>
      </c>
      <c r="B4" s="39" t="s">
        <v>98</v>
      </c>
      <c r="C4" s="40" t="s">
        <v>99</v>
      </c>
    </row>
    <row r="5" spans="1:3" ht="53.4" thickBot="1">
      <c r="A5" s="41" t="s">
        <v>100</v>
      </c>
      <c r="B5" s="42" t="s">
        <v>101</v>
      </c>
      <c r="C5" s="43" t="s">
        <v>102</v>
      </c>
    </row>
    <row r="6" spans="1:3" ht="53.4" thickBot="1">
      <c r="A6" s="41" t="s">
        <v>103</v>
      </c>
      <c r="B6" s="39" t="s">
        <v>104</v>
      </c>
      <c r="C6" s="40" t="s">
        <v>105</v>
      </c>
    </row>
    <row r="7" spans="1:3" ht="53.4" thickBot="1">
      <c r="A7" s="41" t="s">
        <v>106</v>
      </c>
      <c r="B7" s="42" t="s">
        <v>107</v>
      </c>
      <c r="C7" s="43" t="s">
        <v>108</v>
      </c>
    </row>
    <row r="8" spans="1:3" ht="53.4" thickBot="1">
      <c r="A8" s="41" t="s">
        <v>109</v>
      </c>
      <c r="B8" s="39" t="s">
        <v>110</v>
      </c>
      <c r="C8" s="40" t="s">
        <v>111</v>
      </c>
    </row>
    <row r="9" spans="1:3" ht="66.599999999999994" thickBot="1">
      <c r="A9" s="41" t="s">
        <v>112</v>
      </c>
      <c r="B9" s="42" t="s">
        <v>113</v>
      </c>
      <c r="C9" s="43" t="s">
        <v>114</v>
      </c>
    </row>
    <row r="10" spans="1:3" ht="53.4" thickBot="1">
      <c r="A10" s="41" t="s">
        <v>97</v>
      </c>
      <c r="B10" s="39" t="s">
        <v>98</v>
      </c>
      <c r="C10" s="40" t="s">
        <v>99</v>
      </c>
    </row>
    <row r="11" spans="1:3" ht="53.4" thickBot="1">
      <c r="A11" s="41" t="s">
        <v>115</v>
      </c>
      <c r="B11" s="42" t="s">
        <v>116</v>
      </c>
      <c r="C11" s="43" t="s">
        <v>117</v>
      </c>
    </row>
    <row r="12" spans="1:3" ht="79.8" thickBot="1">
      <c r="A12" s="41" t="s">
        <v>118</v>
      </c>
      <c r="B12" s="39" t="s">
        <v>119</v>
      </c>
      <c r="C12" s="40" t="s">
        <v>120</v>
      </c>
    </row>
    <row r="13" spans="1:3" ht="66.599999999999994" thickBot="1">
      <c r="A13" s="41" t="s">
        <v>121</v>
      </c>
      <c r="B13" s="42" t="s">
        <v>122</v>
      </c>
      <c r="C13" s="43" t="s">
        <v>123</v>
      </c>
    </row>
    <row r="14" spans="1:3" ht="53.4" thickBot="1">
      <c r="A14" s="41" t="s">
        <v>124</v>
      </c>
      <c r="B14" s="39" t="s">
        <v>125</v>
      </c>
      <c r="C14" s="40" t="s">
        <v>126</v>
      </c>
    </row>
    <row r="15" spans="1:3" ht="53.4" thickBot="1">
      <c r="A15" s="41" t="s">
        <v>127</v>
      </c>
      <c r="B15" s="42" t="s">
        <v>128</v>
      </c>
      <c r="C15" s="43" t="s">
        <v>129</v>
      </c>
    </row>
    <row r="16" spans="1:3" ht="66.599999999999994" thickBot="1">
      <c r="A16" s="41" t="s">
        <v>130</v>
      </c>
      <c r="B16" s="39" t="s">
        <v>131</v>
      </c>
      <c r="C16" s="40" t="s">
        <v>132</v>
      </c>
    </row>
    <row r="17" spans="1:3" ht="53.4" thickBot="1">
      <c r="A17" s="41" t="s">
        <v>133</v>
      </c>
      <c r="B17" s="42" t="s">
        <v>134</v>
      </c>
      <c r="C17" s="43" t="s">
        <v>135</v>
      </c>
    </row>
    <row r="18" spans="1:3" ht="40.200000000000003" thickBot="1">
      <c r="A18" s="39" t="s">
        <v>136</v>
      </c>
      <c r="B18" s="39" t="s">
        <v>137</v>
      </c>
      <c r="C18" s="40" t="s">
        <v>138</v>
      </c>
    </row>
    <row r="19" spans="1:3" ht="40.200000000000003" thickBot="1">
      <c r="A19" s="41" t="s">
        <v>139</v>
      </c>
      <c r="B19" s="42" t="s">
        <v>140</v>
      </c>
      <c r="C19" s="43" t="s">
        <v>141</v>
      </c>
    </row>
    <row r="20" spans="1:3" ht="40.200000000000003" thickBot="1">
      <c r="A20" s="39" t="s">
        <v>142</v>
      </c>
      <c r="B20" s="39" t="s">
        <v>143</v>
      </c>
      <c r="C20" s="40" t="s">
        <v>144</v>
      </c>
    </row>
    <row r="21" spans="1:3" ht="40.200000000000003" thickBot="1">
      <c r="A21" s="41" t="s">
        <v>145</v>
      </c>
      <c r="B21" s="42" t="s">
        <v>146</v>
      </c>
      <c r="C21" s="43" t="s">
        <v>147</v>
      </c>
    </row>
    <row r="22" spans="1:3" ht="40.200000000000003" thickBot="1">
      <c r="A22" s="41" t="s">
        <v>148</v>
      </c>
      <c r="B22" s="39" t="s">
        <v>149</v>
      </c>
      <c r="C22" s="40" t="s">
        <v>150</v>
      </c>
    </row>
    <row r="23" spans="1:3" ht="40.200000000000003" thickBot="1">
      <c r="A23" s="42" t="s">
        <v>151</v>
      </c>
      <c r="B23" s="42" t="s">
        <v>152</v>
      </c>
      <c r="C23" s="43" t="s">
        <v>153</v>
      </c>
    </row>
    <row r="24" spans="1:3" ht="40.200000000000003" thickBot="1">
      <c r="A24" s="41" t="s">
        <v>154</v>
      </c>
      <c r="B24" s="39" t="s">
        <v>155</v>
      </c>
      <c r="C24" s="40" t="s">
        <v>156</v>
      </c>
    </row>
    <row r="25" spans="1:3" ht="40.200000000000003" thickBot="1">
      <c r="A25" s="41" t="s">
        <v>157</v>
      </c>
      <c r="B25" s="42" t="s">
        <v>158</v>
      </c>
      <c r="C25" s="43" t="s">
        <v>159</v>
      </c>
    </row>
    <row r="26" spans="1:3" ht="53.4" thickBot="1">
      <c r="A26" s="41" t="s">
        <v>160</v>
      </c>
      <c r="B26" s="39" t="s">
        <v>161</v>
      </c>
      <c r="C26" s="40" t="s">
        <v>162</v>
      </c>
    </row>
    <row r="27" spans="1:3" ht="40.200000000000003" thickBot="1">
      <c r="A27" s="41" t="s">
        <v>163</v>
      </c>
      <c r="B27" s="42" t="s">
        <v>164</v>
      </c>
      <c r="C27" s="43" t="s">
        <v>165</v>
      </c>
    </row>
    <row r="28" spans="1:3" ht="53.4" thickBot="1">
      <c r="A28" s="41" t="s">
        <v>166</v>
      </c>
      <c r="B28" s="39" t="s">
        <v>167</v>
      </c>
      <c r="C28" s="40" t="s">
        <v>168</v>
      </c>
    </row>
    <row r="29" spans="1:3" ht="53.4" thickBot="1">
      <c r="A29" s="41" t="s">
        <v>169</v>
      </c>
      <c r="B29" s="42" t="s">
        <v>170</v>
      </c>
      <c r="C29" s="43" t="s">
        <v>171</v>
      </c>
    </row>
    <row r="30" spans="1:3" ht="53.4" thickBot="1">
      <c r="A30" s="41" t="s">
        <v>172</v>
      </c>
      <c r="B30" s="39" t="s">
        <v>173</v>
      </c>
      <c r="C30" s="40" t="s">
        <v>174</v>
      </c>
    </row>
    <row r="31" spans="1:3" ht="53.4" thickBot="1">
      <c r="A31" s="41" t="s">
        <v>175</v>
      </c>
      <c r="B31" s="42" t="s">
        <v>176</v>
      </c>
      <c r="C31" s="43" t="s">
        <v>177</v>
      </c>
    </row>
    <row r="32" spans="1:3" ht="40.200000000000003" thickBot="1">
      <c r="A32" s="41" t="s">
        <v>178</v>
      </c>
      <c r="B32" s="39" t="s">
        <v>179</v>
      </c>
      <c r="C32" s="40" t="s">
        <v>180</v>
      </c>
    </row>
    <row r="33" spans="1:3" ht="40.200000000000003" thickBot="1">
      <c r="A33" s="41" t="s">
        <v>181</v>
      </c>
      <c r="B33" s="42" t="s">
        <v>182</v>
      </c>
      <c r="C33" s="43" t="s">
        <v>183</v>
      </c>
    </row>
    <row r="34" spans="1:3" ht="40.200000000000003" thickBot="1">
      <c r="A34" s="41" t="s">
        <v>184</v>
      </c>
      <c r="B34" s="39" t="s">
        <v>185</v>
      </c>
      <c r="C34" s="40" t="s">
        <v>186</v>
      </c>
    </row>
    <row r="35" spans="1:3" ht="53.4" thickBot="1">
      <c r="A35" s="41" t="s">
        <v>187</v>
      </c>
      <c r="B35" s="42" t="s">
        <v>188</v>
      </c>
      <c r="C35" s="43" t="s">
        <v>189</v>
      </c>
    </row>
    <row r="36" spans="1:3" ht="53.4" thickBot="1">
      <c r="A36" s="41" t="s">
        <v>190</v>
      </c>
      <c r="B36" s="39" t="s">
        <v>191</v>
      </c>
      <c r="C36" s="40" t="s">
        <v>192</v>
      </c>
    </row>
    <row r="37" spans="1:3" ht="53.4" thickBot="1">
      <c r="A37" s="41" t="s">
        <v>193</v>
      </c>
      <c r="B37" s="42" t="s">
        <v>194</v>
      </c>
      <c r="C37" s="43" t="s">
        <v>195</v>
      </c>
    </row>
    <row r="38" spans="1:3" ht="53.4" thickBot="1">
      <c r="A38" s="41" t="s">
        <v>196</v>
      </c>
      <c r="B38" s="39" t="s">
        <v>197</v>
      </c>
      <c r="C38" s="40" t="s">
        <v>198</v>
      </c>
    </row>
    <row r="39" spans="1:3" ht="53.4" thickBot="1">
      <c r="A39" s="41" t="s">
        <v>199</v>
      </c>
      <c r="B39" s="42" t="s">
        <v>200</v>
      </c>
      <c r="C39" s="43" t="s">
        <v>201</v>
      </c>
    </row>
    <row r="40" spans="1:3" ht="53.4" thickBot="1">
      <c r="A40" s="41" t="s">
        <v>196</v>
      </c>
      <c r="B40" s="39" t="s">
        <v>202</v>
      </c>
      <c r="C40" s="40" t="s">
        <v>198</v>
      </c>
    </row>
    <row r="41" spans="1:3" ht="40.200000000000003" thickBot="1">
      <c r="A41" s="41" t="s">
        <v>203</v>
      </c>
      <c r="B41" s="42" t="s">
        <v>204</v>
      </c>
      <c r="C41" s="43" t="s">
        <v>205</v>
      </c>
    </row>
    <row r="42" spans="1:3" ht="40.200000000000003" thickBot="1">
      <c r="A42" s="39" t="s">
        <v>206</v>
      </c>
      <c r="B42" s="39" t="s">
        <v>207</v>
      </c>
      <c r="C42" s="40" t="s">
        <v>208</v>
      </c>
    </row>
    <row r="43" spans="1:3" ht="53.4" thickBot="1">
      <c r="A43" s="41" t="s">
        <v>209</v>
      </c>
      <c r="B43" s="42" t="s">
        <v>210</v>
      </c>
      <c r="C43" s="43" t="s">
        <v>211</v>
      </c>
    </row>
    <row r="44" spans="1:3" ht="53.4" thickBot="1">
      <c r="A44" s="41" t="s">
        <v>212</v>
      </c>
      <c r="B44" s="39" t="s">
        <v>213</v>
      </c>
      <c r="C44" s="40" t="s">
        <v>214</v>
      </c>
    </row>
    <row r="45" spans="1:3" ht="40.200000000000003" thickBot="1">
      <c r="A45" s="42" t="s">
        <v>215</v>
      </c>
      <c r="B45" s="42" t="s">
        <v>216</v>
      </c>
      <c r="C45" s="43" t="s">
        <v>217</v>
      </c>
    </row>
    <row r="46" spans="1:3" ht="40.200000000000003" thickBot="1">
      <c r="A46" s="41" t="s">
        <v>218</v>
      </c>
      <c r="B46" s="39" t="s">
        <v>219</v>
      </c>
      <c r="C46" s="40" t="s">
        <v>220</v>
      </c>
    </row>
    <row r="47" spans="1:3" ht="40.200000000000003" thickBot="1">
      <c r="A47" s="41" t="s">
        <v>221</v>
      </c>
      <c r="B47" s="42" t="s">
        <v>222</v>
      </c>
      <c r="C47" s="43" t="s">
        <v>223</v>
      </c>
    </row>
    <row r="48" spans="1:3" ht="40.200000000000003" thickBot="1">
      <c r="A48" s="41" t="s">
        <v>224</v>
      </c>
      <c r="B48" s="39" t="s">
        <v>225</v>
      </c>
      <c r="C48" s="40" t="s">
        <v>226</v>
      </c>
    </row>
    <row r="49" spans="1:3" ht="40.200000000000003" thickBot="1">
      <c r="A49" s="41" t="s">
        <v>227</v>
      </c>
      <c r="B49" s="42" t="s">
        <v>228</v>
      </c>
      <c r="C49" s="43" t="s">
        <v>229</v>
      </c>
    </row>
    <row r="50" spans="1:3" ht="53.4" thickBot="1">
      <c r="A50" s="39" t="s">
        <v>230</v>
      </c>
      <c r="B50" s="39" t="s">
        <v>231</v>
      </c>
      <c r="C50" s="40" t="s">
        <v>232</v>
      </c>
    </row>
    <row r="51" spans="1:3" ht="40.200000000000003" thickBot="1">
      <c r="A51" s="41" t="s">
        <v>233</v>
      </c>
      <c r="B51" s="42" t="s">
        <v>234</v>
      </c>
      <c r="C51" s="43" t="s">
        <v>235</v>
      </c>
    </row>
    <row r="52" spans="1:3" ht="66.599999999999994" thickBot="1">
      <c r="A52" s="41" t="s">
        <v>236</v>
      </c>
      <c r="B52" s="39" t="s">
        <v>237</v>
      </c>
      <c r="C52" s="40" t="s">
        <v>238</v>
      </c>
    </row>
    <row r="53" spans="1:3" ht="40.200000000000003" thickBot="1">
      <c r="A53" s="41" t="s">
        <v>239</v>
      </c>
      <c r="B53" s="42" t="s">
        <v>240</v>
      </c>
      <c r="C53" s="43" t="s">
        <v>241</v>
      </c>
    </row>
    <row r="54" spans="1:3" ht="53.4" thickBot="1">
      <c r="A54" s="41" t="s">
        <v>242</v>
      </c>
      <c r="B54" s="39" t="s">
        <v>243</v>
      </c>
      <c r="C54" s="40" t="s">
        <v>244</v>
      </c>
    </row>
    <row r="55" spans="1:3" ht="53.4" thickBot="1">
      <c r="A55" s="41" t="s">
        <v>245</v>
      </c>
      <c r="B55" s="42" t="s">
        <v>246</v>
      </c>
      <c r="C55" s="43" t="s">
        <v>247</v>
      </c>
    </row>
    <row r="56" spans="1:3" ht="53.4" thickBot="1">
      <c r="A56" s="41" t="s">
        <v>248</v>
      </c>
      <c r="B56" s="39" t="s">
        <v>249</v>
      </c>
      <c r="C56" s="40" t="s">
        <v>250</v>
      </c>
    </row>
    <row r="57" spans="1:3" ht="53.4" thickBot="1">
      <c r="A57" s="41" t="s">
        <v>251</v>
      </c>
      <c r="B57" s="42" t="s">
        <v>252</v>
      </c>
      <c r="C57" s="43" t="s">
        <v>253</v>
      </c>
    </row>
    <row r="58" spans="1:3" ht="53.4" thickBot="1">
      <c r="A58" s="41" t="s">
        <v>254</v>
      </c>
      <c r="B58" s="39" t="s">
        <v>255</v>
      </c>
      <c r="C58" s="40" t="s">
        <v>256</v>
      </c>
    </row>
    <row r="59" spans="1:3" ht="53.4" thickBot="1">
      <c r="A59" s="41" t="s">
        <v>257</v>
      </c>
      <c r="B59" s="42" t="s">
        <v>258</v>
      </c>
      <c r="C59" s="43" t="s">
        <v>259</v>
      </c>
    </row>
    <row r="60" spans="1:3" ht="53.4" thickBot="1">
      <c r="A60" s="41" t="s">
        <v>260</v>
      </c>
      <c r="B60" s="39" t="s">
        <v>261</v>
      </c>
      <c r="C60" s="40" t="s">
        <v>262</v>
      </c>
    </row>
    <row r="61" spans="1:3" ht="66.599999999999994" thickBot="1">
      <c r="A61" s="41" t="s">
        <v>263</v>
      </c>
      <c r="B61" s="42" t="s">
        <v>264</v>
      </c>
      <c r="C61" s="43" t="s">
        <v>265</v>
      </c>
    </row>
    <row r="62" spans="1:3" ht="66.599999999999994" thickBot="1">
      <c r="A62" s="41" t="s">
        <v>266</v>
      </c>
      <c r="B62" s="39" t="s">
        <v>267</v>
      </c>
      <c r="C62" s="40" t="s">
        <v>268</v>
      </c>
    </row>
    <row r="63" spans="1:3" ht="66.599999999999994" thickBot="1">
      <c r="A63" s="41" t="s">
        <v>269</v>
      </c>
      <c r="B63" s="42" t="s">
        <v>270</v>
      </c>
      <c r="C63" s="43" t="s">
        <v>271</v>
      </c>
    </row>
    <row r="64" spans="1:3" ht="53.4" thickBot="1">
      <c r="A64" s="41" t="s">
        <v>272</v>
      </c>
      <c r="B64" s="39" t="s">
        <v>273</v>
      </c>
      <c r="C64" s="40" t="s">
        <v>274</v>
      </c>
    </row>
    <row r="65" spans="1:3" ht="53.4" thickBot="1">
      <c r="A65" s="41" t="s">
        <v>275</v>
      </c>
      <c r="B65" s="42" t="s">
        <v>276</v>
      </c>
      <c r="C65" s="43" t="s">
        <v>277</v>
      </c>
    </row>
    <row r="66" spans="1:3" ht="66.599999999999994" thickBot="1">
      <c r="A66" s="41" t="s">
        <v>278</v>
      </c>
      <c r="B66" s="39" t="s">
        <v>279</v>
      </c>
      <c r="C66" s="40" t="s">
        <v>280</v>
      </c>
    </row>
    <row r="67" spans="1:3" ht="53.4" thickBot="1">
      <c r="A67" s="41" t="s">
        <v>281</v>
      </c>
      <c r="B67" s="42" t="s">
        <v>282</v>
      </c>
      <c r="C67" s="43" t="s">
        <v>283</v>
      </c>
    </row>
    <row r="68" spans="1:3" ht="66.599999999999994" thickBot="1">
      <c r="A68" s="41" t="s">
        <v>284</v>
      </c>
      <c r="B68" s="39" t="s">
        <v>285</v>
      </c>
      <c r="C68" s="40" t="s">
        <v>286</v>
      </c>
    </row>
    <row r="69" spans="1:3" ht="53.4" thickBot="1">
      <c r="A69" s="41" t="s">
        <v>287</v>
      </c>
      <c r="B69" s="42" t="s">
        <v>288</v>
      </c>
      <c r="C69" s="43" t="s">
        <v>289</v>
      </c>
    </row>
    <row r="70" spans="1:3" ht="53.4" thickBot="1">
      <c r="A70" s="41" t="s">
        <v>290</v>
      </c>
      <c r="B70" s="39" t="s">
        <v>291</v>
      </c>
      <c r="C70" s="40" t="s">
        <v>292</v>
      </c>
    </row>
    <row r="71" spans="1:3" ht="53.4" thickBot="1">
      <c r="A71" s="41" t="s">
        <v>293</v>
      </c>
      <c r="B71" s="42" t="s">
        <v>294</v>
      </c>
      <c r="C71" s="43" t="s">
        <v>295</v>
      </c>
    </row>
    <row r="72" spans="1:3" ht="53.4" thickBot="1">
      <c r="A72" s="41" t="s">
        <v>296</v>
      </c>
      <c r="B72" s="39" t="s">
        <v>297</v>
      </c>
      <c r="C72" s="40" t="s">
        <v>298</v>
      </c>
    </row>
    <row r="73" spans="1:3" ht="53.4" thickBot="1">
      <c r="A73" s="41" t="s">
        <v>299</v>
      </c>
      <c r="B73" s="42" t="s">
        <v>300</v>
      </c>
      <c r="C73" s="43" t="s">
        <v>301</v>
      </c>
    </row>
    <row r="74" spans="1:3" ht="53.4" thickBot="1">
      <c r="A74" s="41" t="s">
        <v>302</v>
      </c>
      <c r="B74" s="39" t="s">
        <v>303</v>
      </c>
      <c r="C74" s="40" t="s">
        <v>304</v>
      </c>
    </row>
    <row r="75" spans="1:3" ht="53.4" thickBot="1">
      <c r="A75" s="41" t="s">
        <v>305</v>
      </c>
      <c r="B75" s="42" t="s">
        <v>306</v>
      </c>
      <c r="C75" s="43" t="s">
        <v>307</v>
      </c>
    </row>
    <row r="76" spans="1:3" ht="53.4" thickBot="1">
      <c r="A76" s="41" t="s">
        <v>308</v>
      </c>
      <c r="B76" s="39" t="s">
        <v>309</v>
      </c>
      <c r="C76" s="40" t="s">
        <v>310</v>
      </c>
    </row>
    <row r="77" spans="1:3" ht="53.4" thickBot="1">
      <c r="A77" s="41" t="s">
        <v>311</v>
      </c>
      <c r="B77" s="42" t="s">
        <v>312</v>
      </c>
      <c r="C77" s="43" t="s">
        <v>313</v>
      </c>
    </row>
    <row r="78" spans="1:3" ht="66.599999999999994" thickBot="1">
      <c r="A78" s="41" t="s">
        <v>302</v>
      </c>
      <c r="B78" s="39" t="s">
        <v>314</v>
      </c>
      <c r="C78" s="40" t="s">
        <v>304</v>
      </c>
    </row>
    <row r="79" spans="1:3" ht="53.4" thickBot="1">
      <c r="A79" s="42" t="s">
        <v>315</v>
      </c>
      <c r="B79" s="42" t="s">
        <v>316</v>
      </c>
      <c r="C79" s="43" t="s">
        <v>317</v>
      </c>
    </row>
    <row r="80" spans="1:3" ht="53.4" thickBot="1">
      <c r="A80" s="41" t="s">
        <v>318</v>
      </c>
      <c r="B80" s="39" t="s">
        <v>319</v>
      </c>
      <c r="C80" s="40" t="s">
        <v>320</v>
      </c>
    </row>
    <row r="81" spans="1:3" ht="53.4" thickBot="1">
      <c r="A81" s="41" t="s">
        <v>318</v>
      </c>
      <c r="B81" s="42" t="s">
        <v>319</v>
      </c>
      <c r="C81" s="43" t="s">
        <v>320</v>
      </c>
    </row>
    <row r="82" spans="1:3" ht="53.4" thickBot="1">
      <c r="A82" s="41" t="s">
        <v>321</v>
      </c>
      <c r="B82" s="39" t="s">
        <v>322</v>
      </c>
      <c r="C82" s="40" t="s">
        <v>323</v>
      </c>
    </row>
    <row r="83" spans="1:3" ht="66.599999999999994" thickBot="1">
      <c r="A83" s="41" t="s">
        <v>324</v>
      </c>
      <c r="B83" s="42" t="s">
        <v>325</v>
      </c>
      <c r="C83" s="43" t="s">
        <v>326</v>
      </c>
    </row>
    <row r="84" spans="1:3" ht="53.4" thickBot="1">
      <c r="A84" s="41" t="s">
        <v>327</v>
      </c>
      <c r="B84" s="39" t="s">
        <v>328</v>
      </c>
      <c r="C84" s="40" t="s">
        <v>329</v>
      </c>
    </row>
    <row r="85" spans="1:3" ht="66.599999999999994" thickBot="1">
      <c r="A85" s="41" t="s">
        <v>330</v>
      </c>
      <c r="B85" s="42" t="s">
        <v>331</v>
      </c>
      <c r="C85" s="43" t="s">
        <v>332</v>
      </c>
    </row>
    <row r="86" spans="1:3" ht="79.8" thickBot="1">
      <c r="A86" s="41" t="s">
        <v>333</v>
      </c>
      <c r="B86" s="39" t="s">
        <v>334</v>
      </c>
      <c r="C86" s="40" t="s">
        <v>335</v>
      </c>
    </row>
    <row r="87" spans="1:3" ht="79.8" thickBot="1">
      <c r="A87" s="41" t="s">
        <v>336</v>
      </c>
      <c r="B87" s="42" t="s">
        <v>337</v>
      </c>
      <c r="C87" s="43" t="s">
        <v>338</v>
      </c>
    </row>
    <row r="88" spans="1:3" ht="66.599999999999994" thickBot="1">
      <c r="A88" s="41" t="s">
        <v>339</v>
      </c>
      <c r="B88" s="39" t="s">
        <v>340</v>
      </c>
      <c r="C88" s="40" t="s">
        <v>341</v>
      </c>
    </row>
    <row r="89" spans="1:3" ht="66.599999999999994" thickBot="1">
      <c r="A89" s="41" t="s">
        <v>342</v>
      </c>
      <c r="B89" s="42" t="s">
        <v>343</v>
      </c>
      <c r="C89" s="43" t="s">
        <v>344</v>
      </c>
    </row>
    <row r="90" spans="1:3" ht="66.599999999999994" thickBot="1">
      <c r="A90" s="41" t="s">
        <v>345</v>
      </c>
      <c r="B90" s="39" t="s">
        <v>346</v>
      </c>
      <c r="C90" s="40" t="s">
        <v>347</v>
      </c>
    </row>
    <row r="91" spans="1:3" ht="66.599999999999994" thickBot="1">
      <c r="A91" s="41" t="s">
        <v>348</v>
      </c>
      <c r="B91" s="42" t="s">
        <v>349</v>
      </c>
      <c r="C91" s="43" t="s">
        <v>350</v>
      </c>
    </row>
    <row r="92" spans="1:3" ht="53.4" thickBot="1">
      <c r="A92" s="41" t="s">
        <v>351</v>
      </c>
      <c r="B92" s="39" t="s">
        <v>352</v>
      </c>
      <c r="C92" s="40" t="s">
        <v>353</v>
      </c>
    </row>
    <row r="93" spans="1:3" ht="66.599999999999994" thickBot="1">
      <c r="A93" s="41" t="s">
        <v>354</v>
      </c>
      <c r="B93" s="42" t="s">
        <v>355</v>
      </c>
      <c r="C93" s="43" t="s">
        <v>356</v>
      </c>
    </row>
    <row r="94" spans="1:3" ht="40.200000000000003" thickBot="1">
      <c r="A94" s="41" t="s">
        <v>357</v>
      </c>
      <c r="B94" s="39" t="s">
        <v>358</v>
      </c>
      <c r="C94" s="40" t="s">
        <v>359</v>
      </c>
    </row>
    <row r="95" spans="1:3" ht="66.599999999999994" thickBot="1">
      <c r="A95" s="41" t="s">
        <v>321</v>
      </c>
      <c r="B95" s="42" t="s">
        <v>360</v>
      </c>
      <c r="C95" s="43" t="s">
        <v>323</v>
      </c>
    </row>
    <row r="96" spans="1:3" ht="66.599999999999994" thickBot="1">
      <c r="A96" s="41" t="s">
        <v>361</v>
      </c>
      <c r="B96" s="39" t="s">
        <v>362</v>
      </c>
      <c r="C96" s="40" t="s">
        <v>363</v>
      </c>
    </row>
    <row r="97" spans="1:3" ht="40.200000000000003" thickBot="1">
      <c r="A97" s="42" t="s">
        <v>364</v>
      </c>
      <c r="B97" s="42" t="s">
        <v>365</v>
      </c>
      <c r="C97" s="43" t="s">
        <v>366</v>
      </c>
    </row>
    <row r="98" spans="1:3" ht="40.200000000000003" thickBot="1">
      <c r="A98" s="39" t="s">
        <v>367</v>
      </c>
      <c r="B98" s="39" t="s">
        <v>368</v>
      </c>
      <c r="C98" s="40" t="s">
        <v>369</v>
      </c>
    </row>
    <row r="99" spans="1:3" ht="40.200000000000003" thickBot="1">
      <c r="A99" s="41" t="s">
        <v>370</v>
      </c>
      <c r="B99" s="42" t="s">
        <v>371</v>
      </c>
      <c r="C99" s="43" t="s">
        <v>372</v>
      </c>
    </row>
    <row r="100" spans="1:3" ht="53.4" thickBot="1">
      <c r="A100" s="41" t="s">
        <v>373</v>
      </c>
      <c r="B100" s="39" t="s">
        <v>374</v>
      </c>
      <c r="C100" s="40" t="s">
        <v>375</v>
      </c>
    </row>
    <row r="101" spans="1:3" ht="40.200000000000003" thickBot="1">
      <c r="A101" s="41" t="s">
        <v>376</v>
      </c>
      <c r="B101" s="42" t="s">
        <v>377</v>
      </c>
      <c r="C101" s="43" t="s">
        <v>378</v>
      </c>
    </row>
    <row r="102" spans="1:3" ht="53.4" thickBot="1">
      <c r="A102" s="41" t="s">
        <v>379</v>
      </c>
      <c r="B102" s="39" t="s">
        <v>380</v>
      </c>
      <c r="C102" s="40" t="s">
        <v>381</v>
      </c>
    </row>
    <row r="103" spans="1:3" ht="53.4" thickBot="1">
      <c r="A103" s="41" t="s">
        <v>382</v>
      </c>
      <c r="B103" s="42" t="s">
        <v>383</v>
      </c>
      <c r="C103" s="43" t="s">
        <v>384</v>
      </c>
    </row>
    <row r="104" spans="1:3" ht="53.4" thickBot="1">
      <c r="A104" s="41" t="s">
        <v>385</v>
      </c>
      <c r="B104" s="39" t="s">
        <v>386</v>
      </c>
      <c r="C104" s="40" t="s">
        <v>387</v>
      </c>
    </row>
    <row r="105" spans="1:3" ht="53.4" thickBot="1">
      <c r="A105" s="41" t="s">
        <v>388</v>
      </c>
      <c r="B105" s="42" t="s">
        <v>389</v>
      </c>
      <c r="C105" s="43" t="s">
        <v>390</v>
      </c>
    </row>
    <row r="106" spans="1:3" ht="53.4" thickBot="1">
      <c r="A106" s="39" t="s">
        <v>391</v>
      </c>
      <c r="B106" s="39" t="s">
        <v>392</v>
      </c>
      <c r="C106" s="40" t="s">
        <v>393</v>
      </c>
    </row>
    <row r="107" spans="1:3" ht="53.4" thickBot="1">
      <c r="A107" s="41" t="s">
        <v>394</v>
      </c>
      <c r="B107" s="42" t="s">
        <v>395</v>
      </c>
      <c r="C107" s="43" t="s">
        <v>396</v>
      </c>
    </row>
    <row r="108" spans="1:3" ht="53.4" thickBot="1">
      <c r="A108" s="41" t="s">
        <v>397</v>
      </c>
      <c r="B108" s="39" t="s">
        <v>398</v>
      </c>
      <c r="C108" s="40" t="s">
        <v>399</v>
      </c>
    </row>
    <row r="109" spans="1:3" ht="53.4" thickBot="1">
      <c r="A109" s="41" t="s">
        <v>400</v>
      </c>
      <c r="B109" s="42" t="s">
        <v>398</v>
      </c>
      <c r="C109" s="43" t="s">
        <v>401</v>
      </c>
    </row>
    <row r="110" spans="1:3" ht="53.4" thickBot="1">
      <c r="A110" s="41" t="s">
        <v>402</v>
      </c>
      <c r="B110" s="39" t="s">
        <v>403</v>
      </c>
      <c r="C110" s="40" t="s">
        <v>399</v>
      </c>
    </row>
    <row r="111" spans="1:3" ht="53.4" thickBot="1">
      <c r="A111" s="41" t="s">
        <v>404</v>
      </c>
      <c r="B111" s="42" t="s">
        <v>403</v>
      </c>
      <c r="C111" s="43" t="s">
        <v>405</v>
      </c>
    </row>
    <row r="112" spans="1:3" ht="53.4" thickBot="1">
      <c r="A112" s="41" t="s">
        <v>406</v>
      </c>
      <c r="B112" s="39" t="s">
        <v>403</v>
      </c>
      <c r="C112" s="40" t="s">
        <v>393</v>
      </c>
    </row>
    <row r="113" spans="1:3" ht="53.4" thickBot="1">
      <c r="A113" s="41" t="s">
        <v>407</v>
      </c>
      <c r="B113" s="42" t="s">
        <v>403</v>
      </c>
      <c r="C113" s="43" t="s">
        <v>399</v>
      </c>
    </row>
    <row r="114" spans="1:3" ht="53.4" thickBot="1">
      <c r="A114" s="41" t="s">
        <v>408</v>
      </c>
      <c r="B114" s="39" t="s">
        <v>409</v>
      </c>
      <c r="C114" s="40" t="s">
        <v>410</v>
      </c>
    </row>
    <row r="115" spans="1:3" ht="66.599999999999994" thickBot="1">
      <c r="A115" s="41" t="s">
        <v>411</v>
      </c>
      <c r="B115" s="42" t="s">
        <v>412</v>
      </c>
      <c r="C115" s="43" t="s">
        <v>413</v>
      </c>
    </row>
    <row r="116" spans="1:3" ht="53.4" thickBot="1">
      <c r="A116" s="41" t="s">
        <v>391</v>
      </c>
      <c r="B116" s="39" t="s">
        <v>392</v>
      </c>
      <c r="C116" s="40" t="s">
        <v>393</v>
      </c>
    </row>
    <row r="117" spans="1:3" ht="53.4" thickBot="1">
      <c r="A117" s="41" t="s">
        <v>394</v>
      </c>
      <c r="B117" s="42" t="s">
        <v>395</v>
      </c>
      <c r="C117" s="43" t="s">
        <v>396</v>
      </c>
    </row>
    <row r="118" spans="1:3" ht="53.4" thickBot="1">
      <c r="A118" s="39" t="s">
        <v>414</v>
      </c>
      <c r="B118" s="39" t="s">
        <v>415</v>
      </c>
      <c r="C118" s="40" t="s">
        <v>416</v>
      </c>
    </row>
    <row r="119" spans="1:3" ht="53.4" thickBot="1">
      <c r="A119" s="41" t="s">
        <v>417</v>
      </c>
      <c r="B119" s="42" t="s">
        <v>418</v>
      </c>
      <c r="C119" s="43" t="s">
        <v>419</v>
      </c>
    </row>
    <row r="120" spans="1:3" ht="53.4" thickBot="1">
      <c r="A120" s="41" t="s">
        <v>420</v>
      </c>
      <c r="B120" s="39" t="s">
        <v>421</v>
      </c>
      <c r="C120" s="40" t="s">
        <v>422</v>
      </c>
    </row>
    <row r="121" spans="1:3" ht="66.599999999999994" thickBot="1">
      <c r="A121" s="41" t="s">
        <v>423</v>
      </c>
      <c r="B121" s="42" t="s">
        <v>424</v>
      </c>
      <c r="C121" s="43" t="s">
        <v>425</v>
      </c>
    </row>
    <row r="122" spans="1:3" ht="53.4" thickBot="1">
      <c r="A122" s="41" t="s">
        <v>426</v>
      </c>
      <c r="B122" s="39" t="s">
        <v>427</v>
      </c>
      <c r="C122" s="40" t="s">
        <v>428</v>
      </c>
    </row>
    <row r="123" spans="1:3" ht="66.599999999999994" thickBot="1">
      <c r="A123" s="41" t="s">
        <v>429</v>
      </c>
      <c r="B123" s="42" t="s">
        <v>430</v>
      </c>
      <c r="C123" s="43" t="s">
        <v>431</v>
      </c>
    </row>
    <row r="124" spans="1:3" ht="53.4" thickBot="1">
      <c r="A124" s="39" t="s">
        <v>432</v>
      </c>
      <c r="B124" s="39" t="s">
        <v>433</v>
      </c>
      <c r="C124" s="40" t="s">
        <v>434</v>
      </c>
    </row>
    <row r="125" spans="1:3" ht="40.200000000000003" thickBot="1">
      <c r="A125" s="41" t="s">
        <v>435</v>
      </c>
      <c r="B125" s="42" t="s">
        <v>436</v>
      </c>
      <c r="C125" s="43" t="s">
        <v>437</v>
      </c>
    </row>
    <row r="126" spans="1:3" ht="40.200000000000003" thickBot="1">
      <c r="A126" s="41" t="s">
        <v>438</v>
      </c>
      <c r="B126" s="39" t="s">
        <v>439</v>
      </c>
      <c r="C126" s="40" t="s">
        <v>440</v>
      </c>
    </row>
    <row r="127" spans="1:3" ht="53.4" thickBot="1">
      <c r="A127" s="41" t="s">
        <v>441</v>
      </c>
      <c r="B127" s="42" t="s">
        <v>442</v>
      </c>
      <c r="C127" s="43" t="s">
        <v>443</v>
      </c>
    </row>
    <row r="128" spans="1:3" ht="66.599999999999994" thickBot="1">
      <c r="A128" s="41" t="s">
        <v>444</v>
      </c>
      <c r="B128" s="39" t="s">
        <v>445</v>
      </c>
      <c r="C128" s="40" t="s">
        <v>446</v>
      </c>
    </row>
    <row r="129" spans="1:3" ht="40.200000000000003" thickBot="1">
      <c r="A129" s="41" t="s">
        <v>447</v>
      </c>
      <c r="B129" s="42" t="s">
        <v>448</v>
      </c>
      <c r="C129" s="43" t="s">
        <v>449</v>
      </c>
    </row>
    <row r="130" spans="1:3" ht="66.599999999999994" thickBot="1">
      <c r="A130" s="41" t="s">
        <v>450</v>
      </c>
      <c r="B130" s="39" t="s">
        <v>451</v>
      </c>
      <c r="C130" s="40" t="s">
        <v>452</v>
      </c>
    </row>
    <row r="131" spans="1:3" ht="40.200000000000003" thickBot="1">
      <c r="A131" s="41" t="s">
        <v>453</v>
      </c>
      <c r="B131" s="42" t="s">
        <v>454</v>
      </c>
      <c r="C131" s="43" t="s">
        <v>455</v>
      </c>
    </row>
    <row r="132" spans="1:3" ht="66.599999999999994" thickBot="1">
      <c r="A132" s="41" t="s">
        <v>456</v>
      </c>
      <c r="B132" s="39" t="s">
        <v>457</v>
      </c>
      <c r="C132" s="40" t="s">
        <v>458</v>
      </c>
    </row>
    <row r="133" spans="1:3" ht="53.4" thickBot="1">
      <c r="A133" s="41" t="s">
        <v>459</v>
      </c>
      <c r="B133" s="42" t="s">
        <v>460</v>
      </c>
      <c r="C133" s="43" t="s">
        <v>461</v>
      </c>
    </row>
    <row r="134" spans="1:3" ht="53.4" thickBot="1">
      <c r="A134" s="41" t="s">
        <v>462</v>
      </c>
      <c r="B134" s="39" t="s">
        <v>463</v>
      </c>
      <c r="C134" s="40" t="s">
        <v>464</v>
      </c>
    </row>
    <row r="135" spans="1:3" ht="66.599999999999994" thickBot="1">
      <c r="A135" s="41" t="s">
        <v>465</v>
      </c>
      <c r="B135" s="42" t="s">
        <v>466</v>
      </c>
      <c r="C135" s="43" t="s">
        <v>467</v>
      </c>
    </row>
    <row r="136" spans="1:3" ht="53.4" thickBot="1">
      <c r="A136" s="41" t="s">
        <v>468</v>
      </c>
      <c r="B136" s="39" t="s">
        <v>469</v>
      </c>
      <c r="C136" s="40" t="s">
        <v>470</v>
      </c>
    </row>
    <row r="137" spans="1:3" ht="66.599999999999994" thickBot="1">
      <c r="A137" s="41" t="s">
        <v>471</v>
      </c>
      <c r="B137" s="42" t="s">
        <v>472</v>
      </c>
      <c r="C137" s="43" t="s">
        <v>473</v>
      </c>
    </row>
    <row r="138" spans="1:3" ht="53.4" thickBot="1">
      <c r="A138" s="39" t="s">
        <v>474</v>
      </c>
      <c r="B138" s="39" t="s">
        <v>475</v>
      </c>
      <c r="C138" s="40" t="s">
        <v>476</v>
      </c>
    </row>
    <row r="139" spans="1:3" ht="53.4" thickBot="1">
      <c r="A139" s="41" t="s">
        <v>477</v>
      </c>
      <c r="B139" s="42" t="s">
        <v>478</v>
      </c>
      <c r="C139" s="43" t="s">
        <v>479</v>
      </c>
    </row>
    <row r="140" spans="1:3" ht="53.4" thickBot="1">
      <c r="A140" s="41" t="s">
        <v>480</v>
      </c>
      <c r="B140" s="39" t="s">
        <v>481</v>
      </c>
      <c r="C140" s="40" t="s">
        <v>482</v>
      </c>
    </row>
    <row r="141" spans="1:3" ht="79.8" thickBot="1">
      <c r="A141" s="41" t="s">
        <v>483</v>
      </c>
      <c r="B141" s="42" t="s">
        <v>484</v>
      </c>
      <c r="C141" s="43" t="s">
        <v>485</v>
      </c>
    </row>
    <row r="142" spans="1:3" ht="53.4" thickBot="1">
      <c r="A142" s="41" t="s">
        <v>486</v>
      </c>
      <c r="B142" s="39" t="s">
        <v>487</v>
      </c>
      <c r="C142" s="40" t="s">
        <v>488</v>
      </c>
    </row>
    <row r="143" spans="1:3" ht="79.8" thickBot="1">
      <c r="A143" s="41" t="s">
        <v>489</v>
      </c>
      <c r="B143" s="42" t="s">
        <v>490</v>
      </c>
      <c r="C143" s="43" t="s">
        <v>491</v>
      </c>
    </row>
    <row r="144" spans="1:3" ht="53.4" thickBot="1">
      <c r="A144" s="41" t="s">
        <v>492</v>
      </c>
      <c r="B144" s="39" t="s">
        <v>493</v>
      </c>
      <c r="C144" s="40" t="s">
        <v>494</v>
      </c>
    </row>
    <row r="145" spans="1:3" ht="53.4" thickBot="1">
      <c r="A145" s="41" t="s">
        <v>495</v>
      </c>
      <c r="B145" s="42" t="s">
        <v>493</v>
      </c>
      <c r="C145" s="43" t="s">
        <v>494</v>
      </c>
    </row>
    <row r="146" spans="1:3" ht="79.8" thickBot="1">
      <c r="A146" s="41" t="s">
        <v>496</v>
      </c>
      <c r="B146" s="39" t="s">
        <v>497</v>
      </c>
      <c r="C146" s="40" t="s">
        <v>498</v>
      </c>
    </row>
    <row r="147" spans="1:3" ht="66.599999999999994" thickBot="1">
      <c r="A147" s="41" t="s">
        <v>499</v>
      </c>
      <c r="B147" s="42" t="s">
        <v>500</v>
      </c>
      <c r="C147" s="43" t="s">
        <v>501</v>
      </c>
    </row>
    <row r="148" spans="1:3" ht="66.599999999999994" thickBot="1">
      <c r="A148" s="41" t="s">
        <v>502</v>
      </c>
      <c r="B148" s="39" t="s">
        <v>503</v>
      </c>
      <c r="C148" s="40" t="s">
        <v>504</v>
      </c>
    </row>
    <row r="149" spans="1:3" ht="79.8" thickBot="1">
      <c r="A149" s="41" t="s">
        <v>474</v>
      </c>
      <c r="B149" s="42" t="s">
        <v>505</v>
      </c>
      <c r="C149" s="43" t="s">
        <v>476</v>
      </c>
    </row>
    <row r="150" spans="1:3" ht="79.8" thickBot="1">
      <c r="A150" s="41" t="s">
        <v>506</v>
      </c>
      <c r="B150" s="39" t="s">
        <v>507</v>
      </c>
      <c r="C150" s="40" t="s">
        <v>508</v>
      </c>
    </row>
    <row r="151" spans="1:3" ht="106.2" thickBot="1">
      <c r="A151" s="41" t="s">
        <v>509</v>
      </c>
      <c r="B151" s="42" t="s">
        <v>510</v>
      </c>
      <c r="C151" s="43" t="s">
        <v>511</v>
      </c>
    </row>
    <row r="152" spans="1:3" ht="53.4" thickBot="1">
      <c r="A152" s="41" t="s">
        <v>512</v>
      </c>
      <c r="B152" s="39" t="s">
        <v>513</v>
      </c>
      <c r="C152" s="40" t="s">
        <v>514</v>
      </c>
    </row>
    <row r="153" spans="1:3" ht="53.4" thickBot="1">
      <c r="A153" s="41" t="s">
        <v>515</v>
      </c>
      <c r="B153" s="42" t="s">
        <v>516</v>
      </c>
      <c r="C153" s="43" t="s">
        <v>517</v>
      </c>
    </row>
    <row r="154" spans="1:3" ht="53.4" thickBot="1">
      <c r="A154" s="41" t="s">
        <v>518</v>
      </c>
      <c r="B154" s="39" t="s">
        <v>519</v>
      </c>
      <c r="C154" s="40" t="s">
        <v>520</v>
      </c>
    </row>
    <row r="155" spans="1:3" ht="53.4" thickBot="1">
      <c r="A155" s="41" t="s">
        <v>521</v>
      </c>
      <c r="B155" s="42" t="s">
        <v>522</v>
      </c>
      <c r="C155" s="43" t="s">
        <v>523</v>
      </c>
    </row>
    <row r="156" spans="1:3" ht="66.599999999999994" thickBot="1">
      <c r="A156" s="39" t="s">
        <v>524</v>
      </c>
      <c r="B156" s="39" t="s">
        <v>525</v>
      </c>
      <c r="C156" s="40" t="s">
        <v>526</v>
      </c>
    </row>
    <row r="157" spans="1:3" ht="53.4" thickBot="1">
      <c r="A157" s="41" t="s">
        <v>527</v>
      </c>
      <c r="B157" s="42" t="s">
        <v>528</v>
      </c>
      <c r="C157" s="43" t="s">
        <v>529</v>
      </c>
    </row>
    <row r="158" spans="1:3" ht="53.4" thickBot="1">
      <c r="A158" s="41" t="s">
        <v>518</v>
      </c>
      <c r="B158" s="39" t="s">
        <v>519</v>
      </c>
      <c r="C158" s="40" t="s">
        <v>520</v>
      </c>
    </row>
    <row r="159" spans="1:3" ht="66.599999999999994" thickBot="1">
      <c r="A159" s="41" t="s">
        <v>530</v>
      </c>
      <c r="B159" s="42" t="s">
        <v>531</v>
      </c>
      <c r="C159" s="43" t="s">
        <v>532</v>
      </c>
    </row>
    <row r="160" spans="1:3" ht="53.4" thickBot="1">
      <c r="A160" s="41" t="s">
        <v>533</v>
      </c>
      <c r="B160" s="39" t="s">
        <v>534</v>
      </c>
      <c r="C160" s="40" t="s">
        <v>535</v>
      </c>
    </row>
    <row r="161" spans="1:3" ht="53.4" thickBot="1">
      <c r="A161" s="41" t="s">
        <v>536</v>
      </c>
      <c r="B161" s="42" t="s">
        <v>537</v>
      </c>
      <c r="C161" s="43" t="s">
        <v>538</v>
      </c>
    </row>
    <row r="162" spans="1:3" ht="53.4" thickBot="1">
      <c r="A162" s="41" t="s">
        <v>539</v>
      </c>
      <c r="B162" s="39" t="s">
        <v>540</v>
      </c>
      <c r="C162" s="40" t="s">
        <v>541</v>
      </c>
    </row>
    <row r="163" spans="1:3" ht="53.4" thickBot="1">
      <c r="A163" s="41" t="s">
        <v>542</v>
      </c>
      <c r="B163" s="42" t="s">
        <v>543</v>
      </c>
      <c r="C163" s="43" t="s">
        <v>544</v>
      </c>
    </row>
    <row r="164" spans="1:3" ht="53.4" thickBot="1">
      <c r="A164" s="41" t="s">
        <v>521</v>
      </c>
      <c r="B164" s="39" t="s">
        <v>522</v>
      </c>
      <c r="C164" s="40" t="s">
        <v>523</v>
      </c>
    </row>
    <row r="165" spans="1:3" ht="40.200000000000003" thickBot="1">
      <c r="A165" s="41" t="s">
        <v>545</v>
      </c>
      <c r="B165" s="42" t="s">
        <v>546</v>
      </c>
      <c r="C165" s="43" t="s">
        <v>547</v>
      </c>
    </row>
    <row r="166" spans="1:3" ht="53.4" thickBot="1">
      <c r="A166" s="39" t="s">
        <v>548</v>
      </c>
      <c r="B166" s="39" t="s">
        <v>549</v>
      </c>
      <c r="C166" s="40" t="s">
        <v>550</v>
      </c>
    </row>
    <row r="167" spans="1:3" ht="66.599999999999994" thickBot="1">
      <c r="A167" s="41" t="s">
        <v>551</v>
      </c>
      <c r="B167" s="42" t="s">
        <v>552</v>
      </c>
      <c r="C167" s="43" t="s">
        <v>553</v>
      </c>
    </row>
    <row r="168" spans="1:3" ht="66.599999999999994" thickBot="1">
      <c r="A168" s="41" t="s">
        <v>554</v>
      </c>
      <c r="B168" s="39" t="s">
        <v>555</v>
      </c>
      <c r="C168" s="40" t="s">
        <v>556</v>
      </c>
    </row>
    <row r="169" spans="1:3" ht="53.4" thickBot="1">
      <c r="A169" s="41" t="s">
        <v>557</v>
      </c>
      <c r="B169" s="42" t="s">
        <v>558</v>
      </c>
      <c r="C169" s="43" t="s">
        <v>559</v>
      </c>
    </row>
    <row r="170" spans="1:3" ht="53.4" thickBot="1">
      <c r="A170" s="41" t="s">
        <v>560</v>
      </c>
      <c r="B170" s="39" t="s">
        <v>561</v>
      </c>
      <c r="C170" s="40" t="s">
        <v>562</v>
      </c>
    </row>
    <row r="171" spans="1:3" ht="53.4" thickBot="1">
      <c r="A171" s="42" t="s">
        <v>563</v>
      </c>
      <c r="B171" s="42" t="s">
        <v>564</v>
      </c>
      <c r="C171" s="43" t="s">
        <v>565</v>
      </c>
    </row>
    <row r="172" spans="1:3" ht="66.599999999999994" thickBot="1">
      <c r="A172" s="41" t="s">
        <v>566</v>
      </c>
      <c r="B172" s="39" t="s">
        <v>567</v>
      </c>
      <c r="C172" s="40" t="s">
        <v>568</v>
      </c>
    </row>
    <row r="173" spans="1:3" ht="53.4" thickBot="1">
      <c r="A173" s="41" t="s">
        <v>569</v>
      </c>
      <c r="B173" s="42" t="s">
        <v>570</v>
      </c>
      <c r="C173" s="43" t="s">
        <v>571</v>
      </c>
    </row>
    <row r="174" spans="1:3" ht="53.4" thickBot="1">
      <c r="A174" s="41" t="s">
        <v>572</v>
      </c>
      <c r="B174" s="39" t="s">
        <v>573</v>
      </c>
      <c r="C174" s="40" t="s">
        <v>574</v>
      </c>
    </row>
    <row r="175" spans="1:3" ht="53.4" thickBot="1">
      <c r="A175" s="41" t="s">
        <v>575</v>
      </c>
      <c r="B175" s="42" t="s">
        <v>576</v>
      </c>
      <c r="C175" s="43" t="s">
        <v>577</v>
      </c>
    </row>
    <row r="176" spans="1:3" ht="53.4" thickBot="1">
      <c r="A176" s="41" t="s">
        <v>578</v>
      </c>
      <c r="B176" s="39" t="s">
        <v>579</v>
      </c>
      <c r="C176" s="40" t="s">
        <v>580</v>
      </c>
    </row>
    <row r="177" spans="1:3" ht="40.200000000000003" thickBot="1">
      <c r="A177" s="41" t="s">
        <v>581</v>
      </c>
      <c r="B177" s="42" t="s">
        <v>582</v>
      </c>
      <c r="C177" s="43" t="s">
        <v>583</v>
      </c>
    </row>
    <row r="178" spans="1:3" ht="53.4" thickBot="1">
      <c r="A178" s="41" t="s">
        <v>584</v>
      </c>
      <c r="B178" s="39" t="s">
        <v>585</v>
      </c>
      <c r="C178" s="40" t="s">
        <v>586</v>
      </c>
    </row>
    <row r="179" spans="1:3" ht="53.4" thickBot="1">
      <c r="A179" s="41" t="s">
        <v>587</v>
      </c>
      <c r="B179" s="42" t="s">
        <v>588</v>
      </c>
      <c r="C179" s="43" t="s">
        <v>589</v>
      </c>
    </row>
    <row r="180" spans="1:3" ht="53.4" thickBot="1">
      <c r="A180" s="41" t="s">
        <v>590</v>
      </c>
      <c r="B180" s="39" t="s">
        <v>591</v>
      </c>
      <c r="C180" s="40" t="s">
        <v>592</v>
      </c>
    </row>
    <row r="181" spans="1:3" ht="40.200000000000003" thickBot="1">
      <c r="A181" s="41" t="s">
        <v>581</v>
      </c>
      <c r="B181" s="42" t="s">
        <v>593</v>
      </c>
      <c r="C181" s="43" t="s">
        <v>583</v>
      </c>
    </row>
    <row r="182" spans="1:3" ht="53.4" thickBot="1">
      <c r="A182" s="39" t="s">
        <v>594</v>
      </c>
      <c r="B182" s="39" t="s">
        <v>595</v>
      </c>
      <c r="C182" s="40" t="s">
        <v>596</v>
      </c>
    </row>
    <row r="183" spans="1:3" ht="53.4" thickBot="1">
      <c r="A183" s="41" t="s">
        <v>597</v>
      </c>
      <c r="B183" s="42" t="s">
        <v>598</v>
      </c>
      <c r="C183" s="43" t="s">
        <v>599</v>
      </c>
    </row>
    <row r="184" spans="1:3" ht="40.200000000000003" thickBot="1">
      <c r="A184" s="39" t="s">
        <v>600</v>
      </c>
      <c r="B184" s="39" t="s">
        <v>601</v>
      </c>
      <c r="C184" s="40" t="s">
        <v>602</v>
      </c>
    </row>
    <row r="185" spans="1:3" ht="53.4" thickBot="1">
      <c r="A185" s="41" t="s">
        <v>603</v>
      </c>
      <c r="B185" s="42" t="s">
        <v>604</v>
      </c>
      <c r="C185" s="43" t="s">
        <v>605</v>
      </c>
    </row>
    <row r="186" spans="1:3" ht="40.200000000000003" thickBot="1">
      <c r="A186" s="41" t="s">
        <v>606</v>
      </c>
      <c r="B186" s="39" t="s">
        <v>607</v>
      </c>
      <c r="C186" s="40" t="s">
        <v>608</v>
      </c>
    </row>
    <row r="187" spans="1:3" ht="53.4" thickBot="1">
      <c r="A187" s="42" t="s">
        <v>609</v>
      </c>
      <c r="B187" s="42" t="s">
        <v>610</v>
      </c>
      <c r="C187" s="43" t="s">
        <v>611</v>
      </c>
    </row>
    <row r="188" spans="1:3" ht="53.4" thickBot="1">
      <c r="A188" s="39" t="s">
        <v>612</v>
      </c>
      <c r="B188" s="39" t="s">
        <v>613</v>
      </c>
      <c r="C188" s="40" t="s">
        <v>614</v>
      </c>
    </row>
    <row r="189" spans="1:3" ht="40.200000000000003" thickBot="1">
      <c r="A189" s="41" t="s">
        <v>615</v>
      </c>
      <c r="B189" s="42" t="s">
        <v>616</v>
      </c>
      <c r="C189" s="43" t="s">
        <v>617</v>
      </c>
    </row>
    <row r="190" spans="1:3" ht="53.4" thickBot="1">
      <c r="A190" s="39" t="s">
        <v>618</v>
      </c>
      <c r="B190" s="39" t="s">
        <v>619</v>
      </c>
      <c r="C190" s="40" t="s">
        <v>620</v>
      </c>
    </row>
    <row r="191" spans="1:3" ht="53.4" thickBot="1">
      <c r="A191" s="41" t="s">
        <v>621</v>
      </c>
      <c r="B191" s="42" t="s">
        <v>622</v>
      </c>
      <c r="C191" s="43" t="s">
        <v>623</v>
      </c>
    </row>
    <row r="192" spans="1:3" ht="66.599999999999994" thickBot="1">
      <c r="A192" s="41" t="s">
        <v>624</v>
      </c>
      <c r="B192" s="39" t="s">
        <v>625</v>
      </c>
      <c r="C192" s="40" t="s">
        <v>626</v>
      </c>
    </row>
    <row r="193" spans="1:3" ht="66.599999999999994" thickBot="1">
      <c r="A193" s="41" t="s">
        <v>627</v>
      </c>
      <c r="B193" s="42" t="s">
        <v>628</v>
      </c>
      <c r="C193" s="43" t="s">
        <v>629</v>
      </c>
    </row>
    <row r="194" spans="1:3" ht="66.599999999999994" thickBot="1">
      <c r="A194" s="41" t="s">
        <v>630</v>
      </c>
      <c r="B194" s="39" t="s">
        <v>631</v>
      </c>
      <c r="C194" s="40" t="s">
        <v>632</v>
      </c>
    </row>
    <row r="195" spans="1:3" ht="53.4" thickBot="1">
      <c r="A195" s="41" t="s">
        <v>633</v>
      </c>
      <c r="B195" s="42" t="s">
        <v>634</v>
      </c>
      <c r="C195" s="43" t="s">
        <v>635</v>
      </c>
    </row>
    <row r="196" spans="1:3" ht="53.4" thickBot="1">
      <c r="A196" s="41" t="s">
        <v>636</v>
      </c>
      <c r="B196" s="39" t="s">
        <v>637</v>
      </c>
      <c r="C196" s="40" t="s">
        <v>638</v>
      </c>
    </row>
    <row r="197" spans="1:3" ht="66.599999999999994" thickBot="1">
      <c r="A197" s="41" t="s">
        <v>639</v>
      </c>
      <c r="B197" s="42" t="s">
        <v>640</v>
      </c>
      <c r="C197" s="43" t="s">
        <v>641</v>
      </c>
    </row>
    <row r="198" spans="1:3" ht="66.599999999999994" thickBot="1">
      <c r="A198" s="41" t="s">
        <v>642</v>
      </c>
      <c r="B198" s="39" t="s">
        <v>643</v>
      </c>
      <c r="C198" s="40" t="s">
        <v>644</v>
      </c>
    </row>
    <row r="199" spans="1:3" ht="66.599999999999994" thickBot="1">
      <c r="A199" s="41" t="s">
        <v>645</v>
      </c>
      <c r="B199" s="42" t="s">
        <v>646</v>
      </c>
      <c r="C199" s="43" t="s">
        <v>647</v>
      </c>
    </row>
    <row r="200" spans="1:3" ht="66.599999999999994" thickBot="1">
      <c r="A200" s="41" t="s">
        <v>648</v>
      </c>
      <c r="B200" s="39" t="s">
        <v>649</v>
      </c>
      <c r="C200" s="40" t="s">
        <v>650</v>
      </c>
    </row>
    <row r="201" spans="1:3" ht="40.200000000000003" thickBot="1">
      <c r="A201" s="42" t="s">
        <v>651</v>
      </c>
      <c r="B201" s="42" t="s">
        <v>652</v>
      </c>
      <c r="C201" s="43" t="s">
        <v>653</v>
      </c>
    </row>
    <row r="202" spans="1:3" ht="40.200000000000003" thickBot="1">
      <c r="A202" s="41" t="s">
        <v>654</v>
      </c>
      <c r="B202" s="39" t="s">
        <v>655</v>
      </c>
      <c r="C202" s="40" t="s">
        <v>656</v>
      </c>
    </row>
    <row r="203" spans="1:3" ht="53.4" thickBot="1">
      <c r="A203" s="42" t="s">
        <v>657</v>
      </c>
      <c r="B203" s="42" t="s">
        <v>658</v>
      </c>
      <c r="C203" s="43" t="s">
        <v>659</v>
      </c>
    </row>
    <row r="204" spans="1:3" ht="53.4" thickBot="1">
      <c r="A204" s="41" t="s">
        <v>660</v>
      </c>
      <c r="B204" s="39" t="s">
        <v>661</v>
      </c>
      <c r="C204" s="40" t="s">
        <v>662</v>
      </c>
    </row>
    <row r="205" spans="1:3" ht="40.200000000000003" thickBot="1">
      <c r="A205" s="41" t="s">
        <v>663</v>
      </c>
      <c r="B205" s="42" t="s">
        <v>664</v>
      </c>
      <c r="C205" s="43" t="s">
        <v>665</v>
      </c>
    </row>
    <row r="206" spans="1:3" ht="40.200000000000003" thickBot="1">
      <c r="A206" s="41" t="s">
        <v>666</v>
      </c>
      <c r="B206" s="39" t="s">
        <v>667</v>
      </c>
      <c r="C206" s="40" t="s">
        <v>668</v>
      </c>
    </row>
    <row r="207" spans="1:3" ht="53.4" thickBot="1">
      <c r="A207" s="42" t="s">
        <v>669</v>
      </c>
      <c r="B207" s="42" t="s">
        <v>670</v>
      </c>
      <c r="C207" s="43" t="s">
        <v>671</v>
      </c>
    </row>
    <row r="208" spans="1:3" ht="53.4" thickBot="1">
      <c r="A208" s="41" t="s">
        <v>672</v>
      </c>
      <c r="B208" s="39" t="s">
        <v>673</v>
      </c>
      <c r="C208" s="40" t="s">
        <v>674</v>
      </c>
    </row>
    <row r="209" spans="1:3" ht="53.4" thickBot="1">
      <c r="A209" s="41" t="s">
        <v>675</v>
      </c>
      <c r="B209" s="42" t="s">
        <v>676</v>
      </c>
      <c r="C209" s="43" t="s">
        <v>677</v>
      </c>
    </row>
    <row r="210" spans="1:3" ht="66.599999999999994" thickBot="1">
      <c r="A210" s="41" t="s">
        <v>678</v>
      </c>
      <c r="B210" s="39" t="s">
        <v>679</v>
      </c>
      <c r="C210" s="40" t="s">
        <v>680</v>
      </c>
    </row>
    <row r="211" spans="1:3" ht="53.4" thickBot="1">
      <c r="A211" s="42" t="s">
        <v>681</v>
      </c>
      <c r="B211" s="42" t="s">
        <v>682</v>
      </c>
      <c r="C211" s="43" t="s">
        <v>683</v>
      </c>
    </row>
    <row r="212" spans="1:3" ht="53.4" thickBot="1">
      <c r="A212" s="41" t="s">
        <v>684</v>
      </c>
      <c r="B212" s="39" t="s">
        <v>685</v>
      </c>
      <c r="C212" s="40" t="s">
        <v>686</v>
      </c>
    </row>
    <row r="213" spans="1:3" ht="53.4" thickBot="1">
      <c r="A213" s="41" t="s">
        <v>681</v>
      </c>
      <c r="B213" s="42" t="s">
        <v>687</v>
      </c>
      <c r="C213" s="43" t="s">
        <v>683</v>
      </c>
    </row>
    <row r="214" spans="1:3" ht="53.4" thickBot="1">
      <c r="A214" s="41" t="s">
        <v>688</v>
      </c>
      <c r="B214" s="39" t="s">
        <v>689</v>
      </c>
      <c r="C214" s="40" t="s">
        <v>690</v>
      </c>
    </row>
    <row r="215" spans="1:3" ht="40.200000000000003" thickBot="1">
      <c r="A215" s="41" t="s">
        <v>691</v>
      </c>
      <c r="B215" s="42" t="s">
        <v>692</v>
      </c>
      <c r="C215" s="43" t="s">
        <v>693</v>
      </c>
    </row>
    <row r="216" spans="1:3" ht="53.4" thickBot="1">
      <c r="A216" s="41" t="s">
        <v>694</v>
      </c>
      <c r="B216" s="39" t="s">
        <v>695</v>
      </c>
      <c r="C216" s="40" t="s">
        <v>696</v>
      </c>
    </row>
    <row r="217" spans="1:3" ht="53.4" thickBot="1">
      <c r="A217" s="41" t="s">
        <v>697</v>
      </c>
      <c r="B217" s="42" t="s">
        <v>698</v>
      </c>
      <c r="C217" s="43" t="s">
        <v>699</v>
      </c>
    </row>
    <row r="218" spans="1:3" ht="53.4" thickBot="1">
      <c r="A218" s="41" t="s">
        <v>700</v>
      </c>
      <c r="B218" s="39" t="s">
        <v>701</v>
      </c>
      <c r="C218" s="40" t="s">
        <v>702</v>
      </c>
    </row>
    <row r="219" spans="1:3" ht="40.200000000000003" thickBot="1">
      <c r="A219" s="41" t="s">
        <v>703</v>
      </c>
      <c r="B219" s="42" t="s">
        <v>704</v>
      </c>
      <c r="C219" s="43" t="s">
        <v>705</v>
      </c>
    </row>
    <row r="220" spans="1:3" ht="40.200000000000003" thickBot="1">
      <c r="A220" s="41" t="s">
        <v>706</v>
      </c>
      <c r="B220" s="39" t="s">
        <v>707</v>
      </c>
      <c r="C220" s="40" t="s">
        <v>708</v>
      </c>
    </row>
    <row r="221" spans="1:3" ht="53.4" thickBot="1">
      <c r="A221" s="41" t="s">
        <v>709</v>
      </c>
      <c r="B221" s="42" t="s">
        <v>710</v>
      </c>
      <c r="C221" s="43" t="s">
        <v>711</v>
      </c>
    </row>
    <row r="222" spans="1:3" ht="53.4" thickBot="1">
      <c r="A222" s="41" t="s">
        <v>712</v>
      </c>
      <c r="B222" s="39" t="s">
        <v>713</v>
      </c>
      <c r="C222" s="40" t="s">
        <v>714</v>
      </c>
    </row>
    <row r="223" spans="1:3" ht="53.4" thickBot="1">
      <c r="A223" s="41" t="s">
        <v>715</v>
      </c>
      <c r="B223" s="42" t="s">
        <v>716</v>
      </c>
      <c r="C223" s="43" t="s">
        <v>717</v>
      </c>
    </row>
    <row r="224" spans="1:3" ht="53.4" thickBot="1">
      <c r="A224" s="41" t="s">
        <v>718</v>
      </c>
      <c r="B224" s="39" t="s">
        <v>719</v>
      </c>
      <c r="C224" s="40" t="s">
        <v>720</v>
      </c>
    </row>
    <row r="225" spans="1:3" ht="53.4" thickBot="1">
      <c r="A225" s="41" t="s">
        <v>721</v>
      </c>
      <c r="B225" s="42" t="s">
        <v>722</v>
      </c>
      <c r="C225" s="43" t="s">
        <v>723</v>
      </c>
    </row>
    <row r="226" spans="1:3" ht="53.4" thickBot="1">
      <c r="A226" s="41" t="s">
        <v>724</v>
      </c>
      <c r="B226" s="39" t="s">
        <v>725</v>
      </c>
      <c r="C226" s="40" t="s">
        <v>726</v>
      </c>
    </row>
    <row r="227" spans="1:3" ht="53.4" thickBot="1">
      <c r="A227" s="41" t="s">
        <v>727</v>
      </c>
      <c r="B227" s="42" t="s">
        <v>728</v>
      </c>
      <c r="C227" s="43" t="s">
        <v>729</v>
      </c>
    </row>
    <row r="228" spans="1:3" ht="53.4" thickBot="1">
      <c r="A228" s="41" t="s">
        <v>730</v>
      </c>
      <c r="B228" s="39" t="s">
        <v>731</v>
      </c>
      <c r="C228" s="40" t="s">
        <v>732</v>
      </c>
    </row>
    <row r="229" spans="1:3" ht="40.200000000000003" thickBot="1">
      <c r="A229" s="42" t="s">
        <v>733</v>
      </c>
      <c r="B229" s="42" t="s">
        <v>734</v>
      </c>
      <c r="C229" s="43" t="s">
        <v>735</v>
      </c>
    </row>
    <row r="230" spans="1:3" ht="40.200000000000003" thickBot="1">
      <c r="A230" s="41" t="s">
        <v>736</v>
      </c>
      <c r="B230" s="39" t="s">
        <v>737</v>
      </c>
      <c r="C230" s="40" t="s">
        <v>738</v>
      </c>
    </row>
    <row r="231" spans="1:3" ht="53.4" thickBot="1">
      <c r="A231" s="41" t="s">
        <v>739</v>
      </c>
      <c r="B231" s="42" t="s">
        <v>740</v>
      </c>
      <c r="C231" s="43" t="s">
        <v>741</v>
      </c>
    </row>
    <row r="232" spans="1:3" ht="53.4" thickBot="1">
      <c r="A232" s="41" t="s">
        <v>742</v>
      </c>
      <c r="B232" s="39" t="s">
        <v>743</v>
      </c>
      <c r="C232" s="40" t="s">
        <v>744</v>
      </c>
    </row>
    <row r="233" spans="1:3" ht="53.4" thickBot="1">
      <c r="A233" s="41" t="s">
        <v>745</v>
      </c>
      <c r="B233" s="42" t="s">
        <v>746</v>
      </c>
      <c r="C233" s="43" t="s">
        <v>747</v>
      </c>
    </row>
    <row r="234" spans="1:3" ht="53.4" thickBot="1">
      <c r="A234" s="41" t="s">
        <v>748</v>
      </c>
      <c r="B234" s="39" t="s">
        <v>749</v>
      </c>
      <c r="C234" s="40" t="s">
        <v>750</v>
      </c>
    </row>
    <row r="235" spans="1:3" ht="40.200000000000003" thickBot="1">
      <c r="A235" s="41" t="s">
        <v>751</v>
      </c>
      <c r="B235" s="42" t="s">
        <v>752</v>
      </c>
      <c r="C235" s="43" t="s">
        <v>753</v>
      </c>
    </row>
    <row r="236" spans="1:3" ht="53.4" thickBot="1">
      <c r="A236" s="41" t="s">
        <v>754</v>
      </c>
      <c r="B236" s="39" t="s">
        <v>755</v>
      </c>
      <c r="C236" s="40" t="s">
        <v>756</v>
      </c>
    </row>
    <row r="237" spans="1:3" ht="53.4" thickBot="1">
      <c r="A237" s="41" t="s">
        <v>757</v>
      </c>
      <c r="B237" s="42" t="s">
        <v>758</v>
      </c>
      <c r="C237" s="43" t="s">
        <v>759</v>
      </c>
    </row>
    <row r="238" spans="1:3" ht="53.4" thickBot="1">
      <c r="A238" s="41" t="s">
        <v>760</v>
      </c>
      <c r="B238" s="39" t="s">
        <v>761</v>
      </c>
      <c r="C238" s="40" t="s">
        <v>762</v>
      </c>
    </row>
    <row r="239" spans="1:3" ht="40.200000000000003" thickBot="1">
      <c r="A239" s="41" t="s">
        <v>736</v>
      </c>
      <c r="B239" s="42" t="s">
        <v>763</v>
      </c>
      <c r="C239" s="43" t="s">
        <v>738</v>
      </c>
    </row>
    <row r="240" spans="1:3" ht="53.4" thickBot="1">
      <c r="A240" s="41" t="s">
        <v>764</v>
      </c>
      <c r="B240" s="39" t="s">
        <v>765</v>
      </c>
      <c r="C240" s="40" t="s">
        <v>766</v>
      </c>
    </row>
    <row r="241" spans="1:3" ht="53.4" thickBot="1">
      <c r="A241" s="41" t="s">
        <v>767</v>
      </c>
      <c r="B241" s="42" t="s">
        <v>768</v>
      </c>
      <c r="C241" s="43" t="s">
        <v>769</v>
      </c>
    </row>
    <row r="242" spans="1:3" ht="53.4" thickBot="1">
      <c r="A242" s="41" t="s">
        <v>770</v>
      </c>
      <c r="B242" s="39" t="s">
        <v>771</v>
      </c>
      <c r="C242" s="40" t="s">
        <v>772</v>
      </c>
    </row>
    <row r="243" spans="1:3" ht="53.4" thickBot="1">
      <c r="A243" s="41" t="s">
        <v>773</v>
      </c>
      <c r="B243" s="42" t="s">
        <v>774</v>
      </c>
      <c r="C243" s="43" t="s">
        <v>775</v>
      </c>
    </row>
    <row r="244" spans="1:3" ht="53.4" thickBot="1">
      <c r="A244" s="41" t="s">
        <v>776</v>
      </c>
      <c r="B244" s="39" t="s">
        <v>777</v>
      </c>
      <c r="C244" s="40" t="s">
        <v>778</v>
      </c>
    </row>
    <row r="245" spans="1:3" ht="53.4" thickBot="1">
      <c r="A245" s="41" t="s">
        <v>739</v>
      </c>
      <c r="B245" s="42" t="s">
        <v>740</v>
      </c>
      <c r="C245" s="43" t="s">
        <v>741</v>
      </c>
    </row>
    <row r="246" spans="1:3" ht="53.4" thickBot="1">
      <c r="A246" s="41" t="s">
        <v>742</v>
      </c>
      <c r="B246" s="39" t="s">
        <v>743</v>
      </c>
      <c r="C246" s="40" t="s">
        <v>744</v>
      </c>
    </row>
    <row r="247" spans="1:3" ht="53.4" thickBot="1">
      <c r="A247" s="42" t="s">
        <v>779</v>
      </c>
      <c r="B247" s="42" t="s">
        <v>780</v>
      </c>
      <c r="C247" s="43" t="s">
        <v>659</v>
      </c>
    </row>
    <row r="248" spans="1:3" ht="53.4" thickBot="1">
      <c r="A248" s="41" t="s">
        <v>781</v>
      </c>
      <c r="B248" s="39" t="s">
        <v>782</v>
      </c>
      <c r="C248" s="40" t="s">
        <v>783</v>
      </c>
    </row>
    <row r="249" spans="1:3" ht="53.4" thickBot="1">
      <c r="A249" s="41" t="s">
        <v>784</v>
      </c>
      <c r="B249" s="42" t="s">
        <v>785</v>
      </c>
      <c r="C249" s="43" t="s">
        <v>786</v>
      </c>
    </row>
    <row r="250" spans="1:3" ht="66.599999999999994" thickBot="1">
      <c r="A250" s="41" t="s">
        <v>787</v>
      </c>
      <c r="B250" s="39" t="s">
        <v>788</v>
      </c>
      <c r="C250" s="40" t="s">
        <v>789</v>
      </c>
    </row>
    <row r="251" spans="1:3" ht="53.4" thickBot="1">
      <c r="A251" s="41" t="s">
        <v>790</v>
      </c>
      <c r="B251" s="42" t="s">
        <v>791</v>
      </c>
      <c r="C251" s="43" t="s">
        <v>792</v>
      </c>
    </row>
    <row r="252" spans="1:3" ht="53.4" thickBot="1">
      <c r="A252" s="41" t="s">
        <v>793</v>
      </c>
      <c r="B252" s="39" t="s">
        <v>794</v>
      </c>
      <c r="C252" s="40" t="s">
        <v>795</v>
      </c>
    </row>
    <row r="253" spans="1:3" ht="53.4" thickBot="1">
      <c r="A253" s="41" t="s">
        <v>796</v>
      </c>
      <c r="B253" s="42" t="s">
        <v>797</v>
      </c>
      <c r="C253" s="43" t="s">
        <v>798</v>
      </c>
    </row>
    <row r="254" spans="1:3" ht="53.4" thickBot="1">
      <c r="A254" s="41" t="s">
        <v>799</v>
      </c>
      <c r="B254" s="39" t="s">
        <v>800</v>
      </c>
      <c r="C254" s="40" t="s">
        <v>801</v>
      </c>
    </row>
    <row r="255" spans="1:3" ht="53.4" thickBot="1">
      <c r="A255" s="41" t="s">
        <v>802</v>
      </c>
      <c r="B255" s="42" t="s">
        <v>803</v>
      </c>
      <c r="C255" s="43" t="s">
        <v>804</v>
      </c>
    </row>
    <row r="256" spans="1:3" ht="40.200000000000003" thickBot="1">
      <c r="A256" s="41" t="s">
        <v>805</v>
      </c>
      <c r="B256" s="39" t="s">
        <v>806</v>
      </c>
      <c r="C256" s="40" t="s">
        <v>807</v>
      </c>
    </row>
    <row r="257" spans="1:3" ht="53.4" thickBot="1">
      <c r="A257" s="41" t="s">
        <v>808</v>
      </c>
      <c r="B257" s="42" t="s">
        <v>809</v>
      </c>
      <c r="C257" s="43" t="s">
        <v>810</v>
      </c>
    </row>
    <row r="258" spans="1:3" ht="40.200000000000003" thickBot="1">
      <c r="A258" s="39" t="s">
        <v>811</v>
      </c>
      <c r="B258" s="39" t="s">
        <v>812</v>
      </c>
      <c r="C258" s="40" t="s">
        <v>813</v>
      </c>
    </row>
    <row r="259" spans="1:3" ht="40.200000000000003" thickBot="1">
      <c r="A259" s="41" t="s">
        <v>814</v>
      </c>
      <c r="B259" s="42" t="s">
        <v>815</v>
      </c>
      <c r="C259" s="43" t="s">
        <v>816</v>
      </c>
    </row>
    <row r="260" spans="1:3" ht="53.4" thickBot="1">
      <c r="A260" s="41" t="s">
        <v>817</v>
      </c>
      <c r="B260" s="39" t="s">
        <v>818</v>
      </c>
      <c r="C260" s="40" t="s">
        <v>819</v>
      </c>
    </row>
    <row r="261" spans="1:3" ht="40.200000000000003" thickBot="1">
      <c r="A261" s="41" t="s">
        <v>820</v>
      </c>
      <c r="B261" s="42" t="s">
        <v>821</v>
      </c>
      <c r="C261" s="43" t="s">
        <v>822</v>
      </c>
    </row>
    <row r="262" spans="1:3" ht="40.200000000000003" thickBot="1">
      <c r="A262" s="41" t="s">
        <v>823</v>
      </c>
      <c r="B262" s="39" t="s">
        <v>824</v>
      </c>
      <c r="C262" s="40" t="s">
        <v>825</v>
      </c>
    </row>
    <row r="263" spans="1:3" ht="40.200000000000003" thickBot="1">
      <c r="A263" s="41" t="s">
        <v>826</v>
      </c>
      <c r="B263" s="42" t="s">
        <v>827</v>
      </c>
      <c r="C263" s="43" t="s">
        <v>828</v>
      </c>
    </row>
    <row r="264" spans="1:3" ht="40.200000000000003" thickBot="1">
      <c r="A264" s="39" t="s">
        <v>829</v>
      </c>
      <c r="B264" s="39" t="s">
        <v>830</v>
      </c>
      <c r="C264" s="40" t="s">
        <v>831</v>
      </c>
    </row>
    <row r="265" spans="1:3" ht="53.4" thickBot="1">
      <c r="A265" s="41" t="s">
        <v>832</v>
      </c>
      <c r="B265" s="42" t="s">
        <v>833</v>
      </c>
      <c r="C265" s="43" t="s">
        <v>834</v>
      </c>
    </row>
    <row r="266" spans="1:3" ht="40.200000000000003" thickBot="1">
      <c r="A266" s="41" t="s">
        <v>835</v>
      </c>
      <c r="B266" s="39" t="s">
        <v>836</v>
      </c>
      <c r="C266" s="40" t="s">
        <v>837</v>
      </c>
    </row>
    <row r="267" spans="1:3" ht="53.4" thickBot="1">
      <c r="A267" s="41" t="s">
        <v>838</v>
      </c>
      <c r="B267" s="42" t="s">
        <v>839</v>
      </c>
      <c r="C267" s="43" t="s">
        <v>840</v>
      </c>
    </row>
    <row r="268" spans="1:3" ht="53.4" thickBot="1">
      <c r="A268" s="41" t="s">
        <v>841</v>
      </c>
      <c r="B268" s="39" t="s">
        <v>842</v>
      </c>
      <c r="C268" s="40" t="s">
        <v>843</v>
      </c>
    </row>
    <row r="269" spans="1:3" ht="53.4" thickBot="1">
      <c r="A269" s="41" t="s">
        <v>844</v>
      </c>
      <c r="B269" s="42" t="s">
        <v>845</v>
      </c>
      <c r="C269" s="43" t="s">
        <v>846</v>
      </c>
    </row>
    <row r="270" spans="1:3" ht="53.4" thickBot="1">
      <c r="A270" s="41" t="s">
        <v>847</v>
      </c>
      <c r="B270" s="39" t="s">
        <v>848</v>
      </c>
      <c r="C270" s="40" t="s">
        <v>849</v>
      </c>
    </row>
    <row r="271" spans="1:3" ht="53.4" thickBot="1">
      <c r="A271" s="41" t="s">
        <v>850</v>
      </c>
      <c r="B271" s="42" t="s">
        <v>851</v>
      </c>
      <c r="C271" s="43" t="s">
        <v>852</v>
      </c>
    </row>
    <row r="272" spans="1:3" ht="53.4" thickBot="1">
      <c r="A272" s="41" t="s">
        <v>853</v>
      </c>
      <c r="B272" s="39" t="s">
        <v>854</v>
      </c>
      <c r="C272" s="40" t="s">
        <v>855</v>
      </c>
    </row>
    <row r="273" spans="1:3" ht="53.4" thickBot="1">
      <c r="A273" s="41" t="s">
        <v>856</v>
      </c>
      <c r="B273" s="42" t="s">
        <v>857</v>
      </c>
      <c r="C273" s="43" t="s">
        <v>858</v>
      </c>
    </row>
    <row r="274" spans="1:3" ht="53.4" thickBot="1">
      <c r="A274" s="41" t="s">
        <v>859</v>
      </c>
      <c r="B274" s="39" t="s">
        <v>860</v>
      </c>
      <c r="C274" s="40" t="s">
        <v>861</v>
      </c>
    </row>
    <row r="275" spans="1:3" ht="53.4" thickBot="1">
      <c r="A275" s="41" t="s">
        <v>862</v>
      </c>
      <c r="B275" s="42" t="s">
        <v>863</v>
      </c>
      <c r="C275" s="43" t="s">
        <v>864</v>
      </c>
    </row>
    <row r="276" spans="1:3" ht="53.4" thickBot="1">
      <c r="A276" s="41" t="s">
        <v>865</v>
      </c>
      <c r="B276" s="39" t="s">
        <v>866</v>
      </c>
      <c r="C276" s="40" t="s">
        <v>867</v>
      </c>
    </row>
    <row r="277" spans="1:3" ht="53.4" thickBot="1">
      <c r="A277" s="41" t="s">
        <v>832</v>
      </c>
      <c r="B277" s="42" t="s">
        <v>868</v>
      </c>
      <c r="C277" s="43" t="s">
        <v>834</v>
      </c>
    </row>
    <row r="278" spans="1:3" ht="40.200000000000003" thickBot="1">
      <c r="A278" s="41" t="s">
        <v>869</v>
      </c>
      <c r="B278" s="39" t="s">
        <v>870</v>
      </c>
      <c r="C278" s="40" t="s">
        <v>871</v>
      </c>
    </row>
    <row r="279" spans="1:3" ht="53.4" thickBot="1">
      <c r="A279" s="41" t="s">
        <v>872</v>
      </c>
      <c r="B279" s="42" t="s">
        <v>873</v>
      </c>
      <c r="C279" s="43" t="s">
        <v>874</v>
      </c>
    </row>
    <row r="280" spans="1:3" ht="53.4" thickBot="1">
      <c r="A280" s="41" t="s">
        <v>875</v>
      </c>
      <c r="B280" s="39" t="s">
        <v>876</v>
      </c>
      <c r="C280" s="40" t="s">
        <v>877</v>
      </c>
    </row>
    <row r="281" spans="1:3" ht="53.4" thickBot="1">
      <c r="A281" s="41" t="s">
        <v>878</v>
      </c>
      <c r="B281" s="42" t="s">
        <v>879</v>
      </c>
      <c r="C281" s="43" t="s">
        <v>880</v>
      </c>
    </row>
    <row r="282" spans="1:3" ht="53.4" thickBot="1">
      <c r="A282" s="41" t="s">
        <v>881</v>
      </c>
      <c r="B282" s="39" t="s">
        <v>882</v>
      </c>
      <c r="C282" s="40" t="s">
        <v>883</v>
      </c>
    </row>
    <row r="283" spans="1:3" ht="66.599999999999994" thickBot="1">
      <c r="A283" s="41" t="s">
        <v>884</v>
      </c>
      <c r="B283" s="42" t="s">
        <v>885</v>
      </c>
      <c r="C283" s="43" t="s">
        <v>886</v>
      </c>
    </row>
    <row r="284" spans="1:3" ht="40.200000000000003" thickBot="1">
      <c r="A284" s="41" t="s">
        <v>887</v>
      </c>
      <c r="B284" s="39" t="s">
        <v>888</v>
      </c>
      <c r="C284" s="40" t="s">
        <v>889</v>
      </c>
    </row>
    <row r="285" spans="1:3" ht="53.4" thickBot="1">
      <c r="A285" s="41" t="s">
        <v>890</v>
      </c>
      <c r="B285" s="42" t="s">
        <v>891</v>
      </c>
      <c r="C285" s="43" t="s">
        <v>892</v>
      </c>
    </row>
    <row r="286" spans="1:3" ht="53.4" thickBot="1">
      <c r="A286" s="41" t="s">
        <v>893</v>
      </c>
      <c r="B286" s="39" t="s">
        <v>894</v>
      </c>
      <c r="C286" s="40" t="s">
        <v>895</v>
      </c>
    </row>
    <row r="287" spans="1:3" ht="53.4" thickBot="1">
      <c r="A287" s="41" t="s">
        <v>896</v>
      </c>
      <c r="B287" s="42" t="s">
        <v>897</v>
      </c>
      <c r="C287" s="43" t="s">
        <v>898</v>
      </c>
    </row>
    <row r="288" spans="1:3" ht="53.4" thickBot="1">
      <c r="A288" s="41" t="s">
        <v>899</v>
      </c>
      <c r="B288" s="39" t="s">
        <v>900</v>
      </c>
      <c r="C288" s="40" t="s">
        <v>901</v>
      </c>
    </row>
    <row r="289" spans="1:3" ht="53.4" thickBot="1">
      <c r="A289" s="41" t="s">
        <v>902</v>
      </c>
      <c r="B289" s="42" t="s">
        <v>903</v>
      </c>
      <c r="C289" s="43" t="s">
        <v>904</v>
      </c>
    </row>
    <row r="290" spans="1:3" ht="53.4" thickBot="1">
      <c r="A290" s="41" t="s">
        <v>905</v>
      </c>
      <c r="B290" s="39" t="s">
        <v>906</v>
      </c>
      <c r="C290" s="40" t="s">
        <v>907</v>
      </c>
    </row>
    <row r="291" spans="1:3" ht="53.4" thickBot="1">
      <c r="A291" s="41" t="s">
        <v>908</v>
      </c>
      <c r="B291" s="42" t="s">
        <v>909</v>
      </c>
      <c r="C291" s="43" t="s">
        <v>910</v>
      </c>
    </row>
    <row r="292" spans="1:3" ht="53.4" thickBot="1">
      <c r="A292" s="41" t="s">
        <v>911</v>
      </c>
      <c r="B292" s="39" t="s">
        <v>912</v>
      </c>
      <c r="C292" s="40" t="s">
        <v>913</v>
      </c>
    </row>
    <row r="293" spans="1:3" ht="53.4" thickBot="1">
      <c r="A293" s="41" t="s">
        <v>914</v>
      </c>
      <c r="B293" s="42" t="s">
        <v>915</v>
      </c>
      <c r="C293" s="43" t="s">
        <v>916</v>
      </c>
    </row>
    <row r="294" spans="1:3" ht="53.4" thickBot="1">
      <c r="A294" s="41" t="s">
        <v>917</v>
      </c>
      <c r="B294" s="39" t="s">
        <v>918</v>
      </c>
      <c r="C294" s="40" t="s">
        <v>919</v>
      </c>
    </row>
    <row r="295" spans="1:3" ht="53.4" thickBot="1">
      <c r="A295" s="41" t="s">
        <v>920</v>
      </c>
      <c r="B295" s="42" t="s">
        <v>921</v>
      </c>
      <c r="C295" s="43" t="s">
        <v>922</v>
      </c>
    </row>
    <row r="296" spans="1:3" ht="53.4" thickBot="1">
      <c r="A296" s="41" t="s">
        <v>923</v>
      </c>
      <c r="B296" s="39" t="s">
        <v>924</v>
      </c>
      <c r="C296" s="40" t="s">
        <v>925</v>
      </c>
    </row>
    <row r="297" spans="1:3" ht="53.4" thickBot="1">
      <c r="A297" s="41" t="s">
        <v>926</v>
      </c>
      <c r="B297" s="42" t="s">
        <v>927</v>
      </c>
      <c r="C297" s="43" t="s">
        <v>928</v>
      </c>
    </row>
    <row r="298" spans="1:3" ht="53.4" thickBot="1">
      <c r="A298" s="41" t="s">
        <v>929</v>
      </c>
      <c r="B298" s="39" t="s">
        <v>930</v>
      </c>
      <c r="C298" s="40" t="s">
        <v>931</v>
      </c>
    </row>
    <row r="299" spans="1:3" ht="53.4" thickBot="1">
      <c r="A299" s="41" t="s">
        <v>932</v>
      </c>
      <c r="B299" s="42" t="s">
        <v>933</v>
      </c>
      <c r="C299" s="43" t="s">
        <v>934</v>
      </c>
    </row>
    <row r="300" spans="1:3" ht="66.599999999999994" thickBot="1">
      <c r="A300" s="41" t="s">
        <v>935</v>
      </c>
      <c r="B300" s="39" t="s">
        <v>936</v>
      </c>
      <c r="C300" s="40" t="s">
        <v>937</v>
      </c>
    </row>
    <row r="301" spans="1:3" ht="66.599999999999994" thickBot="1">
      <c r="A301" s="41" t="s">
        <v>938</v>
      </c>
      <c r="B301" s="42" t="s">
        <v>939</v>
      </c>
      <c r="C301" s="43" t="s">
        <v>940</v>
      </c>
    </row>
    <row r="302" spans="1:3" ht="53.4" thickBot="1">
      <c r="A302" s="41" t="s">
        <v>941</v>
      </c>
      <c r="B302" s="39" t="s">
        <v>942</v>
      </c>
      <c r="C302" s="40" t="s">
        <v>943</v>
      </c>
    </row>
    <row r="303" spans="1:3" ht="53.4" thickBot="1">
      <c r="A303" s="41" t="s">
        <v>944</v>
      </c>
      <c r="B303" s="42" t="s">
        <v>945</v>
      </c>
      <c r="C303" s="43" t="s">
        <v>946</v>
      </c>
    </row>
    <row r="304" spans="1:3" ht="66.599999999999994" thickBot="1">
      <c r="A304" s="41" t="s">
        <v>947</v>
      </c>
      <c r="B304" s="39" t="s">
        <v>948</v>
      </c>
      <c r="C304" s="40" t="s">
        <v>949</v>
      </c>
    </row>
    <row r="305" spans="1:3" ht="53.4" thickBot="1">
      <c r="A305" s="41" t="s">
        <v>950</v>
      </c>
      <c r="B305" s="42" t="s">
        <v>951</v>
      </c>
      <c r="C305" s="43" t="s">
        <v>952</v>
      </c>
    </row>
    <row r="306" spans="1:3" ht="53.4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7.399999999999999"/>
  <cols>
    <col min="1" max="1" width="16.59765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69921875" defaultRowHeight="18" customHeight="1"/>
  <cols>
    <col min="1" max="1" width="3.19921875" style="1" customWidth="1"/>
    <col min="2" max="2" width="12.09765625" style="4" customWidth="1"/>
    <col min="3" max="3" width="18.3984375" style="3" customWidth="1"/>
    <col min="4" max="4" width="3.09765625" style="2" customWidth="1"/>
    <col min="5" max="7" width="9.8984375" style="17" customWidth="1"/>
    <col min="8" max="8" width="6.09765625" style="22" customWidth="1"/>
    <col min="9" max="9" width="11.3984375" style="17" customWidth="1"/>
    <col min="10" max="10" width="17.3984375" style="53" customWidth="1"/>
    <col min="11" max="11" width="13.3984375" style="17" customWidth="1"/>
    <col min="12" max="12" width="10.8984375" style="17" customWidth="1"/>
    <col min="13" max="17" width="9.69921875" style="25" customWidth="1"/>
    <col min="18" max="18" width="20.59765625" style="19" customWidth="1"/>
    <col min="19" max="19" width="8.69921875" style="1" customWidth="1"/>
    <col min="20" max="20" width="8.69921875" style="1" hidden="1" customWidth="1"/>
    <col min="21" max="21" width="8.69921875" style="1" customWidth="1"/>
    <col min="22" max="16384" width="8.699218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4" t="s">
        <v>12</v>
      </c>
      <c r="C4" s="52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2196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2195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3037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2201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2200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2185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>
      <c r="F27" s="17">
        <v>69</v>
      </c>
      <c r="J27" s="53" t="s">
        <v>1649</v>
      </c>
      <c r="L27" s="17">
        <v>200000</v>
      </c>
    </row>
    <row r="28" spans="1:18" ht="18" hidden="1" customHeight="1">
      <c r="F28" s="17">
        <v>64</v>
      </c>
      <c r="J28" s="53" t="s">
        <v>1625</v>
      </c>
      <c r="L28" s="17">
        <v>27000</v>
      </c>
    </row>
    <row r="29" spans="1:18" ht="18" customHeight="1">
      <c r="F29" s="17">
        <v>2</v>
      </c>
      <c r="J29" s="53" t="s">
        <v>2191</v>
      </c>
      <c r="L29" s="17">
        <v>300000</v>
      </c>
    </row>
    <row r="30" spans="1:18" ht="18" customHeight="1">
      <c r="F30" s="17">
        <v>3</v>
      </c>
      <c r="J30" s="53" t="s">
        <v>1151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>
      <c r="F32" s="17">
        <v>5</v>
      </c>
      <c r="J32" s="53" t="s">
        <v>1635</v>
      </c>
      <c r="L32" s="17">
        <v>198000</v>
      </c>
    </row>
    <row r="33" spans="6:12" ht="18" customHeight="1">
      <c r="F33" s="17">
        <v>6</v>
      </c>
      <c r="J33" s="53" t="s">
        <v>1136</v>
      </c>
      <c r="L33" s="17">
        <v>12000</v>
      </c>
    </row>
    <row r="34" spans="6:12" ht="18" customHeight="1">
      <c r="F34" s="17">
        <v>7</v>
      </c>
      <c r="J34" s="53" t="s">
        <v>1739</v>
      </c>
      <c r="L34" s="17">
        <v>650000</v>
      </c>
    </row>
    <row r="35" spans="6:12" ht="18" customHeight="1">
      <c r="F35" s="17">
        <v>8</v>
      </c>
      <c r="J35" s="53" t="s">
        <v>1138</v>
      </c>
      <c r="L35" s="17">
        <v>1000000</v>
      </c>
    </row>
    <row r="36" spans="6:12" ht="18" customHeight="1">
      <c r="F36" s="17">
        <v>120</v>
      </c>
      <c r="J36" s="53" t="s">
        <v>1889</v>
      </c>
      <c r="L36" s="17">
        <v>250000</v>
      </c>
    </row>
    <row r="37" spans="6:12" ht="18" customHeight="1">
      <c r="F37" s="17">
        <v>10</v>
      </c>
      <c r="J37" s="53" t="s">
        <v>1141</v>
      </c>
      <c r="L37" s="17">
        <v>600000</v>
      </c>
    </row>
    <row r="38" spans="6:12" ht="18" customHeight="1">
      <c r="F38" s="17">
        <v>11</v>
      </c>
      <c r="J38" s="53" t="s">
        <v>1142</v>
      </c>
      <c r="L38" s="17">
        <v>25000</v>
      </c>
    </row>
    <row r="39" spans="6:12" ht="18" customHeight="1">
      <c r="F39" s="17">
        <v>12</v>
      </c>
      <c r="J39" s="53" t="s">
        <v>1143</v>
      </c>
      <c r="L39" s="17">
        <v>800000</v>
      </c>
    </row>
    <row r="40" spans="6:12" ht="18" customHeight="1">
      <c r="F40" s="17">
        <v>65</v>
      </c>
      <c r="J40" s="53" t="s">
        <v>1632</v>
      </c>
      <c r="L40" s="17">
        <v>850000</v>
      </c>
    </row>
    <row r="41" spans="6:12" ht="18" customHeight="1">
      <c r="F41" s="17">
        <v>68</v>
      </c>
      <c r="J41" s="53" t="s">
        <v>1649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2199</v>
      </c>
      <c r="L43" s="17">
        <v>150000</v>
      </c>
    </row>
    <row r="44" spans="6:12" ht="18" customHeight="1">
      <c r="F44" s="17">
        <v>19</v>
      </c>
      <c r="J44" s="53" t="s">
        <v>2197</v>
      </c>
      <c r="L44" s="17">
        <v>100000</v>
      </c>
    </row>
    <row r="45" spans="6:12" ht="18" customHeight="1">
      <c r="F45" s="17">
        <v>20</v>
      </c>
      <c r="J45" s="53" t="s">
        <v>1162</v>
      </c>
      <c r="L45" s="17">
        <v>230000</v>
      </c>
    </row>
    <row r="46" spans="6:12" ht="18" customHeight="1">
      <c r="F46" s="17">
        <v>21</v>
      </c>
      <c r="J46" s="53" t="s">
        <v>2181</v>
      </c>
      <c r="L46" s="17">
        <v>600000</v>
      </c>
    </row>
    <row r="47" spans="6:12" ht="18" customHeight="1">
      <c r="F47" s="17">
        <v>55</v>
      </c>
      <c r="J47" s="53" t="s">
        <v>1551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2186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2186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2192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3038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1148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3039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2809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2914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2914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2914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2915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2087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2087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2828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2408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2409</v>
      </c>
      <c r="J82" s="53" t="s">
        <v>1870</v>
      </c>
      <c r="K82" s="17" t="s">
        <v>2409</v>
      </c>
      <c r="L82" s="17">
        <v>20000</v>
      </c>
    </row>
    <row r="83" spans="6:12" ht="18" customHeight="1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>
      <c r="F84" s="17">
        <v>32</v>
      </c>
      <c r="I84" s="17" t="s">
        <v>1460</v>
      </c>
      <c r="J84" s="53" t="s">
        <v>2174</v>
      </c>
      <c r="K84" s="17" t="s">
        <v>1460</v>
      </c>
      <c r="L84" s="17">
        <v>1500000</v>
      </c>
    </row>
    <row r="85" spans="6:12" ht="18" customHeight="1">
      <c r="F85" s="17">
        <v>33</v>
      </c>
      <c r="I85" s="17" t="s">
        <v>1209</v>
      </c>
      <c r="J85" s="53" t="s">
        <v>2770</v>
      </c>
      <c r="K85" s="17" t="s">
        <v>1209</v>
      </c>
      <c r="L85" s="17">
        <v>1600000</v>
      </c>
    </row>
    <row r="86" spans="6:12" ht="18" customHeight="1">
      <c r="F86" s="17">
        <v>34</v>
      </c>
      <c r="I86" s="17" t="s">
        <v>3031</v>
      </c>
      <c r="J86" s="53" t="s">
        <v>2175</v>
      </c>
      <c r="K86" s="17" t="s">
        <v>3031</v>
      </c>
      <c r="L86" s="17">
        <v>2200000</v>
      </c>
    </row>
    <row r="87" spans="6:12" ht="18" customHeight="1">
      <c r="F87" s="17">
        <v>72</v>
      </c>
      <c r="I87" s="17" t="s">
        <v>3032</v>
      </c>
      <c r="J87" s="53" t="s">
        <v>3044</v>
      </c>
      <c r="K87" s="17" t="s">
        <v>3032</v>
      </c>
      <c r="L87" s="17">
        <v>1500000</v>
      </c>
    </row>
    <row r="88" spans="6:12" ht="18" customHeight="1">
      <c r="F88" s="17">
        <v>73</v>
      </c>
      <c r="I88" s="17" t="s">
        <v>3033</v>
      </c>
      <c r="J88" s="53" t="s">
        <v>2194</v>
      </c>
      <c r="K88" s="17" t="s">
        <v>3033</v>
      </c>
      <c r="L88" s="17">
        <v>50000</v>
      </c>
    </row>
    <row r="89" spans="6:12" ht="18" customHeight="1">
      <c r="F89" s="17">
        <v>58</v>
      </c>
      <c r="I89" s="17" t="s">
        <v>2743</v>
      </c>
      <c r="J89" s="53" t="s">
        <v>2413</v>
      </c>
      <c r="K89" s="17" t="s">
        <v>2743</v>
      </c>
      <c r="L89" s="17">
        <v>1100000</v>
      </c>
    </row>
    <row r="90" spans="6:12" ht="18" customHeight="1">
      <c r="F90" s="17">
        <v>95</v>
      </c>
      <c r="I90" s="17" t="s">
        <v>2008</v>
      </c>
      <c r="J90" s="53" t="s">
        <v>2189</v>
      </c>
      <c r="K90" s="17" t="s">
        <v>2008</v>
      </c>
      <c r="L90" s="17">
        <v>10000</v>
      </c>
    </row>
    <row r="91" spans="6:12" ht="18" customHeight="1">
      <c r="F91" s="17">
        <v>93</v>
      </c>
      <c r="I91" s="17" t="s">
        <v>1791</v>
      </c>
      <c r="J91" s="53" t="s">
        <v>2187</v>
      </c>
      <c r="K91" s="17" t="s">
        <v>1791</v>
      </c>
      <c r="L91" s="17">
        <v>30000</v>
      </c>
    </row>
    <row r="92" spans="6:12" ht="18" customHeight="1">
      <c r="F92" s="17">
        <v>30</v>
      </c>
      <c r="I92" s="17" t="s">
        <v>1204</v>
      </c>
      <c r="J92" s="53" t="s">
        <v>2183</v>
      </c>
      <c r="K92" s="17" t="s">
        <v>1204</v>
      </c>
      <c r="L92" s="17">
        <v>569000</v>
      </c>
    </row>
    <row r="93" spans="6:12" ht="18" customHeight="1">
      <c r="F93" s="17">
        <v>35</v>
      </c>
      <c r="I93" s="17" t="s">
        <v>1212</v>
      </c>
      <c r="J93" s="53" t="s">
        <v>2023</v>
      </c>
      <c r="K93" s="17" t="s">
        <v>1212</v>
      </c>
      <c r="L93" s="17">
        <v>1500000</v>
      </c>
    </row>
    <row r="94" spans="6:12" ht="18" customHeight="1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>
      <c r="F95" s="17">
        <v>90</v>
      </c>
      <c r="I95" s="17" t="s">
        <v>2213</v>
      </c>
      <c r="J95" s="53" t="s">
        <v>2178</v>
      </c>
      <c r="K95" s="17" t="s">
        <v>2213</v>
      </c>
      <c r="L95" s="17">
        <v>250000</v>
      </c>
    </row>
    <row r="96" spans="6:12" ht="18" customHeight="1">
      <c r="F96" s="17">
        <v>91</v>
      </c>
      <c r="I96" s="17" t="s">
        <v>1716</v>
      </c>
      <c r="J96" s="53" t="s">
        <v>2179</v>
      </c>
      <c r="K96" s="17" t="s">
        <v>1716</v>
      </c>
      <c r="L96" s="17">
        <v>60000</v>
      </c>
    </row>
    <row r="97" spans="6:12" ht="18" customHeight="1">
      <c r="F97" s="17">
        <v>103</v>
      </c>
      <c r="I97" s="17" t="s">
        <v>1799</v>
      </c>
      <c r="J97" s="53" t="s">
        <v>2177</v>
      </c>
      <c r="K97" s="17" t="s">
        <v>1799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>
      <c r="F99" s="17">
        <v>56</v>
      </c>
      <c r="I99" s="17" t="s">
        <v>1952</v>
      </c>
      <c r="J99" s="53" t="s">
        <v>2198</v>
      </c>
      <c r="K99" s="17" t="s">
        <v>1952</v>
      </c>
      <c r="L99" s="17">
        <v>1800000</v>
      </c>
    </row>
    <row r="100" spans="6:12" ht="18" customHeight="1">
      <c r="F100" s="17">
        <v>94</v>
      </c>
      <c r="I100" s="17" t="s">
        <v>1818</v>
      </c>
      <c r="J100" s="53" t="s">
        <v>2188</v>
      </c>
      <c r="K100" s="17" t="s">
        <v>1818</v>
      </c>
      <c r="L100" s="17">
        <v>10000</v>
      </c>
    </row>
    <row r="101" spans="6:12" ht="18" customHeight="1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>
      <c r="F102" s="17">
        <v>38</v>
      </c>
      <c r="I102" s="17" t="s">
        <v>1255</v>
      </c>
      <c r="J102" s="53" t="s">
        <v>2184</v>
      </c>
      <c r="K102" s="17" t="s">
        <v>1255</v>
      </c>
      <c r="L102" s="17">
        <v>130000</v>
      </c>
    </row>
    <row r="103" spans="6:12" ht="18" customHeight="1">
      <c r="F103" s="17">
        <v>85</v>
      </c>
      <c r="I103" s="17" t="s">
        <v>2745</v>
      </c>
      <c r="J103" s="53" t="s">
        <v>2835</v>
      </c>
      <c r="K103" s="17" t="s">
        <v>2745</v>
      </c>
      <c r="L103" s="17">
        <v>129000</v>
      </c>
    </row>
    <row r="104" spans="6:12" ht="18" customHeight="1">
      <c r="F104" s="17">
        <v>25</v>
      </c>
      <c r="I104" s="17" t="s">
        <v>1198</v>
      </c>
      <c r="J104" s="53" t="s">
        <v>2176</v>
      </c>
      <c r="K104" s="17" t="s">
        <v>1198</v>
      </c>
      <c r="L104" s="17">
        <v>1500000</v>
      </c>
    </row>
    <row r="105" spans="6:12" ht="18" customHeight="1">
      <c r="F105" s="17">
        <v>24</v>
      </c>
      <c r="I105" s="17" t="s">
        <v>1197</v>
      </c>
      <c r="J105" s="53" t="s">
        <v>2182</v>
      </c>
      <c r="K105" s="17" t="s">
        <v>1197</v>
      </c>
      <c r="L105" s="17">
        <v>1400000</v>
      </c>
    </row>
    <row r="106" spans="6:12" ht="18" customHeight="1">
      <c r="F106" s="17">
        <v>22</v>
      </c>
      <c r="I106" s="17" t="s">
        <v>1195</v>
      </c>
      <c r="J106" s="53" t="s">
        <v>2193</v>
      </c>
      <c r="K106" s="17" t="s">
        <v>1195</v>
      </c>
      <c r="L106" s="17">
        <v>1000000</v>
      </c>
    </row>
    <row r="107" spans="6:12" ht="18" customHeight="1">
      <c r="F107" s="17">
        <v>23</v>
      </c>
      <c r="I107" s="17" t="s">
        <v>1196</v>
      </c>
      <c r="J107" s="53" t="s">
        <v>2193</v>
      </c>
      <c r="K107" s="17" t="s">
        <v>1196</v>
      </c>
      <c r="L107" s="17">
        <v>1000000</v>
      </c>
    </row>
    <row r="108" spans="6:12" ht="18" customHeight="1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>
      <c r="F110" s="17">
        <v>37</v>
      </c>
      <c r="I110" s="17" t="s">
        <v>2871</v>
      </c>
      <c r="J110" s="53" t="s">
        <v>2379</v>
      </c>
      <c r="K110" s="17" t="s">
        <v>2871</v>
      </c>
      <c r="L110" s="17">
        <v>770000</v>
      </c>
    </row>
    <row r="111" spans="6:12" ht="18" customHeight="1">
      <c r="F111" s="17">
        <v>28</v>
      </c>
      <c r="I111" s="17" t="s">
        <v>1201</v>
      </c>
      <c r="J111" s="53" t="s">
        <v>1202</v>
      </c>
      <c r="K111" s="17" t="s">
        <v>1201</v>
      </c>
      <c r="L111" s="17">
        <v>1200000</v>
      </c>
    </row>
    <row r="112" spans="6:12" ht="18" customHeight="1">
      <c r="F112" s="17">
        <v>57</v>
      </c>
      <c r="I112" s="17" t="s">
        <v>1559</v>
      </c>
      <c r="J112" s="53" t="s">
        <v>1202</v>
      </c>
      <c r="K112" s="17" t="s">
        <v>1559</v>
      </c>
      <c r="L112" s="17">
        <v>1000000</v>
      </c>
    </row>
    <row r="113" spans="6:12" ht="18" customHeight="1">
      <c r="F113" s="17">
        <v>31</v>
      </c>
      <c r="I113" s="17" t="s">
        <v>1559</v>
      </c>
      <c r="J113" s="53" t="s">
        <v>3045</v>
      </c>
      <c r="K113" s="17" t="s">
        <v>1559</v>
      </c>
      <c r="L113" s="17">
        <v>1300000</v>
      </c>
    </row>
    <row r="114" spans="6:12" ht="18" customHeight="1">
      <c r="F114" s="17">
        <v>29</v>
      </c>
      <c r="I114" s="17" t="s">
        <v>1203</v>
      </c>
      <c r="J114" s="53" t="s">
        <v>1202</v>
      </c>
      <c r="K114" s="17" t="s">
        <v>1203</v>
      </c>
      <c r="L114" s="17">
        <v>1200000</v>
      </c>
    </row>
    <row r="115" spans="6:12" ht="18" customHeight="1">
      <c r="F115" s="17">
        <v>59</v>
      </c>
      <c r="I115" s="17" t="s">
        <v>2692</v>
      </c>
      <c r="J115" s="53" t="s">
        <v>1557</v>
      </c>
      <c r="K115" s="17" t="s">
        <v>2692</v>
      </c>
      <c r="L115" s="17">
        <v>1100000</v>
      </c>
    </row>
    <row r="116" spans="6:12" ht="18" customHeight="1">
      <c r="F116" s="17">
        <v>36</v>
      </c>
      <c r="I116" s="17" t="s">
        <v>1219</v>
      </c>
      <c r="J116" s="53" t="s">
        <v>1557</v>
      </c>
      <c r="K116" s="17" t="s">
        <v>1219</v>
      </c>
      <c r="L116" s="17">
        <v>1600000</v>
      </c>
    </row>
    <row r="117" spans="6:12" ht="18" customHeight="1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>
      <c r="F118" s="17">
        <v>60</v>
      </c>
      <c r="I118" s="17" t="s">
        <v>3034</v>
      </c>
      <c r="J118" s="53" t="s">
        <v>3046</v>
      </c>
      <c r="K118" s="17" t="s">
        <v>3034</v>
      </c>
      <c r="L118" s="17">
        <v>3500000</v>
      </c>
    </row>
    <row r="119" spans="6:12" ht="18" customHeight="1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>
      <c r="F120" s="17">
        <v>27</v>
      </c>
      <c r="I120" s="17" t="s">
        <v>1357</v>
      </c>
      <c r="J120" s="53" t="s">
        <v>1200</v>
      </c>
      <c r="K120" s="17" t="s">
        <v>1357</v>
      </c>
      <c r="L120" s="17">
        <v>1400000</v>
      </c>
    </row>
    <row r="121" spans="6:12" ht="18" customHeight="1">
      <c r="F121" s="17">
        <v>105</v>
      </c>
      <c r="I121" s="17" t="s">
        <v>1748</v>
      </c>
      <c r="J121" s="53" t="s">
        <v>1200</v>
      </c>
      <c r="K121" s="17" t="s">
        <v>1748</v>
      </c>
      <c r="L121" s="17">
        <v>1200000</v>
      </c>
    </row>
    <row r="122" spans="6:12" ht="18" customHeight="1">
      <c r="F122" s="17">
        <v>46</v>
      </c>
      <c r="I122" s="17" t="s">
        <v>2674</v>
      </c>
      <c r="J122" s="53" t="s">
        <v>1492</v>
      </c>
      <c r="K122" s="17" t="s">
        <v>2674</v>
      </c>
      <c r="L122" s="17">
        <v>350000</v>
      </c>
    </row>
    <row r="123" spans="6:12" ht="18" customHeight="1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>
      <c r="F126" s="17">
        <v>4</v>
      </c>
      <c r="I126" s="17" t="s">
        <v>1948</v>
      </c>
      <c r="J126" s="53" t="s">
        <v>3047</v>
      </c>
      <c r="K126" s="17" t="s">
        <v>1948</v>
      </c>
      <c r="L126" s="17">
        <v>1000000</v>
      </c>
    </row>
    <row r="127" spans="6:12" ht="18" customHeight="1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>
      <c r="F128" s="17">
        <v>98</v>
      </c>
      <c r="I128" s="17" t="s">
        <v>2829</v>
      </c>
      <c r="J128" s="53" t="s">
        <v>1733</v>
      </c>
      <c r="K128" s="17" t="s">
        <v>2829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7.399999999999999"/>
  <cols>
    <col min="1" max="4" width="9" style="298"/>
    <col min="5" max="5" width="15.19921875" style="298" customWidth="1"/>
    <col min="6" max="6" width="16.09765625" style="298" bestFit="1" customWidth="1"/>
    <col min="7" max="7" width="12.097656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2396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2397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2398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3895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3894</v>
      </c>
      <c r="G8" s="296" t="s">
        <v>3890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3888</v>
      </c>
      <c r="G9" s="296" t="s">
        <v>3891</v>
      </c>
    </row>
    <row r="10" spans="1:9" ht="28.35" customHeight="1">
      <c r="F10" s="296" t="s">
        <v>3889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7.399999999999999"/>
  <cols>
    <col min="1" max="1" width="4" bestFit="1" customWidth="1"/>
    <col min="2" max="2" width="11.8984375" bestFit="1" customWidth="1"/>
    <col min="3" max="3" width="4" bestFit="1" customWidth="1"/>
    <col min="4" max="4" width="13.097656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19921875" customWidth="1"/>
    <col min="12" max="12" width="10.5" bestFit="1" customWidth="1"/>
    <col min="13" max="13" width="3.5" bestFit="1" customWidth="1"/>
    <col min="14" max="14" width="9.5" bestFit="1" customWidth="1"/>
    <col min="15" max="15" width="3.69921875" customWidth="1"/>
    <col min="17" max="17" width="3.19921875" customWidth="1"/>
    <col min="18" max="19" width="9.5" bestFit="1" customWidth="1"/>
  </cols>
  <sheetData>
    <row r="1" spans="1:18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1179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1215</v>
      </c>
      <c r="I3">
        <v>2</v>
      </c>
      <c r="J3" t="s">
        <v>1180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1181</v>
      </c>
    </row>
    <row r="7" spans="1:18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1182</v>
      </c>
    </row>
    <row r="8" spans="1:18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1183</v>
      </c>
      <c r="L8">
        <v>2830405</v>
      </c>
    </row>
    <row r="9" spans="1:18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1184</v>
      </c>
    </row>
    <row r="10" spans="1:18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2324</v>
      </c>
    </row>
    <row r="13" spans="1:18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2445</v>
      </c>
    </row>
    <row r="14" spans="1:18">
      <c r="B14" t="s">
        <v>2149</v>
      </c>
      <c r="C14">
        <v>13</v>
      </c>
      <c r="D14" t="s">
        <v>1411</v>
      </c>
      <c r="I14">
        <v>13</v>
      </c>
      <c r="J14" t="s">
        <v>2637</v>
      </c>
    </row>
    <row r="15" spans="1:18">
      <c r="C15">
        <v>14</v>
      </c>
      <c r="D15" t="s">
        <v>1412</v>
      </c>
    </row>
    <row r="16" spans="1:18">
      <c r="C16">
        <v>15</v>
      </c>
      <c r="D16" t="s">
        <v>1694</v>
      </c>
    </row>
    <row r="17" spans="3:16">
      <c r="C17">
        <v>16</v>
      </c>
      <c r="D17" t="s">
        <v>1696</v>
      </c>
      <c r="J17">
        <v>28</v>
      </c>
    </row>
    <row r="18" spans="3:16">
      <c r="C18">
        <v>17</v>
      </c>
      <c r="D18" t="s">
        <v>1735</v>
      </c>
      <c r="P18">
        <v>2830502</v>
      </c>
    </row>
    <row r="19" spans="3:16">
      <c r="C19">
        <v>18</v>
      </c>
      <c r="D19" t="s">
        <v>1750</v>
      </c>
      <c r="H19">
        <v>2830513</v>
      </c>
      <c r="L19">
        <v>2830506</v>
      </c>
    </row>
    <row r="20" spans="3:16">
      <c r="C20">
        <v>19</v>
      </c>
      <c r="D20" t="s">
        <v>1920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7.399999999999999"/>
  <cols>
    <col min="1" max="1" width="12.59765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1727</v>
      </c>
    </row>
    <row r="6" spans="1:2">
      <c r="A6" t="s">
        <v>3898</v>
      </c>
    </row>
    <row r="7" spans="1:2">
      <c r="A7" t="s">
        <v>1774</v>
      </c>
    </row>
    <row r="8" spans="1:2">
      <c r="A8" t="s">
        <v>1910</v>
      </c>
    </row>
    <row r="9" spans="1:2">
      <c r="A9" t="s">
        <v>1772</v>
      </c>
    </row>
    <row r="10" spans="1:2">
      <c r="A10" t="s">
        <v>1771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7.399999999999999"/>
  <sheetData>
    <row r="1" spans="1:1">
      <c r="A1" s="296" t="s">
        <v>36</v>
      </c>
    </row>
    <row r="2" spans="1:1">
      <c r="A2" s="298" t="s">
        <v>3893</v>
      </c>
    </row>
    <row r="3" spans="1:1">
      <c r="A3" s="298" t="s">
        <v>3888</v>
      </c>
    </row>
    <row r="4" spans="1:1">
      <c r="A4" s="298" t="s">
        <v>3889</v>
      </c>
    </row>
    <row r="5" spans="1:1">
      <c r="A5" s="298" t="s">
        <v>3428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7.399999999999999"/>
  <sheetData>
    <row r="1" spans="1:1">
      <c r="A1" t="s">
        <v>3910</v>
      </c>
    </row>
    <row r="2" spans="1:1">
      <c r="A2" t="s">
        <v>3890</v>
      </c>
    </row>
    <row r="3" spans="1:1">
      <c r="A3" t="s">
        <v>3891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7.399999999999999"/>
  <cols>
    <col min="1" max="1" width="3.3984375" style="104" bestFit="1" customWidth="1"/>
    <col min="2" max="2" width="18" style="100" customWidth="1"/>
    <col min="3" max="3" width="13.19921875" style="100" customWidth="1"/>
    <col min="4" max="4" width="104.09765625" style="100" customWidth="1"/>
    <col min="5" max="5" width="46.5" style="105" customWidth="1"/>
  </cols>
  <sheetData>
    <row r="1" spans="1:6" s="47" customFormat="1" ht="18" thickBot="1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4.799999999999997">
      <c r="A2" s="102"/>
      <c r="B2" s="101">
        <v>45737</v>
      </c>
      <c r="C2" s="100" t="s">
        <v>1251</v>
      </c>
      <c r="D2" s="110" t="s">
        <v>1250</v>
      </c>
      <c r="E2" s="103"/>
    </row>
    <row r="3" spans="1:6" ht="52.2">
      <c r="B3" s="99">
        <v>45737</v>
      </c>
      <c r="C3" s="100" t="s">
        <v>1243</v>
      </c>
      <c r="D3" s="109" t="s">
        <v>1257</v>
      </c>
    </row>
    <row r="4" spans="1:6" ht="34.799999999999997">
      <c r="B4" s="99">
        <v>45737</v>
      </c>
      <c r="C4" s="100" t="s">
        <v>1244</v>
      </c>
      <c r="D4" s="109" t="s">
        <v>1247</v>
      </c>
    </row>
    <row r="5" spans="1:6">
      <c r="B5" s="99">
        <v>45737</v>
      </c>
      <c r="C5" s="100" t="s">
        <v>1245</v>
      </c>
      <c r="D5" s="100" t="s">
        <v>1246</v>
      </c>
    </row>
    <row r="6" spans="1:6">
      <c r="B6" s="99">
        <v>45737</v>
      </c>
      <c r="C6" s="100" t="s">
        <v>1245</v>
      </c>
      <c r="D6" s="100" t="s">
        <v>1249</v>
      </c>
    </row>
    <row r="7" spans="1:6">
      <c r="B7" s="99">
        <v>45737</v>
      </c>
      <c r="C7" s="100" t="s">
        <v>1245</v>
      </c>
      <c r="D7" s="100" t="s">
        <v>1248</v>
      </c>
    </row>
    <row r="8" spans="1:6">
      <c r="B8" s="99"/>
      <c r="D8" s="100" t="s">
        <v>1252</v>
      </c>
    </row>
    <row r="9" spans="1:6">
      <c r="D9" s="100" t="s">
        <v>1258</v>
      </c>
    </row>
    <row r="10" spans="1:6">
      <c r="D10" s="100" t="s">
        <v>1259</v>
      </c>
    </row>
    <row r="11" spans="1:6" ht="34.799999999999997">
      <c r="B11" s="99">
        <v>45740</v>
      </c>
      <c r="C11" s="100" t="s">
        <v>1263</v>
      </c>
      <c r="D11" s="109" t="s">
        <v>1367</v>
      </c>
    </row>
    <row r="12" spans="1:6">
      <c r="B12" s="99">
        <v>45740</v>
      </c>
      <c r="C12" s="100" t="s">
        <v>1368</v>
      </c>
      <c r="D12" s="100" t="s">
        <v>1366</v>
      </c>
    </row>
    <row r="13" spans="1:6">
      <c r="C13" s="100" t="s">
        <v>1377</v>
      </c>
      <c r="D13" s="100" t="s">
        <v>1378</v>
      </c>
    </row>
    <row r="14" spans="1:6">
      <c r="C14" s="100" t="s">
        <v>1380</v>
      </c>
      <c r="D14" s="100" t="s">
        <v>1381</v>
      </c>
    </row>
    <row r="15" spans="1:6">
      <c r="B15" s="99">
        <v>45742</v>
      </c>
      <c r="C15" s="100" t="s">
        <v>1382</v>
      </c>
      <c r="D15" s="100" t="s">
        <v>1383</v>
      </c>
    </row>
    <row r="16" spans="1:6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2026-01-27T15:19:41Z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