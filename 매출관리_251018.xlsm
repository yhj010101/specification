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work\"/>
    </mc:Choice>
  </mc:AlternateContent>
  <xr:revisionPtr revIDLastSave="0" documentId="13_ncr:1_{F6A2E85D-FDE0-4C32-AF89-687D44C6994E}" xr6:coauthVersionLast="47" xr6:coauthVersionMax="47" xr10:uidLastSave="{00000000-0000-0000-0000-000000000000}"/>
  <bookViews>
    <workbookView xWindow="-120" yWindow="-120" windowWidth="29040" windowHeight="15840" tabRatio="716" xr2:uid="{17F36E22-0BD4-4C4C-A7DC-D6B626B4DE69}"/>
  </bookViews>
  <sheets>
    <sheet name="Home" sheetId="35" r:id="rId1"/>
    <sheet name="경비처리" sheetId="47" r:id="rId2"/>
    <sheet name="거래명세서" sheetId="53" r:id="rId3"/>
    <sheet name="주문data" sheetId="52" r:id="rId4"/>
    <sheet name="주문" sheetId="19" state="hidden" r:id="rId5"/>
    <sheet name="Login" sheetId="46" state="hidden" r:id="rId6"/>
    <sheet name="주문_리스트" sheetId="18" r:id="rId7"/>
    <sheet name="BTS_매출관리" sheetId="33" r:id="rId8"/>
    <sheet name="temp2" sheetId="56" r:id="rId9"/>
    <sheet name="FastGarage" sheetId="54" r:id="rId10"/>
    <sheet name="FastGarage_매출관리" sheetId="55" state="hidden" r:id="rId11"/>
    <sheet name="식비구분" sheetId="51" state="hidden" r:id="rId12"/>
    <sheet name="거래명세서_NEW" sheetId="11" state="hidden" r:id="rId13"/>
    <sheet name="거래내역서" sheetId="34" r:id="rId14"/>
    <sheet name="거래처" sheetId="4" r:id="rId15"/>
    <sheet name="제품" sheetId="1" r:id="rId16"/>
    <sheet name="재고" sheetId="5" r:id="rId17"/>
    <sheet name="배송" sheetId="14" state="veryHidden" r:id="rId18"/>
    <sheet name="구분" sheetId="13" state="hidden" r:id="rId19"/>
    <sheet name="제품구분" sheetId="10" state="hidden" r:id="rId20"/>
    <sheet name="단위" sheetId="9" state="veryHidden" r:id="rId21"/>
    <sheet name="경동택배" sheetId="20" state="veryHidden" r:id="rId22"/>
    <sheet name="로그인 기록" sheetId="23" state="veryHidden" r:id="rId23"/>
    <sheet name="재고관리" sheetId="6" state="hidden" r:id="rId24"/>
    <sheet name="Sheet6" sheetId="40" r:id="rId25"/>
    <sheet name="Sheet7" sheetId="49" r:id="rId26"/>
    <sheet name="업무일지" sheetId="38" state="hidden" r:id="rId27"/>
  </sheets>
  <functionGroups builtInGroupCount="19"/>
  <definedNames>
    <definedName name="_xlnm._FilterDatabase" localSheetId="7" hidden="1">BTS_매출관리!$A$8:$J$179</definedName>
    <definedName name="_xlnm._FilterDatabase" localSheetId="8" hidden="1">temp2!$A$1:$D$224</definedName>
    <definedName name="_xlnm._FilterDatabase" localSheetId="14" hidden="1">거래처!$A$1:$I$221</definedName>
    <definedName name="_xlnm._FilterDatabase" localSheetId="16" hidden="1">재고!$A$1:$G$1</definedName>
    <definedName name="_xlnm._FilterDatabase" localSheetId="23" hidden="1">재고관리!$H$4:$R$7</definedName>
    <definedName name="_xlnm._FilterDatabase" localSheetId="4" hidden="1">주문!$A$15:$J$25</definedName>
    <definedName name="_xlnm._FilterDatabase" localSheetId="6" hidden="1">주문_리스트!$A$1:$K$1895</definedName>
    <definedName name="_xlnm.Print_Area" localSheetId="2">거래명세서!$A$1:$U$44</definedName>
    <definedName name="_xlnm.Print_Area" localSheetId="12">거래명세서_NEW!$A$1:$U$44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48" i="56" l="1"/>
  <c r="L47" i="56"/>
  <c r="H186" i="4" l="1"/>
  <c r="H185" i="4"/>
  <c r="H145" i="4"/>
  <c r="H117" i="4" l="1"/>
  <c r="H5" i="4"/>
  <c r="H6" i="4"/>
  <c r="H7" i="4"/>
  <c r="H8" i="4"/>
  <c r="H9" i="4"/>
  <c r="H10" i="4"/>
  <c r="H11" i="4"/>
  <c r="H12" i="4"/>
  <c r="H13" i="4"/>
  <c r="H14" i="4"/>
  <c r="H15" i="4"/>
  <c r="H16" i="4"/>
  <c r="H17" i="4"/>
  <c r="H18" i="4"/>
  <c r="H19" i="4"/>
  <c r="H20" i="4"/>
  <c r="H21" i="4"/>
  <c r="H22" i="4"/>
  <c r="H23" i="4"/>
  <c r="H24" i="4"/>
  <c r="H25" i="4"/>
  <c r="H26" i="4"/>
  <c r="H27" i="4"/>
  <c r="H28" i="4"/>
  <c r="H29" i="4"/>
  <c r="H30" i="4"/>
  <c r="H31" i="4"/>
  <c r="H32" i="4"/>
  <c r="H33" i="4"/>
  <c r="H34" i="4"/>
  <c r="H35" i="4"/>
  <c r="H36" i="4"/>
  <c r="H37" i="4"/>
  <c r="H38" i="4"/>
  <c r="H39" i="4"/>
  <c r="H40" i="4"/>
  <c r="H41" i="4"/>
  <c r="H42" i="4"/>
  <c r="H43" i="4"/>
  <c r="H44" i="4"/>
  <c r="H45" i="4"/>
  <c r="H46" i="4"/>
  <c r="H47" i="4"/>
  <c r="H48" i="4"/>
  <c r="H49" i="4"/>
  <c r="H50" i="4"/>
  <c r="H51" i="4"/>
  <c r="H52" i="4"/>
  <c r="H53" i="4"/>
  <c r="H54" i="4"/>
  <c r="H55" i="4"/>
  <c r="H56" i="4"/>
  <c r="H57" i="4"/>
  <c r="H58" i="4"/>
  <c r="H59" i="4"/>
  <c r="H60" i="4"/>
  <c r="H61" i="4"/>
  <c r="H62" i="4"/>
  <c r="H63" i="4"/>
  <c r="H64" i="4"/>
  <c r="H65" i="4"/>
  <c r="H66" i="4"/>
  <c r="H67" i="4"/>
  <c r="H68" i="4"/>
  <c r="H69" i="4"/>
  <c r="H70" i="4"/>
  <c r="H71" i="4"/>
  <c r="H72" i="4"/>
  <c r="H73" i="4"/>
  <c r="H74" i="4"/>
  <c r="H75" i="4"/>
  <c r="H76" i="4"/>
  <c r="H77" i="4"/>
  <c r="H78" i="4"/>
  <c r="H79" i="4"/>
  <c r="H80" i="4"/>
  <c r="H81" i="4"/>
  <c r="H82" i="4"/>
  <c r="H83" i="4"/>
  <c r="H84" i="4"/>
  <c r="H85" i="4"/>
  <c r="H86" i="4"/>
  <c r="H87" i="4"/>
  <c r="H88" i="4"/>
  <c r="H89" i="4"/>
  <c r="H90" i="4"/>
  <c r="H91" i="4"/>
  <c r="H92" i="4"/>
  <c r="H93" i="4"/>
  <c r="H94" i="4"/>
  <c r="H95" i="4"/>
  <c r="H96" i="4"/>
  <c r="H97" i="4"/>
  <c r="H98" i="4"/>
  <c r="H99" i="4"/>
  <c r="H100" i="4"/>
  <c r="H101" i="4"/>
  <c r="H102" i="4"/>
  <c r="H103" i="4"/>
  <c r="H104" i="4"/>
  <c r="H105" i="4"/>
  <c r="H106" i="4"/>
  <c r="H107" i="4"/>
  <c r="H108" i="4"/>
  <c r="H109" i="4"/>
  <c r="H110" i="4"/>
  <c r="H111" i="4"/>
  <c r="H112" i="4"/>
  <c r="H113" i="4"/>
  <c r="H114" i="4"/>
  <c r="H115" i="4"/>
  <c r="H116" i="4"/>
  <c r="H118" i="4"/>
  <c r="H119" i="4"/>
  <c r="H120" i="4"/>
  <c r="H121" i="4"/>
  <c r="H122" i="4"/>
  <c r="H123" i="4"/>
  <c r="H124" i="4"/>
  <c r="H125" i="4"/>
  <c r="H127" i="4"/>
  <c r="H128" i="4"/>
  <c r="H129" i="4"/>
  <c r="H130" i="4"/>
  <c r="H131" i="4"/>
  <c r="H132" i="4"/>
  <c r="H133" i="4"/>
  <c r="H134" i="4"/>
  <c r="H135" i="4"/>
  <c r="H136" i="4"/>
  <c r="H137" i="4"/>
  <c r="H138" i="4"/>
  <c r="H139" i="4"/>
  <c r="H140" i="4"/>
  <c r="H141" i="4"/>
  <c r="H142" i="4"/>
  <c r="H143" i="4"/>
  <c r="H144" i="4"/>
  <c r="H146" i="4"/>
  <c r="H147" i="4"/>
  <c r="H148" i="4"/>
  <c r="H149" i="4"/>
  <c r="H150" i="4"/>
  <c r="H151" i="4"/>
  <c r="H152" i="4"/>
  <c r="H153" i="4"/>
  <c r="H154" i="4"/>
  <c r="H155" i="4"/>
  <c r="H156" i="4"/>
  <c r="H157" i="4"/>
  <c r="H158" i="4"/>
  <c r="H159" i="4"/>
  <c r="H160" i="4"/>
  <c r="H161" i="4"/>
  <c r="H162" i="4"/>
  <c r="H163" i="4"/>
  <c r="H164" i="4"/>
  <c r="H165" i="4"/>
  <c r="H166" i="4"/>
  <c r="H167" i="4"/>
  <c r="H168" i="4"/>
  <c r="H169" i="4"/>
  <c r="H170" i="4"/>
  <c r="H171" i="4"/>
  <c r="H172" i="4"/>
  <c r="H173" i="4"/>
  <c r="H174" i="4"/>
  <c r="H175" i="4"/>
  <c r="H176" i="4"/>
  <c r="H177" i="4"/>
  <c r="H178" i="4"/>
  <c r="H179" i="4"/>
  <c r="H180" i="4"/>
  <c r="H181" i="4"/>
  <c r="H182" i="4"/>
  <c r="H183" i="4"/>
  <c r="H187" i="4"/>
  <c r="H188" i="4"/>
  <c r="H189" i="4"/>
  <c r="H190" i="4"/>
  <c r="H191" i="4"/>
  <c r="H192" i="4"/>
  <c r="H193" i="4"/>
  <c r="H194" i="4"/>
  <c r="H195" i="4"/>
  <c r="H196" i="4"/>
  <c r="H197" i="4"/>
  <c r="H198" i="4"/>
  <c r="H199" i="4"/>
  <c r="H200" i="4"/>
  <c r="H201" i="4"/>
  <c r="H202" i="4"/>
  <c r="H203" i="4"/>
  <c r="H204" i="4"/>
  <c r="H205" i="4"/>
  <c r="H206" i="4"/>
  <c r="H207" i="4"/>
  <c r="H208" i="4"/>
  <c r="H209" i="4"/>
  <c r="H210" i="4"/>
  <c r="H211" i="4"/>
  <c r="H212" i="4"/>
  <c r="H213" i="4"/>
  <c r="H214" i="4"/>
  <c r="H215" i="4"/>
  <c r="H216" i="4"/>
  <c r="H217" i="4"/>
  <c r="H218" i="4"/>
  <c r="H219" i="4"/>
  <c r="H220" i="4"/>
  <c r="H221" i="4"/>
  <c r="H222" i="4"/>
  <c r="H223" i="4"/>
  <c r="H224" i="4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7" i="1"/>
  <c r="H208" i="1"/>
  <c r="H209" i="1"/>
  <c r="H210" i="1"/>
  <c r="H211" i="1"/>
  <c r="H212" i="1"/>
  <c r="H213" i="1"/>
  <c r="H214" i="1"/>
  <c r="H215" i="1"/>
  <c r="H217" i="1"/>
  <c r="H218" i="1"/>
  <c r="H219" i="1"/>
  <c r="H220" i="1"/>
  <c r="H221" i="1"/>
  <c r="H222" i="1"/>
  <c r="H223" i="1"/>
  <c r="H224" i="1"/>
  <c r="H112" i="1"/>
  <c r="H113" i="1"/>
  <c r="H114" i="1"/>
  <c r="H111" i="1"/>
  <c r="H110" i="1" l="1"/>
  <c r="H109" i="1"/>
  <c r="H108" i="1"/>
  <c r="H107" i="1"/>
  <c r="H105" i="1"/>
  <c r="H104" i="1"/>
  <c r="H103" i="1"/>
  <c r="H102" i="1"/>
  <c r="H101" i="1"/>
  <c r="H100" i="1"/>
  <c r="H99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H16" i="1"/>
  <c r="H15" i="1"/>
  <c r="H13" i="1"/>
  <c r="H12" i="1"/>
  <c r="H11" i="1"/>
  <c r="H9" i="1"/>
  <c r="H8" i="1"/>
  <c r="H7" i="1"/>
  <c r="H6" i="1"/>
  <c r="H5" i="1"/>
  <c r="H4" i="1"/>
  <c r="H3" i="1"/>
  <c r="H2" i="1"/>
  <c r="H4" i="4"/>
  <c r="H3" i="4"/>
  <c r="H2" i="4"/>
  <c r="Q44" i="11"/>
  <c r="L44" i="11"/>
  <c r="F44" i="11"/>
  <c r="Q43" i="11"/>
  <c r="J43" i="11"/>
  <c r="F43" i="11"/>
  <c r="T42" i="11"/>
  <c r="Q42" i="11"/>
  <c r="L42" i="11"/>
  <c r="J42" i="11"/>
  <c r="F42" i="11"/>
  <c r="A42" i="11"/>
  <c r="T41" i="11"/>
  <c r="Q41" i="11"/>
  <c r="L41" i="11"/>
  <c r="J41" i="11"/>
  <c r="F41" i="11"/>
  <c r="A41" i="11"/>
  <c r="T40" i="11"/>
  <c r="Q40" i="11"/>
  <c r="L40" i="11"/>
  <c r="J40" i="11"/>
  <c r="F40" i="11"/>
  <c r="A40" i="11"/>
  <c r="T39" i="11"/>
  <c r="Q39" i="11"/>
  <c r="L39" i="11"/>
  <c r="J39" i="11"/>
  <c r="F39" i="11"/>
  <c r="A39" i="11"/>
  <c r="T38" i="11"/>
  <c r="Q38" i="11"/>
  <c r="L38" i="11"/>
  <c r="J38" i="11"/>
  <c r="F38" i="11"/>
  <c r="A38" i="11"/>
  <c r="T37" i="11"/>
  <c r="Q37" i="11"/>
  <c r="L37" i="11"/>
  <c r="J37" i="11"/>
  <c r="F37" i="11"/>
  <c r="A37" i="11"/>
  <c r="T36" i="11"/>
  <c r="Q36" i="11"/>
  <c r="L36" i="11"/>
  <c r="J36" i="11"/>
  <c r="F36" i="11"/>
  <c r="A36" i="11"/>
  <c r="T35" i="11"/>
  <c r="Q35" i="11"/>
  <c r="L35" i="11"/>
  <c r="J35" i="11"/>
  <c r="F35" i="11"/>
  <c r="A35" i="11"/>
  <c r="T34" i="11"/>
  <c r="Q34" i="11"/>
  <c r="L34" i="11"/>
  <c r="F34" i="11"/>
  <c r="A34" i="11"/>
  <c r="T33" i="11"/>
  <c r="Q33" i="11"/>
  <c r="L33" i="11"/>
  <c r="J33" i="11"/>
  <c r="F33" i="11"/>
  <c r="A33" i="11"/>
  <c r="T32" i="11"/>
  <c r="Q32" i="11"/>
  <c r="L32" i="11"/>
  <c r="J32" i="11"/>
  <c r="F32" i="11"/>
  <c r="A32" i="11"/>
  <c r="T31" i="11"/>
  <c r="Q31" i="11"/>
  <c r="L31" i="11"/>
  <c r="J31" i="11"/>
  <c r="F31" i="11"/>
  <c r="A31" i="11"/>
  <c r="M29" i="11"/>
  <c r="C29" i="11"/>
  <c r="M28" i="11"/>
  <c r="C28" i="11"/>
  <c r="T27" i="11"/>
  <c r="M27" i="11"/>
  <c r="C27" i="11"/>
  <c r="M26" i="11"/>
  <c r="C26" i="11"/>
  <c r="T25" i="11"/>
  <c r="C25" i="11"/>
  <c r="Q21" i="11"/>
  <c r="L21" i="11"/>
  <c r="F21" i="11"/>
  <c r="Q20" i="11"/>
  <c r="J20" i="11"/>
  <c r="C5" i="55"/>
  <c r="A5" i="55"/>
  <c r="G4" i="55"/>
  <c r="C4" i="55"/>
  <c r="A4" i="55"/>
  <c r="G3" i="55"/>
  <c r="E3" i="55"/>
  <c r="C3" i="55"/>
  <c r="L149" i="54"/>
  <c r="K149" i="54"/>
  <c r="J149" i="54"/>
  <c r="I149" i="54"/>
  <c r="H149" i="54"/>
  <c r="K148" i="54"/>
  <c r="J148" i="54"/>
  <c r="I148" i="54"/>
  <c r="H148" i="54"/>
  <c r="G148" i="54"/>
  <c r="J147" i="54"/>
  <c r="I147" i="54"/>
  <c r="H147" i="54"/>
  <c r="G147" i="54"/>
  <c r="J146" i="54"/>
  <c r="I146" i="54"/>
  <c r="H146" i="54"/>
  <c r="G146" i="54"/>
  <c r="J145" i="54"/>
  <c r="I145" i="54"/>
  <c r="H145" i="54"/>
  <c r="G145" i="54"/>
  <c r="J144" i="54"/>
  <c r="I144" i="54"/>
  <c r="H144" i="54"/>
  <c r="G144" i="54"/>
  <c r="J143" i="54"/>
  <c r="I143" i="54"/>
  <c r="H143" i="54"/>
  <c r="G143" i="54"/>
  <c r="K142" i="54"/>
  <c r="J142" i="54"/>
  <c r="I142" i="54"/>
  <c r="H142" i="54"/>
  <c r="G142" i="54"/>
  <c r="J141" i="54"/>
  <c r="I141" i="54"/>
  <c r="H141" i="54"/>
  <c r="G141" i="54"/>
  <c r="J140" i="54"/>
  <c r="I140" i="54"/>
  <c r="H140" i="54"/>
  <c r="G140" i="54"/>
  <c r="J139" i="54"/>
  <c r="I139" i="54"/>
  <c r="H139" i="54"/>
  <c r="G139" i="54"/>
  <c r="J138" i="54"/>
  <c r="I138" i="54"/>
  <c r="H138" i="54"/>
  <c r="G138" i="54"/>
  <c r="J137" i="54"/>
  <c r="I137" i="54"/>
  <c r="H137" i="54"/>
  <c r="G137" i="54"/>
  <c r="K136" i="54"/>
  <c r="J136" i="54"/>
  <c r="I136" i="54"/>
  <c r="H136" i="54"/>
  <c r="G136" i="54"/>
  <c r="J135" i="54"/>
  <c r="I135" i="54"/>
  <c r="H135" i="54"/>
  <c r="G135" i="54"/>
  <c r="J134" i="54"/>
  <c r="I134" i="54"/>
  <c r="H134" i="54"/>
  <c r="G134" i="54"/>
  <c r="J133" i="54"/>
  <c r="I133" i="54"/>
  <c r="H133" i="54"/>
  <c r="G133" i="54"/>
  <c r="J132" i="54"/>
  <c r="I132" i="54"/>
  <c r="H132" i="54"/>
  <c r="G132" i="54"/>
  <c r="J131" i="54"/>
  <c r="I131" i="54"/>
  <c r="H131" i="54"/>
  <c r="G131" i="54"/>
  <c r="K130" i="54"/>
  <c r="J130" i="54"/>
  <c r="I130" i="54"/>
  <c r="H130" i="54"/>
  <c r="G130" i="54"/>
  <c r="J129" i="54"/>
  <c r="I129" i="54"/>
  <c r="H129" i="54"/>
  <c r="G129" i="54"/>
  <c r="J128" i="54"/>
  <c r="I128" i="54"/>
  <c r="H128" i="54"/>
  <c r="G128" i="54"/>
  <c r="J127" i="54"/>
  <c r="I127" i="54"/>
  <c r="H127" i="54"/>
  <c r="G127" i="54"/>
  <c r="J126" i="54"/>
  <c r="I126" i="54"/>
  <c r="H126" i="54"/>
  <c r="G126" i="54"/>
  <c r="J125" i="54"/>
  <c r="I125" i="54"/>
  <c r="H125" i="54"/>
  <c r="G125" i="54"/>
  <c r="K124" i="54"/>
  <c r="J124" i="54"/>
  <c r="I124" i="54"/>
  <c r="H124" i="54"/>
  <c r="G124" i="54"/>
  <c r="J123" i="54"/>
  <c r="I123" i="54"/>
  <c r="H123" i="54"/>
  <c r="G123" i="54"/>
  <c r="J122" i="54"/>
  <c r="I122" i="54"/>
  <c r="H122" i="54"/>
  <c r="G122" i="54"/>
  <c r="J121" i="54"/>
  <c r="I121" i="54"/>
  <c r="H121" i="54"/>
  <c r="G121" i="54"/>
  <c r="J120" i="54"/>
  <c r="I120" i="54"/>
  <c r="H120" i="54"/>
  <c r="G120" i="54"/>
  <c r="J119" i="54"/>
  <c r="I119" i="54"/>
  <c r="H119" i="54"/>
  <c r="G119" i="54"/>
  <c r="K118" i="54"/>
  <c r="J118" i="54"/>
  <c r="I118" i="54"/>
  <c r="H118" i="54"/>
  <c r="G118" i="54"/>
  <c r="J117" i="54"/>
  <c r="I117" i="54"/>
  <c r="H117" i="54"/>
  <c r="G117" i="54"/>
  <c r="J116" i="54"/>
  <c r="I116" i="54"/>
  <c r="H116" i="54"/>
  <c r="G116" i="54"/>
  <c r="J115" i="54"/>
  <c r="I115" i="54"/>
  <c r="H115" i="54"/>
  <c r="G115" i="54"/>
  <c r="J114" i="54"/>
  <c r="I114" i="54"/>
  <c r="H114" i="54"/>
  <c r="G114" i="54"/>
  <c r="J113" i="54"/>
  <c r="I113" i="54"/>
  <c r="H113" i="54"/>
  <c r="G113" i="54"/>
  <c r="K112" i="54"/>
  <c r="J112" i="54"/>
  <c r="I112" i="54"/>
  <c r="H112" i="54"/>
  <c r="G112" i="54"/>
  <c r="J111" i="54"/>
  <c r="I111" i="54"/>
  <c r="H111" i="54"/>
  <c r="G111" i="54"/>
  <c r="J110" i="54"/>
  <c r="I110" i="54"/>
  <c r="H110" i="54"/>
  <c r="G110" i="54"/>
  <c r="J109" i="54"/>
  <c r="I109" i="54"/>
  <c r="H109" i="54"/>
  <c r="G109" i="54"/>
  <c r="J108" i="54"/>
  <c r="I108" i="54"/>
  <c r="H108" i="54"/>
  <c r="G108" i="54"/>
  <c r="J107" i="54"/>
  <c r="I107" i="54"/>
  <c r="H107" i="54"/>
  <c r="G107" i="54"/>
  <c r="K106" i="54"/>
  <c r="J106" i="54"/>
  <c r="I106" i="54"/>
  <c r="H106" i="54"/>
  <c r="G106" i="54"/>
  <c r="J105" i="54"/>
  <c r="I105" i="54"/>
  <c r="H105" i="54"/>
  <c r="G105" i="54"/>
  <c r="J104" i="54"/>
  <c r="I104" i="54"/>
  <c r="H104" i="54"/>
  <c r="G104" i="54"/>
  <c r="J103" i="54"/>
  <c r="I103" i="54"/>
  <c r="H103" i="54"/>
  <c r="G103" i="54"/>
  <c r="J102" i="54"/>
  <c r="I102" i="54"/>
  <c r="H102" i="54"/>
  <c r="G102" i="54"/>
  <c r="J101" i="54"/>
  <c r="I101" i="54"/>
  <c r="H101" i="54"/>
  <c r="G101" i="54"/>
  <c r="K100" i="54"/>
  <c r="J100" i="54"/>
  <c r="I100" i="54"/>
  <c r="H100" i="54"/>
  <c r="G100" i="54"/>
  <c r="J99" i="54"/>
  <c r="I99" i="54"/>
  <c r="H99" i="54"/>
  <c r="G99" i="54"/>
  <c r="J98" i="54"/>
  <c r="I98" i="54"/>
  <c r="H98" i="54"/>
  <c r="G98" i="54"/>
  <c r="J97" i="54"/>
  <c r="I97" i="54"/>
  <c r="H97" i="54"/>
  <c r="G97" i="54"/>
  <c r="J96" i="54"/>
  <c r="I96" i="54"/>
  <c r="H96" i="54"/>
  <c r="G96" i="54"/>
  <c r="J95" i="54"/>
  <c r="I95" i="54"/>
  <c r="H95" i="54"/>
  <c r="G95" i="54"/>
  <c r="K94" i="54"/>
  <c r="J94" i="54"/>
  <c r="I94" i="54"/>
  <c r="H94" i="54"/>
  <c r="G94" i="54"/>
  <c r="J93" i="54"/>
  <c r="I93" i="54"/>
  <c r="H93" i="54"/>
  <c r="G93" i="54"/>
  <c r="J92" i="54"/>
  <c r="I92" i="54"/>
  <c r="H92" i="54"/>
  <c r="G92" i="54"/>
  <c r="J91" i="54"/>
  <c r="I91" i="54"/>
  <c r="H91" i="54"/>
  <c r="G91" i="54"/>
  <c r="J90" i="54"/>
  <c r="I90" i="54"/>
  <c r="H90" i="54"/>
  <c r="G90" i="54"/>
  <c r="J89" i="54"/>
  <c r="I89" i="54"/>
  <c r="H89" i="54"/>
  <c r="G89" i="54"/>
  <c r="K88" i="54"/>
  <c r="J88" i="54"/>
  <c r="I88" i="54"/>
  <c r="H88" i="54"/>
  <c r="G88" i="54"/>
  <c r="J87" i="54"/>
  <c r="I87" i="54"/>
  <c r="H87" i="54"/>
  <c r="G87" i="54"/>
  <c r="J86" i="54"/>
  <c r="I86" i="54"/>
  <c r="H86" i="54"/>
  <c r="G86" i="54"/>
  <c r="J85" i="54"/>
  <c r="I85" i="54"/>
  <c r="H85" i="54"/>
  <c r="G85" i="54"/>
  <c r="J84" i="54"/>
  <c r="I84" i="54"/>
  <c r="H84" i="54"/>
  <c r="G84" i="54"/>
  <c r="J83" i="54"/>
  <c r="I83" i="54"/>
  <c r="H83" i="54"/>
  <c r="G83" i="54"/>
  <c r="K82" i="54"/>
  <c r="J82" i="54"/>
  <c r="I82" i="54"/>
  <c r="H82" i="54"/>
  <c r="G82" i="54"/>
  <c r="J81" i="54"/>
  <c r="I81" i="54"/>
  <c r="H81" i="54"/>
  <c r="G81" i="54"/>
  <c r="J80" i="54"/>
  <c r="I80" i="54"/>
  <c r="H80" i="54"/>
  <c r="G80" i="54"/>
  <c r="J79" i="54"/>
  <c r="I79" i="54"/>
  <c r="H79" i="54"/>
  <c r="G79" i="54"/>
  <c r="J78" i="54"/>
  <c r="I78" i="54"/>
  <c r="H78" i="54"/>
  <c r="G78" i="54"/>
  <c r="J77" i="54"/>
  <c r="I77" i="54"/>
  <c r="H77" i="54"/>
  <c r="G77" i="54"/>
  <c r="K76" i="54"/>
  <c r="J76" i="54"/>
  <c r="I76" i="54"/>
  <c r="H76" i="54"/>
  <c r="G76" i="54"/>
  <c r="J75" i="54"/>
  <c r="I75" i="54"/>
  <c r="H75" i="54"/>
  <c r="G75" i="54"/>
  <c r="J74" i="54"/>
  <c r="I74" i="54"/>
  <c r="H74" i="54"/>
  <c r="G74" i="54"/>
  <c r="J73" i="54"/>
  <c r="I73" i="54"/>
  <c r="H73" i="54"/>
  <c r="G73" i="54"/>
  <c r="J72" i="54"/>
  <c r="I72" i="54"/>
  <c r="H72" i="54"/>
  <c r="G72" i="54"/>
  <c r="J71" i="54"/>
  <c r="I71" i="54"/>
  <c r="H71" i="54"/>
  <c r="G71" i="54"/>
  <c r="K70" i="54"/>
  <c r="J70" i="54"/>
  <c r="I70" i="54"/>
  <c r="H70" i="54"/>
  <c r="G70" i="54"/>
  <c r="J69" i="54"/>
  <c r="I69" i="54"/>
  <c r="H69" i="54"/>
  <c r="G69" i="54"/>
  <c r="J68" i="54"/>
  <c r="I68" i="54"/>
  <c r="H68" i="54"/>
  <c r="G68" i="54"/>
  <c r="J67" i="54"/>
  <c r="I67" i="54"/>
  <c r="H67" i="54"/>
  <c r="G67" i="54"/>
  <c r="J66" i="54"/>
  <c r="I66" i="54"/>
  <c r="H66" i="54"/>
  <c r="G66" i="54"/>
  <c r="J65" i="54"/>
  <c r="I65" i="54"/>
  <c r="H65" i="54"/>
  <c r="G65" i="54"/>
  <c r="K64" i="54"/>
  <c r="J64" i="54"/>
  <c r="I64" i="54"/>
  <c r="H64" i="54"/>
  <c r="G64" i="54"/>
  <c r="J63" i="54"/>
  <c r="I63" i="54"/>
  <c r="H63" i="54"/>
  <c r="G63" i="54"/>
  <c r="J62" i="54"/>
  <c r="I62" i="54"/>
  <c r="H62" i="54"/>
  <c r="G62" i="54"/>
  <c r="J61" i="54"/>
  <c r="I61" i="54"/>
  <c r="H61" i="54"/>
  <c r="G61" i="54"/>
  <c r="J60" i="54"/>
  <c r="I60" i="54"/>
  <c r="H60" i="54"/>
  <c r="G60" i="54"/>
  <c r="K59" i="54"/>
  <c r="J59" i="54"/>
  <c r="I59" i="54"/>
  <c r="H59" i="54"/>
  <c r="G59" i="54"/>
  <c r="J58" i="54"/>
  <c r="I58" i="54"/>
  <c r="H58" i="54"/>
  <c r="G58" i="54"/>
  <c r="J57" i="54"/>
  <c r="I57" i="54"/>
  <c r="H57" i="54"/>
  <c r="G57" i="54"/>
  <c r="J56" i="54"/>
  <c r="I56" i="54"/>
  <c r="H56" i="54"/>
  <c r="G56" i="54"/>
  <c r="J55" i="54"/>
  <c r="I55" i="54"/>
  <c r="H55" i="54"/>
  <c r="G55" i="54"/>
  <c r="J54" i="54"/>
  <c r="I54" i="54"/>
  <c r="H54" i="54"/>
  <c r="G54" i="54"/>
  <c r="J53" i="54"/>
  <c r="I53" i="54"/>
  <c r="H53" i="54"/>
  <c r="G53" i="54"/>
  <c r="J52" i="54"/>
  <c r="I52" i="54"/>
  <c r="H52" i="54"/>
  <c r="G52" i="54"/>
  <c r="K51" i="54"/>
  <c r="J51" i="54"/>
  <c r="I51" i="54"/>
  <c r="H51" i="54"/>
  <c r="G51" i="54"/>
  <c r="K50" i="54"/>
  <c r="J50" i="54"/>
  <c r="I50" i="54"/>
  <c r="H50" i="54"/>
  <c r="G50" i="54"/>
  <c r="K49" i="54"/>
  <c r="J49" i="54"/>
  <c r="I49" i="54"/>
  <c r="H49" i="54"/>
  <c r="G49" i="54"/>
  <c r="K48" i="54"/>
  <c r="J48" i="54"/>
  <c r="I48" i="54"/>
  <c r="H48" i="54"/>
  <c r="G48" i="54"/>
  <c r="K47" i="54"/>
  <c r="J47" i="54"/>
  <c r="I47" i="54"/>
  <c r="H47" i="54"/>
  <c r="G47" i="54"/>
  <c r="K46" i="54"/>
  <c r="J46" i="54"/>
  <c r="I46" i="54"/>
  <c r="H46" i="54"/>
  <c r="G46" i="54"/>
  <c r="K45" i="54"/>
  <c r="J45" i="54"/>
  <c r="I45" i="54"/>
  <c r="H45" i="54"/>
  <c r="G45" i="54"/>
  <c r="K44" i="54"/>
  <c r="J44" i="54"/>
  <c r="I44" i="54"/>
  <c r="H44" i="54"/>
  <c r="G44" i="54"/>
  <c r="K43" i="54"/>
  <c r="J43" i="54"/>
  <c r="I43" i="54"/>
  <c r="H43" i="54"/>
  <c r="G43" i="54"/>
  <c r="K42" i="54"/>
  <c r="J42" i="54"/>
  <c r="I42" i="54"/>
  <c r="H42" i="54"/>
  <c r="G42" i="54"/>
  <c r="K41" i="54"/>
  <c r="J41" i="54"/>
  <c r="I41" i="54"/>
  <c r="H41" i="54"/>
  <c r="G41" i="54"/>
  <c r="K40" i="54"/>
  <c r="J40" i="54"/>
  <c r="I40" i="54"/>
  <c r="H40" i="54"/>
  <c r="G40" i="54"/>
  <c r="K39" i="54"/>
  <c r="J39" i="54"/>
  <c r="I39" i="54"/>
  <c r="H39" i="54"/>
  <c r="G39" i="54"/>
  <c r="K38" i="54"/>
  <c r="J38" i="54"/>
  <c r="I38" i="54"/>
  <c r="H38" i="54"/>
  <c r="G38" i="54"/>
  <c r="K37" i="54"/>
  <c r="J37" i="54"/>
  <c r="I37" i="54"/>
  <c r="H37" i="54"/>
  <c r="G37" i="54"/>
  <c r="K36" i="54"/>
  <c r="J36" i="54"/>
  <c r="I36" i="54"/>
  <c r="H36" i="54"/>
  <c r="G36" i="54"/>
  <c r="K35" i="54"/>
  <c r="J35" i="54"/>
  <c r="I35" i="54"/>
  <c r="H35" i="54"/>
  <c r="G35" i="54"/>
  <c r="K34" i="54"/>
  <c r="J34" i="54"/>
  <c r="I34" i="54"/>
  <c r="H34" i="54"/>
  <c r="G34" i="54"/>
  <c r="K33" i="54"/>
  <c r="J33" i="54"/>
  <c r="I33" i="54"/>
  <c r="H33" i="54"/>
  <c r="G33" i="54"/>
  <c r="K32" i="54"/>
  <c r="J32" i="54"/>
  <c r="I32" i="54"/>
  <c r="H32" i="54"/>
  <c r="G32" i="54"/>
  <c r="K31" i="54"/>
  <c r="J31" i="54"/>
  <c r="I31" i="54"/>
  <c r="H31" i="54"/>
  <c r="G31" i="54"/>
  <c r="K30" i="54"/>
  <c r="J30" i="54"/>
  <c r="I30" i="54"/>
  <c r="H30" i="54"/>
  <c r="G30" i="54"/>
  <c r="K29" i="54"/>
  <c r="J29" i="54"/>
  <c r="I29" i="54"/>
  <c r="H29" i="54"/>
  <c r="G29" i="54"/>
  <c r="K28" i="54"/>
  <c r="J28" i="54"/>
  <c r="I28" i="54"/>
  <c r="H28" i="54"/>
  <c r="G28" i="54"/>
  <c r="K27" i="54"/>
  <c r="J27" i="54"/>
  <c r="I27" i="54"/>
  <c r="H27" i="54"/>
  <c r="G27" i="54"/>
  <c r="K26" i="54"/>
  <c r="J26" i="54"/>
  <c r="I26" i="54"/>
  <c r="H26" i="54"/>
  <c r="G26" i="54"/>
  <c r="K25" i="54"/>
  <c r="J25" i="54"/>
  <c r="I25" i="54"/>
  <c r="H25" i="54"/>
  <c r="G25" i="54"/>
  <c r="K24" i="54"/>
  <c r="J24" i="54"/>
  <c r="I24" i="54"/>
  <c r="H24" i="54"/>
  <c r="G24" i="54"/>
  <c r="K23" i="54"/>
  <c r="J23" i="54"/>
  <c r="I23" i="54"/>
  <c r="H23" i="54"/>
  <c r="G23" i="54"/>
  <c r="K22" i="54"/>
  <c r="J22" i="54"/>
  <c r="I22" i="54"/>
  <c r="H22" i="54"/>
  <c r="G22" i="54"/>
  <c r="K21" i="54"/>
  <c r="J21" i="54"/>
  <c r="I21" i="54"/>
  <c r="H21" i="54"/>
  <c r="G21" i="54"/>
  <c r="K20" i="54"/>
  <c r="J20" i="54"/>
  <c r="I20" i="54"/>
  <c r="H20" i="54"/>
  <c r="G20" i="54"/>
  <c r="K19" i="54"/>
  <c r="J19" i="54"/>
  <c r="I19" i="54"/>
  <c r="H19" i="54"/>
  <c r="G19" i="54"/>
  <c r="K18" i="54"/>
  <c r="J18" i="54"/>
  <c r="I18" i="54"/>
  <c r="H18" i="54"/>
  <c r="G18" i="54"/>
  <c r="K17" i="54"/>
  <c r="J17" i="54"/>
  <c r="I17" i="54"/>
  <c r="H17" i="54"/>
  <c r="G17" i="54"/>
  <c r="K16" i="54"/>
  <c r="J16" i="54"/>
  <c r="I16" i="54"/>
  <c r="H16" i="54"/>
  <c r="G16" i="54"/>
  <c r="K15" i="54"/>
  <c r="J15" i="54"/>
  <c r="I15" i="54"/>
  <c r="H15" i="54"/>
  <c r="G15" i="54"/>
  <c r="K14" i="54"/>
  <c r="J14" i="54"/>
  <c r="I14" i="54"/>
  <c r="H14" i="54"/>
  <c r="G14" i="54"/>
  <c r="K13" i="54"/>
  <c r="J13" i="54"/>
  <c r="I13" i="54"/>
  <c r="H13" i="54"/>
  <c r="G13" i="54"/>
  <c r="K12" i="54"/>
  <c r="J12" i="54"/>
  <c r="I12" i="54"/>
  <c r="H12" i="54"/>
  <c r="G12" i="54"/>
  <c r="K11" i="54"/>
  <c r="J11" i="54"/>
  <c r="I11" i="54"/>
  <c r="H11" i="54"/>
  <c r="G11" i="54"/>
  <c r="K10" i="54"/>
  <c r="J10" i="54"/>
  <c r="I10" i="54"/>
  <c r="H10" i="54"/>
  <c r="G10" i="54"/>
  <c r="K9" i="54"/>
  <c r="J9" i="54"/>
  <c r="I9" i="54"/>
  <c r="H9" i="54"/>
  <c r="G9" i="54"/>
  <c r="K8" i="54"/>
  <c r="J8" i="54"/>
  <c r="I8" i="54"/>
  <c r="H8" i="54"/>
  <c r="G8" i="54"/>
  <c r="K7" i="54"/>
  <c r="J7" i="54"/>
  <c r="I7" i="54"/>
  <c r="H7" i="54"/>
  <c r="G7" i="54"/>
  <c r="K6" i="54"/>
  <c r="J6" i="54"/>
  <c r="I6" i="54"/>
  <c r="H6" i="54"/>
  <c r="G6" i="54"/>
  <c r="K5" i="54"/>
  <c r="J5" i="54"/>
  <c r="I5" i="54"/>
  <c r="H5" i="54"/>
  <c r="G5" i="54"/>
  <c r="K4" i="54"/>
  <c r="J4" i="54"/>
  <c r="I4" i="54"/>
  <c r="H4" i="54"/>
  <c r="G4" i="54"/>
  <c r="K3" i="54"/>
  <c r="J3" i="54"/>
  <c r="I3" i="54"/>
  <c r="H3" i="54"/>
  <c r="G3" i="54"/>
  <c r="A5" i="33"/>
  <c r="G4" i="33"/>
  <c r="A4" i="33"/>
  <c r="G3" i="33"/>
  <c r="E3" i="33"/>
  <c r="C3" i="33"/>
  <c r="J28" i="19"/>
  <c r="I28" i="19"/>
  <c r="H28" i="19"/>
  <c r="E12" i="19"/>
  <c r="J6" i="19"/>
  <c r="J4" i="19"/>
  <c r="J1" i="52"/>
  <c r="I1" i="52"/>
  <c r="H1" i="52"/>
  <c r="G1" i="52"/>
  <c r="L44" i="53"/>
  <c r="F43" i="53"/>
  <c r="F39" i="53"/>
  <c r="T38" i="53"/>
  <c r="Q38" i="53"/>
  <c r="O38" i="53"/>
  <c r="J38" i="53"/>
  <c r="F38" i="53"/>
  <c r="A38" i="53"/>
  <c r="T37" i="53"/>
  <c r="Q37" i="53"/>
  <c r="O37" i="53"/>
  <c r="J37" i="53"/>
  <c r="F37" i="53"/>
  <c r="A37" i="53"/>
  <c r="T36" i="53"/>
  <c r="Q36" i="53"/>
  <c r="O36" i="53"/>
  <c r="J36" i="53"/>
  <c r="F36" i="53"/>
  <c r="A36" i="53"/>
  <c r="T35" i="53"/>
  <c r="Q35" i="53"/>
  <c r="O35" i="53"/>
  <c r="J35" i="53"/>
  <c r="F35" i="53"/>
  <c r="A35" i="53"/>
  <c r="T34" i="53"/>
  <c r="Q34" i="53"/>
  <c r="O34" i="53"/>
  <c r="J34" i="53"/>
  <c r="F34" i="53"/>
  <c r="A34" i="53"/>
  <c r="T33" i="53"/>
  <c r="Q33" i="53"/>
  <c r="O33" i="53"/>
  <c r="J33" i="53"/>
  <c r="F33" i="53"/>
  <c r="A33" i="53"/>
  <c r="T32" i="53"/>
  <c r="Q32" i="53"/>
  <c r="O32" i="53"/>
  <c r="J32" i="53"/>
  <c r="F32" i="53"/>
  <c r="A32" i="53"/>
  <c r="T31" i="53"/>
  <c r="Q31" i="53"/>
  <c r="O31" i="53"/>
  <c r="J31" i="53"/>
  <c r="F31" i="53"/>
  <c r="A31" i="53"/>
  <c r="T29" i="53"/>
  <c r="C29" i="53"/>
  <c r="C28" i="53"/>
  <c r="C27" i="53"/>
  <c r="C26" i="53"/>
  <c r="T25" i="53"/>
  <c r="C25" i="53"/>
  <c r="S24" i="53"/>
  <c r="Q21" i="53"/>
  <c r="Q44" i="53" s="1"/>
  <c r="L21" i="53"/>
  <c r="T20" i="53"/>
  <c r="Q20" i="53"/>
  <c r="O20" i="53"/>
  <c r="O43" i="53" s="1"/>
  <c r="J20" i="53"/>
  <c r="J43" i="53" s="1"/>
  <c r="T43" i="53" l="1"/>
  <c r="F21" i="53"/>
  <c r="F44" i="53" s="1"/>
  <c r="C5" i="33"/>
  <c r="C4" i="33"/>
  <c r="Q43" i="53"/>
  <c r="C160" i="56" l="1"/>
  <c r="C214" i="56"/>
  <c r="C201" i="56"/>
  <c r="C199" i="56"/>
  <c r="C195" i="56"/>
  <c r="C194" i="56"/>
  <c r="C187" i="56"/>
  <c r="C168" i="56"/>
  <c r="C219" i="56"/>
  <c r="C18" i="56"/>
  <c r="C217" i="56"/>
  <c r="C35" i="56"/>
  <c r="C209" i="56"/>
  <c r="C33" i="56"/>
  <c r="C213" i="56"/>
  <c r="C179" i="56"/>
  <c r="C212" i="56"/>
  <c r="C178" i="56"/>
  <c r="C211" i="56"/>
  <c r="C177" i="56"/>
  <c r="C210" i="56"/>
  <c r="C176" i="56"/>
  <c r="C203" i="56"/>
  <c r="C169" i="56"/>
  <c r="C196" i="56"/>
  <c r="C207" i="56"/>
  <c r="C173" i="56"/>
  <c r="C206" i="56"/>
  <c r="C172" i="56"/>
  <c r="C205" i="56"/>
  <c r="C171" i="56"/>
  <c r="C204" i="56"/>
  <c r="C170" i="56"/>
  <c r="C197" i="56"/>
  <c r="C163" i="56"/>
  <c r="C190" i="56"/>
  <c r="C166" i="56"/>
  <c r="C164" i="56"/>
  <c r="C198" i="56"/>
  <c r="C156" i="56"/>
  <c r="C191" i="56"/>
  <c r="C162" i="56"/>
  <c r="C184" i="56"/>
  <c r="C165" i="56"/>
  <c r="C159" i="56"/>
  <c r="C193" i="56"/>
  <c r="C157" i="56"/>
  <c r="C192" i="56"/>
  <c r="C221" i="56"/>
  <c r="C185" i="56"/>
  <c r="C220" i="56"/>
  <c r="C180" i="56"/>
  <c r="C161" i="56"/>
  <c r="C155" i="56"/>
  <c r="C224" i="56"/>
  <c r="C186" i="56"/>
  <c r="C215" i="56"/>
  <c r="C181" i="56"/>
  <c r="C208" i="56"/>
  <c r="C174" i="56"/>
  <c r="C167" i="56"/>
  <c r="C200" i="56"/>
  <c r="C158" i="56"/>
  <c r="C189" i="56"/>
  <c r="C188" i="56"/>
  <c r="C223" i="56"/>
  <c r="C222" i="56"/>
  <c r="C183" i="56"/>
  <c r="C218" i="56"/>
  <c r="C182" i="56"/>
  <c r="C216" i="56"/>
  <c r="C175" i="56"/>
  <c r="C202" i="56"/>
  <c r="C132" i="56"/>
  <c r="C111" i="56"/>
  <c r="C41" i="56"/>
  <c r="C142" i="56"/>
  <c r="C79" i="56"/>
  <c r="C55" i="56"/>
  <c r="C30" i="56"/>
  <c r="C50" i="56"/>
  <c r="C150" i="56"/>
  <c r="C34" i="56"/>
  <c r="C118" i="56"/>
  <c r="C131" i="56"/>
  <c r="C63" i="56"/>
  <c r="C141" i="56"/>
  <c r="C87" i="56"/>
  <c r="C64" i="56"/>
  <c r="C114" i="56"/>
  <c r="C146" i="56"/>
  <c r="C145" i="56"/>
  <c r="C94" i="56"/>
  <c r="C124" i="56"/>
  <c r="C52" i="56"/>
  <c r="C130" i="56"/>
  <c r="C67" i="56"/>
  <c r="C135" i="56"/>
  <c r="C100" i="56"/>
  <c r="C137" i="56"/>
  <c r="C120" i="56"/>
  <c r="C81" i="56"/>
  <c r="C122" i="56"/>
  <c r="C105" i="56"/>
  <c r="C123" i="56"/>
  <c r="C71" i="56"/>
  <c r="C83" i="56"/>
  <c r="C68" i="56"/>
  <c r="C80" i="56"/>
  <c r="C103" i="56"/>
  <c r="C95" i="56"/>
  <c r="C106" i="56"/>
  <c r="C109" i="56"/>
  <c r="C24" i="56"/>
  <c r="C134" i="56"/>
  <c r="C129" i="56"/>
  <c r="C127" i="56"/>
  <c r="C107" i="56"/>
  <c r="C75" i="56"/>
  <c r="C74" i="56"/>
  <c r="C36" i="56"/>
  <c r="C102" i="56"/>
  <c r="C60" i="56"/>
  <c r="C86" i="56"/>
  <c r="C110" i="56"/>
  <c r="C77" i="56"/>
  <c r="C104" i="56"/>
  <c r="C97" i="56"/>
  <c r="C153" i="56"/>
  <c r="C42" i="56"/>
  <c r="C51" i="56"/>
  <c r="C121" i="56"/>
  <c r="C92" i="56"/>
  <c r="C32" i="56"/>
  <c r="C66" i="56"/>
  <c r="C126" i="56"/>
  <c r="C38" i="56"/>
  <c r="C58" i="56"/>
  <c r="C91" i="56"/>
  <c r="C40" i="56"/>
  <c r="C128" i="56"/>
  <c r="C149" i="56"/>
  <c r="C112" i="56"/>
  <c r="C5" i="56"/>
  <c r="C148" i="56"/>
  <c r="C136" i="56"/>
  <c r="C125" i="56"/>
  <c r="C82" i="56"/>
  <c r="C72" i="56"/>
  <c r="C65" i="56"/>
  <c r="C46" i="56"/>
  <c r="C44" i="56"/>
  <c r="C113" i="56"/>
  <c r="C98" i="56"/>
  <c r="C89" i="56"/>
  <c r="C117" i="56"/>
  <c r="C116" i="56"/>
  <c r="C56" i="56"/>
  <c r="C78" i="56"/>
  <c r="C69" i="56"/>
  <c r="C61" i="56"/>
  <c r="C140" i="56"/>
  <c r="C9" i="56"/>
  <c r="C19" i="56"/>
  <c r="C73" i="56"/>
  <c r="C6" i="56"/>
  <c r="C99" i="56"/>
  <c r="C29" i="56"/>
  <c r="C15" i="56"/>
  <c r="C154" i="56"/>
  <c r="C62" i="56"/>
  <c r="C152" i="56"/>
  <c r="C101" i="56"/>
  <c r="C20" i="56"/>
  <c r="C48" i="56"/>
  <c r="C151" i="56"/>
  <c r="C139" i="56"/>
  <c r="C26" i="56"/>
  <c r="C108" i="56"/>
  <c r="C49" i="56"/>
  <c r="C13" i="56"/>
  <c r="C96" i="56"/>
  <c r="C144" i="56"/>
  <c r="C23" i="56"/>
  <c r="C57" i="56"/>
  <c r="C59" i="56"/>
  <c r="C119" i="56"/>
  <c r="C76" i="56"/>
  <c r="C39" i="56"/>
  <c r="C37" i="56"/>
  <c r="C93" i="56"/>
  <c r="C12" i="56"/>
  <c r="C11" i="56"/>
  <c r="C4" i="56"/>
  <c r="C54" i="56"/>
  <c r="C8" i="56"/>
  <c r="C28" i="56"/>
  <c r="C25" i="56"/>
  <c r="C70" i="56"/>
  <c r="C147" i="56"/>
  <c r="C85" i="56"/>
  <c r="C10" i="56"/>
  <c r="C21" i="56"/>
  <c r="C53" i="56"/>
  <c r="C138" i="56"/>
  <c r="C143" i="56"/>
  <c r="C14" i="56"/>
  <c r="C133" i="56"/>
  <c r="C27" i="56"/>
  <c r="C17" i="56"/>
  <c r="C31" i="56"/>
  <c r="C7" i="56"/>
  <c r="C43" i="56"/>
  <c r="C84" i="56"/>
  <c r="C115" i="56"/>
  <c r="C88" i="56"/>
  <c r="C45" i="56"/>
  <c r="C3" i="56"/>
  <c r="C22" i="56"/>
  <c r="C90" i="56"/>
  <c r="C16" i="56"/>
  <c r="C2" i="56"/>
  <c r="C47" i="56"/>
  <c r="D80" i="56" l="1"/>
  <c r="D50" i="56"/>
  <c r="D45" i="56"/>
  <c r="D3" i="56"/>
  <c r="D31" i="56"/>
  <c r="D214" i="56"/>
  <c r="D158" i="56"/>
  <c r="D204" i="56"/>
  <c r="D8" i="56"/>
  <c r="D135" i="56"/>
  <c r="D10" i="56"/>
  <c r="D78" i="56"/>
  <c r="D221" i="56"/>
  <c r="D51" i="56"/>
  <c r="D76" i="56"/>
  <c r="D107" i="56"/>
  <c r="D126" i="56"/>
  <c r="D29" i="56"/>
  <c r="D160" i="56"/>
  <c r="D124" i="56"/>
  <c r="D220" i="56"/>
  <c r="D83" i="56"/>
  <c r="D7" i="56"/>
  <c r="D190" i="56"/>
  <c r="D215" i="56"/>
  <c r="D90" i="56"/>
  <c r="D62" i="56"/>
  <c r="D142" i="56"/>
  <c r="D12" i="56"/>
  <c r="D5" i="56"/>
  <c r="D130" i="56"/>
  <c r="D145" i="56"/>
  <c r="D178" i="56"/>
  <c r="D98" i="56"/>
  <c r="D66" i="56"/>
  <c r="D108" i="56"/>
  <c r="D73" i="56"/>
  <c r="D191" i="56"/>
  <c r="D198" i="56"/>
  <c r="D119" i="56"/>
  <c r="D68" i="56"/>
  <c r="D82" i="56"/>
  <c r="D55" i="56"/>
  <c r="D99" i="56"/>
  <c r="D167" i="56"/>
  <c r="D144" i="56"/>
  <c r="D49" i="56"/>
  <c r="D95" i="56"/>
  <c r="D22" i="56"/>
  <c r="D6" i="56"/>
  <c r="D67" i="56"/>
  <c r="D102" i="56"/>
  <c r="D122" i="56"/>
  <c r="D189" i="56"/>
  <c r="D219" i="56"/>
  <c r="D147" i="56"/>
  <c r="D89" i="56"/>
  <c r="D131" i="56"/>
  <c r="D85" i="56"/>
  <c r="D75" i="56"/>
  <c r="D91" i="56"/>
  <c r="D28" i="56"/>
  <c r="D9" i="56"/>
  <c r="D196" i="56"/>
  <c r="D133" i="56"/>
  <c r="D70" i="56"/>
  <c r="D19" i="56"/>
  <c r="D149" i="56"/>
  <c r="D118" i="56"/>
  <c r="D132" i="56"/>
  <c r="D186" i="56"/>
  <c r="D11" i="56"/>
  <c r="D156" i="56"/>
  <c r="D193" i="56"/>
  <c r="D71" i="56"/>
  <c r="D58" i="56"/>
  <c r="D195" i="56"/>
  <c r="D27" i="56"/>
  <c r="D173" i="56"/>
  <c r="D101" i="56"/>
  <c r="D15" i="56"/>
  <c r="D209" i="56"/>
  <c r="D105" i="56"/>
  <c r="D43" i="56"/>
  <c r="D148" i="56"/>
  <c r="D116" i="56"/>
  <c r="D30" i="56"/>
  <c r="D52" i="56"/>
  <c r="D17" i="56"/>
  <c r="D168" i="56"/>
  <c r="D163" i="56"/>
  <c r="D155" i="56"/>
  <c r="D183" i="56"/>
  <c r="D103" i="56"/>
  <c r="D223" i="56"/>
  <c r="D32" i="56"/>
  <c r="D125" i="56"/>
  <c r="D141" i="56"/>
  <c r="D207" i="56"/>
  <c r="D110" i="56"/>
  <c r="D54" i="56"/>
  <c r="D25" i="56"/>
  <c r="D154" i="56"/>
  <c r="D127" i="56"/>
  <c r="D111" i="56"/>
  <c r="D192" i="56"/>
  <c r="D166" i="56"/>
  <c r="D37" i="56"/>
  <c r="D20" i="56"/>
  <c r="D159" i="56"/>
  <c r="D188" i="56"/>
  <c r="D18" i="56"/>
  <c r="D213" i="56"/>
  <c r="D4" i="56"/>
  <c r="D48" i="56"/>
  <c r="D180" i="56"/>
  <c r="D97" i="56"/>
  <c r="D169" i="56"/>
  <c r="D172" i="56"/>
  <c r="D44" i="56"/>
  <c r="D153" i="56"/>
  <c r="D60" i="56"/>
  <c r="D194" i="56"/>
  <c r="D123" i="56"/>
  <c r="D176" i="56"/>
  <c r="D182" i="56"/>
  <c r="D96" i="56"/>
  <c r="D134" i="56"/>
  <c r="D47" i="56"/>
  <c r="D143" i="56"/>
  <c r="D46" i="56"/>
  <c r="D177" i="56"/>
  <c r="D200" i="56"/>
  <c r="D181" i="56"/>
  <c r="D41" i="56"/>
  <c r="D222" i="56"/>
  <c r="D199" i="56"/>
  <c r="D171" i="56"/>
  <c r="D81" i="56"/>
  <c r="D170" i="56"/>
  <c r="D65" i="56"/>
  <c r="D79" i="56"/>
  <c r="D93" i="56"/>
  <c r="D161" i="56"/>
  <c r="D40" i="56"/>
  <c r="D201" i="56"/>
  <c r="D120" i="56"/>
  <c r="D113" i="56"/>
  <c r="D84" i="56"/>
  <c r="D56" i="56"/>
  <c r="D36" i="56"/>
  <c r="D136" i="56"/>
  <c r="D23" i="56"/>
  <c r="D106" i="56"/>
  <c r="D21" i="56"/>
  <c r="D33" i="56"/>
  <c r="D87" i="56"/>
  <c r="D63" i="56"/>
  <c r="D211" i="56"/>
  <c r="D179" i="56"/>
  <c r="D69" i="56"/>
  <c r="D164" i="56"/>
  <c r="D128" i="56"/>
  <c r="D34" i="56"/>
  <c r="D210" i="56"/>
  <c r="D217" i="56"/>
  <c r="D74" i="56"/>
  <c r="D117" i="56"/>
  <c r="D206" i="56"/>
  <c r="D38" i="56"/>
  <c r="D137" i="56"/>
  <c r="D61" i="56"/>
  <c r="D202" i="56"/>
  <c r="D86" i="56"/>
  <c r="D72" i="56"/>
  <c r="D121" i="56"/>
  <c r="D88" i="56"/>
  <c r="D39" i="56"/>
  <c r="D157" i="56"/>
  <c r="D140" i="56"/>
  <c r="D212" i="56"/>
  <c r="D146" i="56"/>
  <c r="D14" i="56"/>
  <c r="D205" i="56"/>
  <c r="D59" i="56"/>
  <c r="D13" i="56"/>
  <c r="D24" i="56"/>
  <c r="D2" i="56"/>
  <c r="D138" i="56"/>
  <c r="D208" i="56"/>
  <c r="D64" i="56"/>
  <c r="D218" i="56"/>
  <c r="D150" i="56"/>
  <c r="D77" i="56"/>
  <c r="D203" i="56"/>
  <c r="D42" i="56"/>
  <c r="D100" i="56"/>
  <c r="D112" i="56"/>
  <c r="D224" i="56"/>
  <c r="D185" i="56"/>
  <c r="D216" i="56"/>
  <c r="D151" i="56"/>
  <c r="D139" i="56"/>
  <c r="D35" i="56"/>
  <c r="D92" i="56"/>
  <c r="D104" i="56"/>
  <c r="D115" i="56"/>
  <c r="D26" i="56"/>
  <c r="D152" i="56"/>
  <c r="D114" i="56"/>
  <c r="D129" i="56"/>
  <c r="D165" i="56"/>
  <c r="D187" i="56"/>
  <c r="D162" i="56"/>
  <c r="D57" i="56"/>
  <c r="D197" i="56"/>
  <c r="D109" i="56"/>
  <c r="D16" i="56"/>
  <c r="D53" i="56"/>
  <c r="D174" i="56"/>
  <c r="D175" i="56"/>
  <c r="D184" i="56"/>
  <c r="D94" i="56"/>
  <c r="F14" i="56" l="1"/>
  <c r="F13" i="56"/>
  <c r="F12" i="56"/>
</calcChain>
</file>

<file path=xl/sharedStrings.xml><?xml version="1.0" encoding="utf-8"?>
<sst xmlns="http://schemas.openxmlformats.org/spreadsheetml/2006/main" count="11943" uniqueCount="3980">
  <si>
    <t>제품명</t>
    <phoneticPr fontId="2" type="noConversion"/>
  </si>
  <si>
    <t>제품코드</t>
    <phoneticPr fontId="2" type="noConversion"/>
  </si>
  <si>
    <t>ID</t>
    <phoneticPr fontId="2" type="noConversion"/>
  </si>
  <si>
    <t>단위</t>
    <phoneticPr fontId="2" type="noConversion"/>
  </si>
  <si>
    <t>비고</t>
    <phoneticPr fontId="2" type="noConversion"/>
  </si>
  <si>
    <t>EA</t>
    <phoneticPr fontId="2" type="noConversion"/>
  </si>
  <si>
    <t>BOX</t>
    <phoneticPr fontId="2" type="noConversion"/>
  </si>
  <si>
    <t>CTN</t>
    <phoneticPr fontId="2" type="noConversion"/>
  </si>
  <si>
    <t>거래처명</t>
    <phoneticPr fontId="2" type="noConversion"/>
  </si>
  <si>
    <t>연락처</t>
    <phoneticPr fontId="2" type="noConversion"/>
  </si>
  <si>
    <t>주소</t>
    <phoneticPr fontId="2" type="noConversion"/>
  </si>
  <si>
    <t>ID_제품</t>
    <phoneticPr fontId="2" type="noConversion"/>
  </si>
  <si>
    <t>입출고내역 입력</t>
    <phoneticPr fontId="2" type="noConversion"/>
  </si>
  <si>
    <t>순번</t>
    <phoneticPr fontId="2" type="noConversion"/>
  </si>
  <si>
    <t>일자</t>
    <phoneticPr fontId="2" type="noConversion"/>
  </si>
  <si>
    <t>ID_재고</t>
    <phoneticPr fontId="2" type="noConversion"/>
  </si>
  <si>
    <t>입고수량</t>
    <phoneticPr fontId="2" type="noConversion"/>
  </si>
  <si>
    <t>PCS</t>
    <phoneticPr fontId="2" type="noConversion"/>
  </si>
  <si>
    <t>PLT</t>
  </si>
  <si>
    <t>CAN</t>
  </si>
  <si>
    <t>010-6859-2065</t>
    <phoneticPr fontId="2" type="noConversion"/>
  </si>
  <si>
    <t>대구 서구 가르뱅이로10길 3-5</t>
    <phoneticPr fontId="2" type="noConversion"/>
  </si>
  <si>
    <t>배송</t>
    <phoneticPr fontId="2" type="noConversion"/>
  </si>
  <si>
    <t>010-8752-6273</t>
  </si>
  <si>
    <t>광주광역시 서구 풍서우로 148</t>
  </si>
  <si>
    <t>대구</t>
    <phoneticPr fontId="2" type="noConversion"/>
  </si>
  <si>
    <t>010-8854-0599</t>
  </si>
  <si>
    <t>대구광역시 달서구 호산동로 6-8</t>
  </si>
  <si>
    <t>BENZ</t>
    <phoneticPr fontId="2" type="noConversion"/>
  </si>
  <si>
    <t>사업자 번호</t>
    <phoneticPr fontId="2" type="noConversion"/>
  </si>
  <si>
    <t>배송구분</t>
    <phoneticPr fontId="2" type="noConversion"/>
  </si>
  <si>
    <t>배송지주소</t>
    <phoneticPr fontId="2" type="noConversion"/>
  </si>
  <si>
    <t>경동(화물)</t>
    <phoneticPr fontId="2" type="noConversion"/>
  </si>
  <si>
    <t>경동(택배)</t>
    <phoneticPr fontId="2" type="noConversion"/>
  </si>
  <si>
    <t>대신(화물)</t>
    <phoneticPr fontId="2" type="noConversion"/>
  </si>
  <si>
    <t>대신(택배)</t>
    <phoneticPr fontId="2" type="noConversion"/>
  </si>
  <si>
    <t>구분</t>
    <phoneticPr fontId="2" type="noConversion"/>
  </si>
  <si>
    <t>경동(화물)</t>
    <phoneticPr fontId="2" type="noConversion"/>
  </si>
  <si>
    <t>GS</t>
    <phoneticPr fontId="2" type="noConversion"/>
  </si>
  <si>
    <t>GA</t>
    <phoneticPr fontId="2" type="noConversion"/>
  </si>
  <si>
    <t>GB</t>
    <phoneticPr fontId="2" type="noConversion"/>
  </si>
  <si>
    <t>구분</t>
    <phoneticPr fontId="2" type="noConversion"/>
  </si>
  <si>
    <t>단가</t>
    <phoneticPr fontId="2" type="noConversion"/>
  </si>
  <si>
    <t>차량구분</t>
    <phoneticPr fontId="2" type="noConversion"/>
  </si>
  <si>
    <t>Part No</t>
    <phoneticPr fontId="2" type="noConversion"/>
  </si>
  <si>
    <t>Part No</t>
    <phoneticPr fontId="2" type="noConversion"/>
  </si>
  <si>
    <t>출고수량</t>
    <phoneticPr fontId="2" type="noConversion"/>
  </si>
  <si>
    <t>PartNo</t>
    <phoneticPr fontId="2" type="noConversion"/>
  </si>
  <si>
    <t>비고</t>
    <phoneticPr fontId="2" type="noConversion"/>
  </si>
  <si>
    <t>거래처</t>
    <phoneticPr fontId="2" type="noConversion"/>
  </si>
  <si>
    <t>수량</t>
    <phoneticPr fontId="2" type="noConversion"/>
  </si>
  <si>
    <t>ID_거래처</t>
    <phoneticPr fontId="2" type="noConversion"/>
  </si>
  <si>
    <t>재고수량</t>
    <phoneticPr fontId="2" type="noConversion"/>
  </si>
  <si>
    <t>주문제품</t>
    <phoneticPr fontId="2" type="noConversion"/>
  </si>
  <si>
    <t>PartNo</t>
    <phoneticPr fontId="2" type="noConversion"/>
  </si>
  <si>
    <t>총주문가격</t>
    <phoneticPr fontId="2" type="noConversion"/>
  </si>
  <si>
    <t>010-4141-9634</t>
    <phoneticPr fontId="2" type="noConversion"/>
  </si>
  <si>
    <t>대구광역시 북구 연암로42길 43-1</t>
    <phoneticPr fontId="2" type="noConversion"/>
  </si>
  <si>
    <t>공급가액</t>
    <phoneticPr fontId="2" type="noConversion"/>
  </si>
  <si>
    <t>상호</t>
    <phoneticPr fontId="2" type="noConversion"/>
  </si>
  <si>
    <t>주소</t>
    <phoneticPr fontId="2" type="noConversion"/>
  </si>
  <si>
    <t>등록
번호</t>
    <phoneticPr fontId="2" type="noConversion"/>
  </si>
  <si>
    <t>성명</t>
    <phoneticPr fontId="2" type="noConversion"/>
  </si>
  <si>
    <t>날짜:</t>
    <phoneticPr fontId="2" type="noConversion"/>
  </si>
  <si>
    <t>인수자:</t>
    <phoneticPr fontId="2" type="noConversion"/>
  </si>
  <si>
    <t>계좌:</t>
    <phoneticPr fontId="2" type="noConversion"/>
  </si>
  <si>
    <t>010-5168-3542</t>
    <phoneticPr fontId="2" type="noConversion"/>
  </si>
  <si>
    <t>수  량</t>
    <phoneticPr fontId="2" type="noConversion"/>
  </si>
  <si>
    <t>공 급 가</t>
    <phoneticPr fontId="2" type="noConversion"/>
  </si>
  <si>
    <t>부 가 세</t>
    <phoneticPr fontId="2" type="noConversion"/>
  </si>
  <si>
    <t>품          명</t>
    <phoneticPr fontId="2" type="noConversion"/>
  </si>
  <si>
    <t>거   래   명   세   서</t>
    <phoneticPr fontId="2" type="noConversion"/>
  </si>
  <si>
    <t>259-12-01768</t>
    <phoneticPr fontId="2" type="noConversion"/>
  </si>
  <si>
    <t>장효주</t>
    <phoneticPr fontId="2" type="noConversion"/>
  </si>
  <si>
    <t>대구 달서구 용산로 28(본리동)</t>
    <phoneticPr fontId="2" type="noConversion"/>
  </si>
  <si>
    <t>전화</t>
    <phoneticPr fontId="2" type="noConversion"/>
  </si>
  <si>
    <t xml:space="preserve">  (공급하는자 보관용)</t>
    <phoneticPr fontId="2" type="noConversion"/>
  </si>
  <si>
    <t xml:space="preserve">  (공급받는자 보관용)</t>
    <phoneticPr fontId="2" type="noConversion"/>
  </si>
  <si>
    <t>Part No</t>
    <phoneticPr fontId="2" type="noConversion"/>
  </si>
  <si>
    <t>미수금</t>
    <phoneticPr fontId="2" type="noConversion"/>
  </si>
  <si>
    <t>미수금:</t>
    <phoneticPr fontId="2" type="noConversion"/>
  </si>
  <si>
    <t>부가세</t>
    <phoneticPr fontId="2" type="noConversion"/>
  </si>
  <si>
    <t>공급가액</t>
    <phoneticPr fontId="2" type="noConversion"/>
  </si>
  <si>
    <t>일자</t>
    <phoneticPr fontId="2" type="noConversion"/>
  </si>
  <si>
    <t>제품코드</t>
    <phoneticPr fontId="2" type="noConversion"/>
  </si>
  <si>
    <t>제품명</t>
    <phoneticPr fontId="2" type="noConversion"/>
  </si>
  <si>
    <t>ID</t>
    <phoneticPr fontId="2" type="noConversion"/>
  </si>
  <si>
    <t>Total</t>
    <phoneticPr fontId="2" type="noConversion"/>
  </si>
  <si>
    <t>연락처</t>
    <phoneticPr fontId="2" type="noConversion"/>
  </si>
  <si>
    <t>부가세 선택</t>
    <phoneticPr fontId="2" type="noConversion"/>
  </si>
  <si>
    <t>총합계(주문가+미수금)</t>
    <phoneticPr fontId="2" type="noConversion"/>
  </si>
  <si>
    <t>경기가평승안60</t>
  </si>
  <si>
    <t>경기도 가평군 가평읍 가화로 257</t>
  </si>
  <si>
    <t>031-581-4141</t>
  </si>
  <si>
    <t>경기가평청평188</t>
  </si>
  <si>
    <t>경기도 가평군 청평면 잠곡로 69-9</t>
  </si>
  <si>
    <t>031-585-5024</t>
  </si>
  <si>
    <t>서울마포서교</t>
  </si>
  <si>
    <t>경기도 고양시 덕양구 덕은로 12</t>
  </si>
  <si>
    <t>02-322-0802</t>
  </si>
  <si>
    <t>고양덕양도내723</t>
  </si>
  <si>
    <t>경기도 고양시 덕양구 도내동 723-40</t>
  </si>
  <si>
    <t>02-3159-3801</t>
  </si>
  <si>
    <t>서울은평진관</t>
  </si>
  <si>
    <t>경기도 고양시 덕양구 용두동 457</t>
  </si>
  <si>
    <t>02-381-3455</t>
  </si>
  <si>
    <t>고양덕양내유426</t>
  </si>
  <si>
    <t>경기도 고양시 덕양구 내유길 6</t>
  </si>
  <si>
    <t>031-964-0222</t>
  </si>
  <si>
    <t>서울마포상암</t>
  </si>
  <si>
    <t>경기도 고양시 덕양구 대덕로 1-12</t>
  </si>
  <si>
    <t>02-3158-0236</t>
  </si>
  <si>
    <t>고양덕양현천137</t>
  </si>
  <si>
    <t>경기도 고양시 덕양구 대덕로 141번길 13</t>
  </si>
  <si>
    <t>02-3158-0803</t>
  </si>
  <si>
    <t>서울은평갈현</t>
  </si>
  <si>
    <t>경기도 고양시 덕양구 봉산로 251</t>
  </si>
  <si>
    <t>02-387-9882</t>
  </si>
  <si>
    <t>고양일산동구설문759</t>
  </si>
  <si>
    <t>경기도 고양시 일산동구 고봉로 770번길 71-15 3동, 4동</t>
  </si>
  <si>
    <t>031-977-0745</t>
  </si>
  <si>
    <t>고양일산동구장항543</t>
  </si>
  <si>
    <t>경기도 고양시 일산동구 장대길 160-106</t>
  </si>
  <si>
    <t>031-907-2477</t>
  </si>
  <si>
    <t>고양일산동구백석1115</t>
  </si>
  <si>
    <t>경기도 고양시 일산동구 장항로71 가동</t>
  </si>
  <si>
    <t>031-902-7372</t>
  </si>
  <si>
    <t>고양일산동구문봉58</t>
  </si>
  <si>
    <t>경기도 고양시 알산동구 지영로 32</t>
  </si>
  <si>
    <t>031-967-4044</t>
  </si>
  <si>
    <t>고양일산서구구산367</t>
  </si>
  <si>
    <t>경기도 고양시 일산서구 구산로116-1 라동</t>
  </si>
  <si>
    <t>031-923-2426</t>
  </si>
  <si>
    <t>고양일산서구가좌485</t>
  </si>
  <si>
    <t>경기도 고양시 일산서구 덕산로 140</t>
  </si>
  <si>
    <t>031-911-4344</t>
  </si>
  <si>
    <t>서울서초서초</t>
  </si>
  <si>
    <t>경기도 과천시 돌무개길 29</t>
  </si>
  <si>
    <t>02-521-2422</t>
  </si>
  <si>
    <t>서울서초양재</t>
  </si>
  <si>
    <t>경기도 과천시 상하벌1로 68</t>
  </si>
  <si>
    <t>02-529-9044</t>
  </si>
  <si>
    <t>광명가학104</t>
  </si>
  <si>
    <t>경기도 광명시 가학동 104-3</t>
  </si>
  <si>
    <t>02-2616-1340</t>
  </si>
  <si>
    <t>광명노온사676</t>
  </si>
  <si>
    <t>경기도 광명시 노온사동 676</t>
  </si>
  <si>
    <t>02-2689-9484</t>
  </si>
  <si>
    <t>광명소하233</t>
  </si>
  <si>
    <t>경기도 광명시 오리로 490</t>
  </si>
  <si>
    <t>02-805-1441</t>
  </si>
  <si>
    <t>경기광주능평175</t>
  </si>
  <si>
    <t>경기도 광주시 능평동 175-9</t>
  </si>
  <si>
    <t>031-768-5470</t>
  </si>
  <si>
    <t>경기광주매산715</t>
  </si>
  <si>
    <t>경기도 광주시 매산동 715-20</t>
  </si>
  <si>
    <t>031-765-5470</t>
  </si>
  <si>
    <t>경기광주문형689</t>
  </si>
  <si>
    <t>경기도 광주시 문현동 689-2</t>
  </si>
  <si>
    <t>031-765-8243</t>
  </si>
  <si>
    <t>경기광주초월지월599</t>
  </si>
  <si>
    <t>경기도 광주시 초월읍 지월리 599-16</t>
  </si>
  <si>
    <t>031-769-9676</t>
  </si>
  <si>
    <t>경기광주태전363</t>
  </si>
  <si>
    <t>경기도 광주시 고불로 131</t>
  </si>
  <si>
    <t>031-768-6902</t>
  </si>
  <si>
    <t>경기광주곤지암장심339</t>
  </si>
  <si>
    <t>경기도 광주시 곤지암읍 광여로 680-12</t>
  </si>
  <si>
    <t>031-797-5775</t>
  </si>
  <si>
    <t>경기광주곤지암오향426</t>
  </si>
  <si>
    <t>경기도 광주시 곤지암읍 구수동길 4</t>
  </si>
  <si>
    <t>031-761-9532</t>
  </si>
  <si>
    <t>경기광주곤지암신대48</t>
  </si>
  <si>
    <t>경기도 광주시 곤지암읍 대석동길 31</t>
  </si>
  <si>
    <t>031-763-8025</t>
  </si>
  <si>
    <t>경기광주곤지암봉현621</t>
  </si>
  <si>
    <t>경기도 광주시 곤지암읍 신만로 142</t>
  </si>
  <si>
    <t>031-798-6430</t>
  </si>
  <si>
    <t>경기광주목동22</t>
  </si>
  <si>
    <t>경기도 광주시 광남안로 112-1</t>
  </si>
  <si>
    <t>031-765-6080</t>
  </si>
  <si>
    <t>경기광주태전350</t>
  </si>
  <si>
    <t>경기도 광주시 광남안로 22-1</t>
  </si>
  <si>
    <t>031-768-6901</t>
  </si>
  <si>
    <t>경기광주도척노곡25</t>
  </si>
  <si>
    <t>경기도 광주시 도척로 461</t>
  </si>
  <si>
    <t>031-763-7331</t>
  </si>
  <si>
    <t>경기광주도척유정234</t>
  </si>
  <si>
    <t>경기도 광주시 도척면 마도로 273</t>
  </si>
  <si>
    <t>031-763-7332</t>
  </si>
  <si>
    <t>경기광주초월신월474</t>
  </si>
  <si>
    <t>경기도 광주시 초월읍 두월길 3</t>
  </si>
  <si>
    <t>031-761-2113</t>
  </si>
  <si>
    <t>경기광주초월늑현16</t>
  </si>
  <si>
    <t>경기도 광주시 초월읍 산수로58번길 16</t>
  </si>
  <si>
    <t>031-798-8712</t>
  </si>
  <si>
    <t>경기광주초월용수355</t>
  </si>
  <si>
    <t>경기도 광주시 초월읍 용수리 355-2</t>
  </si>
  <si>
    <t>031-763-3647</t>
  </si>
  <si>
    <t>경기광주초월용수357</t>
  </si>
  <si>
    <t>경기도 광주시 초월읍 장담길 88-26</t>
  </si>
  <si>
    <t>031-769-8580</t>
  </si>
  <si>
    <t>경기도 광주시 초월읍 장담길 88-28</t>
  </si>
  <si>
    <t>경기광주장지224</t>
  </si>
  <si>
    <t>경기도 광주시 포은대로 641</t>
  </si>
  <si>
    <t>031-764-5864</t>
  </si>
  <si>
    <t>구리사노452</t>
  </si>
  <si>
    <t>경기도 구리시 동구릉로 520-7</t>
  </si>
  <si>
    <t>031-555-6710</t>
  </si>
  <si>
    <t>서울광진중곡</t>
  </si>
  <si>
    <t>경기도 구리시 코스모스길 129-26</t>
  </si>
  <si>
    <t>031-562-0791</t>
  </si>
  <si>
    <t>구리토평46</t>
  </si>
  <si>
    <t>경기도 구리시 코스모스길213번길 82</t>
  </si>
  <si>
    <t>031-557-7111</t>
  </si>
  <si>
    <t>군포산본18</t>
  </si>
  <si>
    <t>경기도 군포시 산본동 18-32</t>
  </si>
  <si>
    <t>031-429-4480</t>
  </si>
  <si>
    <t>군포당동48</t>
  </si>
  <si>
    <t>경기도 군포시 공단로 131</t>
  </si>
  <si>
    <t>031-456-4091</t>
  </si>
  <si>
    <t>군포금정214</t>
  </si>
  <si>
    <t>경기도 군포시 공단로 177</t>
  </si>
  <si>
    <t>031-459-3754</t>
  </si>
  <si>
    <t>군포부곡451나</t>
  </si>
  <si>
    <t>경기도 군포시 번영로 82 나동</t>
  </si>
  <si>
    <t>031-460-7800</t>
  </si>
  <si>
    <t>군포부곡451바</t>
  </si>
  <si>
    <t>경기도 군포시 번영로 82 바동</t>
  </si>
  <si>
    <t>031-460-2460</t>
  </si>
  <si>
    <t>김포고촌태139</t>
  </si>
  <si>
    <t>경기도 김포시 고촌읍 태리 139</t>
  </si>
  <si>
    <t>031-985-8560</t>
  </si>
  <si>
    <t>김포운양40</t>
  </si>
  <si>
    <t>경기도 김포시 운양동 40-1</t>
  </si>
  <si>
    <t>031-989-0256</t>
  </si>
  <si>
    <t>김포고천전호745</t>
  </si>
  <si>
    <t>경기도 김포시 고촌읍 아라육로 57번길 70</t>
  </si>
  <si>
    <t>031-988-4541</t>
  </si>
  <si>
    <t>김포운양1245</t>
  </si>
  <si>
    <t>경기도 김포시 금포로 1509</t>
  </si>
  <si>
    <t>031-986-1614</t>
  </si>
  <si>
    <t>김포감정389</t>
  </si>
  <si>
    <t>경기도 김포시 김포대로1141번길 35</t>
  </si>
  <si>
    <t>031-988-8271</t>
  </si>
  <si>
    <t>김포대곶대능494</t>
  </si>
  <si>
    <t>경기도 김포시 대곶면 대곶남로 390</t>
  </si>
  <si>
    <t>031-996-0600</t>
  </si>
  <si>
    <t>김포대곶초원지347</t>
  </si>
  <si>
    <t>경기도 김포시 대곶면 대곶북로 22-1</t>
  </si>
  <si>
    <t>031-981-2423</t>
  </si>
  <si>
    <t>김포대곶송마1</t>
  </si>
  <si>
    <t>경기도 김포시 대곶면 대곶북로 249</t>
  </si>
  <si>
    <t>031-996-3780</t>
  </si>
  <si>
    <t>김포대곶석정1</t>
  </si>
  <si>
    <t>경기도 김포시 대곶면 대곶북로 440</t>
  </si>
  <si>
    <t>031-996-0601</t>
  </si>
  <si>
    <t>김포대곶율생636</t>
  </si>
  <si>
    <t>경기도 김포시 대곶면 대곶서로 324-1</t>
  </si>
  <si>
    <t>031-981-4163</t>
  </si>
  <si>
    <t>김포대곶거물대398</t>
  </si>
  <si>
    <t>경기도 김포시 대곶면 율마로 174</t>
  </si>
  <si>
    <t>031-989-5714</t>
  </si>
  <si>
    <t>김포양촌구래91</t>
  </si>
  <si>
    <t>경기도 김포시 양촌읍 구매로 42번길 175</t>
  </si>
  <si>
    <t>031-983-1841</t>
  </si>
  <si>
    <t>김포양촌누산1108</t>
  </si>
  <si>
    <t>경기도 김포시 양촌읍 김포대로 1759번길 15</t>
  </si>
  <si>
    <t>031-983-0406</t>
  </si>
  <si>
    <t>김포양촌대포2</t>
  </si>
  <si>
    <t>경기도 김포시 양촌읍 봉수대로 1754-10</t>
  </si>
  <si>
    <t>031-983-9633</t>
  </si>
  <si>
    <t>김포양촌석모1186</t>
  </si>
  <si>
    <t>경기도 김포시 양촌읍 석모로 51-18</t>
  </si>
  <si>
    <t>031-986-5666</t>
  </si>
  <si>
    <t>김포양촌학운422</t>
  </si>
  <si>
    <t>경기도 김포시 양촌읍 황금1로 250</t>
  </si>
  <si>
    <t>031-996-0666</t>
  </si>
  <si>
    <t>김포양촌학운2937</t>
  </si>
  <si>
    <t>경기도 김포시 양촌읍 황금로 23번길 18-62</t>
  </si>
  <si>
    <t>031-997-2666</t>
  </si>
  <si>
    <t>김포양촌황금산단67</t>
  </si>
  <si>
    <t>경기도 김포시 양촌읍 황금산단로 67</t>
  </si>
  <si>
    <t>031-984-8531</t>
  </si>
  <si>
    <t>김포월곶고양60</t>
  </si>
  <si>
    <t>경기도 김포시 월곶면 고양로 115번길 32</t>
  </si>
  <si>
    <t>031-997-8288</t>
  </si>
  <si>
    <t>김포월곶갈산209</t>
  </si>
  <si>
    <t>경기도 김포시 월곶면 월하로 116</t>
  </si>
  <si>
    <t>031-982-2403</t>
  </si>
  <si>
    <t>김포풍무371</t>
  </si>
  <si>
    <t>경기도 김포시 유현1로 159-64</t>
  </si>
  <si>
    <t>031-986-0651</t>
  </si>
  <si>
    <t>김포통진가현810</t>
  </si>
  <si>
    <t>경기도 김포시 통진읍 가현로 29</t>
  </si>
  <si>
    <t>031-998-8744</t>
  </si>
  <si>
    <t>김포통진고정553</t>
  </si>
  <si>
    <t>경기도 김포시 통진읍 월하로 346</t>
  </si>
  <si>
    <t>031-985-0540</t>
  </si>
  <si>
    <t>김포통진귀전438</t>
  </si>
  <si>
    <t>경기도 김포시 통진읍 월하로 463</t>
  </si>
  <si>
    <t>031-997-0247</t>
  </si>
  <si>
    <t>김포하성양택308</t>
  </si>
  <si>
    <t>경기도 김포시 하성면 양택리 308-57</t>
  </si>
  <si>
    <t>031-989-4540</t>
  </si>
  <si>
    <t>김포하성마곡707</t>
  </si>
  <si>
    <t>경기도 김포시 하성면 원산로 100(2호)</t>
  </si>
  <si>
    <t>031-986-0621</t>
  </si>
  <si>
    <t>김포하성원산572</t>
  </si>
  <si>
    <t>경기도 김포시 하성면 월하로 642</t>
  </si>
  <si>
    <t>031-997-1266</t>
  </si>
  <si>
    <t>김포하성전류215</t>
  </si>
  <si>
    <t>경기도 김포시 하성면 월하로 902</t>
  </si>
  <si>
    <t>031-981-2296</t>
  </si>
  <si>
    <t>경기도 김포시 하성면 하성로694번길 17</t>
  </si>
  <si>
    <t>서울중랑중화</t>
  </si>
  <si>
    <t>경기도 남양주시 송산로 294-26</t>
  </si>
  <si>
    <t>02-434-8425</t>
  </si>
  <si>
    <t>남양주진접내곡384</t>
  </si>
  <si>
    <t>경기도 남양주시 진접읍 내곡리 384-2</t>
  </si>
  <si>
    <t>031-572-4329</t>
  </si>
  <si>
    <t>남양주화도답내504</t>
  </si>
  <si>
    <t>경기도 남양주시 경춘로 2275번길 28</t>
  </si>
  <si>
    <t>031-591-5041</t>
  </si>
  <si>
    <t>서울노원하계</t>
  </si>
  <si>
    <t>경기도 남양주시 별내면 송산로678번길 26</t>
  </si>
  <si>
    <t>02-971-2430</t>
  </si>
  <si>
    <t>남양주수동운수155</t>
  </si>
  <si>
    <t>경기도 남양주시 수동면 남가로 1510</t>
  </si>
  <si>
    <t>031-559-0660</t>
  </si>
  <si>
    <t>남양주수동송천646</t>
  </si>
  <si>
    <t>경기도 남양주시 수동면 비룡로 530번길 5</t>
  </si>
  <si>
    <t>031-595-7913</t>
  </si>
  <si>
    <t>남양주오남양지106</t>
  </si>
  <si>
    <t>경기도 남양주시 오남읍 진건오남로 797번길 19</t>
  </si>
  <si>
    <t>031-572-6747</t>
  </si>
  <si>
    <t>남양주오남양지448</t>
  </si>
  <si>
    <t>경기도 남양주시 오남읍 진건오남로 929번길 28</t>
  </si>
  <si>
    <t>031-573-7247</t>
  </si>
  <si>
    <t>남양주와부율석750</t>
  </si>
  <si>
    <t>경기도 남양주시 와부읍 석실로488번길 4-25</t>
  </si>
  <si>
    <t>031-591-8082</t>
  </si>
  <si>
    <t>남양주월문1071</t>
  </si>
  <si>
    <t>경기도 남양주시 와부읍 월문천로173번길 18-3</t>
  </si>
  <si>
    <t>031-552-6784</t>
  </si>
  <si>
    <t>남양주진건사능457</t>
  </si>
  <si>
    <t>경기도 남양주시 진건읍 진건우회로 132</t>
  </si>
  <si>
    <t>031-528-8098</t>
  </si>
  <si>
    <t>남양주진건진관686</t>
  </si>
  <si>
    <t>경기도 남양주시 진건읍 진관로502번길 20-47</t>
  </si>
  <si>
    <t>031-528-3321</t>
  </si>
  <si>
    <t>남양주진접금곡501</t>
  </si>
  <si>
    <t>경기도 남양주시 진접읍 경복대로 316</t>
  </si>
  <si>
    <t>031-529-7247</t>
  </si>
  <si>
    <t>남양주진접연평418</t>
  </si>
  <si>
    <t>경기도 남양주시 진접읍 양진로684번길 69</t>
  </si>
  <si>
    <t>031-575-8082</t>
  </si>
  <si>
    <t>남양주일패433</t>
  </si>
  <si>
    <t>경기도 남양주시 홍유릉로 24</t>
  </si>
  <si>
    <t>031-566-6784</t>
  </si>
  <si>
    <t>경기도 남양주시 화도읍 경춘로2275번길 28</t>
  </si>
  <si>
    <t>남양주화도창현172</t>
  </si>
  <si>
    <t>경기도 남양주시 화도읍 폭포로242번안길 20-16</t>
  </si>
  <si>
    <t>031-595-0237</t>
  </si>
  <si>
    <t>동두천상패410</t>
  </si>
  <si>
    <t>경기도 동두천시 상패동 410</t>
  </si>
  <si>
    <t>031-863-0375</t>
  </si>
  <si>
    <t>부천심곡본522</t>
  </si>
  <si>
    <t>경기도 부천시 경인로 302</t>
  </si>
  <si>
    <t>032-663-4000</t>
  </si>
  <si>
    <t>부천삼정14</t>
  </si>
  <si>
    <t>경기도 부천시 삼정동 14-13</t>
  </si>
  <si>
    <t>032-681-0011</t>
  </si>
  <si>
    <t>부천삼정268</t>
  </si>
  <si>
    <t>경기도 부천시 석천로380번길 47</t>
  </si>
  <si>
    <t>032-681-3338</t>
  </si>
  <si>
    <t>부천내동375</t>
  </si>
  <si>
    <t>경기도 부천시 수도로 235</t>
  </si>
  <si>
    <t>032-673-8282</t>
  </si>
  <si>
    <t>부천삼정349</t>
  </si>
  <si>
    <t>경기도 부천시 수도로 55번길 6</t>
  </si>
  <si>
    <t>032-323-4734</t>
  </si>
  <si>
    <t>부천내동56</t>
  </si>
  <si>
    <t>경기도 부천시 신흥로377번가길 33</t>
  </si>
  <si>
    <t>032-662-5870</t>
  </si>
  <si>
    <t>부천도당163</t>
  </si>
  <si>
    <t>경기도 부천시 원미구 도약로 297</t>
  </si>
  <si>
    <t>032-677-3044</t>
  </si>
  <si>
    <t>부천춘의190</t>
  </si>
  <si>
    <t>경기도 부천시 원미구 원미로 231</t>
  </si>
  <si>
    <t>032-668-1050</t>
  </si>
  <si>
    <t>성남분당정자81</t>
  </si>
  <si>
    <t>경기도 성남시 분당구 정자동 81-14</t>
  </si>
  <si>
    <t>031-722-4050</t>
  </si>
  <si>
    <t>성남분당야탑500</t>
  </si>
  <si>
    <t>경기도 성남시 분당구 판교로 588</t>
  </si>
  <si>
    <t>031-702-8340</t>
  </si>
  <si>
    <t>성남수정고등</t>
  </si>
  <si>
    <t>경기도 성남시 수정구 고등동 259-2</t>
  </si>
  <si>
    <t>031-754-3382</t>
  </si>
  <si>
    <t>서울강남논현</t>
  </si>
  <si>
    <t>031-722-5778</t>
  </si>
  <si>
    <t>서울강남압구정</t>
  </si>
  <si>
    <t>경기도 성남시 수정구 등자로 13</t>
  </si>
  <si>
    <t>성남수정복정27</t>
  </si>
  <si>
    <t>031-759-6992</t>
  </si>
  <si>
    <t>성남분당백현</t>
  </si>
  <si>
    <t>서울강남일원629</t>
  </si>
  <si>
    <t>성남중원상대원460</t>
  </si>
  <si>
    <t>경기도 성남시 중원구 둔촌대로 536</t>
  </si>
  <si>
    <t>031-731-4605</t>
  </si>
  <si>
    <t>성남중원상대원225</t>
  </si>
  <si>
    <t>경기도 성남시 중원구 사기막골로 122번길 10</t>
  </si>
  <si>
    <t>031-734-4547</t>
  </si>
  <si>
    <t>수원권선곡반정315A</t>
  </si>
  <si>
    <t>경기도 수원시 권선구 곡반정로 72-26</t>
  </si>
  <si>
    <t>031-226-6786</t>
  </si>
  <si>
    <t>수원권선오목천231</t>
  </si>
  <si>
    <t>경기도 수원시 권선구 서수원로 188</t>
  </si>
  <si>
    <t>031-293-9000</t>
  </si>
  <si>
    <t>수원권선입북429</t>
  </si>
  <si>
    <t>경기도 수원시 권선구 입북로 19</t>
  </si>
  <si>
    <t>031-227-5825</t>
  </si>
  <si>
    <t>수원영통매탄524</t>
  </si>
  <si>
    <t>경기도 수원시 영통구 영통로 345번길 23</t>
  </si>
  <si>
    <t>031-216-1991</t>
  </si>
  <si>
    <t>수원장안송죽183</t>
  </si>
  <si>
    <t>경기도 수원시 장안구 만석로 229</t>
  </si>
  <si>
    <t>031-251-8200</t>
  </si>
  <si>
    <t>수원팔달우만137</t>
  </si>
  <si>
    <t>경기도 수원시 팔달구 권광로 340번길 1-3</t>
  </si>
  <si>
    <t>031-233-8277</t>
  </si>
  <si>
    <t>시흥정왕1365</t>
  </si>
  <si>
    <t>경기도 시흥시 공단1대로 195번길 12</t>
  </si>
  <si>
    <t>031-497-0306</t>
  </si>
  <si>
    <t>시흥정왕1364</t>
  </si>
  <si>
    <t>경기도 시흥시 공단1대로 204</t>
  </si>
  <si>
    <t>031-434-0137</t>
  </si>
  <si>
    <t>시흥과림446</t>
  </si>
  <si>
    <t>경기도 시흥시 금오로 401</t>
  </si>
  <si>
    <t>02-2687-6644</t>
  </si>
  <si>
    <t>시흥도창31</t>
  </si>
  <si>
    <t>경기도 시흥시 매화산단2길 47</t>
  </si>
  <si>
    <t>031-314-7600</t>
  </si>
  <si>
    <t>시흥목감334</t>
  </si>
  <si>
    <t>경기도 시흥시 목감우회로 114번길 37</t>
  </si>
  <si>
    <t>031-405-7088</t>
  </si>
  <si>
    <t>시흥죽율30</t>
  </si>
  <si>
    <t>경기도 시흥시 봉화로 311</t>
  </si>
  <si>
    <t>031-497-9631</t>
  </si>
  <si>
    <t>시흥정왕2597</t>
  </si>
  <si>
    <t>경기도 시흥시 시화벤처로 1119번길 8</t>
  </si>
  <si>
    <t>031-498-3211</t>
  </si>
  <si>
    <t>시흥방산718</t>
  </si>
  <si>
    <t>경기도 시흥시 신현로 253</t>
  </si>
  <si>
    <t>031-316-7900</t>
  </si>
  <si>
    <t>시흥정왕2669</t>
  </si>
  <si>
    <t>경기도 시흥시 엠티브이24로 18-11, 102호</t>
  </si>
  <si>
    <t>031-498-2669</t>
  </si>
  <si>
    <t>시흥오이도스틸랜드B동</t>
  </si>
  <si>
    <t>경기도 시흥시 오이도로 21 B동 1226호</t>
  </si>
  <si>
    <t>031-8041-4646</t>
  </si>
  <si>
    <t>시흥오이도스틸랜드C동</t>
  </si>
  <si>
    <t>경기도 시흥시 오이도로 21 C동 1627호</t>
  </si>
  <si>
    <t>031-8041-4456</t>
  </si>
  <si>
    <t>시흥오이도스틸랜드A동</t>
  </si>
  <si>
    <t>경기도 시흥시 오이도로 21 스틸랜드 A 8동 817호</t>
  </si>
  <si>
    <t>031-8041-4666</t>
  </si>
  <si>
    <t>시흥정왕 1359</t>
  </si>
  <si>
    <t>경기도 시흥시 옥구천동로 118</t>
  </si>
  <si>
    <t>031-431-6009</t>
  </si>
  <si>
    <t>시흥정왕 1288</t>
  </si>
  <si>
    <t>경기도 시흥시 정왕천로 197 동우디지탈 A-116</t>
  </si>
  <si>
    <t>031-432-7088</t>
  </si>
  <si>
    <t>안산단원신길1229</t>
  </si>
  <si>
    <t>경기도 안산시 단원구 신길동 1229</t>
  </si>
  <si>
    <t>031-492-2588</t>
  </si>
  <si>
    <t>안산단원초지645</t>
  </si>
  <si>
    <t>경기도 안산시 단원구 초지동 645</t>
  </si>
  <si>
    <t>031-485-7006</t>
  </si>
  <si>
    <t>안산상록팔곡이27</t>
  </si>
  <si>
    <t>경기도 안산시 상록구 팔곡이동 27-4</t>
  </si>
  <si>
    <t>031-409-8572</t>
  </si>
  <si>
    <t>안산단원신길1123</t>
  </si>
  <si>
    <t>경기도 안산시 단원구 능안로 81 안산디지털파크 1054호</t>
  </si>
  <si>
    <t>031-434-0282</t>
  </si>
  <si>
    <t>안산단원성곡669</t>
  </si>
  <si>
    <t>경기도 안산시 단원구 번영1로 65</t>
  </si>
  <si>
    <t>031-497-8280</t>
  </si>
  <si>
    <t>안산단원성곡710</t>
  </si>
  <si>
    <t>경기도 안산시 단원구 번영로 123 시화공단 4라 606호</t>
  </si>
  <si>
    <t>031-319-1189</t>
  </si>
  <si>
    <t>안산단원목내457A</t>
  </si>
  <si>
    <t>경기도 안산시 단원구 별망로419, 112호</t>
  </si>
  <si>
    <t>031-365-3939</t>
  </si>
  <si>
    <t>안산단원목내457B</t>
  </si>
  <si>
    <t>안산단원원시731</t>
  </si>
  <si>
    <t>경기도 안산시 단원구 산단로 107 서흥테크노벨리</t>
  </si>
  <si>
    <t>031-508-8599</t>
  </si>
  <si>
    <t>안산단원성곡851</t>
  </si>
  <si>
    <t>경기도 안산시 단원구 성곡동 엠티브이 5로 13</t>
  </si>
  <si>
    <t>031-495-7552</t>
  </si>
  <si>
    <t>안산단원성곡645</t>
  </si>
  <si>
    <t>경기도 안산시 단원구 성곡로 176, 나동 139호</t>
  </si>
  <si>
    <t>031-491-1194</t>
  </si>
  <si>
    <t>경기도 안산시 단원구 신길동 1229 지식산업센터 157</t>
  </si>
  <si>
    <t>안산단원원곡994A</t>
  </si>
  <si>
    <t>경기도 안산시 단원구 풍전로 37-24, 321동 110~117호</t>
  </si>
  <si>
    <t>031-493-8787</t>
  </si>
  <si>
    <t>안산단원초지653</t>
  </si>
  <si>
    <t>경기도 안산시 단원구해안로327 반월디지털지식산업센터 A동 107호</t>
  </si>
  <si>
    <t>031-482-5678</t>
  </si>
  <si>
    <t>안산단원대부동578</t>
  </si>
  <si>
    <t>경기도 안산시 대부황금로 799</t>
  </si>
  <si>
    <t>032-888-1263</t>
  </si>
  <si>
    <t>안산상록부곡45</t>
  </si>
  <si>
    <t>경기도 안산시 상록구 새말1길 7</t>
  </si>
  <si>
    <t>031-485-1474</t>
  </si>
  <si>
    <t>안성미양구수82</t>
  </si>
  <si>
    <t>경기도 안성시 미양면 서운로 644</t>
  </si>
  <si>
    <t>031-671-8686</t>
  </si>
  <si>
    <t>안성죽산787</t>
  </si>
  <si>
    <t>경기도 안성시 죽산면 장원남산길 22-1</t>
  </si>
  <si>
    <t>031-676-9988</t>
  </si>
  <si>
    <t>안성공도만정626</t>
  </si>
  <si>
    <t>경기도 안성시 공도읍 덕봉서원로229-33</t>
  </si>
  <si>
    <t>031-658-7757</t>
  </si>
  <si>
    <t>안성대덕건지219</t>
  </si>
  <si>
    <t>경기도 안성시 대덕면 서동대로 4867-3</t>
  </si>
  <si>
    <t>031-676-1671</t>
  </si>
  <si>
    <t>안성미양계륵201</t>
  </si>
  <si>
    <t>경기도 안성시 미양면 신두만곡로 927-14</t>
  </si>
  <si>
    <t>031-675-1553</t>
  </si>
  <si>
    <t>안성보개적가213</t>
  </si>
  <si>
    <t>경기도 안성시 보개면 한사울길 231-1</t>
  </si>
  <si>
    <t>031-676-3432</t>
  </si>
  <si>
    <t>안성도기2</t>
  </si>
  <si>
    <t>경기도 안성시 안성맞춤대로 979</t>
  </si>
  <si>
    <t>031-675-2163</t>
  </si>
  <si>
    <t>안성양성장서227A</t>
  </si>
  <si>
    <t>경기도 안성시 양성면 양성로 667-11</t>
  </si>
  <si>
    <t>031-674-7182</t>
  </si>
  <si>
    <t>안성일죽월정1546</t>
  </si>
  <si>
    <t>경기도 안성시 일죽면 서동대로 7125</t>
  </si>
  <si>
    <t>031-676-9927</t>
  </si>
  <si>
    <t>안성원곡성은278</t>
  </si>
  <si>
    <t>경기도 안성시 천덕산로 650</t>
  </si>
  <si>
    <t>031-654-0192</t>
  </si>
  <si>
    <t>안양동안호계901</t>
  </si>
  <si>
    <t>경기도 안양시 동안구 호계동 901-42</t>
  </si>
  <si>
    <t>031-429-8072</t>
  </si>
  <si>
    <t>안양동안관양855</t>
  </si>
  <si>
    <t>경기도 안양시 동안구 벌말로 102번길 54</t>
  </si>
  <si>
    <t>031-422-5973</t>
  </si>
  <si>
    <t>안양동안호계555B</t>
  </si>
  <si>
    <t>경기도 안양시 동안구 엘에스로92, 9동 119호</t>
  </si>
  <si>
    <t>031-425-6556</t>
  </si>
  <si>
    <t>안양만안안양198</t>
  </si>
  <si>
    <t>경기도 안양시 만안구 안양천서로 101</t>
  </si>
  <si>
    <t>031-449-6604</t>
  </si>
  <si>
    <t>안양만안박달782</t>
  </si>
  <si>
    <t>경기도 안양시 만안구 오리로 19</t>
  </si>
  <si>
    <t>031-469-8282</t>
  </si>
  <si>
    <t>양주광적석우417</t>
  </si>
  <si>
    <t>경기도 양주시 광적면 광적로 119</t>
  </si>
  <si>
    <t>031-855-8508</t>
  </si>
  <si>
    <t>양주광적가납193</t>
  </si>
  <si>
    <t>경기도 양주시 광적면 그루고개로 221번길 15-52</t>
  </si>
  <si>
    <t>031-843-9294</t>
  </si>
  <si>
    <t>양주광적덕도254</t>
  </si>
  <si>
    <t>경기도 양주시 광적면 현석로 697</t>
  </si>
  <si>
    <t>031-872-6261</t>
  </si>
  <si>
    <t>양주남면경신129</t>
  </si>
  <si>
    <t>경기도 양주시 남면 삼일로 485번길 3</t>
  </si>
  <si>
    <t>031-859-8686</t>
  </si>
  <si>
    <t>양주남면입암114</t>
  </si>
  <si>
    <t>경기도 양주시 남면 삼일로 764</t>
  </si>
  <si>
    <t>031-861-4004</t>
  </si>
  <si>
    <t>양주백석방성8</t>
  </si>
  <si>
    <t>경기도 양주시 백석읍 부흥로 974</t>
  </si>
  <si>
    <t>031-879-8988</t>
  </si>
  <si>
    <t>양주산북74</t>
  </si>
  <si>
    <t>경기도 양주시 산북동 74-27</t>
  </si>
  <si>
    <t>031-843-8660</t>
  </si>
  <si>
    <t>양주은현봉암169</t>
  </si>
  <si>
    <t>경기도 양주시 은현면 봉암리 169</t>
  </si>
  <si>
    <t>031-861-4766</t>
  </si>
  <si>
    <t>양주은현선암302</t>
  </si>
  <si>
    <t>경기도 양주시 은현면 선암리 302</t>
  </si>
  <si>
    <t>031-864-7279</t>
  </si>
  <si>
    <t>양주봉양632</t>
  </si>
  <si>
    <t>경기도 양주시 칠봉산로 227번길 27</t>
  </si>
  <si>
    <t>031-865-1730</t>
  </si>
  <si>
    <t>경기도 양주시 평화로 1224</t>
  </si>
  <si>
    <t>경기양평오빈314</t>
  </si>
  <si>
    <t>경기도 양평군 양평읍 안산길 53-3</t>
  </si>
  <si>
    <t>031-774-9123</t>
  </si>
  <si>
    <t>경기양평용문금곡640</t>
  </si>
  <si>
    <t>경기도 양평군 용문면 용문로 640</t>
  </si>
  <si>
    <t>031-772-1580</t>
  </si>
  <si>
    <t>여주삼교436</t>
  </si>
  <si>
    <t>경기도 여주시 삼교동 436-7</t>
  </si>
  <si>
    <t>031-8051-2484~5</t>
  </si>
  <si>
    <t>여주가남삼군217</t>
  </si>
  <si>
    <t>경기도 여주시 가남읍 여주남로 952</t>
  </si>
  <si>
    <t>031-885-7827</t>
  </si>
  <si>
    <t>여주월송214</t>
  </si>
  <si>
    <t>경기도 여주시 삼밭골길 26-12</t>
  </si>
  <si>
    <t>031-886-1202</t>
  </si>
  <si>
    <t>경기연천전곡289</t>
  </si>
  <si>
    <t>경기도 연천군 전곡읍 은대성로 63-6</t>
  </si>
  <si>
    <t>031-832-0375</t>
  </si>
  <si>
    <t>오산원동547</t>
  </si>
  <si>
    <t>경기도 오산시 동부대로 407-21</t>
  </si>
  <si>
    <t>031-372-4621</t>
  </si>
  <si>
    <t>오산서동202</t>
  </si>
  <si>
    <t>경기도 오산시 서동로 61</t>
  </si>
  <si>
    <t>031-378-1034</t>
  </si>
  <si>
    <t>용인수지풍덕천</t>
  </si>
  <si>
    <t>경기도 용인시 기흥구 이현로 86-9</t>
  </si>
  <si>
    <t>031-264-1071</t>
  </si>
  <si>
    <t>용인기흥지곡278</t>
  </si>
  <si>
    <t>경기도 용인시 기흥구 지삼로 190</t>
  </si>
  <si>
    <t>031-282-3403</t>
  </si>
  <si>
    <t>용인처인남사통삼641</t>
  </si>
  <si>
    <t>경기도 용인시 처인구 남사면 서촌로 208</t>
  </si>
  <si>
    <t>031-323-4325</t>
  </si>
  <si>
    <t>용인처인모현매산320</t>
  </si>
  <si>
    <t>경기도 용인시 처인구 모현읍 곡현로 581-2</t>
  </si>
  <si>
    <t>031-336-1423</t>
  </si>
  <si>
    <t>용인처인모현갈담443</t>
  </si>
  <si>
    <t>경기도 용인시 처인구 모현읍 백옥대로 2172</t>
  </si>
  <si>
    <t>031-332-3947</t>
  </si>
  <si>
    <t>용인처인백암가좌267</t>
  </si>
  <si>
    <t>경기도 용인시 처인구 백암면 석실로 10</t>
  </si>
  <si>
    <t>031-334-9731</t>
  </si>
  <si>
    <t>용인처인마평313</t>
  </si>
  <si>
    <t>경기도 용인시 처인구 신송로 68</t>
  </si>
  <si>
    <t>031-334-1282</t>
  </si>
  <si>
    <t>용인처인양지주북306</t>
  </si>
  <si>
    <t>경기도 용인시 처인구 양지면 주북로 269</t>
  </si>
  <si>
    <t>031-321-9027</t>
  </si>
  <si>
    <t>용인처인이동덕성260</t>
  </si>
  <si>
    <t>경기도 용인시 처인구 이동면 시미곡로 21번길 3</t>
  </si>
  <si>
    <t>031-337-3051</t>
  </si>
  <si>
    <t>용인처인포곡삼계277</t>
  </si>
  <si>
    <t>경기도 용인시 처인구 포곡읍 백옥대로 1837</t>
  </si>
  <si>
    <t>031-339-5471</t>
  </si>
  <si>
    <t>용인처인포곡영문117</t>
  </si>
  <si>
    <t>경기도 용인시 처인구 포곡읍 석성로985번길 42</t>
  </si>
  <si>
    <t>031-321-6075</t>
  </si>
  <si>
    <t>의왕오전166</t>
  </si>
  <si>
    <t>경기도 의왕시 맑은내길 64</t>
  </si>
  <si>
    <t>031-429-7182</t>
  </si>
  <si>
    <t>의왕고천474</t>
  </si>
  <si>
    <t>경기도 의왕시 오전공업길 36</t>
  </si>
  <si>
    <t>031-456-6713</t>
  </si>
  <si>
    <t>의정부금오441</t>
  </si>
  <si>
    <t>경기도 의정부시 금오동 441-65</t>
  </si>
  <si>
    <t>031-541-6766</t>
  </si>
  <si>
    <t>의정부신곡771</t>
  </si>
  <si>
    <t>경기도 의정부시 부용로 185번길 50</t>
  </si>
  <si>
    <t>031-853-9514~5</t>
  </si>
  <si>
    <t>서울노원상계</t>
  </si>
  <si>
    <t>경기도 의정부시 장암동 120</t>
  </si>
  <si>
    <t>031-873-8082</t>
  </si>
  <si>
    <t>의정부가능227</t>
  </si>
  <si>
    <t>경기도 의정부시 호국로 1162</t>
  </si>
  <si>
    <t>031-836-6593</t>
  </si>
  <si>
    <t>이천호법유산769</t>
  </si>
  <si>
    <t>경기도 이천시 호법면 유산리 769-19</t>
  </si>
  <si>
    <t>031-633-6991</t>
  </si>
  <si>
    <t>이천사음457</t>
  </si>
  <si>
    <t>경기도 이천시 경충대로 2937-2</t>
  </si>
  <si>
    <t>031-638-1288</t>
  </si>
  <si>
    <t>이천부발무촌412</t>
  </si>
  <si>
    <t>경기도 이천시 부발읍 무촌로 21-53</t>
  </si>
  <si>
    <t>031-635-7733</t>
  </si>
  <si>
    <t>이천장호원오남3</t>
  </si>
  <si>
    <t>경기도 이천시 장호원읍 서동대로8965번길 33</t>
  </si>
  <si>
    <t>031-641-2348</t>
  </si>
  <si>
    <t>파주광탄창만492</t>
  </si>
  <si>
    <t>경기도 파주시 광탄면 보광로 1330-10</t>
  </si>
  <si>
    <t>031-941-3606</t>
  </si>
  <si>
    <t>파주광탄분수178</t>
  </si>
  <si>
    <t>경기도 파주시 광탄면 장지산로 300</t>
  </si>
  <si>
    <t>031-948-6544</t>
  </si>
  <si>
    <t>경기도 파주시 광탄면 창만리 492-22</t>
  </si>
  <si>
    <t>파주광탄신산346</t>
  </si>
  <si>
    <t>경기도 파주시 광탄면 혜음로 1198</t>
  </si>
  <si>
    <t>031-947-2131</t>
  </si>
  <si>
    <t>파주교하연다산45</t>
  </si>
  <si>
    <t>경기도 파주시 교하로 1007-8</t>
  </si>
  <si>
    <t>1522-8977</t>
  </si>
  <si>
    <t>파주문산선유1363</t>
  </si>
  <si>
    <t>경기도 파주시 문산읍 돈유안길 42-29</t>
  </si>
  <si>
    <t>031-954-1363</t>
  </si>
  <si>
    <t>파주문산사목265</t>
  </si>
  <si>
    <t>경기도 파주시 문산읍 반구정로 17</t>
  </si>
  <si>
    <t>031-952-2276</t>
  </si>
  <si>
    <t>파주법원대능125</t>
  </si>
  <si>
    <t>경기도 파주시 법원읍 화합로 43</t>
  </si>
  <si>
    <t>031-958-0229</t>
  </si>
  <si>
    <t>파주아동353</t>
  </si>
  <si>
    <t>경기도 파주시 새꽃로 237</t>
  </si>
  <si>
    <t>031-944-5855</t>
  </si>
  <si>
    <t>파주교하상지석546</t>
  </si>
  <si>
    <t>경기도 파주시 운정로 150</t>
  </si>
  <si>
    <t>031-946-3341</t>
  </si>
  <si>
    <t>파주월롱덕은1062</t>
  </si>
  <si>
    <t>경기도 파주시 월롱면 휴암로 215</t>
  </si>
  <si>
    <t>031-944-6364</t>
  </si>
  <si>
    <t>파주적성마지193</t>
  </si>
  <si>
    <t>경기도 파주시 적성면 솥뒤로 95</t>
  </si>
  <si>
    <t>031-958-6011</t>
  </si>
  <si>
    <t>파주조리뇌조416</t>
  </si>
  <si>
    <t>경기도 파주시 조리읍 등원로 119</t>
  </si>
  <si>
    <t>031-946-1153</t>
  </si>
  <si>
    <t>파주조리봉일천20</t>
  </si>
  <si>
    <t>경기도 파주시 조리읍 통일로 137</t>
  </si>
  <si>
    <t>031-943-6100</t>
  </si>
  <si>
    <t>파주탄현축현277</t>
  </si>
  <si>
    <t>경기도 파주시 탄현면 검산로 458</t>
  </si>
  <si>
    <t>031-946-1158</t>
  </si>
  <si>
    <t>파주탄현법흥71</t>
  </si>
  <si>
    <t>경기도 파주시 탄현면 방촌로 430</t>
  </si>
  <si>
    <t>031-957-0043</t>
  </si>
  <si>
    <t>파주탄현낙하223</t>
  </si>
  <si>
    <t>경기도 파주시 탄현면 엘지로 716</t>
  </si>
  <si>
    <t>031-942-4761</t>
  </si>
  <si>
    <t>파주부곡44</t>
  </si>
  <si>
    <t>경기도 파주시 파주읍 여울길 326</t>
  </si>
  <si>
    <t>031-954-3307</t>
  </si>
  <si>
    <t>평택도일1168</t>
  </si>
  <si>
    <t>경기도 평택시 도일동 1168-6</t>
  </si>
  <si>
    <t>031-656-0192</t>
  </si>
  <si>
    <t>평택이충65</t>
  </si>
  <si>
    <t>경기도 평택시 청원로 1377</t>
  </si>
  <si>
    <t>031-668-8704</t>
  </si>
  <si>
    <t>평택포승도곡717</t>
  </si>
  <si>
    <t>경기도 평택시 포승읍 도곡리 717-2</t>
  </si>
  <si>
    <t>031-8054-8041</t>
  </si>
  <si>
    <t>평택포승도곡845</t>
  </si>
  <si>
    <t>경기도 평택시 포승읍 도곡리 845-14</t>
  </si>
  <si>
    <t>031-683-3044</t>
  </si>
  <si>
    <t>평택포승만호324</t>
  </si>
  <si>
    <t>경기도 평택시 포승읍 만호리 324-1</t>
  </si>
  <si>
    <t>031-686-9441</t>
  </si>
  <si>
    <t>평택포승만호577</t>
  </si>
  <si>
    <t>경기도 평택시 포승읍 만호리 577-5</t>
  </si>
  <si>
    <t>031-686-5033</t>
  </si>
  <si>
    <t>평택청룡62</t>
  </si>
  <si>
    <t>경기도 평택시 만세로 1469</t>
  </si>
  <si>
    <t>031-651-7072</t>
  </si>
  <si>
    <t>평택서탄수월암984</t>
  </si>
  <si>
    <t>경기도 평택시 서탄면 서탄로 437</t>
  </si>
  <si>
    <t>031-611-4304</t>
  </si>
  <si>
    <t>평택서탄수월암639</t>
  </si>
  <si>
    <t>경기도 평택시 서탄면 수월암길 7</t>
  </si>
  <si>
    <t>031-668-7484</t>
  </si>
  <si>
    <t>평택안중학현39</t>
  </si>
  <si>
    <t>경기도 평택시 안중읍 덕우로 67-4</t>
  </si>
  <si>
    <t>031-683-2278</t>
  </si>
  <si>
    <t>경기도 평택시 이충동 65-10</t>
  </si>
  <si>
    <t>평택진위청호37</t>
  </si>
  <si>
    <t>경기도 평택시 진위면 청호길 66</t>
  </si>
  <si>
    <t>031-611-1284</t>
  </si>
  <si>
    <t>평택청북고렴479</t>
  </si>
  <si>
    <t>경기도 평택시 청북읍 서해로 1962</t>
  </si>
  <si>
    <t>031-683-0295</t>
  </si>
  <si>
    <t>평택청북토진632</t>
  </si>
  <si>
    <t>경기도 평택시 청북읍 청오로 357-42</t>
  </si>
  <si>
    <t>031-684-9462</t>
  </si>
  <si>
    <t>평택청북현곡253</t>
  </si>
  <si>
    <t>경기도 평택시 청북읍 청원로 55</t>
  </si>
  <si>
    <t>031-681-1650</t>
  </si>
  <si>
    <t>평택팽성남산317</t>
  </si>
  <si>
    <t>경기도 평택시 팽성읍 남산리 317-175</t>
  </si>
  <si>
    <t>031-653-6293</t>
  </si>
  <si>
    <t>포천소흘이동교678</t>
  </si>
  <si>
    <t>경기도 포천시 소흘읍 이동교리 678</t>
  </si>
  <si>
    <t>포천가산금현250</t>
  </si>
  <si>
    <t>경기도 포천시 가산면 포천로 709</t>
  </si>
  <si>
    <t>031-541-6007</t>
  </si>
  <si>
    <t>포천군내하성북669</t>
  </si>
  <si>
    <t>경기도 포천시 군내면 포천로 1544</t>
  </si>
  <si>
    <t>031-531-2211</t>
  </si>
  <si>
    <t>포천내촌음현470</t>
  </si>
  <si>
    <t>경기도 포천시 내촌면 금강로 2018번길 41</t>
  </si>
  <si>
    <t>031-533-9774</t>
  </si>
  <si>
    <t>포천내촌진목714</t>
  </si>
  <si>
    <t>경기도 포천시 내촌면 부마로 503번길 3</t>
  </si>
  <si>
    <t>031-532-7280</t>
  </si>
  <si>
    <t>포천소흘무봉87</t>
  </si>
  <si>
    <t>경기도 포천시 소흘읍 소흘로 139번길 7</t>
  </si>
  <si>
    <t>031-544-3166~7</t>
  </si>
  <si>
    <t>포천소흘송우110</t>
  </si>
  <si>
    <t>경기도 포천시 소흘읍 송우리 110-13</t>
  </si>
  <si>
    <t>031-541-2211</t>
  </si>
  <si>
    <t>포천신북신평250</t>
  </si>
  <si>
    <t>경기도 포천시 신북면 신평로 39</t>
  </si>
  <si>
    <t>031-534-2211</t>
  </si>
  <si>
    <t>포천신북기지685</t>
  </si>
  <si>
    <t>경기도 포천시 신북면 틀못이길 11-35</t>
  </si>
  <si>
    <t>031-531-2250</t>
  </si>
  <si>
    <t>포천어룡67</t>
  </si>
  <si>
    <t>경기도 포천시 어가길 31</t>
  </si>
  <si>
    <t>031-535-5666</t>
  </si>
  <si>
    <t>포천일동길명782</t>
  </si>
  <si>
    <t>경기도 포천시 일동면 영일로 429</t>
  </si>
  <si>
    <t>031-532-1245</t>
  </si>
  <si>
    <t>서울송파오금</t>
  </si>
  <si>
    <t>경기도 하남시 감일동 210</t>
  </si>
  <si>
    <t>02-431-9994</t>
  </si>
  <si>
    <t>서울강동길동</t>
  </si>
  <si>
    <t>경기도 하남시 풍산동 393-38</t>
  </si>
  <si>
    <t>031-794-4737</t>
  </si>
  <si>
    <t>하남감북39</t>
  </si>
  <si>
    <t>경기도 하남시 감초로 131번길 11</t>
  </si>
  <si>
    <t>02-486-0151</t>
  </si>
  <si>
    <t>하남하사창296</t>
  </si>
  <si>
    <t>경기도 하남시 고골로 124</t>
  </si>
  <si>
    <t>031-793-2668</t>
  </si>
  <si>
    <t>하남창우54</t>
  </si>
  <si>
    <t>경기도 하남시 창우동 54-2</t>
  </si>
  <si>
    <t>031-792-6446</t>
  </si>
  <si>
    <t>서울강동상일</t>
  </si>
  <si>
    <t>경기도 하남시 초일동 318-5</t>
  </si>
  <si>
    <t>02-428-0974</t>
  </si>
  <si>
    <t>화성금곡102</t>
  </si>
  <si>
    <t>경기도 화성시 금곡동 102</t>
  </si>
  <si>
    <t>031-374-0915</t>
  </si>
  <si>
    <t>화성매송원리179</t>
  </si>
  <si>
    <t>경기도 화성시 매송면 푸른들판로 2037</t>
  </si>
  <si>
    <t>031-292-1250</t>
  </si>
  <si>
    <t>화성방교756</t>
  </si>
  <si>
    <t>경기도 화성시 방교동 756-8</t>
  </si>
  <si>
    <t>031-376-0916</t>
  </si>
  <si>
    <t>화성송산사강320</t>
  </si>
  <si>
    <t>경기도 화성시 송산면 사강리 320-4</t>
  </si>
  <si>
    <t>031-366-7575</t>
  </si>
  <si>
    <t>화성정남덕절243</t>
  </si>
  <si>
    <t>경기도 화성시 정남면 덕절리 243-1</t>
  </si>
  <si>
    <t>031-374-0775</t>
  </si>
  <si>
    <t>화성남양신남1240</t>
  </si>
  <si>
    <t>경기도 화성시 남양읍 신남로 316-14</t>
  </si>
  <si>
    <t>031-355-2123</t>
  </si>
  <si>
    <t>화성남양북양528</t>
  </si>
  <si>
    <t>경기도 화성시 남양읍 현대기아로 741-3</t>
  </si>
  <si>
    <t>031-355-3080</t>
  </si>
  <si>
    <t>화성마도쌍송90</t>
  </si>
  <si>
    <t>경기도 화성시 마도면 마도로 790</t>
  </si>
  <si>
    <t>031-356-3563</t>
  </si>
  <si>
    <t>화성마도두곡287</t>
  </si>
  <si>
    <t>경기도 화성시 마도면 송정로 20-3</t>
  </si>
  <si>
    <t>031-357-2030</t>
  </si>
  <si>
    <t>화성마도쌍송139</t>
  </si>
  <si>
    <t>경기도 화성시 마도면 신남로 34-7</t>
  </si>
  <si>
    <t>031-355-9101</t>
  </si>
  <si>
    <t>화성마도청원71</t>
  </si>
  <si>
    <t>경기도 화성시 마도면 절골로 12</t>
  </si>
  <si>
    <t>031-356-8587</t>
  </si>
  <si>
    <t>화성마도쌍송624</t>
  </si>
  <si>
    <t>경기도 화성시 마도면 청원로 283-9</t>
  </si>
  <si>
    <t>031-356-9772</t>
  </si>
  <si>
    <t>화성마도청원1168</t>
  </si>
  <si>
    <t>경기도 화성시 마도면 청원산단8길 57</t>
  </si>
  <si>
    <t>031-356-9757</t>
  </si>
  <si>
    <t>경기도 화성시 매송면 원리 179-8</t>
  </si>
  <si>
    <t>화성반월340</t>
  </si>
  <si>
    <t>경기도 화성시 반월길 13</t>
  </si>
  <si>
    <t>031-221-4434</t>
  </si>
  <si>
    <t>수원영통망포</t>
  </si>
  <si>
    <t>경기도 화성시 반정로 138번길</t>
  </si>
  <si>
    <t>031-236-9555</t>
  </si>
  <si>
    <t>화성봉담세곡23</t>
  </si>
  <si>
    <t>경기도 화성시 봉담읍 가능골 2길 5-3</t>
  </si>
  <si>
    <t>031-227-6036</t>
  </si>
  <si>
    <t>화성봉담덕우107</t>
  </si>
  <si>
    <t>경기도 화성시 봉담읍 마당바위로 324-6</t>
  </si>
  <si>
    <t>031-297-0807</t>
  </si>
  <si>
    <t>화성비봉자안505</t>
  </si>
  <si>
    <t>경기도 화성시 비봉면 푸른들판로 1119</t>
  </si>
  <si>
    <t>031-355-1735</t>
  </si>
  <si>
    <t>화성서신전곡487</t>
  </si>
  <si>
    <t>경기도 화성시 서신면 당성로115번길 21</t>
  </si>
  <si>
    <t>031-357-3993</t>
  </si>
  <si>
    <t>화성안녕186</t>
  </si>
  <si>
    <t>경기도 화성시 세자로 494</t>
  </si>
  <si>
    <t>031-234-4433</t>
  </si>
  <si>
    <t>화성양감대양1112</t>
  </si>
  <si>
    <t>경기도 화성시 양감면 두머리길 2</t>
  </si>
  <si>
    <t>031-353-1526</t>
  </si>
  <si>
    <t>화성양감송산461</t>
  </si>
  <si>
    <t>경기도 화성시 양감면 송망길 97-4</t>
  </si>
  <si>
    <t>031-366-4211</t>
  </si>
  <si>
    <t>화성양감요당580</t>
  </si>
  <si>
    <t>경기도 화성시 양감면 암소고개로 237</t>
  </si>
  <si>
    <t>031-353-7996</t>
  </si>
  <si>
    <t>화성양감요당195</t>
  </si>
  <si>
    <t>경기도 화성시 양감면 요당리 195</t>
  </si>
  <si>
    <t>031-352-7121</t>
  </si>
  <si>
    <t>화성장안수촌939</t>
  </si>
  <si>
    <t>경기도 화성시 장안면 3.1만세로 433</t>
  </si>
  <si>
    <t>031-351-7557</t>
  </si>
  <si>
    <t>화성장안사곡465</t>
  </si>
  <si>
    <t>경기도 화성시 장안면 기아자동차로676</t>
  </si>
  <si>
    <t>031-358-3701</t>
  </si>
  <si>
    <t>화성장안석포392</t>
  </si>
  <si>
    <t>경기도 화성시 장안면 버들로 1213</t>
  </si>
  <si>
    <t>031-351-9908</t>
  </si>
  <si>
    <t>화성장안석포754</t>
  </si>
  <si>
    <t>경기도 화성시 장안면 석포로 325-3</t>
  </si>
  <si>
    <t>031-351-7660</t>
  </si>
  <si>
    <t>화성장안독정163</t>
  </si>
  <si>
    <t>경기도 화성시 장안면 장안로 425</t>
  </si>
  <si>
    <t>031-358-5885</t>
  </si>
  <si>
    <t>화성정남신리143</t>
  </si>
  <si>
    <t>경기도 화성시 정남면 서봉로 1053-11</t>
  </si>
  <si>
    <t>031-354-5906</t>
  </si>
  <si>
    <t>화성정남괘랑1064</t>
  </si>
  <si>
    <t>경기도 화성시 정남면 세자로 34</t>
  </si>
  <si>
    <t>031-352-6798</t>
  </si>
  <si>
    <t>화성정남수면65</t>
  </si>
  <si>
    <t>경기도 화성시 정남면 수면리 65</t>
  </si>
  <si>
    <t>031-354-5006</t>
  </si>
  <si>
    <t>화성정남음양938</t>
  </si>
  <si>
    <t>경기도 화성시 정남면 정남산단로 142-5</t>
  </si>
  <si>
    <t>031-378-5991</t>
  </si>
  <si>
    <t>화성팔탄고주197</t>
  </si>
  <si>
    <t>경기도 화성시 제암고주로 114</t>
  </si>
  <si>
    <t>031-379-9888</t>
  </si>
  <si>
    <t>화성팔탄하저930</t>
  </si>
  <si>
    <t>경기도 화성시 팔탄면 무하로 147</t>
  </si>
  <si>
    <t>031-366-0026</t>
  </si>
  <si>
    <t>화성팔탄율암396</t>
  </si>
  <si>
    <t>경기도 화성시 팔탄면 시청로766번길 19-6</t>
  </si>
  <si>
    <t>031-354-0022</t>
  </si>
  <si>
    <t>화성팔탄덕우115</t>
  </si>
  <si>
    <t>경기도 화성시 팔탄면 온천로165번길 20</t>
  </si>
  <si>
    <t>031-8059-5071</t>
  </si>
  <si>
    <t>화성팔탄구장179</t>
  </si>
  <si>
    <t>경기도 화성시 팔탄면 푸른들판로 557-6</t>
  </si>
  <si>
    <t>031-8059-8895</t>
  </si>
  <si>
    <t>화성팔탄구장112</t>
  </si>
  <si>
    <t>경기도 화성시 팔탄면 푸른들판로 650</t>
  </si>
  <si>
    <t>031-354-3386</t>
  </si>
  <si>
    <t>화성향남증거331</t>
  </si>
  <si>
    <t>경기도 화성시 향남읍 만년로151번길 12</t>
  </si>
  <si>
    <t>031-354-9167</t>
  </si>
  <si>
    <t>화성향남동오132</t>
  </si>
  <si>
    <t>경기도 화성시 향남읍 서봉로 684-10</t>
  </si>
  <si>
    <t>031-353-8990</t>
  </si>
  <si>
    <t>화성향남상신1150</t>
  </si>
  <si>
    <t>경기도 화성시 향남읍 장안로850 1동</t>
  </si>
  <si>
    <t>031-352-8195</t>
  </si>
  <si>
    <t>영업소명</t>
    <phoneticPr fontId="2" type="noConversion"/>
  </si>
  <si>
    <t>PartNo</t>
    <phoneticPr fontId="2" type="noConversion"/>
  </si>
  <si>
    <t>177-01-03420</t>
    <phoneticPr fontId="2" type="noConversion"/>
  </si>
  <si>
    <t>합계:</t>
    <phoneticPr fontId="2" type="noConversion"/>
  </si>
  <si>
    <t>이전 미수금</t>
    <phoneticPr fontId="2" type="noConversion"/>
  </si>
  <si>
    <t>주문+이전미수금</t>
    <phoneticPr fontId="2" type="noConversion"/>
  </si>
  <si>
    <t>259-12-01768</t>
  </si>
  <si>
    <t>경동(화물)</t>
  </si>
  <si>
    <t>BTS&amp;P</t>
  </si>
  <si>
    <t>납품자:</t>
    <phoneticPr fontId="2" type="noConversion"/>
  </si>
  <si>
    <t>010-3838-0429</t>
    <phoneticPr fontId="2" type="noConversion"/>
  </si>
  <si>
    <t>010-8720-9825</t>
    <phoneticPr fontId="2" type="noConversion"/>
  </si>
  <si>
    <t>인천 부평구 수변로 89-1</t>
    <phoneticPr fontId="2" type="noConversion"/>
  </si>
  <si>
    <t>경동(화물)</t>
    <phoneticPr fontId="2" type="noConversion"/>
  </si>
  <si>
    <t>춘의190</t>
  </si>
  <si>
    <t>010-2050-8899</t>
  </si>
  <si>
    <t>대구 서구 문화로 17길 39</t>
  </si>
  <si>
    <t>대구</t>
  </si>
  <si>
    <t>010-3573-5439</t>
  </si>
  <si>
    <t>울산 남구 삼산로 402번길 21</t>
  </si>
  <si>
    <t>대신(화물)</t>
  </si>
  <si>
    <t>스카이오토미션</t>
  </si>
  <si>
    <t>마일레오토(마포)</t>
  </si>
  <si>
    <t>마일레오토(군포)</t>
  </si>
  <si>
    <t>한국오토(일산)</t>
    <phoneticPr fontId="2" type="noConversion"/>
  </si>
  <si>
    <t>010-6322-0551</t>
    <phoneticPr fontId="2" type="noConversion"/>
  </si>
  <si>
    <t>경기도 고양시 일산서구 송포로 349</t>
    <phoneticPr fontId="2" type="noConversion"/>
  </si>
  <si>
    <t>메르카바(고양)</t>
    <phoneticPr fontId="2" type="noConversion"/>
  </si>
  <si>
    <t>010-8743-2402</t>
    <phoneticPr fontId="2" type="noConversion"/>
  </si>
  <si>
    <t>경기도 고양시 덕양구 토당로 9</t>
    <phoneticPr fontId="2" type="noConversion"/>
  </si>
  <si>
    <t>경기 고양 백석1115지점</t>
    <phoneticPr fontId="2" type="noConversion"/>
  </si>
  <si>
    <t>한국오토(안양)</t>
  </si>
  <si>
    <t>010-7326-0913</t>
  </si>
  <si>
    <t>전북 완주군 삼례읍 삼봉로 344</t>
  </si>
  <si>
    <t>010-4821-1735</t>
  </si>
  <si>
    <t>인천 서구 북항로 120번길 13-6</t>
  </si>
  <si>
    <t>010-9033-8865</t>
  </si>
  <si>
    <t>서울특별시 동대문구 장안벛꽃로 27</t>
  </si>
  <si>
    <t>010-2399-2804</t>
  </si>
  <si>
    <t>010-5548-7658</t>
  </si>
  <si>
    <t>부산광역시 해운대구 송정1로 8번길 25</t>
  </si>
  <si>
    <t>오토랜드(방배)</t>
  </si>
  <si>
    <t>010-3788-5595</t>
  </si>
  <si>
    <t>서울 서초구 서초대로15번길 4</t>
  </si>
  <si>
    <t>대륙오토</t>
  </si>
  <si>
    <t>010-2806-9270</t>
  </si>
  <si>
    <t>대구광역시 북구 산격동 14-149</t>
  </si>
  <si>
    <t>010-9114-3008</t>
  </si>
  <si>
    <t>대구광역시 달서구 달구벌대로 1374</t>
  </si>
  <si>
    <t>010-8314-0322</t>
  </si>
  <si>
    <t>대구 북구 산격로 7</t>
  </si>
  <si>
    <t>현진미션(칠곡)</t>
  </si>
  <si>
    <t>010-4505-2801</t>
  </si>
  <si>
    <t>대구광역시 북구 태전로1길 36</t>
  </si>
  <si>
    <t>010-5100-1818</t>
  </si>
  <si>
    <t>대구 수성구 파동로 183</t>
  </si>
  <si>
    <t>서산오토(충남)</t>
  </si>
  <si>
    <t>010-5424-6763</t>
  </si>
  <si>
    <t>충남 서산시 예천동 512-27</t>
  </si>
  <si>
    <t>하나오토(청주)</t>
  </si>
  <si>
    <t>010-3547-4485</t>
  </si>
  <si>
    <t>대구광역시 달서구 문화회관5길 63</t>
  </si>
  <si>
    <t>현진미션(남대구)</t>
  </si>
  <si>
    <t>010-2991-0341</t>
  </si>
  <si>
    <t>대구광역시 달서구 문화회관6길 12</t>
  </si>
  <si>
    <t>010-3542-4069</t>
  </si>
  <si>
    <t>대구광역시 달서구 장기로65번길 7</t>
  </si>
  <si>
    <t>현대오토(전주)</t>
    <phoneticPr fontId="2" type="noConversion"/>
  </si>
  <si>
    <t>010-3651-6759</t>
    <phoneticPr fontId="2" type="noConversion"/>
  </si>
  <si>
    <t>전북 전주시 완산구 산월2길 16</t>
    <phoneticPr fontId="2" type="noConversion"/>
  </si>
  <si>
    <t>현대오토(영천)</t>
  </si>
  <si>
    <t>010-3567-6656</t>
  </si>
  <si>
    <t>대구광역시 서구 와룡로 355</t>
  </si>
  <si>
    <t>010-5486-7951</t>
  </si>
  <si>
    <t>대구광역시 달서구 성서서로36길 5-4</t>
  </si>
  <si>
    <t>010-8546-5932</t>
  </si>
  <si>
    <t>경상남도 창원시 마산회원구 봉암공단10길 5</t>
  </si>
  <si>
    <t>010-6315-6046</t>
  </si>
  <si>
    <t>대구 달서구 장기로 382</t>
  </si>
  <si>
    <t>부산비엔비(부산)</t>
    <phoneticPr fontId="2" type="noConversion"/>
  </si>
  <si>
    <t>010-2512-8242</t>
  </si>
  <si>
    <t>대구광역시 달서구 호산동로151</t>
  </si>
  <si>
    <t>이시아오토</t>
  </si>
  <si>
    <t>010-8248-5056</t>
  </si>
  <si>
    <t>대구광역시 동구 팔공로49길 35 107호</t>
  </si>
  <si>
    <t>010-9459-0999</t>
  </si>
  <si>
    <t>대구 서구 팔달로 72-6</t>
  </si>
  <si>
    <t>010-4111-1882</t>
  </si>
  <si>
    <t>010-7180-5255</t>
  </si>
  <si>
    <t>대구 서구 염색공단천로 8-1</t>
  </si>
  <si>
    <t>전주오토(전주)</t>
  </si>
  <si>
    <t>010-6524-1782</t>
  </si>
  <si>
    <t>대구 서구 서대구로63길 39</t>
  </si>
  <si>
    <t>010-6640-2226</t>
  </si>
  <si>
    <t>부산시 해운대구 송정중앙로 9번길 90</t>
  </si>
  <si>
    <t>010-3833-7730</t>
  </si>
  <si>
    <t>부산 기장군 기장읍 차성동로 116번길8 하나로카</t>
  </si>
  <si>
    <t>혜광오토(부산)</t>
  </si>
  <si>
    <t>한국지엠(대구남구)</t>
  </si>
  <si>
    <t>010-3534-9601</t>
  </si>
  <si>
    <t>대구광역시 남구 대명복개로 141</t>
  </si>
  <si>
    <t>서울 중랑구 봉화산로58길 11</t>
  </si>
  <si>
    <t>한국오토(노원)</t>
    <phoneticPr fontId="2" type="noConversion"/>
  </si>
  <si>
    <t>010-3717-1041</t>
    <phoneticPr fontId="2" type="noConversion"/>
  </si>
  <si>
    <t>서울 노원구 공릉로 62길 15</t>
    <phoneticPr fontId="2" type="noConversion"/>
  </si>
  <si>
    <t>010-3525-5490</t>
  </si>
  <si>
    <t>대구광역시 수성구 만촌동 425-1</t>
  </si>
  <si>
    <t>010-8852-0830</t>
  </si>
  <si>
    <t>대구광역시 서구 북비산로 105-8</t>
  </si>
  <si>
    <t>010-5047-4749</t>
    <phoneticPr fontId="2" type="noConversion"/>
  </si>
  <si>
    <t>대구 남구 이천로64</t>
    <phoneticPr fontId="2" type="noConversion"/>
  </si>
  <si>
    <t>010-2029-2144</t>
  </si>
  <si>
    <t>대구광역시 북구 노원로1길 4</t>
  </si>
  <si>
    <t>010-6402-9728</t>
  </si>
  <si>
    <t>대전 중구 안영로 17</t>
  </si>
  <si>
    <t>010-9155-0301</t>
  </si>
  <si>
    <t>경북 포항시 북구 법원로97번길 24-12</t>
  </si>
  <si>
    <t>010-4518-7907</t>
  </si>
  <si>
    <t>대구 달서구 평리로 136</t>
  </si>
  <si>
    <t>010-4507-9730</t>
  </si>
  <si>
    <t>대구 수성구 동원로 30-1</t>
  </si>
  <si>
    <t>마일레오토(전주)</t>
  </si>
  <si>
    <t>010-8604-8248</t>
  </si>
  <si>
    <t>전주시 덕진구 들샤평서로26</t>
  </si>
  <si>
    <t>010-3535-6883</t>
  </si>
  <si>
    <t>대구 동구 반야원로14길21</t>
  </si>
  <si>
    <t>혜광오토(김해)</t>
  </si>
  <si>
    <t>010-5370-6523</t>
  </si>
  <si>
    <t>대구광역시 서구 북비산로 42</t>
  </si>
  <si>
    <t>010-7999-2566</t>
    <phoneticPr fontId="2" type="noConversion"/>
  </si>
  <si>
    <t>달성군 현풍읍 현풍동로 147</t>
    <phoneticPr fontId="2" type="noConversion"/>
  </si>
  <si>
    <t>010-3846-5973</t>
  </si>
  <si>
    <t>서울 도봉구 도봉로 881</t>
  </si>
  <si>
    <t>엠모터스(김천)</t>
    <phoneticPr fontId="2" type="noConversion"/>
  </si>
  <si>
    <t>010-9297-3393</t>
    <phoneticPr fontId="2" type="noConversion"/>
  </si>
  <si>
    <t>경상북도 김천시 송설로 114</t>
    <phoneticPr fontId="2" type="noConversion"/>
  </si>
  <si>
    <t>010-5102-8176</t>
  </si>
  <si>
    <t>대구광역시 서구 가르뱅이로 53</t>
  </si>
  <si>
    <t>한일오토(구리)</t>
    <phoneticPr fontId="2" type="noConversion"/>
  </si>
  <si>
    <t>010-3792-6944</t>
    <phoneticPr fontId="2" type="noConversion"/>
  </si>
  <si>
    <t>경기 구리시 경춘로43</t>
    <phoneticPr fontId="2" type="noConversion"/>
  </si>
  <si>
    <t>010-9437-9328</t>
  </si>
  <si>
    <t>부산 북구 구만덕로60번길 66</t>
  </si>
  <si>
    <t>010-4740-3666</t>
  </si>
  <si>
    <t>경기도 고양일산동구 풍동 457-2 3,4호</t>
  </si>
  <si>
    <t>010-4877-5553</t>
  </si>
  <si>
    <t>부산 사상구 모덕로 105</t>
  </si>
  <si>
    <t>010-9825-2555</t>
  </si>
  <si>
    <t>대구 달서구 성화로 155</t>
  </si>
  <si>
    <t>010-4544-7703</t>
  </si>
  <si>
    <t>제주시 남성로23길 19-1</t>
  </si>
  <si>
    <t>admin</t>
  </si>
  <si>
    <t>OILPAN</t>
  </si>
  <si>
    <t>접속시간</t>
    <phoneticPr fontId="2" type="noConversion"/>
  </si>
  <si>
    <t>직원전호</t>
    <phoneticPr fontId="2" type="noConversion"/>
  </si>
  <si>
    <t>BMW</t>
    <phoneticPr fontId="2" type="noConversion"/>
  </si>
  <si>
    <t>AUDI</t>
    <phoneticPr fontId="2" type="noConversion"/>
  </si>
  <si>
    <t>Rangerover</t>
    <phoneticPr fontId="2" type="noConversion"/>
  </si>
  <si>
    <t>FORD</t>
  </si>
  <si>
    <t>aa</t>
  </si>
  <si>
    <t>bb</t>
  </si>
  <si>
    <t>yhj0319</t>
  </si>
  <si>
    <t>제품구분_ID</t>
    <phoneticPr fontId="2" type="noConversion"/>
  </si>
  <si>
    <t>code</t>
  </si>
  <si>
    <t>Product</t>
  </si>
  <si>
    <t>Partno</t>
  </si>
  <si>
    <t>서울서초신원418</t>
    <phoneticPr fontId="2" type="noConversion"/>
  </si>
  <si>
    <t>원가</t>
    <phoneticPr fontId="2" type="noConversion"/>
  </si>
  <si>
    <t>원가총액</t>
    <phoneticPr fontId="2" type="noConversion"/>
  </si>
  <si>
    <t>결재</t>
  </si>
  <si>
    <t>오늘 총매출</t>
    <phoneticPr fontId="2" type="noConversion"/>
  </si>
  <si>
    <t>이번달 총매출</t>
    <phoneticPr fontId="2" type="noConversion"/>
  </si>
  <si>
    <t>올해 총매출</t>
    <phoneticPr fontId="2" type="noConversion"/>
  </si>
  <si>
    <t>O2E_AL</t>
  </si>
  <si>
    <t>OAM Mechatronics</t>
  </si>
  <si>
    <t>8HP70 VALBEBODY</t>
  </si>
  <si>
    <t>OAM REPAIR KIT</t>
  </si>
  <si>
    <t>BTS</t>
  </si>
  <si>
    <t>ETC</t>
  </si>
  <si>
    <t>OB5_FILTER</t>
  </si>
  <si>
    <t>6F35_SOLENOID_PACK</t>
  </si>
  <si>
    <t>9G_OILPAN</t>
  </si>
  <si>
    <t>75W140</t>
  </si>
  <si>
    <t>OGC_REPAIR</t>
  </si>
  <si>
    <t>8HP50_EGS</t>
  </si>
  <si>
    <t>ISM_NEW</t>
    <phoneticPr fontId="2" type="noConversion"/>
  </si>
  <si>
    <t>LUK</t>
  </si>
  <si>
    <t>CLUTCH Rebuild</t>
  </si>
  <si>
    <t>RAVENOL</t>
  </si>
  <si>
    <t>ME9.7 A273</t>
  </si>
  <si>
    <t>미르오토</t>
  </si>
  <si>
    <t>엠모터스(구미)</t>
  </si>
  <si>
    <t>엠모터스(구미)</t>
    <phoneticPr fontId="2" type="noConversion"/>
  </si>
  <si>
    <t>OB5_Repair_kit &amp; Solenoid</t>
  </si>
  <si>
    <t>8HP50_VALBE_BODY</t>
  </si>
  <si>
    <t>8HP75_Mechatronics</t>
  </si>
  <si>
    <t>010-4849-8824</t>
  </si>
  <si>
    <t>경남 창원시 의창구 남산로 115번길 11</t>
  </si>
  <si>
    <t>ISM_NEW</t>
  </si>
  <si>
    <t>OAM_Mechatronics</t>
  </si>
  <si>
    <t>MEISTER-K(부산)</t>
  </si>
  <si>
    <t>010-7749-5966</t>
  </si>
  <si>
    <t>부산광역시 금정구 반송로 395</t>
  </si>
  <si>
    <t>MEISTER-K(울산)</t>
    <phoneticPr fontId="2" type="noConversion"/>
  </si>
  <si>
    <t>010-3105-8191</t>
    <phoneticPr fontId="2" type="noConversion"/>
  </si>
  <si>
    <t>울산광역시 중구 번영로 612(남외동 544-3)</t>
    <phoneticPr fontId="2" type="noConversion"/>
  </si>
  <si>
    <t>대신(화물)</t>
    <phoneticPr fontId="2" type="noConversion"/>
  </si>
  <si>
    <t>OHL_ONLINE_SERVICE</t>
  </si>
  <si>
    <t>OHK_4번_ONLINE</t>
  </si>
  <si>
    <t>VAS6154</t>
  </si>
  <si>
    <t>OB5_VALBE_BODY</t>
  </si>
  <si>
    <t>공급받는자</t>
    <phoneticPr fontId="2" type="noConversion"/>
  </si>
  <si>
    <t>공급자</t>
    <phoneticPr fontId="2" type="noConversion"/>
  </si>
  <si>
    <t>결과</t>
    <phoneticPr fontId="2" type="noConversion"/>
  </si>
  <si>
    <t>증상</t>
    <phoneticPr fontId="2" type="noConversion"/>
  </si>
  <si>
    <t>명세서위치</t>
    <phoneticPr fontId="2" type="noConversion"/>
  </si>
  <si>
    <t>010-7460-3253</t>
    <phoneticPr fontId="2" type="noConversion"/>
  </si>
  <si>
    <t>하나오토(진주)</t>
  </si>
  <si>
    <t>010-3214-1040</t>
  </si>
  <si>
    <t>경남 진주시 호탄길15</t>
  </si>
  <si>
    <t>진주상평265</t>
  </si>
  <si>
    <t>010-5452-4454</t>
    <phoneticPr fontId="2" type="noConversion"/>
  </si>
  <si>
    <t>대전광역시 대덕구 신탄진로614</t>
    <phoneticPr fontId="2" type="noConversion"/>
  </si>
  <si>
    <t>대신(택배)</t>
    <phoneticPr fontId="2" type="noConversion"/>
  </si>
  <si>
    <t>대전 신탄진</t>
  </si>
  <si>
    <t>경동(택배)</t>
  </si>
  <si>
    <t>8HP45</t>
    <phoneticPr fontId="2" type="noConversion"/>
  </si>
  <si>
    <t>8HP50</t>
    <phoneticPr fontId="2" type="noConversion"/>
  </si>
  <si>
    <t>8HP70</t>
    <phoneticPr fontId="2" type="noConversion"/>
  </si>
  <si>
    <t>8HP75</t>
    <phoneticPr fontId="2" type="noConversion"/>
  </si>
  <si>
    <t>8HP76</t>
    <phoneticPr fontId="2" type="noConversion"/>
  </si>
  <si>
    <t>8HP90</t>
    <phoneticPr fontId="2" type="noConversion"/>
  </si>
  <si>
    <t>오토티엠(용인)</t>
    <phoneticPr fontId="2" type="noConversion"/>
  </si>
  <si>
    <t>010-6432-2999</t>
    <phoneticPr fontId="2" type="noConversion"/>
  </si>
  <si>
    <t>경기도 용인시 처인구 모현읍 곡현로 656번길 1</t>
    <phoneticPr fontId="2" type="noConversion"/>
  </si>
  <si>
    <t>오토티엠(광명)</t>
    <phoneticPr fontId="2" type="noConversion"/>
  </si>
  <si>
    <t>010-5154-1996</t>
    <phoneticPr fontId="2" type="noConversion"/>
  </si>
  <si>
    <t>경기도 광명시 노온사동 572-108</t>
    <phoneticPr fontId="2" type="noConversion"/>
  </si>
  <si>
    <t>경동(화물)</t>
    <phoneticPr fontId="2" type="noConversion"/>
  </si>
  <si>
    <t>노온사676</t>
    <phoneticPr fontId="2" type="noConversion"/>
  </si>
  <si>
    <t>차대번호</t>
    <phoneticPr fontId="2" type="noConversion"/>
  </si>
  <si>
    <t>VIN:</t>
    <phoneticPr fontId="2" type="noConversion"/>
  </si>
  <si>
    <t>927769DK</t>
  </si>
  <si>
    <t>927769E</t>
  </si>
  <si>
    <t>927156K</t>
  </si>
  <si>
    <t>927156AA</t>
  </si>
  <si>
    <t>OCK</t>
  </si>
  <si>
    <t>VGSNAG3</t>
  </si>
  <si>
    <t>A0002702600</t>
  </si>
  <si>
    <t>VGSNAG2</t>
  </si>
  <si>
    <t>A0009013200</t>
  </si>
  <si>
    <t>0B5398048D</t>
  </si>
  <si>
    <t>OB5_Repair_Kit</t>
  </si>
  <si>
    <t>BTOP</t>
    <phoneticPr fontId="2" type="noConversion"/>
  </si>
  <si>
    <t>A0002703500</t>
    <phoneticPr fontId="2" type="noConversion"/>
  </si>
  <si>
    <t>010-7191-8898</t>
    <phoneticPr fontId="2" type="noConversion"/>
  </si>
  <si>
    <t>02E927770AL</t>
    <phoneticPr fontId="2" type="noConversion"/>
  </si>
  <si>
    <t>02E927770AQ</t>
  </si>
  <si>
    <t>O2E_AQ</t>
  </si>
  <si>
    <t>02E927770AQN</t>
    <phoneticPr fontId="2" type="noConversion"/>
  </si>
  <si>
    <t>0BH927711C</t>
  </si>
  <si>
    <t>OBH</t>
  </si>
  <si>
    <t>미르오토_250320_091859.xlsx</t>
  </si>
  <si>
    <t>VGSNAG3</t>
    <phoneticPr fontId="2" type="noConversion"/>
  </si>
  <si>
    <t>이시아오토_250320_105337.xlsx</t>
  </si>
  <si>
    <t>A7252709011</t>
    <phoneticPr fontId="2" type="noConversion"/>
  </si>
  <si>
    <t>스카이오토미션_250320_115156.xlsx</t>
  </si>
  <si>
    <t>A0054463710</t>
  </si>
  <si>
    <t>010-2278-2326</t>
    <phoneticPr fontId="2" type="noConversion"/>
  </si>
  <si>
    <t>충남 천안시 동남구 유량로 153</t>
    <phoneticPr fontId="2" type="noConversion"/>
  </si>
  <si>
    <t>경동(화물)</t>
    <phoneticPr fontId="2" type="noConversion"/>
  </si>
  <si>
    <t>천안서북성정36</t>
  </si>
  <si>
    <t>혜광오토(양산)</t>
  </si>
  <si>
    <t>010-7308-6869</t>
  </si>
  <si>
    <t>경남 양산시 옥곡8길 18</t>
  </si>
  <si>
    <t>양산북정901</t>
  </si>
  <si>
    <t>010-3218-6031</t>
    <phoneticPr fontId="2" type="noConversion"/>
  </si>
  <si>
    <t>서울 서초구 마방로2길 20</t>
    <phoneticPr fontId="2" type="noConversion"/>
  </si>
  <si>
    <t>대성오토(대구)</t>
    <phoneticPr fontId="2" type="noConversion"/>
  </si>
  <si>
    <t>010-7519-0971</t>
    <phoneticPr fontId="2" type="noConversion"/>
  </si>
  <si>
    <t>대구광역시 남구 대명복개로 51</t>
    <phoneticPr fontId="2" type="noConversion"/>
  </si>
  <si>
    <t>대구</t>
    <phoneticPr fontId="2" type="noConversion"/>
  </si>
  <si>
    <t>스타모터스(대구)</t>
  </si>
  <si>
    <t>010-3826-3459</t>
  </si>
  <si>
    <t>대구 수성구 황금동 들안로 130</t>
  </si>
  <si>
    <t>스타모터스(대구)_250320_122443.xlsx</t>
  </si>
  <si>
    <t>010-4810-7573</t>
    <phoneticPr fontId="2" type="noConversion"/>
  </si>
  <si>
    <t>경북 경산시 경안로 133</t>
    <phoneticPr fontId="2" type="noConversion"/>
  </si>
  <si>
    <t>경산갑제319</t>
  </si>
  <si>
    <t>이벤트</t>
    <phoneticPr fontId="2" type="noConversion"/>
  </si>
  <si>
    <t>내용</t>
    <phoneticPr fontId="2" type="noConversion"/>
  </si>
  <si>
    <t>ECU 입수</t>
    <phoneticPr fontId="2" type="noConversion"/>
  </si>
  <si>
    <t>FLANGE</t>
    <phoneticPr fontId="2" type="noConversion"/>
  </si>
  <si>
    <t>FASTGARAGE</t>
    <phoneticPr fontId="2" type="noConversion"/>
  </si>
  <si>
    <t>B 1시간 오일교체, 10분 추가</t>
    <phoneticPr fontId="2" type="noConversion"/>
  </si>
  <si>
    <t>F바디 FLANGE 1개 로얄모터스 전달예정
10:50 분에 로얄사장님 가져가심</t>
    <phoneticPr fontId="2" type="noConversion"/>
  </si>
  <si>
    <t>A 1시간 , 투싼 X2.0</t>
    <phoneticPr fontId="2" type="noConversion"/>
  </si>
  <si>
    <t>B 1시간 오일교체, 투싼 VDT</t>
    <phoneticPr fontId="2" type="noConversion"/>
  </si>
  <si>
    <t>F바디 FLANGE 2개 울산 BMW 모터스로 퀵 발송 완료
배송문자 받음 12:20 분 울산 도착</t>
    <phoneticPr fontId="2" type="noConversion"/>
  </si>
  <si>
    <t>FLANGE 퀵</t>
    <phoneticPr fontId="2" type="noConversion"/>
  </si>
  <si>
    <t>DSM 은 ISM 에서 업그레이드 버전</t>
    <phoneticPr fontId="2" type="noConversion"/>
  </si>
  <si>
    <t>A0002701852</t>
    <phoneticPr fontId="2" type="noConversion"/>
  </si>
  <si>
    <t>ISM</t>
    <phoneticPr fontId="2" type="noConversion"/>
  </si>
  <si>
    <t>34265KIT</t>
  </si>
  <si>
    <t>OB5_DISC</t>
  </si>
  <si>
    <t>B&amp;M 모터스 ECU  1개 주고 가심
CLONE 작업완료해서 사장님이 직접 배달가심
ECU문제가 아닌걸로 밝혀져서 clone비만 받음</t>
    <phoneticPr fontId="2" type="noConversion"/>
  </si>
  <si>
    <t>OBH 신형은 전진불가</t>
    <phoneticPr fontId="2" type="noConversion"/>
  </si>
  <si>
    <t>OBH 구형은 1,2 의도와 달리 열림</t>
    <phoneticPr fontId="2" type="noConversion"/>
  </si>
  <si>
    <t>대륙오토_250321_150433.xlsx</t>
  </si>
  <si>
    <t>B24117624192</t>
  </si>
  <si>
    <t>8HP_OILPAN</t>
  </si>
  <si>
    <t>FDCT</t>
    <phoneticPr fontId="2" type="noConversion"/>
  </si>
  <si>
    <t>신일모터스(경주)</t>
    <phoneticPr fontId="2" type="noConversion"/>
  </si>
  <si>
    <t>010-9220-4599</t>
    <phoneticPr fontId="2" type="noConversion"/>
  </si>
  <si>
    <t>경북 경주시 용황로11길 26-11</t>
    <phoneticPr fontId="2" type="noConversion"/>
  </si>
  <si>
    <t>신일오토(부산)</t>
    <phoneticPr fontId="2" type="noConversion"/>
  </si>
  <si>
    <t>010-5851-3115</t>
    <phoneticPr fontId="2" type="noConversion"/>
  </si>
  <si>
    <t>부산광역시 남구 유엔로 212</t>
    <phoneticPr fontId="2" type="noConversion"/>
  </si>
  <si>
    <t>AZ제일오토미션(순천)</t>
    <phoneticPr fontId="2" type="noConversion"/>
  </si>
  <si>
    <t>D&amp;N모터스(전주)</t>
    <phoneticPr fontId="2" type="noConversion"/>
  </si>
  <si>
    <t>SJ모터스(부산)</t>
    <phoneticPr fontId="2" type="noConversion"/>
  </si>
  <si>
    <t>YG모터스(대구)</t>
    <phoneticPr fontId="2" type="noConversion"/>
  </si>
  <si>
    <t>건영자동차공업사(제주)</t>
    <phoneticPr fontId="2" type="noConversion"/>
  </si>
  <si>
    <t>경남오토미션(창원)</t>
    <phoneticPr fontId="2" type="noConversion"/>
  </si>
  <si>
    <t>경상남도 창원시 의창구 사화로 286</t>
    <phoneticPr fontId="2" type="noConversion"/>
  </si>
  <si>
    <t>그린오토매틱(제주)</t>
    <phoneticPr fontId="2" type="noConversion"/>
  </si>
  <si>
    <t>근모터스(김해)</t>
    <phoneticPr fontId="2" type="noConversion"/>
  </si>
  <si>
    <t>금성오토(광주)</t>
    <phoneticPr fontId="2" type="noConversion"/>
  </si>
  <si>
    <t>김해오토(김해)</t>
    <phoneticPr fontId="2" type="noConversion"/>
  </si>
  <si>
    <t>뉴아트(대구)</t>
    <phoneticPr fontId="2" type="noConversion"/>
  </si>
  <si>
    <t>대경카마스터(대구)</t>
    <phoneticPr fontId="2" type="noConversion"/>
  </si>
  <si>
    <t>대구오토(대구)</t>
    <phoneticPr fontId="2" type="noConversion"/>
  </si>
  <si>
    <t>대덕오토(대전)</t>
    <phoneticPr fontId="2" type="noConversion"/>
  </si>
  <si>
    <t>대륙오토(대구)</t>
    <phoneticPr fontId="2" type="noConversion"/>
  </si>
  <si>
    <t>대명오토(서울서초)</t>
    <phoneticPr fontId="2" type="noConversion"/>
  </si>
  <si>
    <t>가든모터스(서울도봉)</t>
    <phoneticPr fontId="2" type="noConversion"/>
  </si>
  <si>
    <t>댐스(대구)</t>
    <phoneticPr fontId="2" type="noConversion"/>
  </si>
  <si>
    <t>디에이치모터스(서울동대문)</t>
    <phoneticPr fontId="2" type="noConversion"/>
  </si>
  <si>
    <t>디유모터스(울산)</t>
    <phoneticPr fontId="2" type="noConversion"/>
  </si>
  <si>
    <t>로얄오토(대구)</t>
    <phoneticPr fontId="2" type="noConversion"/>
  </si>
  <si>
    <t>마이스터(대구)</t>
    <phoneticPr fontId="2" type="noConversion"/>
  </si>
  <si>
    <t>마이오토(전북완주)</t>
    <phoneticPr fontId="2" type="noConversion"/>
  </si>
  <si>
    <t>매드모터스(광주)</t>
    <phoneticPr fontId="2" type="noConversion"/>
  </si>
  <si>
    <t>메이븐오토미션(서울중랑구)</t>
    <phoneticPr fontId="2" type="noConversion"/>
  </si>
  <si>
    <t>명종모터스(대구)</t>
    <phoneticPr fontId="2" type="noConversion"/>
  </si>
  <si>
    <t>명차(대구)</t>
    <phoneticPr fontId="2" type="noConversion"/>
  </si>
  <si>
    <t>미르오토(대구)</t>
    <phoneticPr fontId="2" type="noConversion"/>
  </si>
  <si>
    <t>삼호미션(전주)</t>
    <phoneticPr fontId="2" type="noConversion"/>
  </si>
  <si>
    <t>상상오토컴퍼니(부산)</t>
    <phoneticPr fontId="2" type="noConversion"/>
  </si>
  <si>
    <t>서기사오토(대구)</t>
    <phoneticPr fontId="2" type="noConversion"/>
  </si>
  <si>
    <t>성민오토(대전)</t>
  </si>
  <si>
    <t>성민오토(대전)</t>
    <phoneticPr fontId="2" type="noConversion"/>
  </si>
  <si>
    <t>성실자동차(인천)</t>
    <phoneticPr fontId="2" type="noConversion"/>
  </si>
  <si>
    <t>세계오토(대구)</t>
    <phoneticPr fontId="2" type="noConversion"/>
  </si>
  <si>
    <t>세기자동차공업사(인천)</t>
    <phoneticPr fontId="2" type="noConversion"/>
  </si>
  <si>
    <t>세븐모터스(대구)</t>
    <phoneticPr fontId="2" type="noConversion"/>
  </si>
  <si>
    <t>수레카모터스(인천)</t>
    <phoneticPr fontId="2" type="noConversion"/>
  </si>
  <si>
    <t>스카이오토미션(천안)</t>
    <phoneticPr fontId="2" type="noConversion"/>
  </si>
  <si>
    <t>아이디모터스(부산)</t>
    <phoneticPr fontId="2" type="noConversion"/>
  </si>
  <si>
    <t>알씨모터스(대구)</t>
    <phoneticPr fontId="2" type="noConversion"/>
  </si>
  <si>
    <t>엠팩토리(대구)</t>
    <phoneticPr fontId="2" type="noConversion"/>
  </si>
  <si>
    <t>연화오토(대구)</t>
    <phoneticPr fontId="2" type="noConversion"/>
  </si>
  <si>
    <t>영성모터스(경산)</t>
    <phoneticPr fontId="2" type="noConversion"/>
  </si>
  <si>
    <t>오거리카(대구)</t>
    <phoneticPr fontId="2" type="noConversion"/>
  </si>
  <si>
    <t>오토맥스(대구)</t>
    <phoneticPr fontId="2" type="noConversion"/>
  </si>
  <si>
    <t>오토서비스(평택)</t>
    <phoneticPr fontId="2" type="noConversion"/>
  </si>
  <si>
    <t>오토세븐(대구)</t>
    <phoneticPr fontId="2" type="noConversion"/>
  </si>
  <si>
    <t>오토월드(대구)</t>
    <phoneticPr fontId="2" type="noConversion"/>
  </si>
  <si>
    <t>오토젠(남양주)</t>
    <phoneticPr fontId="2" type="noConversion"/>
  </si>
  <si>
    <t>우본정비공장(대구)</t>
    <phoneticPr fontId="2" type="noConversion"/>
  </si>
  <si>
    <t>웨스트모터스(대구)</t>
    <phoneticPr fontId="2" type="noConversion"/>
  </si>
  <si>
    <t>윤마스터(포항)</t>
    <phoneticPr fontId="2" type="noConversion"/>
  </si>
  <si>
    <t>윤중오토미션(대전)</t>
    <phoneticPr fontId="2" type="noConversion"/>
  </si>
  <si>
    <t>은현자동차공업소(용인)</t>
    <phoneticPr fontId="2" type="noConversion"/>
  </si>
  <si>
    <t>이시아오토(대구)</t>
    <phoneticPr fontId="2" type="noConversion"/>
  </si>
  <si>
    <t>제이씨오토(충남예산)</t>
    <phoneticPr fontId="2" type="noConversion"/>
  </si>
  <si>
    <t>충청남도 예산군 예산읍 발연로 60-5</t>
    <phoneticPr fontId="2" type="noConversion"/>
  </si>
  <si>
    <t>제이오토(대구)</t>
    <phoneticPr fontId="2" type="noConversion"/>
  </si>
  <si>
    <t>제일오토(대구)</t>
    <phoneticPr fontId="2" type="noConversion"/>
  </si>
  <si>
    <t>젠오토(구미)</t>
    <phoneticPr fontId="2" type="noConversion"/>
  </si>
  <si>
    <t>조이오토(대구)</t>
    <phoneticPr fontId="2" type="noConversion"/>
  </si>
  <si>
    <t>준오토미션(부산)</t>
    <phoneticPr fontId="2" type="noConversion"/>
  </si>
  <si>
    <t>지성모터스(대전)</t>
    <phoneticPr fontId="2" type="noConversion"/>
  </si>
  <si>
    <t>지오모터스(창원)</t>
    <phoneticPr fontId="2" type="noConversion"/>
  </si>
  <si>
    <t>지원오토미션(창원)</t>
    <phoneticPr fontId="2" type="noConversion"/>
  </si>
  <si>
    <t>진영오토(남양주)</t>
    <phoneticPr fontId="2" type="noConversion"/>
  </si>
  <si>
    <t>진홍오토(대구)</t>
    <phoneticPr fontId="2" type="noConversion"/>
  </si>
  <si>
    <t>차닥터남모터스(인천)</t>
    <phoneticPr fontId="2" type="noConversion"/>
  </si>
  <si>
    <t>최고윤우오토샵(부산)</t>
    <phoneticPr fontId="2" type="noConversion"/>
  </si>
  <si>
    <t>카이드모터스(인천)</t>
    <phoneticPr fontId="2" type="noConversion"/>
  </si>
  <si>
    <t>코리아탑오토샵(대전)</t>
    <phoneticPr fontId="2" type="noConversion"/>
  </si>
  <si>
    <t>태경오토(경기도고양)</t>
    <phoneticPr fontId="2" type="noConversion"/>
  </si>
  <si>
    <t>태양모터스(대구)</t>
    <phoneticPr fontId="2" type="noConversion"/>
  </si>
  <si>
    <t>프로오토미션(광주)</t>
    <phoneticPr fontId="2" type="noConversion"/>
  </si>
  <si>
    <t>하나로카(부산)</t>
    <phoneticPr fontId="2" type="noConversion"/>
  </si>
  <si>
    <t>하오르모터스(부산)</t>
    <phoneticPr fontId="2" type="noConversion"/>
  </si>
  <si>
    <t>하이웨이(구미)</t>
    <phoneticPr fontId="2" type="noConversion"/>
  </si>
  <si>
    <t>하정오토(광주)</t>
    <phoneticPr fontId="2" type="noConversion"/>
  </si>
  <si>
    <t>한결카오토미션(대전)</t>
    <phoneticPr fontId="2" type="noConversion"/>
  </si>
  <si>
    <t>한국오토정비공업사(울산)</t>
    <phoneticPr fontId="2" type="noConversion"/>
  </si>
  <si>
    <t>한독오토(대구)</t>
    <phoneticPr fontId="2" type="noConversion"/>
  </si>
  <si>
    <t>한신오토미션(서울 송파)</t>
    <phoneticPr fontId="2" type="noConversion"/>
  </si>
  <si>
    <t>형제카정비(현풍)</t>
    <phoneticPr fontId="2" type="noConversion"/>
  </si>
  <si>
    <t>비앤비모터스(창원)</t>
    <phoneticPr fontId="2" type="noConversion"/>
  </si>
  <si>
    <t>제이피오토미션(부산)</t>
    <phoneticPr fontId="2" type="noConversion"/>
  </si>
  <si>
    <t>A7252709011</t>
  </si>
  <si>
    <t>후진기어 삽입</t>
  </si>
  <si>
    <t>스타모터스(대구)_250324_113224.xlsx</t>
  </si>
  <si>
    <t>010-6261-2920</t>
    <phoneticPr fontId="2" type="noConversion"/>
  </si>
  <si>
    <t>대전 대덕구 비래동로15번길 76</t>
    <phoneticPr fontId="2" type="noConversion"/>
  </si>
  <si>
    <t>VGS2-FDCT</t>
    <phoneticPr fontId="2" type="noConversion"/>
  </si>
  <si>
    <t>A0054463710</t>
    <phoneticPr fontId="2" type="noConversion"/>
  </si>
  <si>
    <t>오일온도센서 경고등</t>
  </si>
  <si>
    <t>성민오토(대전)_250324_114653.xlsx</t>
  </si>
  <si>
    <t>스타모터스 9단 Clone &gt; 퀵 발송완료</t>
    <phoneticPr fontId="2" type="noConversion"/>
  </si>
  <si>
    <t>대전 성민 오토 FDCT 입수
고품/번호판/신품 놓고 사진찍어서 전달</t>
    <phoneticPr fontId="2" type="noConversion"/>
  </si>
  <si>
    <t>9단</t>
    <phoneticPr fontId="2" type="noConversion"/>
  </si>
  <si>
    <t>정인호오토샵(김천)</t>
  </si>
  <si>
    <t>정인호오토샵(김천)</t>
    <phoneticPr fontId="2" type="noConversion"/>
  </si>
  <si>
    <t>010-3543-0211</t>
    <phoneticPr fontId="2" type="noConversion"/>
  </si>
  <si>
    <t>경북 김천시 다삼로 30</t>
    <phoneticPr fontId="2" type="noConversion"/>
  </si>
  <si>
    <t>정인호오토샵(김천)_250324_122810.xlsx</t>
  </si>
  <si>
    <t>매드모터스(광주)</t>
  </si>
  <si>
    <t>매드모터스(광주)_250324_133232.xlsx</t>
  </si>
  <si>
    <t>Differential</t>
    <phoneticPr fontId="2" type="noConversion"/>
  </si>
  <si>
    <t>9단</t>
    <phoneticPr fontId="2" type="noConversion"/>
  </si>
  <si>
    <t>하나오토(진주) 16:20분 서부정류장</t>
    <phoneticPr fontId="2" type="noConversion"/>
  </si>
  <si>
    <t>현진미션(칠곡)_250324_143231.xlsx</t>
  </si>
  <si>
    <t>8HP50</t>
    <phoneticPr fontId="2" type="noConversion"/>
  </si>
  <si>
    <t>칠곡 현진미션 사장님 직접 가심</t>
    <phoneticPr fontId="2" type="noConversion"/>
  </si>
  <si>
    <t>삼호미션</t>
    <phoneticPr fontId="2" type="noConversion"/>
  </si>
  <si>
    <t>9단 Clone 작업</t>
    <phoneticPr fontId="2" type="noConversion"/>
  </si>
  <si>
    <t>아이디모터스</t>
    <phoneticPr fontId="2" type="noConversion"/>
  </si>
  <si>
    <t>OGC 센서 1번수리 P1735</t>
    <phoneticPr fontId="2" type="noConversion"/>
  </si>
  <si>
    <t>OGC</t>
    <phoneticPr fontId="2" type="noConversion"/>
  </si>
  <si>
    <t>삼호미션(전주)</t>
  </si>
  <si>
    <t>010-7472-7003</t>
    <phoneticPr fontId="2" type="noConversion"/>
  </si>
  <si>
    <t>전주시 덕진구 신복로 18-11</t>
    <phoneticPr fontId="2" type="noConversion"/>
  </si>
  <si>
    <t>전주덕진팔복1가 283</t>
  </si>
  <si>
    <t>아이디모터스(부산)</t>
  </si>
  <si>
    <t>010-6670-5324</t>
    <phoneticPr fontId="2" type="noConversion"/>
  </si>
  <si>
    <t>부산시 수영구 광남로 219</t>
    <phoneticPr fontId="2" type="noConversion"/>
  </si>
  <si>
    <t>부산수영망미392</t>
  </si>
  <si>
    <t>미르오토(대구)</t>
  </si>
  <si>
    <t>제품구분</t>
    <phoneticPr fontId="2" type="noConversion"/>
  </si>
  <si>
    <t>FORD</t>
    <phoneticPr fontId="2" type="noConversion"/>
  </si>
  <si>
    <t>TCU</t>
    <phoneticPr fontId="2" type="noConversion"/>
  </si>
  <si>
    <t>VGS</t>
    <phoneticPr fontId="2" type="noConversion"/>
  </si>
  <si>
    <t>EGS</t>
    <phoneticPr fontId="2" type="noConversion"/>
  </si>
  <si>
    <t>Valvebody</t>
    <phoneticPr fontId="2" type="noConversion"/>
  </si>
  <si>
    <t>Mechatronics</t>
    <phoneticPr fontId="2" type="noConversion"/>
  </si>
  <si>
    <t>Wire Kit</t>
    <phoneticPr fontId="2" type="noConversion"/>
  </si>
  <si>
    <t>Solenoid</t>
  </si>
  <si>
    <t>Solenoid</t>
    <phoneticPr fontId="2" type="noConversion"/>
  </si>
  <si>
    <t>Flange</t>
    <phoneticPr fontId="2" type="noConversion"/>
  </si>
  <si>
    <t>Parkpawl</t>
    <phoneticPr fontId="2" type="noConversion"/>
  </si>
  <si>
    <t>TC</t>
    <phoneticPr fontId="2" type="noConversion"/>
  </si>
  <si>
    <t>Clutch</t>
    <phoneticPr fontId="2" type="noConversion"/>
  </si>
  <si>
    <t>Oilpan</t>
    <phoneticPr fontId="2" type="noConversion"/>
  </si>
  <si>
    <t>Gearbox</t>
    <phoneticPr fontId="2" type="noConversion"/>
  </si>
  <si>
    <t>Filter</t>
    <phoneticPr fontId="2" type="noConversion"/>
  </si>
  <si>
    <t>OHK</t>
    <phoneticPr fontId="2" type="noConversion"/>
  </si>
  <si>
    <t>OB5</t>
    <phoneticPr fontId="2" type="noConversion"/>
  </si>
  <si>
    <t>OAM</t>
    <phoneticPr fontId="2" type="noConversion"/>
  </si>
  <si>
    <t>OAM_E</t>
    <phoneticPr fontId="2" type="noConversion"/>
  </si>
  <si>
    <t>OAW</t>
    <phoneticPr fontId="2" type="noConversion"/>
  </si>
  <si>
    <t>O2E</t>
    <phoneticPr fontId="2" type="noConversion"/>
  </si>
  <si>
    <t>OBH</t>
    <phoneticPr fontId="2" type="noConversion"/>
  </si>
  <si>
    <t>OCK</t>
    <phoneticPr fontId="2" type="noConversion"/>
  </si>
  <si>
    <t>CVT</t>
    <phoneticPr fontId="2" type="noConversion"/>
  </si>
  <si>
    <t>VGSNAG2</t>
    <phoneticPr fontId="2" type="noConversion"/>
  </si>
  <si>
    <t>8HP55</t>
    <phoneticPr fontId="2" type="noConversion"/>
  </si>
  <si>
    <t>6GT</t>
    <phoneticPr fontId="2" type="noConversion"/>
  </si>
  <si>
    <t>8HP65</t>
    <phoneticPr fontId="2" type="noConversion"/>
  </si>
  <si>
    <t>G-Body</t>
    <phoneticPr fontId="2" type="noConversion"/>
  </si>
  <si>
    <t>F-Body</t>
    <phoneticPr fontId="2" type="noConversion"/>
  </si>
  <si>
    <t>8단</t>
    <phoneticPr fontId="2" type="noConversion"/>
  </si>
  <si>
    <t>6단</t>
    <phoneticPr fontId="2" type="noConversion"/>
  </si>
  <si>
    <t>7단</t>
    <phoneticPr fontId="2" type="noConversion"/>
  </si>
  <si>
    <t>No</t>
    <phoneticPr fontId="2" type="noConversion"/>
  </si>
  <si>
    <t>미르오토(대구)_250326_161744.xlsx</t>
  </si>
  <si>
    <t>119모터스(화성)</t>
  </si>
  <si>
    <t>119모터스(화성)_250326_180440.xlsx</t>
  </si>
  <si>
    <t>삼호미션(전주)_250326_180708.xlsx</t>
  </si>
  <si>
    <t>미르오토(대구)_250326_180953.xlsx</t>
  </si>
  <si>
    <t>엠모터스(구미)_250326_181053.xlsx</t>
  </si>
  <si>
    <t>D&amp;N모터스(전주)</t>
  </si>
  <si>
    <t>D&amp;N모터스(전주)_250326_181146.xlsx</t>
  </si>
  <si>
    <t>대륙오토(대구)</t>
  </si>
  <si>
    <t>대륙오토(대구)_250326_181247.xlsx</t>
  </si>
  <si>
    <t>미르오토(대구)_250326_181328.xlsx</t>
  </si>
  <si>
    <t>대륙오토(대구)_250326_182322.xlsx</t>
  </si>
  <si>
    <t>엠모터스(구미)_250326_182522.xlsx</t>
  </si>
  <si>
    <t>제일오토(대구)</t>
  </si>
  <si>
    <t>제일오토(대구)_250326_182617.xlsx</t>
  </si>
  <si>
    <t>미르오토(대구)_250326_182714.xlsx</t>
  </si>
  <si>
    <t>대덕오토(대전)</t>
  </si>
  <si>
    <t>대덕오토(대전)_250326_182800.xlsx</t>
  </si>
  <si>
    <t>비앤비모터스(창원)</t>
  </si>
  <si>
    <t>비앤비모터스(창원)_250326_182902.xlsx</t>
  </si>
  <si>
    <t>태양모터스(대구)</t>
  </si>
  <si>
    <t>태양모터스(대구)_250326_183004.xlsx</t>
  </si>
  <si>
    <t>한독오토(대구)</t>
  </si>
  <si>
    <t>한독오토(대구)_250326_183106.xlsx</t>
  </si>
  <si>
    <t>미르오토(대구)_250326_183153.xlsx</t>
  </si>
  <si>
    <t>대륙오토(대구)_250326_183227.xlsx</t>
  </si>
  <si>
    <t>혜광오토(부산)_250326_183304.xlsx</t>
  </si>
  <si>
    <t>혜광오토(김해)_250326_183428.xlsx</t>
  </si>
  <si>
    <t>02E927770AL</t>
  </si>
  <si>
    <t>미르오토(대구)_250326_183527.xlsx</t>
  </si>
  <si>
    <t>MEISTER-K(부산)_250326_183602.xlsx</t>
  </si>
  <si>
    <t>대명오토(서울서초)</t>
  </si>
  <si>
    <t>대명오토(서울서초)_250326_183748.xlsx</t>
  </si>
  <si>
    <t>이시아오토(대구)</t>
  </si>
  <si>
    <t>GASKET</t>
  </si>
  <si>
    <t>이시아오토(대구)_250326_183908.xlsx</t>
  </si>
  <si>
    <t>현진미션(칠곡)_250326_183950.xlsx</t>
  </si>
  <si>
    <t>진영오토(남양주)</t>
  </si>
  <si>
    <t>진영오토(남양주)_250326_184142.xlsx</t>
  </si>
  <si>
    <t>만놀 오일</t>
  </si>
  <si>
    <t>오일팬</t>
  </si>
  <si>
    <t>미르오토(대구)_250326_184253.xlsx</t>
  </si>
  <si>
    <t>하나오토(진주)_250326_184403.xlsx</t>
  </si>
  <si>
    <t>연화오토(대구)</t>
  </si>
  <si>
    <t>ZF Oilpan Hybrid</t>
  </si>
  <si>
    <t>연화오토(대구)_250326_184514.xlsx</t>
  </si>
  <si>
    <t>6HP Repair</t>
  </si>
  <si>
    <t>현대오토(영천)_250326_184607.xlsx</t>
  </si>
  <si>
    <t>엠모터스(구미)_250326_184655.xlsx</t>
  </si>
  <si>
    <t>오토티엠(광명)</t>
  </si>
  <si>
    <t>8G45 Valvebody</t>
  </si>
  <si>
    <t>오토티엠(광명)_250326_184826.xlsx</t>
  </si>
  <si>
    <t>전주오토(전주)</t>
    <phoneticPr fontId="2" type="noConversion"/>
  </si>
  <si>
    <t>010-6665-7115</t>
    <phoneticPr fontId="2" type="noConversion"/>
  </si>
  <si>
    <t>OC8_Transfer_Case</t>
  </si>
  <si>
    <t>전주오토(전주)_250326_185135.xlsx</t>
  </si>
  <si>
    <t>OB5_TCU_CLONE</t>
  </si>
  <si>
    <t>이시아오토(대구)_250326_185242.xlsx</t>
  </si>
  <si>
    <t>웨스트모터스(대구)</t>
  </si>
  <si>
    <t>VGSNAG3 Repair</t>
  </si>
  <si>
    <t>PARK_PAWL</t>
  </si>
  <si>
    <t>웨스트모터스(대구)_250326_185411.xlsx</t>
  </si>
  <si>
    <t>지오모터스(창원)</t>
  </si>
  <si>
    <t>지오모터스(창원)_250326_185501.xlsx</t>
  </si>
  <si>
    <t>미르오토(대구)_250326_185545.xlsx</t>
  </si>
  <si>
    <t>BENZ VGS 작업</t>
  </si>
  <si>
    <t>미르오토(대구)_250326_185622.xlsx</t>
  </si>
  <si>
    <t>OD9 Mechatronics</t>
  </si>
  <si>
    <t>혜광오토(부산)_250326_185747.xlsx</t>
  </si>
  <si>
    <t>Differential</t>
  </si>
  <si>
    <t>UPS진행</t>
  </si>
  <si>
    <t>매드모터스(광주)_250326_185849.xlsx</t>
  </si>
  <si>
    <t>Golf 작업비</t>
  </si>
  <si>
    <t>OB5 Clutch</t>
  </si>
  <si>
    <t>OB5 Valvebody</t>
  </si>
  <si>
    <t>대륙오토(대구)_250326_190010.xlsx</t>
  </si>
  <si>
    <t>스타모터스(대구)_250326_190151.xlsx</t>
  </si>
  <si>
    <t>이시아오토(대구)_250326_190222.xlsx</t>
  </si>
  <si>
    <t>혜광오토(양산)_250326_190310.xlsx</t>
  </si>
  <si>
    <t>영성모터스(경산)</t>
  </si>
  <si>
    <t>영성모터스(경산)_250326_190448.xlsx</t>
  </si>
  <si>
    <t>BMW모터스(울산)</t>
  </si>
  <si>
    <t>BMW Flang</t>
  </si>
  <si>
    <t>퀵버스</t>
  </si>
  <si>
    <t>BMW모터스(울산)_250326_190617.xlsx</t>
  </si>
  <si>
    <t>B&amp;M모터스</t>
  </si>
  <si>
    <t>010-2191-0884</t>
  </si>
  <si>
    <t>대구 북구 성북로 3-1</t>
  </si>
  <si>
    <t>MSD80 DME</t>
  </si>
  <si>
    <t>B&amp;M모터스_250326_190928.xlsx</t>
  </si>
  <si>
    <t>대륙오토(대구)_250326_191026.xlsx</t>
  </si>
  <si>
    <t>성민오토(대전)_250326_191421.xlsx</t>
  </si>
  <si>
    <t>스타모터스(대구)_250326_191536.xlsx</t>
  </si>
  <si>
    <t>정인호오토샵(김천)_250326_191650.xlsx</t>
  </si>
  <si>
    <t>하나오토(진주)_250326_191722.xlsx</t>
  </si>
  <si>
    <t>현진미션(칠곡)_250326_191805.xlsx</t>
  </si>
  <si>
    <t>신일모터스(경주)</t>
  </si>
  <si>
    <t>오일압력 무압력</t>
  </si>
  <si>
    <t>신일모터스(경주)_250326_191920.xlsx</t>
  </si>
  <si>
    <t>6HP_Repair</t>
  </si>
  <si>
    <t>제일오토(대구)_250326_192016.xlsx</t>
  </si>
  <si>
    <t>엠모터스(구미)_250326_192050.xlsx</t>
  </si>
  <si>
    <t>OC8 Pump + Valvebody</t>
  </si>
  <si>
    <t>현진미션(남대구)_250326_192209.xlsx</t>
  </si>
  <si>
    <t>대륙오토(대구)_250326_192257.xlsx</t>
  </si>
  <si>
    <t>제이오토(대구)</t>
  </si>
  <si>
    <t>VGS3_Oilpan</t>
  </si>
  <si>
    <t>제이오토(대구)_250326_192414.xlsx</t>
  </si>
  <si>
    <t>동명오토(인천)</t>
  </si>
  <si>
    <t>동명오토(인천)_250326_192515.xlsx</t>
  </si>
  <si>
    <t>현진미션(남대구)_250326_192604.xlsx</t>
  </si>
  <si>
    <t>삼호미션(전주)_250326_192635.xlsx</t>
  </si>
  <si>
    <t>아이디모터스(부산)_250326_192726.xlsx</t>
  </si>
  <si>
    <t>6HP_Oilpan</t>
  </si>
  <si>
    <t>현진미션(칠곡)_250326_192838.xlsx</t>
  </si>
  <si>
    <t>모토매니아(화성)</t>
  </si>
  <si>
    <t>010-9900-6293</t>
    <phoneticPr fontId="2" type="noConversion"/>
  </si>
  <si>
    <t>경기도 화성시 양감면 장승백이길4</t>
    <phoneticPr fontId="2" type="noConversion"/>
  </si>
  <si>
    <t>부산비엔비(부산)</t>
  </si>
  <si>
    <t>GSM</t>
  </si>
  <si>
    <t>변속기 범위 셀렉터 룩 컨트롤 에러</t>
  </si>
  <si>
    <t>부산비엔비(부산)_250327_110518.xlsx</t>
  </si>
  <si>
    <t>사용자 로그인</t>
    <phoneticPr fontId="2" type="noConversion"/>
  </si>
  <si>
    <t>비밀번호를 입력하세요</t>
  </si>
  <si>
    <t>부산비엔비(부산)_250329_120401.xlsx</t>
  </si>
  <si>
    <t>VGS2-FDCT</t>
  </si>
  <si>
    <t>마일레오토(마포)_250329_120454.xlsx</t>
  </si>
  <si>
    <t>A0002703500</t>
  </si>
  <si>
    <t>부산사상학장246</t>
    <phoneticPr fontId="2" type="noConversion"/>
  </si>
  <si>
    <t>폭스바겐(천안)</t>
  </si>
  <si>
    <t>010-4886-7701</t>
  </si>
  <si>
    <t>충남 천안시 서북구 성정동 36-9</t>
  </si>
  <si>
    <t>모토매니아(화성)</t>
    <phoneticPr fontId="2" type="noConversion"/>
  </si>
  <si>
    <t>모토매니아(화성)_250327_110240.xlsx</t>
    <phoneticPr fontId="2" type="noConversion"/>
  </si>
  <si>
    <t/>
  </si>
  <si>
    <t>모터매니아(화성)</t>
    <phoneticPr fontId="2" type="noConversion"/>
  </si>
  <si>
    <t>후진기어 삽입 되지 않음</t>
  </si>
  <si>
    <t>제이오토(대구)_250331_115707.xlsx</t>
  </si>
  <si>
    <t>혜광오토(김해)_250331_120042.xlsx</t>
  </si>
  <si>
    <t>OCK_Filter</t>
  </si>
  <si>
    <t>마일레오토(군포)_250331_180447.xlsx</t>
  </si>
  <si>
    <t>AZ제일오토미션(순천)</t>
  </si>
  <si>
    <t>OAW</t>
  </si>
  <si>
    <t>AZ제일오토미션(순천)_250331_184852.xlsx</t>
  </si>
  <si>
    <t>대구오토(대구)</t>
  </si>
  <si>
    <t>VGS2-FCVT</t>
  </si>
  <si>
    <t>대구오토(대구)_250331_185011.xlsx</t>
  </si>
  <si>
    <t>대구오토(대구)_250331_185119.xlsx</t>
  </si>
  <si>
    <t>대구오토(대구)_250331_185158.xlsx</t>
  </si>
  <si>
    <t>하나오토(청주)_250331_185310.xlsx</t>
  </si>
  <si>
    <t>한국오토(일산)</t>
  </si>
  <si>
    <t>OAM_Valvebody</t>
  </si>
  <si>
    <t>602000700 클러치</t>
  </si>
  <si>
    <t>410013910 니들베어링</t>
  </si>
  <si>
    <t>한국오토(일산)_250331_185624.xlsx</t>
  </si>
  <si>
    <t>한국오토(일산)_250331_185723.xlsx</t>
  </si>
  <si>
    <t>OB5105317R</t>
  </si>
  <si>
    <t>대명오토(서울서초)_250331_185829.xlsx</t>
  </si>
  <si>
    <t>한국오토(안양)_250331_190111.xlsx</t>
  </si>
  <si>
    <t>한국오토(안양)_250331_190227.xlsx</t>
  </si>
  <si>
    <t>금성오토(광주)</t>
  </si>
  <si>
    <t>금성오토(광주)_250331_190310.xlsx</t>
  </si>
  <si>
    <t>스카이오토미션(천안)</t>
  </si>
  <si>
    <t>스카이오토미션(천안)_250331_190355.xlsx</t>
  </si>
  <si>
    <t>OB5 ORING + GASKET</t>
  </si>
  <si>
    <t>대덕오토(대전)_250331_190541.xlsx</t>
  </si>
  <si>
    <t>고홍석</t>
  </si>
  <si>
    <t>자동차 점검/정비견적서</t>
  </si>
  <si>
    <t>고홍석_250331_190752.xlsx</t>
  </si>
  <si>
    <t>_250331_190947.xlsx</t>
  </si>
  <si>
    <t>자동차 점검/정비 견적서</t>
  </si>
  <si>
    <t>_250331_191055.xlsx</t>
  </si>
  <si>
    <t>원가</t>
    <phoneticPr fontId="2" type="noConversion"/>
  </si>
  <si>
    <t>75W140</t>
    <phoneticPr fontId="2" type="noConversion"/>
  </si>
  <si>
    <t>B&amp;M모터스_250401_094517.xlsx</t>
  </si>
  <si>
    <t>마일레오토(군포)</t>
    <phoneticPr fontId="2" type="noConversion"/>
  </si>
  <si>
    <t>010-8779-3722</t>
    <phoneticPr fontId="2" type="noConversion"/>
  </si>
  <si>
    <t>경기도 군포시 군포로 121</t>
    <phoneticPr fontId="2" type="noConversion"/>
  </si>
  <si>
    <t>경동(화물)</t>
    <phoneticPr fontId="2" type="noConversion"/>
  </si>
  <si>
    <t>010-3693-1600</t>
    <phoneticPr fontId="2" type="noConversion"/>
  </si>
  <si>
    <t>제주시 연미2길 16-3(오라3동)</t>
    <phoneticPr fontId="2" type="noConversion"/>
  </si>
  <si>
    <t>혜광오토(김해)</t>
    <phoneticPr fontId="2" type="noConversion"/>
  </si>
  <si>
    <t>010-4541-6869</t>
    <phoneticPr fontId="2" type="noConversion"/>
  </si>
  <si>
    <t>김해시 해반천로 50-1</t>
    <phoneticPr fontId="2" type="noConversion"/>
  </si>
  <si>
    <t>김해삼계1278</t>
  </si>
  <si>
    <t>BMW모터스(울산)_250401_100448.xlsx</t>
  </si>
  <si>
    <t>대구광역시 달서구 대명천로 26</t>
    <phoneticPr fontId="2" type="noConversion"/>
  </si>
  <si>
    <t>구마고속주유소</t>
  </si>
  <si>
    <t>사용처</t>
    <phoneticPr fontId="2" type="noConversion"/>
  </si>
  <si>
    <t>금액</t>
    <phoneticPr fontId="2" type="noConversion"/>
  </si>
  <si>
    <t>ODN321371B</t>
  </si>
  <si>
    <t>ODN321371B(가스켓)</t>
  </si>
  <si>
    <t>AZ제일오토미션(순천)_250401_143934.xlsx</t>
  </si>
  <si>
    <t>커넥터</t>
  </si>
  <si>
    <t>AZ제일오토미션(순천)_250401_161958.xlsx</t>
  </si>
  <si>
    <t>010-6235-6470</t>
    <phoneticPr fontId="2" type="noConversion"/>
  </si>
  <si>
    <t>전남 순천시 우석로81</t>
    <phoneticPr fontId="2" type="noConversion"/>
  </si>
  <si>
    <t>경동(화물)</t>
    <phoneticPr fontId="2" type="noConversion"/>
  </si>
  <si>
    <t>순천남정81</t>
  </si>
  <si>
    <t>퀵비</t>
  </si>
  <si>
    <t>8HP75_EGS</t>
  </si>
  <si>
    <t>제일오토(대구)_250402_115830.xlsx</t>
  </si>
  <si>
    <t>나들이김밥</t>
  </si>
  <si>
    <t>OILPAN_9G</t>
  </si>
  <si>
    <t>OILPAN_9G</t>
    <phoneticPr fontId="2" type="noConversion"/>
  </si>
  <si>
    <t>0b5 sol</t>
    <phoneticPr fontId="2" type="noConversion"/>
  </si>
  <si>
    <t>OB5_Solenoid</t>
  </si>
  <si>
    <t>OB5_TCU</t>
  </si>
  <si>
    <t>OCK_TCU</t>
  </si>
  <si>
    <t>OCJ_TCU</t>
    <phoneticPr fontId="2" type="noConversion"/>
  </si>
  <si>
    <t>OBH_TCU</t>
    <phoneticPr fontId="2" type="noConversion"/>
  </si>
  <si>
    <t>0HK927156B</t>
    <phoneticPr fontId="2" type="noConversion"/>
  </si>
  <si>
    <t>VGS2-FDCT</t>
    <phoneticPr fontId="2" type="noConversion"/>
  </si>
  <si>
    <t>A0054463310</t>
    <phoneticPr fontId="2" type="noConversion"/>
  </si>
  <si>
    <t>A2302707000</t>
    <phoneticPr fontId="2" type="noConversion"/>
  </si>
  <si>
    <t>Valvebody_7G</t>
    <phoneticPr fontId="2" type="noConversion"/>
  </si>
  <si>
    <t>VAS6154</t>
    <phoneticPr fontId="2" type="noConversion"/>
  </si>
  <si>
    <t>CLONE</t>
  </si>
  <si>
    <t>8HP50_Valvebody</t>
    <phoneticPr fontId="2" type="noConversion"/>
  </si>
  <si>
    <t>제이오토(대구)_250402_145943.xlsx</t>
  </si>
  <si>
    <t>미르오토(대구)_250402_150104.xlsx</t>
  </si>
  <si>
    <t>현진미션(남대구)_250402_163804.xlsx</t>
  </si>
  <si>
    <t>그린카서비스(대전)</t>
  </si>
  <si>
    <t>010-5849-8711</t>
  </si>
  <si>
    <t>대전 동구 효동 287-1</t>
  </si>
  <si>
    <t>VW온라인 작업</t>
  </si>
  <si>
    <t>그린카서비스(대전)_250402_170704.xlsx</t>
  </si>
  <si>
    <t>54나 5426</t>
  </si>
  <si>
    <t>자동차점검/정비견적서</t>
  </si>
  <si>
    <t>54나 5426_250402_170927.xlsx</t>
  </si>
  <si>
    <t>Landrover GSM</t>
  </si>
  <si>
    <t>제이오토(대구)_250402_175836.xlsx</t>
  </si>
  <si>
    <t>8HP Gen.3</t>
  </si>
  <si>
    <t>제일오토(대구)_250402_180001.xlsx</t>
  </si>
  <si>
    <t>결재</t>
    <phoneticPr fontId="2" type="noConversion"/>
  </si>
  <si>
    <t>제욱오토(부산)</t>
  </si>
  <si>
    <t>010-5542-9240</t>
  </si>
  <si>
    <t>부산 사상구 학장로 309(주례동)</t>
  </si>
  <si>
    <t>8HP70 Mechartronics</t>
  </si>
  <si>
    <t>제욱오토(부산)_250403_103601.xlsx</t>
  </si>
  <si>
    <t>최고윤우오토샵(부산)</t>
  </si>
  <si>
    <t>최고윤우오토샵(부산)_250403_103712.xlsx</t>
  </si>
  <si>
    <t>34265KIT</t>
    <phoneticPr fontId="2" type="noConversion"/>
  </si>
  <si>
    <t>0AM311665A</t>
    <phoneticPr fontId="2" type="noConversion"/>
  </si>
  <si>
    <t>6HP_8HP_출력_리데나</t>
    <phoneticPr fontId="2" type="noConversion"/>
  </si>
  <si>
    <t>MINI_Wirekit</t>
    <phoneticPr fontId="2" type="noConversion"/>
  </si>
  <si>
    <t>TF72,TG81</t>
  </si>
  <si>
    <t>결재</t>
    <phoneticPr fontId="2" type="noConversion"/>
  </si>
  <si>
    <t>파이프 작업</t>
  </si>
  <si>
    <t>8HP_펌프_실링킷</t>
  </si>
  <si>
    <t>대륙오토(대구)_250404_090757.xlsx</t>
  </si>
  <si>
    <t>8HP_Pump_Seal_kit</t>
    <phoneticPr fontId="2" type="noConversion"/>
  </si>
  <si>
    <t>부산OB5 작업비</t>
  </si>
  <si>
    <t>Clutch Rebuild</t>
  </si>
  <si>
    <t>Valvebody Rebuild</t>
  </si>
  <si>
    <t>ATC35/45L_Disc</t>
  </si>
  <si>
    <t>매드모터스(광주)_250404_115031.xlsx</t>
  </si>
  <si>
    <t>01035174B</t>
    <phoneticPr fontId="2" type="noConversion"/>
  </si>
  <si>
    <t>김천돼지국밥</t>
  </si>
  <si>
    <t>CLONE_DDE</t>
  </si>
  <si>
    <t>이시아오토(대구)_250404_131131.xlsx</t>
  </si>
  <si>
    <t>8HP45, 8HP55, 53x71x7</t>
  </si>
  <si>
    <t>Oilseal</t>
    <phoneticPr fontId="2" type="noConversion"/>
  </si>
  <si>
    <t>Filter</t>
    <phoneticPr fontId="2" type="noConversion"/>
  </si>
  <si>
    <t>Sensor</t>
    <phoneticPr fontId="2" type="noConversion"/>
  </si>
  <si>
    <t>6HP_Seal</t>
    <phoneticPr fontId="2" type="noConversion"/>
  </si>
  <si>
    <t>39*72*8</t>
  </si>
  <si>
    <t>ZF_Oilpan_9G</t>
  </si>
  <si>
    <t>B7252703707</t>
  </si>
  <si>
    <t>BMTSR_Oilpan_9G</t>
  </si>
  <si>
    <t>Shaft_Seal_2WD</t>
    <phoneticPr fontId="2" type="noConversion"/>
  </si>
  <si>
    <t>44x72x8</t>
    <phoneticPr fontId="2" type="noConversion"/>
  </si>
  <si>
    <t>Shaft_Seal_4WD</t>
    <phoneticPr fontId="2" type="noConversion"/>
  </si>
  <si>
    <t>39x72x8</t>
    <phoneticPr fontId="2" type="noConversion"/>
  </si>
  <si>
    <t>컴포즈</t>
  </si>
  <si>
    <t>조이사장님</t>
  </si>
  <si>
    <t>010-4420-6528</t>
    <phoneticPr fontId="2" type="noConversion"/>
  </si>
  <si>
    <t>광주광역시 북구 설죽로142</t>
    <phoneticPr fontId="2" type="noConversion"/>
  </si>
  <si>
    <t>광주북구용봉1420</t>
  </si>
  <si>
    <t>B2222772000</t>
  </si>
  <si>
    <t>BMTSR_Filter&amp;Gasket_7G</t>
  </si>
  <si>
    <t>Flange_F</t>
  </si>
  <si>
    <t>0CK927263E</t>
    <phoneticPr fontId="2" type="noConversion"/>
  </si>
  <si>
    <t>OCK_Sensor</t>
    <phoneticPr fontId="2" type="noConversion"/>
  </si>
  <si>
    <t>0CK927413E</t>
  </si>
  <si>
    <t>OCK_Element_Wire</t>
  </si>
  <si>
    <t>조이오토(대구)</t>
  </si>
  <si>
    <t>Flange_F</t>
    <phoneticPr fontId="2" type="noConversion"/>
  </si>
  <si>
    <t>Flange_G</t>
    <phoneticPr fontId="2" type="noConversion"/>
  </si>
  <si>
    <t>조이오토(대구)_250404_181310.xlsx</t>
  </si>
  <si>
    <t>조이오토(대구)_250404_181414.xlsx</t>
  </si>
  <si>
    <t>B24117624192</t>
    <phoneticPr fontId="2" type="noConversion"/>
  </si>
  <si>
    <t>8HP_OILPAN</t>
    <phoneticPr fontId="2" type="noConversion"/>
  </si>
  <si>
    <t>조이오토(대구)_250404_181602.xlsx</t>
  </si>
  <si>
    <t>PDK_Bearing</t>
  </si>
  <si>
    <t>VW</t>
    <phoneticPr fontId="2" type="noConversion"/>
  </si>
  <si>
    <t>0B5325330A</t>
    <phoneticPr fontId="2" type="noConversion"/>
  </si>
  <si>
    <t>19037052B</t>
    <phoneticPr fontId="2" type="noConversion"/>
  </si>
  <si>
    <t>1988216B-06</t>
    <phoneticPr fontId="2" type="noConversion"/>
  </si>
  <si>
    <t>0B5_Oilpan_Gasket</t>
    <phoneticPr fontId="2" type="noConversion"/>
  </si>
  <si>
    <t>10R80_Solenoid</t>
  </si>
  <si>
    <t>724_Solenoid</t>
  </si>
  <si>
    <t>09G_Solenoid</t>
  </si>
  <si>
    <t>Screenfilter</t>
    <phoneticPr fontId="2" type="noConversion"/>
  </si>
  <si>
    <t>0B5_Screen_Filter_1</t>
  </si>
  <si>
    <t>가로</t>
  </si>
  <si>
    <t>세로</t>
  </si>
  <si>
    <t>0GC_Repair</t>
  </si>
  <si>
    <t>8HP45_Mechatronics</t>
  </si>
  <si>
    <t>제이오토(대구)_250405_111705.xlsx</t>
  </si>
  <si>
    <t>입금</t>
  </si>
  <si>
    <t>하정오토(광주)</t>
  </si>
  <si>
    <t>OGC Repair</t>
  </si>
  <si>
    <t>미르오토(대구)_250407_091010.xlsx</t>
  </si>
  <si>
    <t>하정오토(광주)_250407_093848.xlsx</t>
  </si>
  <si>
    <t>서부 &gt; 광주 하정오토</t>
  </si>
  <si>
    <t>A7252709011-1</t>
  </si>
  <si>
    <t>Bulk</t>
  </si>
  <si>
    <t>Motor</t>
    <phoneticPr fontId="2" type="noConversion"/>
  </si>
  <si>
    <t>0DN325421</t>
    <phoneticPr fontId="2" type="noConversion"/>
  </si>
  <si>
    <t>TCU있을때 50000 없으면 70000</t>
    <phoneticPr fontId="2" type="noConversion"/>
  </si>
  <si>
    <t>Valvebody와 같이 나가면 0원</t>
    <phoneticPr fontId="2" type="noConversion"/>
  </si>
  <si>
    <t>Oil_HIS</t>
    <phoneticPr fontId="2" type="noConversion"/>
  </si>
  <si>
    <t>9HP48_Wire</t>
  </si>
  <si>
    <t>0B5398048D</t>
    <phoneticPr fontId="2" type="noConversion"/>
  </si>
  <si>
    <t>엠모터스(구미)_250407_133302.xlsx</t>
  </si>
  <si>
    <t>PORSCHE</t>
  </si>
  <si>
    <t>9G232136100</t>
  </si>
  <si>
    <t>PDK_EndCap</t>
  </si>
  <si>
    <t>위쪽</t>
  </si>
  <si>
    <t>9P1301125</t>
  </si>
  <si>
    <t>아래쪽</t>
  </si>
  <si>
    <t>A0054463710-1</t>
  </si>
  <si>
    <t>TG81_Sensor</t>
    <phoneticPr fontId="2" type="noConversion"/>
  </si>
  <si>
    <t>압력센서</t>
  </si>
  <si>
    <t>TF72_Sensor</t>
    <phoneticPr fontId="2" type="noConversion"/>
  </si>
  <si>
    <t>조이오토(대구)_250407_144435.xlsx</t>
  </si>
  <si>
    <t>VOLVO</t>
  </si>
  <si>
    <t>압력센서</t>
    <phoneticPr fontId="2" type="noConversion"/>
  </si>
  <si>
    <t>BTS</t>
    <phoneticPr fontId="2" type="noConversion"/>
  </si>
  <si>
    <t>ETC</t>
    <phoneticPr fontId="2" type="noConversion"/>
  </si>
  <si>
    <t>LUK</t>
    <phoneticPr fontId="2" type="noConversion"/>
  </si>
  <si>
    <t>PORSCHE</t>
    <phoneticPr fontId="2" type="noConversion"/>
  </si>
  <si>
    <t>VOLVO</t>
    <phoneticPr fontId="2" type="noConversion"/>
  </si>
  <si>
    <t>BMW_MINI</t>
    <phoneticPr fontId="2" type="noConversion"/>
  </si>
  <si>
    <t>54,5*72*7</t>
    <phoneticPr fontId="2" type="noConversion"/>
  </si>
  <si>
    <t>0B5323525B</t>
    <phoneticPr fontId="2" type="noConversion"/>
  </si>
  <si>
    <t>택배</t>
  </si>
  <si>
    <t>혜광오토(부산)</t>
    <phoneticPr fontId="2" type="noConversion"/>
  </si>
  <si>
    <t>010-4341-6869</t>
    <phoneticPr fontId="2" type="noConversion"/>
  </si>
  <si>
    <t>부산시 금정구 중앙대로 1793번길 46</t>
    <phoneticPr fontId="2" type="noConversion"/>
  </si>
  <si>
    <t>경동(화물)</t>
    <phoneticPr fontId="2" type="noConversion"/>
  </si>
  <si>
    <t>부산금정회동94</t>
    <phoneticPr fontId="2" type="noConversion"/>
  </si>
  <si>
    <t>010-5698-1136</t>
    <phoneticPr fontId="2" type="noConversion"/>
  </si>
  <si>
    <t>경남오토미션(창원)</t>
  </si>
  <si>
    <t>010-2441-4994</t>
    <phoneticPr fontId="2" type="noConversion"/>
  </si>
  <si>
    <t>창원의창팔용40</t>
  </si>
  <si>
    <t>혜광오토(부산)_250407_183822.xlsx</t>
  </si>
  <si>
    <t>OB5 Clutch Rebuild</t>
  </si>
  <si>
    <t>0B5325330A</t>
  </si>
  <si>
    <t>OB5_Filter</t>
  </si>
  <si>
    <t>경남오토미션(창원)_250407_184031.xlsx</t>
  </si>
  <si>
    <t>조이오토(대구)_250407_184221.xlsx</t>
  </si>
  <si>
    <t>미르오토(대구)_250407_184338.xlsx</t>
  </si>
  <si>
    <t>결제</t>
  </si>
  <si>
    <t>대륙사장님</t>
  </si>
  <si>
    <t>OCJ_TCU</t>
  </si>
  <si>
    <t>0DN325421</t>
  </si>
  <si>
    <t>제일오토(대구)_250408_120724.xlsx</t>
  </si>
  <si>
    <t>프로오토미션(광주)</t>
  </si>
  <si>
    <t>P177500 유압센서1, 어뎁테이션 한계도달</t>
  </si>
  <si>
    <t>프로오토미션(광주)_250408_121138.xlsx</t>
  </si>
  <si>
    <t>현진미션(남대구)_250408_131805.xlsx</t>
  </si>
  <si>
    <t>김해오토(김해)</t>
  </si>
  <si>
    <t>김해오토(김해)_250408_160742.xlsx</t>
  </si>
  <si>
    <t>대구오토(대구)_250408_163508.xlsx</t>
  </si>
  <si>
    <t>하오르모터스(부산)</t>
  </si>
  <si>
    <t>010-3687-3573</t>
    <phoneticPr fontId="2" type="noConversion"/>
  </si>
  <si>
    <t>하오르모터스(부산)_250408_184659.xlsx</t>
  </si>
  <si>
    <t>ZF_6HP_Solenoid</t>
    <phoneticPr fontId="2" type="noConversion"/>
  </si>
  <si>
    <t>6HP21 6HP26 6HP28</t>
    <phoneticPr fontId="2" type="noConversion"/>
  </si>
  <si>
    <t>6HP_Oilpan</t>
    <phoneticPr fontId="2" type="noConversion"/>
  </si>
  <si>
    <t>X5,X6,E60,E64, E63,E66,F02,E70, E71</t>
  </si>
  <si>
    <t>6HP19</t>
  </si>
  <si>
    <t>6HP19</t>
    <phoneticPr fontId="2" type="noConversion"/>
  </si>
  <si>
    <t>전주오토</t>
  </si>
  <si>
    <t>19037052B</t>
  </si>
  <si>
    <t>OB5_Shaft_Seal</t>
  </si>
  <si>
    <t>조이오토(대구)_250409_111759.xlsx</t>
  </si>
  <si>
    <t>우체국특송</t>
  </si>
  <si>
    <t>한독오토(대구)_250410_145542.xlsx</t>
  </si>
  <si>
    <t>8HP45_Mechatronics</t>
    <phoneticPr fontId="2" type="noConversion"/>
  </si>
  <si>
    <t>제이오토(대구)_250410_145635.xlsx</t>
  </si>
  <si>
    <t>8HP55</t>
  </si>
  <si>
    <t>개수</t>
    <phoneticPr fontId="2" type="noConversion"/>
  </si>
  <si>
    <t>제이오토(대구)_250410_175203.xlsx</t>
  </si>
  <si>
    <t>한독오토(대구)_250410_175247.xlsx</t>
  </si>
  <si>
    <t>프로오토미션(광주)_250410_175356.xlsx</t>
  </si>
  <si>
    <t>010-7473-7271</t>
    <phoneticPr fontId="2" type="noConversion"/>
  </si>
  <si>
    <t>광주광역시 서구 월드컵4강로237</t>
    <phoneticPr fontId="2" type="noConversion"/>
  </si>
  <si>
    <t>경동(화물)</t>
    <phoneticPr fontId="2" type="noConversion"/>
  </si>
  <si>
    <t>광주서구광천69</t>
  </si>
  <si>
    <t>제일오토(부산)</t>
  </si>
  <si>
    <t>ISM Renew</t>
  </si>
  <si>
    <t>이시아오토(대구)_250411_145622.xlsx</t>
  </si>
  <si>
    <t>MPS6 Clone</t>
  </si>
  <si>
    <t>제일오토(부산)_250411_150429.xlsx</t>
  </si>
  <si>
    <t>현진미션(남대구)_250412_095351.xlsx</t>
  </si>
  <si>
    <t>후진기어 삽입 안됨</t>
  </si>
  <si>
    <t>AZ제일오토미션(순천)_250412_105604.xlsx</t>
  </si>
  <si>
    <t>현진미션(남대구)_250412_120746.xlsx</t>
  </si>
  <si>
    <t>로얄오토(대구)</t>
  </si>
  <si>
    <t>현진미션(남대구)_250414_111640.xlsx</t>
  </si>
  <si>
    <t>A7252703114</t>
  </si>
  <si>
    <t>Oilpan_9G</t>
  </si>
  <si>
    <t>A7252703114</t>
    <phoneticPr fontId="2" type="noConversion"/>
  </si>
  <si>
    <t>Oilpan_9G</t>
    <phoneticPr fontId="2" type="noConversion"/>
  </si>
  <si>
    <t>로얄오토(대구)_250414_112608.xlsx</t>
  </si>
  <si>
    <t>정품</t>
    <phoneticPr fontId="2" type="noConversion"/>
  </si>
  <si>
    <t>Flange_G</t>
  </si>
  <si>
    <t>엠모터스(구미)_250414_124148.xlsx</t>
  </si>
  <si>
    <t>혜광오토(부산)_250414_131719.xlsx</t>
  </si>
  <si>
    <t>현진미션(남대구)_250414_150438.xlsx</t>
  </si>
  <si>
    <t>8HP50_Valvebody</t>
  </si>
  <si>
    <t>김해오토(김해)_250414_150611.xlsx</t>
  </si>
  <si>
    <t>신일오토(부산)</t>
  </si>
  <si>
    <t>PDK_Sensor</t>
  </si>
  <si>
    <t>신일오토(부산)_250414_150732.xlsx</t>
  </si>
  <si>
    <t>부산남구대연1동895</t>
  </si>
  <si>
    <t>조이오토(대구)_250414_171330.xlsx</t>
  </si>
  <si>
    <t>조이오토(대구)_250414_171550.xlsx</t>
  </si>
  <si>
    <t>알씨모터스(대구)</t>
  </si>
  <si>
    <t>알씨모터스(대구)_250414_205610.xlsx</t>
  </si>
  <si>
    <t>OAM결재</t>
  </si>
  <si>
    <t>MEISTER-K(울산)</t>
  </si>
  <si>
    <t>MEISTER-K(울산)_250414_205835.xlsx</t>
  </si>
  <si>
    <t>OAM 결재</t>
  </si>
  <si>
    <t>01035174B-1</t>
  </si>
  <si>
    <t>Shaft_Seal_4WD</t>
  </si>
  <si>
    <t>39x72x8</t>
  </si>
  <si>
    <t>한결카오토미션(대전)</t>
  </si>
  <si>
    <t>한결카오토미션(대전)_250415_122919.xlsx</t>
  </si>
  <si>
    <t>조이오토(대구)_250415_123054.xlsx</t>
  </si>
  <si>
    <t>전주오토(전주)_250415_123215.xlsx</t>
  </si>
  <si>
    <t>전주오토(전주)_250415_123533.xlsx</t>
  </si>
  <si>
    <t>세차</t>
  </si>
  <si>
    <t>대한짬뽕</t>
  </si>
  <si>
    <t>010-6488-3631</t>
    <phoneticPr fontId="2" type="noConversion"/>
  </si>
  <si>
    <t>대전 중구 대전천서로 263</t>
    <phoneticPr fontId="2" type="noConversion"/>
  </si>
  <si>
    <t>대전동구인동25</t>
  </si>
  <si>
    <t>D&amp;N모터스(전주)_250415_172940.xlsx</t>
  </si>
  <si>
    <t>제욱오토(부산)_250415_194542.xlsx</t>
  </si>
  <si>
    <t>김해오토(김해)_250415_194722.xlsx</t>
  </si>
  <si>
    <t>KTA</t>
  </si>
  <si>
    <t>와우모터스</t>
  </si>
  <si>
    <t>010-3075-2979</t>
  </si>
  <si>
    <t>대구 서구 중리동 1119-6</t>
  </si>
  <si>
    <t>ECU_Clone</t>
  </si>
  <si>
    <t>마이스터(대구)</t>
  </si>
  <si>
    <t>마이스터(대구)_250416_150028.xlsx</t>
  </si>
  <si>
    <t>마일레오토(마포)_250416_150129.xlsx</t>
  </si>
  <si>
    <t>후진기어삽입안됨</t>
  </si>
  <si>
    <t>마일레오토(마포)_250416_150210.xlsx</t>
  </si>
  <si>
    <t>경동(화물)</t>
    <phoneticPr fontId="2" type="noConversion"/>
  </si>
  <si>
    <t>스카이오토미션(천안)_250416_150329.xlsx</t>
  </si>
  <si>
    <t>1988216B-06</t>
  </si>
  <si>
    <t>0B5_Oilpan_Gasket</t>
  </si>
  <si>
    <t>대구오토(대구)_250416_150727.xlsx</t>
  </si>
  <si>
    <t>마일레오토(마포)</t>
    <phoneticPr fontId="2" type="noConversion"/>
  </si>
  <si>
    <t>010-8232-7418</t>
    <phoneticPr fontId="2" type="noConversion"/>
  </si>
  <si>
    <t>서울시 마포구 서강로 70</t>
    <phoneticPr fontId="2" type="noConversion"/>
  </si>
  <si>
    <t>서울마포용강122</t>
  </si>
  <si>
    <t>010-6447-3759</t>
    <phoneticPr fontId="2" type="noConversion"/>
  </si>
  <si>
    <t>대전 서구 내동 8-57번지</t>
    <phoneticPr fontId="2" type="noConversion"/>
  </si>
  <si>
    <t>대전서구가장21</t>
  </si>
  <si>
    <t>6HP26/28</t>
    <phoneticPr fontId="2" type="noConversion"/>
  </si>
  <si>
    <t>6HP19/21</t>
    <phoneticPr fontId="2" type="noConversion"/>
  </si>
  <si>
    <t>6HP_8_Adapter</t>
    <phoneticPr fontId="2" type="noConversion"/>
  </si>
  <si>
    <t>LANDROVER</t>
    <phoneticPr fontId="2" type="noConversion"/>
  </si>
  <si>
    <t>8HP GEN3</t>
    <phoneticPr fontId="2" type="noConversion"/>
  </si>
  <si>
    <t>OGC_TCU</t>
  </si>
  <si>
    <t>미르오토(대구)_250417_145701.xlsx</t>
  </si>
  <si>
    <t>Landrover</t>
  </si>
  <si>
    <t>JLR_8HP_Gen3</t>
  </si>
  <si>
    <t>제이오토(대구)_250417_145901.xlsx</t>
  </si>
  <si>
    <t>통신불량</t>
  </si>
  <si>
    <t>D&amp;N모터스(전주)_250417_181825.xlsx</t>
  </si>
  <si>
    <t>A0034462410</t>
  </si>
  <si>
    <t>Pump</t>
    <phoneticPr fontId="2" type="noConversion"/>
  </si>
  <si>
    <t>제욱오토(부산)_250418_135807.xlsx</t>
  </si>
  <si>
    <t>VOLVO_6DCT450_CLUCH</t>
  </si>
  <si>
    <t>조이오토(대구)_250418_140125.xlsx</t>
  </si>
  <si>
    <t>스카이오토미션(천안)_250418_140243.xlsx</t>
  </si>
  <si>
    <t>대명오토(서울서초)_250418_193755.xlsx</t>
  </si>
  <si>
    <t>대명오토(서울서초)_250421_093359.xlsx</t>
  </si>
  <si>
    <t>하이웨이(구미)</t>
  </si>
  <si>
    <t>하이웨이(구미)_250421_095853.xlsx</t>
  </si>
  <si>
    <t>0C8325039A</t>
  </si>
  <si>
    <t>0C8_Valvebody</t>
  </si>
  <si>
    <t>0C8_Oil_Pump</t>
  </si>
  <si>
    <t>0C8300036C</t>
  </si>
  <si>
    <t>0C8300036C</t>
    <phoneticPr fontId="2" type="noConversion"/>
  </si>
  <si>
    <t>0C8_Oil_Pump</t>
    <phoneticPr fontId="2" type="noConversion"/>
  </si>
  <si>
    <t>0C8325039A</t>
    <phoneticPr fontId="2" type="noConversion"/>
  </si>
  <si>
    <t>0C8_Valvebody</t>
    <phoneticPr fontId="2" type="noConversion"/>
  </si>
  <si>
    <t>Audi VW Porshe</t>
    <phoneticPr fontId="2" type="noConversion"/>
  </si>
  <si>
    <t>모터매니아(화성)</t>
  </si>
  <si>
    <t>모터매니아(화성)_250421_131331.xlsx</t>
  </si>
  <si>
    <t>모터매니아(화성)_250421_162119.xlsx</t>
  </si>
  <si>
    <t>중립위치 의도치 않은 동력 전달</t>
  </si>
  <si>
    <t>미르오토(대구)_250421_162228.xlsx</t>
  </si>
  <si>
    <t>대구오토(대구)_250421_162319.xlsx</t>
  </si>
  <si>
    <t>AZ제일오토미션(순천)_250421_162714.xlsx</t>
  </si>
  <si>
    <t>0CK_Gear_Oil_Pump</t>
    <phoneticPr fontId="2" type="noConversion"/>
  </si>
  <si>
    <t>0CK321281N</t>
    <phoneticPr fontId="2" type="noConversion"/>
  </si>
  <si>
    <t>6F35_Solenoid_Pack</t>
    <phoneticPr fontId="2" type="noConversion"/>
  </si>
  <si>
    <t>CV6Z-7G391-A</t>
  </si>
  <si>
    <t>MPS6_Clone</t>
  </si>
  <si>
    <t>조이오토(대구)_250421_183710.xlsx</t>
  </si>
  <si>
    <t>제욱오토</t>
  </si>
  <si>
    <t>0HK927156B</t>
  </si>
  <si>
    <t>OHK_TCU</t>
  </si>
  <si>
    <t>제일오토(대구)_250422_135137.xlsx</t>
  </si>
  <si>
    <t>0D9_Mechatronics</t>
  </si>
  <si>
    <t>스카이오토미션(천안)_250423_143719.xlsx</t>
  </si>
  <si>
    <t>카이드모터스(인천)</t>
  </si>
  <si>
    <t>인천 서구 석남동 223-936</t>
    <phoneticPr fontId="2" type="noConversion"/>
  </si>
  <si>
    <t>010-6240-6260</t>
    <phoneticPr fontId="2" type="noConversion"/>
  </si>
  <si>
    <t>카이드모터스(인천)_250423_143828.xlsx</t>
  </si>
  <si>
    <t>OB5_Valvebody</t>
  </si>
  <si>
    <t>OB5_Clutch_Rebuild</t>
  </si>
  <si>
    <t>카이드모터스(인천)_250423_144156.xlsx</t>
  </si>
  <si>
    <t>인천미추홀주안A</t>
  </si>
  <si>
    <t>부산비엔비(부산)_250424_113813.xlsx</t>
  </si>
  <si>
    <t>0HK_TCU</t>
    <phoneticPr fontId="2" type="noConversion"/>
  </si>
  <si>
    <t>구마구속주유소</t>
  </si>
  <si>
    <t>대륙오토(대구)_250424_153829.xlsx</t>
  </si>
  <si>
    <t>0B5 Clutch</t>
  </si>
  <si>
    <t>0B5 Valvebody Rebuild</t>
  </si>
  <si>
    <t>구매</t>
    <phoneticPr fontId="2" type="noConversion"/>
  </si>
  <si>
    <t>삼호미션(전주)_250425_105918.xlsx</t>
  </si>
  <si>
    <t>SJ모터스(부산)</t>
  </si>
  <si>
    <t>OAM_TCU</t>
  </si>
  <si>
    <t>SJ모터스(부산)_250425_113205.xlsx</t>
  </si>
  <si>
    <t>코리아탑오토샵(대전)</t>
  </si>
  <si>
    <t>코리아탑오토샵(대전)_250425_140147.xlsx</t>
  </si>
  <si>
    <t>경남오토미션(창원)_250425_140924.xlsx</t>
  </si>
  <si>
    <t>MSD80</t>
    <phoneticPr fontId="2" type="noConversion"/>
  </si>
  <si>
    <t>경남오토미션(창원)_250425_161154.xlsx</t>
  </si>
  <si>
    <t>6HP_Switch</t>
  </si>
  <si>
    <t>대륙오토(대구)_250425_161258.xlsx</t>
  </si>
  <si>
    <t>김해오토(김해)_250425_183022.xlsx</t>
  </si>
  <si>
    <t>0AM 마이스터K(울산)</t>
  </si>
  <si>
    <t>B&amp;M모터스_250428_112124.xlsx</t>
  </si>
  <si>
    <t>대륙오토(대구)_250428_134443.xlsx</t>
  </si>
  <si>
    <t>엠모터스(구미)_250428_134525.xlsx</t>
  </si>
  <si>
    <t>A0002703300</t>
  </si>
  <si>
    <t>혜광오토(부산)_250428_134805.xlsx</t>
  </si>
  <si>
    <t>0CJ927156</t>
  </si>
  <si>
    <t>신일모터스(경주)_250428_145452.xlsx</t>
  </si>
  <si>
    <t>성화식당</t>
  </si>
  <si>
    <t>코리아탑오토샵(대전)_250428_170127.xlsx</t>
  </si>
  <si>
    <t>결재(0B5 Clutch rebuild)</t>
  </si>
  <si>
    <t>택배</t>
    <phoneticPr fontId="2" type="noConversion"/>
  </si>
  <si>
    <t>식비</t>
  </si>
  <si>
    <t>식비</t>
    <phoneticPr fontId="2" type="noConversion"/>
  </si>
  <si>
    <t>기타</t>
    <phoneticPr fontId="2" type="noConversion"/>
  </si>
  <si>
    <t>퀵비</t>
    <phoneticPr fontId="2" type="noConversion"/>
  </si>
  <si>
    <t>주유소</t>
  </si>
  <si>
    <t>주유소</t>
    <phoneticPr fontId="2" type="noConversion"/>
  </si>
  <si>
    <t>태경청진동해장국</t>
    <phoneticPr fontId="2" type="noConversion"/>
  </si>
  <si>
    <t>구마고속주유소</t>
    <phoneticPr fontId="2" type="noConversion"/>
  </si>
  <si>
    <t>스카이오토 동대구 퀵</t>
    <phoneticPr fontId="2" type="noConversion"/>
  </si>
  <si>
    <t>제이오토</t>
    <phoneticPr fontId="2" type="noConversion"/>
  </si>
  <si>
    <t>ZF8HP_Gen3</t>
  </si>
  <si>
    <t>제이오토(대구)_250429_103200.xlsx</t>
  </si>
  <si>
    <t>0B5323525B</t>
  </si>
  <si>
    <t>OB5_Clutch_Cover_Oring</t>
  </si>
  <si>
    <t>OB5_Clutch</t>
  </si>
  <si>
    <t>대한오토(포항)</t>
  </si>
  <si>
    <t>대한오토(포항)_250429_150145.xlsx</t>
  </si>
  <si>
    <t>대한오토(포항)</t>
    <phoneticPr fontId="2" type="noConversion"/>
  </si>
  <si>
    <t>010-2708-7122</t>
    <phoneticPr fontId="2" type="noConversion"/>
  </si>
  <si>
    <t>경상북도 포항시 북구 새천년대로 631번길 29</t>
    <phoneticPr fontId="2" type="noConversion"/>
  </si>
  <si>
    <t>포항 북구 여남지점</t>
  </si>
  <si>
    <t>조이오토(대구)_250429_192449.xlsx</t>
  </si>
  <si>
    <t>68214115AA</t>
  </si>
  <si>
    <t>9HP48_Solenoid</t>
  </si>
  <si>
    <t>KTAMG(김천덕곡)</t>
  </si>
  <si>
    <t>KTAMG(김천덕곡)_250429_200444.xlsx</t>
  </si>
  <si>
    <t>코리아탑오토샵(대전)_250429_201615.xlsx</t>
  </si>
  <si>
    <t>OBH_TCU</t>
  </si>
  <si>
    <t>하정오토(광주)_250429_203149.xlsx</t>
  </si>
  <si>
    <t>ZF Oilpan 8HP</t>
  </si>
  <si>
    <t>코리아탑오토샵(대전)_250429_211720.xlsx</t>
  </si>
  <si>
    <t>현진미션(칠곡)_250430_163229.xlsx</t>
  </si>
  <si>
    <t>8HP45_Inner_Gear_4WD</t>
  </si>
  <si>
    <t>대륙오토(대구)_250430_163321.xlsx</t>
  </si>
  <si>
    <t>현대오토(대구)</t>
  </si>
  <si>
    <t>010-8850-1818</t>
  </si>
  <si>
    <t>대구북구 노원로 1</t>
  </si>
  <si>
    <t>8HP75_Valvebody</t>
  </si>
  <si>
    <t>현대오토(대구)_250430_163453.xlsx</t>
  </si>
  <si>
    <t>하늘모터스</t>
  </si>
  <si>
    <t>010-4646-9061</t>
  </si>
  <si>
    <t>제주 서귀포시 대정읍 상모대서로 66번길 23</t>
  </si>
  <si>
    <t>하늘모터스_250430_163716.xlsx</t>
  </si>
  <si>
    <t>8HP45_EGS</t>
  </si>
  <si>
    <t>전주오토(전주)_250430_163819.xlsx</t>
  </si>
  <si>
    <t>AZ제일오토미션(순천)_250430_164156.xlsx</t>
  </si>
  <si>
    <t>오토티엠(용인)</t>
  </si>
  <si>
    <t>경동(화물)</t>
    <phoneticPr fontId="2" type="noConversion"/>
  </si>
  <si>
    <t>용인 처인 모현 매산지점</t>
    <phoneticPr fontId="2" type="noConversion"/>
  </si>
  <si>
    <t>09G_Valvebody</t>
  </si>
  <si>
    <t>오토티엠(용인)_250430_175536.xlsx</t>
  </si>
  <si>
    <t>부산비엔비(부산)_250430_175723.xlsx</t>
  </si>
  <si>
    <t>코리아탑오토샵(대전)_250430_212551.xlsx</t>
  </si>
  <si>
    <t>KTAMG(김천덕곡)</t>
    <phoneticPr fontId="2" type="noConversion"/>
  </si>
  <si>
    <t>0GC927711H</t>
  </si>
  <si>
    <t>OGC_TCU</t>
    <phoneticPr fontId="2" type="noConversion"/>
  </si>
  <si>
    <t>카드결재</t>
  </si>
  <si>
    <t>경동택배</t>
  </si>
  <si>
    <t>카이드모터스</t>
  </si>
  <si>
    <t>물회</t>
  </si>
  <si>
    <t>6HP_Plug_set_19/21</t>
  </si>
  <si>
    <t>대구오토(대구)_250501_190446.xlsx</t>
  </si>
  <si>
    <t>마이스터케이</t>
  </si>
  <si>
    <t>조이오토(대구)_250502_164511.xlsx</t>
  </si>
  <si>
    <t>대구오토(대구)_250502_164559.xlsx</t>
  </si>
  <si>
    <t>SJ모터스(부산)_250502_164654.xlsx</t>
  </si>
  <si>
    <t>미르오토(대구)_250502_164737.xlsx</t>
  </si>
  <si>
    <t>미르오토(대구)_250502_164807.xlsx</t>
  </si>
  <si>
    <t>KTAMG(김천덕곡)</t>
    <phoneticPr fontId="2" type="noConversion"/>
  </si>
  <si>
    <t>010-8847-1379</t>
    <phoneticPr fontId="2" type="noConversion"/>
  </si>
  <si>
    <t>김천시 덕곡동 영남대로 2014</t>
    <phoneticPr fontId="2" type="noConversion"/>
  </si>
  <si>
    <t>경동택배</t>
    <phoneticPr fontId="2" type="noConversion"/>
  </si>
  <si>
    <t>대한오토</t>
    <phoneticPr fontId="2" type="noConversion"/>
  </si>
  <si>
    <t>우체국</t>
    <phoneticPr fontId="2" type="noConversion"/>
  </si>
  <si>
    <t>반품배송</t>
  </si>
  <si>
    <t>8HP50_Rebuild</t>
  </si>
  <si>
    <t>카이드모터스(인천)_250505_085542.xlsx</t>
  </si>
  <si>
    <t>결재(현금)</t>
    <phoneticPr fontId="2" type="noConversion"/>
  </si>
  <si>
    <t>오토세븐(대구)</t>
  </si>
  <si>
    <t>오토세븐(대구)_250505_115324.xlsx</t>
  </si>
  <si>
    <t>현진미션(칠곡)_250505_140311.xlsx</t>
  </si>
  <si>
    <t>제이오토(대구)_250506_140955.xlsx</t>
  </si>
  <si>
    <t>미르오토(대구)_250506_141027.xlsx</t>
  </si>
  <si>
    <t>이시아오토(대구)_250506_151130.xlsx</t>
  </si>
  <si>
    <t>VGSNAG3 수리</t>
  </si>
  <si>
    <t>미르오토(대구)_250507_102248.xlsx</t>
  </si>
  <si>
    <t>성민오토(대전)_250507_112231.xlsx</t>
  </si>
  <si>
    <t>9HP48_Solenoid</t>
    <phoneticPr fontId="2" type="noConversion"/>
  </si>
  <si>
    <t>9HP48_Wire</t>
    <phoneticPr fontId="2" type="noConversion"/>
  </si>
  <si>
    <t>루모터스</t>
  </si>
  <si>
    <t>루모터스_250507_141345.xlsx</t>
  </si>
  <si>
    <t>ZF_6HP_Solenoid</t>
  </si>
  <si>
    <t>루모터스_250507_150105.xlsx</t>
  </si>
  <si>
    <t>루모터스_250507_151750.xlsx</t>
  </si>
  <si>
    <t>미르오토(대구)_250507_164845.xlsx</t>
  </si>
  <si>
    <t>대명오토(김해)</t>
  </si>
  <si>
    <t>010-5549-8785</t>
  </si>
  <si>
    <t>경남 김해시 금관대로 1073번길 21-7</t>
  </si>
  <si>
    <t>김해 외동</t>
  </si>
  <si>
    <t>루모터스_250507_175410.xlsx</t>
  </si>
  <si>
    <t>대명오토(김해)_250507_175517.xlsx</t>
  </si>
  <si>
    <t>윤중오토미션(대전)</t>
  </si>
  <si>
    <t>010-5421-9978</t>
    <phoneticPr fontId="2" type="noConversion"/>
  </si>
  <si>
    <t>대전 서구 변동로 84</t>
    <phoneticPr fontId="2" type="noConversion"/>
  </si>
  <si>
    <t>8HP45_Valvebody</t>
  </si>
  <si>
    <t>윤중오토미션(대전)_250508_144304.xlsx</t>
  </si>
  <si>
    <t>조이오토(대구)_250508_160545.xlsx</t>
  </si>
  <si>
    <t>6DCT450_Clutch</t>
  </si>
  <si>
    <t>6DCT450_Clutch</t>
    <phoneticPr fontId="2" type="noConversion"/>
  </si>
  <si>
    <t>0B5325031</t>
  </si>
  <si>
    <t>성민오토(대전)_250509_134037.xlsx</t>
  </si>
  <si>
    <t>대한오토(포항)_250509_134232.xlsx</t>
  </si>
  <si>
    <t>948TE_Pressure</t>
  </si>
  <si>
    <t>그린오토매틱(제주)</t>
  </si>
  <si>
    <t>그린오토매틱(제주)_250509_154108.xlsx</t>
  </si>
  <si>
    <t>그린오토매틱(제주)_250509_160048.xlsx</t>
  </si>
  <si>
    <t>고령촌돼지찌개</t>
  </si>
  <si>
    <t>와우모터스_250416_145953.xlsx</t>
    <phoneticPr fontId="2" type="noConversion"/>
  </si>
  <si>
    <t>SJ모터스 9단</t>
  </si>
  <si>
    <t>유명차(수성점)</t>
  </si>
  <si>
    <t>010-6731-9570</t>
  </si>
  <si>
    <t>대구 수성구 희망로 177</t>
  </si>
  <si>
    <t>유명차(수성점)_250512_135839.xlsx</t>
  </si>
  <si>
    <t>대륙오토(대구)_250512_141753.xlsx</t>
  </si>
  <si>
    <t>SJ모터스(부산)_250512_141831.xlsx</t>
  </si>
  <si>
    <t>스카이오토미션(천안)_250512_151405.xlsx</t>
  </si>
  <si>
    <t>DDE Clone(F)</t>
  </si>
  <si>
    <t>DDE Clone(G)</t>
  </si>
  <si>
    <t>비앤비모터스(창원)_250512_152641.xlsx</t>
  </si>
  <si>
    <t>8HP45_Inner_Gear_2WD</t>
  </si>
  <si>
    <t>엠모터스(구미)_250512_152948.xlsx</t>
  </si>
  <si>
    <t>010-8520-0940</t>
    <phoneticPr fontId="2" type="noConversion"/>
  </si>
  <si>
    <t>경상남도 김해시 관동동 1122</t>
    <phoneticPr fontId="2" type="noConversion"/>
  </si>
  <si>
    <t>진영오토(김해)</t>
  </si>
  <si>
    <t>010-8514-0057</t>
  </si>
  <si>
    <t>경남 김해시 진산대로 201번길 48</t>
  </si>
  <si>
    <t>진영오토(김해)_250512_172252.xlsx</t>
  </si>
  <si>
    <t>8HP50_Mechatronics</t>
  </si>
  <si>
    <t>미르오토(대구)_250513_092226.xlsx</t>
  </si>
  <si>
    <t>이시아오토(대구)_250513_092310.xlsx</t>
  </si>
  <si>
    <t>6HP_Plug_set_26/28</t>
    <phoneticPr fontId="2" type="noConversion"/>
  </si>
  <si>
    <t>제일오토(대구)_250513_142905.xlsx</t>
  </si>
  <si>
    <t>하이웨이(구미)_250513_143025.xlsx</t>
  </si>
  <si>
    <t>이시아오토(대구)_250513_143109.xlsx</t>
  </si>
  <si>
    <t>경남오토미션(창원)_250513_143143.xlsx</t>
  </si>
  <si>
    <t>진홍오토(대구)</t>
  </si>
  <si>
    <t>진홍오토(대구)_250513_143221.xlsx</t>
  </si>
  <si>
    <t>한결카오토미션(대전)_250513_143300.xlsx</t>
  </si>
  <si>
    <t>한결부품</t>
  </si>
  <si>
    <t>한결부품</t>
    <phoneticPr fontId="2" type="noConversion"/>
  </si>
  <si>
    <t>010-7591-3333</t>
  </si>
  <si>
    <t>empty</t>
  </si>
  <si>
    <t>8HP70_Mechatronics</t>
  </si>
  <si>
    <t>ZEEP</t>
    <phoneticPr fontId="2" type="noConversion"/>
  </si>
  <si>
    <t>미르오토(대구)_250513_155803.xlsx</t>
  </si>
  <si>
    <t>02E398029B</t>
  </si>
  <si>
    <t>02E398029B</t>
    <phoneticPr fontId="2" type="noConversion"/>
  </si>
  <si>
    <t>성민오토(대전)_250513_160004.xlsx</t>
  </si>
  <si>
    <t>0CK_Clutch</t>
  </si>
  <si>
    <t>제욱오토(부산)_250513_173255.xlsx</t>
  </si>
  <si>
    <t>Rear_Diff</t>
  </si>
  <si>
    <t>매드모터스(광주)_250513_173416.xlsx</t>
  </si>
  <si>
    <t>A7252709011-1</t>
    <phoneticPr fontId="2" type="noConversion"/>
  </si>
  <si>
    <t>VGSNAG3_Clone</t>
    <phoneticPr fontId="2" type="noConversion"/>
  </si>
  <si>
    <t>02E AJ To AL Programming</t>
  </si>
  <si>
    <t>조이오토(대구)_250514_091636.xlsx</t>
  </si>
  <si>
    <t>경남오토(창원)</t>
  </si>
  <si>
    <t>대신택배</t>
  </si>
  <si>
    <t>성민오토</t>
  </si>
  <si>
    <t>퀵버스</t>
    <phoneticPr fontId="2" type="noConversion"/>
  </si>
  <si>
    <t>경남오토(창원)</t>
    <phoneticPr fontId="2" type="noConversion"/>
  </si>
  <si>
    <t>오토솔루션</t>
  </si>
  <si>
    <t>윤중오토</t>
  </si>
  <si>
    <t>오토솔루션_250514_120715.xlsx</t>
  </si>
  <si>
    <t>현진미션(남대구)_250514_120817.xlsx</t>
  </si>
  <si>
    <t>해원주유소</t>
  </si>
  <si>
    <t>경남오토미션(창원)_250514_183748.xlsx</t>
  </si>
  <si>
    <t>스카이오토미션(천안)_250514_183910.xlsx</t>
  </si>
  <si>
    <t>02E_AL</t>
  </si>
  <si>
    <t>02E_AQ_NEW</t>
  </si>
  <si>
    <t>0CK_TCU</t>
  </si>
  <si>
    <t>0CK_Filter</t>
  </si>
  <si>
    <t>0CK_Sensor</t>
  </si>
  <si>
    <t>0CK_Element_Wire</t>
  </si>
  <si>
    <t>0B5 FILTER SET</t>
  </si>
  <si>
    <t>0B5_Valvebody</t>
  </si>
  <si>
    <t>0B5_TCU</t>
  </si>
  <si>
    <t>0B5_Repair_Kit</t>
  </si>
  <si>
    <t>0B5_DISC</t>
  </si>
  <si>
    <t>0B5_TCU_CLONE</t>
  </si>
  <si>
    <t>0B5_Solenoid</t>
  </si>
  <si>
    <t>0B5_Filter</t>
  </si>
  <si>
    <t>0B5_Shaft_Seal</t>
  </si>
  <si>
    <t>0B5_Clutch_Cover_Oring</t>
  </si>
  <si>
    <t>0B5_Clutch_Rebuild</t>
  </si>
  <si>
    <t>0AM REPAIR KIT</t>
  </si>
  <si>
    <t>0AM_Mechatronics</t>
  </si>
  <si>
    <t>0AM_TCU</t>
  </si>
  <si>
    <t>0AM_시프트포크_베어링</t>
  </si>
  <si>
    <t>0AM_Wire_kit</t>
  </si>
  <si>
    <t>0AM_Shift_Fork_Repair_kit</t>
  </si>
  <si>
    <t>0HK_4번_ONLINE</t>
  </si>
  <si>
    <t>0HK_TCU</t>
  </si>
  <si>
    <t>0HL_ONLINE_SERVICE</t>
  </si>
  <si>
    <t>0C8_Transfer_Case</t>
  </si>
  <si>
    <t>0D9 Mechatronics</t>
  </si>
  <si>
    <t>0AW_TCU</t>
    <phoneticPr fontId="2" type="noConversion"/>
  </si>
  <si>
    <t>김성조(SJ모터스)</t>
  </si>
  <si>
    <t>대구오토(대구)_250515_145913.xlsx</t>
  </si>
  <si>
    <t>루모터스_250515_150007.xlsx</t>
  </si>
  <si>
    <t>제이오토(대구)_250515_150441.xlsx</t>
  </si>
  <si>
    <t>8HP45_Valvebody</t>
    <phoneticPr fontId="2" type="noConversion"/>
  </si>
  <si>
    <t>하정오토(광주)_250515_164918.xlsx</t>
  </si>
  <si>
    <t>948TE_Solenoid</t>
  </si>
  <si>
    <t>하정오토(광주)_250515_165338.xlsx</t>
  </si>
  <si>
    <t>하나오토(청주)</t>
    <phoneticPr fontId="2" type="noConversion"/>
  </si>
  <si>
    <t>0B5_Repair_Kit</t>
    <phoneticPr fontId="2" type="noConversion"/>
  </si>
  <si>
    <t>0CK927263E</t>
  </si>
  <si>
    <t>MEISTER-K(울산)_250515_180946.xlsx</t>
  </si>
  <si>
    <t>하나오토(청주)</t>
    <phoneticPr fontId="2" type="noConversion"/>
  </si>
  <si>
    <t>010-9977-2169</t>
    <phoneticPr fontId="2" type="noConversion"/>
  </si>
  <si>
    <t>충북 청주시 서원구 사북로30</t>
    <phoneticPr fontId="2" type="noConversion"/>
  </si>
  <si>
    <t>대신(화물)</t>
    <phoneticPr fontId="2" type="noConversion"/>
  </si>
  <si>
    <t>카카오뱅크 3333181865047</t>
    <phoneticPr fontId="2" type="noConversion"/>
  </si>
  <si>
    <t>0CK_Sensor</t>
    <phoneticPr fontId="2" type="noConversion"/>
  </si>
  <si>
    <t>클러치압력센서</t>
  </si>
  <si>
    <t>대명오토(김해)_250516_103413.xlsx</t>
  </si>
  <si>
    <t>하정오토(광주)_250516_172057.xlsx</t>
  </si>
  <si>
    <t>0B5_Clone</t>
  </si>
  <si>
    <t>MEISTER-K(울산)_250516_172207.xlsx</t>
  </si>
  <si>
    <t>PDK4000_TCU_Clone</t>
  </si>
  <si>
    <t>로얄오토(대구)_250517_111021.xlsx</t>
  </si>
  <si>
    <t>하정오토(광주)_250517_111152.xlsx</t>
  </si>
  <si>
    <t>혜광오토(부산)_250517_112006.xlsx</t>
  </si>
  <si>
    <t>서부정류장</t>
  </si>
  <si>
    <t>하정오토 버스</t>
  </si>
  <si>
    <t>8HP45 8HP70 8HP75 8HP90</t>
    <phoneticPr fontId="2" type="noConversion"/>
  </si>
  <si>
    <t>대륙오토(대구)_250517_112254.xlsx</t>
  </si>
  <si>
    <t>ZF_8HP45_Solenoid</t>
    <phoneticPr fontId="2" type="noConversion"/>
  </si>
  <si>
    <t>뉴아트(대구)</t>
  </si>
  <si>
    <t>뉴아트(대구)_250517_124934.xlsx</t>
  </si>
  <si>
    <t>6F35_Valvebody</t>
  </si>
  <si>
    <t>조이오토(대구)_250519_154156.xlsx</t>
  </si>
  <si>
    <t>삼호미션(전주)_250519_154315.xlsx</t>
  </si>
  <si>
    <t>ZF_8HP_Solenoid</t>
    <phoneticPr fontId="2" type="noConversion"/>
  </si>
  <si>
    <t>구미건결재</t>
  </si>
  <si>
    <t>JEEP_850RE_Repair</t>
  </si>
  <si>
    <t>엠모터스(구미)_250519_174742.xlsx</t>
  </si>
  <si>
    <t>아이스크림</t>
  </si>
  <si>
    <t>P073E 후진기어</t>
  </si>
  <si>
    <t>혜광오토(부산)_250519_175344.xlsx</t>
  </si>
  <si>
    <t>하나오토(청주)_250520_175316.xlsx</t>
  </si>
  <si>
    <t>대구오토(대구)_250520_175401.xlsx</t>
  </si>
  <si>
    <t>신일오토(부산)_250520_175437.xlsx</t>
  </si>
  <si>
    <t>927156AA</t>
    <phoneticPr fontId="2" type="noConversion"/>
  </si>
  <si>
    <t>0CK_TCU</t>
    <phoneticPr fontId="2" type="noConversion"/>
  </si>
  <si>
    <t>Rear_Differential_Clutch</t>
  </si>
  <si>
    <t>부산비엔비(부산)_250521_132435.xlsx</t>
  </si>
  <si>
    <t>오토솔루션(천안)</t>
  </si>
  <si>
    <t>오토솔루션(천안)_250521_132551.xlsx</t>
  </si>
  <si>
    <t>제욱오토(부산)_250521_132844.xlsx</t>
  </si>
  <si>
    <t>JAMAICAR</t>
  </si>
  <si>
    <t>JAMAICAR_250521_170126.xlsx</t>
  </si>
  <si>
    <t>신일오토(부산)_250521_170241.xlsx</t>
  </si>
  <si>
    <t>미르오토(대구)_250522_163548.xlsx</t>
  </si>
  <si>
    <t>혜광오토(부산)_250522_164014.xlsx</t>
  </si>
  <si>
    <t>부산비엔비(부산)_250522_164053.xlsx</t>
  </si>
  <si>
    <t>0AM_TCU_Clone</t>
  </si>
  <si>
    <t>제일오토(대구)_250522_164208.xlsx</t>
  </si>
  <si>
    <t>연화오토(대구)_250522_170349.xlsx</t>
  </si>
  <si>
    <t>8HP_Plate</t>
    <phoneticPr fontId="2" type="noConversion"/>
  </si>
  <si>
    <t>B048</t>
    <phoneticPr fontId="2" type="noConversion"/>
  </si>
  <si>
    <t>6HP_Plate</t>
    <phoneticPr fontId="2" type="noConversion"/>
  </si>
  <si>
    <t>VW0CK335076D</t>
    <phoneticPr fontId="2" type="noConversion"/>
  </si>
  <si>
    <t>0CK_Solenoid_kit</t>
    <phoneticPr fontId="2" type="noConversion"/>
  </si>
  <si>
    <t>혜광오토(부산)_250523_151135.xlsx</t>
  </si>
  <si>
    <t>삼성모터스</t>
  </si>
  <si>
    <t>삼성모터스</t>
    <phoneticPr fontId="2" type="noConversion"/>
  </si>
  <si>
    <t>010-2366-6659</t>
    <phoneticPr fontId="2" type="noConversion"/>
  </si>
  <si>
    <t>대구 달성군 현풍읍 비슬로 676</t>
    <phoneticPr fontId="2" type="noConversion"/>
  </si>
  <si>
    <t>삼성모터스_250523_162836.xlsx</t>
  </si>
  <si>
    <t>혜광오토(부산)_250523_162909.xlsx</t>
  </si>
  <si>
    <t>조이오토(대구)_250523_164017.xlsx</t>
  </si>
  <si>
    <t>동명오토(인천)</t>
    <phoneticPr fontId="2" type="noConversion"/>
  </si>
  <si>
    <t>010-6269-9723</t>
    <phoneticPr fontId="2" type="noConversion"/>
  </si>
  <si>
    <t>인천 서구 사월로 93</t>
    <phoneticPr fontId="2" type="noConversion"/>
  </si>
  <si>
    <t>경동(화물)</t>
    <phoneticPr fontId="2" type="noConversion"/>
  </si>
  <si>
    <t>인천서구왕길305</t>
  </si>
  <si>
    <t>대덕오토(대전)_250524_110332.xlsx</t>
  </si>
  <si>
    <t>현진미션(남대구)_250524_110901.xlsx</t>
  </si>
  <si>
    <t>0CW_Mechatronics</t>
  </si>
  <si>
    <t>동명오토(인천)_250524_111102.xlsx</t>
  </si>
  <si>
    <t>한신오토미션(서울 송파)</t>
  </si>
  <si>
    <t>010-5260-3253</t>
    <phoneticPr fontId="2" type="noConversion"/>
  </si>
  <si>
    <t>서울시 송파구 송파대로 24길5</t>
    <phoneticPr fontId="2" type="noConversion"/>
  </si>
  <si>
    <t>경동(택배)</t>
    <phoneticPr fontId="2" type="noConversion"/>
  </si>
  <si>
    <t>한신오토미션(서울 송파)_250526_125124.xlsx</t>
  </si>
  <si>
    <t>미르오토(대구)_250526_125237.xlsx</t>
  </si>
  <si>
    <t>AZ제일오토미션(순천)_250526_153036.xlsx</t>
  </si>
  <si>
    <t>VGSNAG3_Repair</t>
  </si>
  <si>
    <t>유명차(수성점)_250526_153143.xlsx</t>
  </si>
  <si>
    <t>현진미션(남대구)_250526_153225.xlsx</t>
  </si>
  <si>
    <t>제욱오토(부산)_250526_153257.xlsx</t>
  </si>
  <si>
    <t>나들이김밥</t>
    <phoneticPr fontId="2" type="noConversion"/>
  </si>
  <si>
    <t>CU</t>
  </si>
  <si>
    <t>한국오토(일산)_250527_094501.xlsx</t>
  </si>
  <si>
    <t>뉴명차(수성점)</t>
  </si>
  <si>
    <t>뉴명차(수성점)</t>
    <phoneticPr fontId="2" type="noConversion"/>
  </si>
  <si>
    <t>연화오토(대구)_250527_095951.xlsx</t>
  </si>
  <si>
    <t>조이오토(대구)_250527_131421.xlsx</t>
  </si>
  <si>
    <t>AZ제일오토미션(순천)_250527_131514.xlsx</t>
  </si>
  <si>
    <t>정인호오토샵(김천)_250527_163936.xlsx</t>
  </si>
  <si>
    <t>대구광역시 서구 가르뱅이로 53</t>
    <phoneticPr fontId="2" type="noConversion"/>
  </si>
  <si>
    <t>010-5102-8176</t>
    <phoneticPr fontId="2" type="noConversion"/>
  </si>
  <si>
    <t>제이오토(대구)_250527_164014.xlsx</t>
  </si>
  <si>
    <t>제이오토(대구)_250527_164014.xlsx</t>
    <phoneticPr fontId="2" type="noConversion"/>
  </si>
  <si>
    <t>할인</t>
  </si>
  <si>
    <t>Note</t>
    <phoneticPr fontId="2" type="noConversion"/>
  </si>
  <si>
    <t>ATC35L</t>
  </si>
  <si>
    <t>청주오토(청주)</t>
  </si>
  <si>
    <t>VGSNAG3_CLONE</t>
  </si>
  <si>
    <t>YG모터스(대구)</t>
  </si>
  <si>
    <t>날짜</t>
    <phoneticPr fontId="2" type="noConversion"/>
  </si>
  <si>
    <t>제이오토(대구)_250529_134901.xlsx</t>
  </si>
  <si>
    <t>제이오토(대구)_250529_160119.xlsx</t>
  </si>
  <si>
    <t>제이오토(대구)_250529_182923.xlsx</t>
  </si>
  <si>
    <t>제이오토(대구)_250530_091256.xlsx</t>
  </si>
  <si>
    <t>A221250030180</t>
  </si>
  <si>
    <t>AMG630_Clutch</t>
  </si>
  <si>
    <t>9HP48</t>
    <phoneticPr fontId="2" type="noConversion"/>
  </si>
  <si>
    <t>948TE_Valvebody</t>
  </si>
  <si>
    <t>경동화물</t>
  </si>
  <si>
    <t>제이오토(대구)_250530_115838.xlsx</t>
  </si>
  <si>
    <t>모토렌</t>
  </si>
  <si>
    <t>제이오토(대구)_250530_115945.xlsx</t>
  </si>
  <si>
    <t>제이오토(대구)_250530_120011.xlsx</t>
  </si>
  <si>
    <t>제이오토(대구)_250530_120100.xlsx</t>
  </si>
  <si>
    <t>제이오토(대구)_250530_121203.xlsx</t>
  </si>
  <si>
    <t>PARK_PAWL</t>
    <phoneticPr fontId="2" type="noConversion"/>
  </si>
  <si>
    <t>제이오토(대구)_250530_121457.xlsx</t>
  </si>
  <si>
    <t>ZF_8HP_Oilpan</t>
  </si>
  <si>
    <t>948TE_Pressure</t>
    <phoneticPr fontId="2" type="noConversion"/>
  </si>
  <si>
    <t>68214115AA</t>
    <phoneticPr fontId="2" type="noConversion"/>
  </si>
  <si>
    <t>ME9.7 DME Renew</t>
  </si>
  <si>
    <t>제이오토(대구)_250531_090358.xlsx</t>
  </si>
  <si>
    <t>제이오토(대구)_250531_114141.xlsx</t>
  </si>
  <si>
    <t>GM</t>
  </si>
  <si>
    <t>8L45_WIRE</t>
    <phoneticPr fontId="2" type="noConversion"/>
  </si>
  <si>
    <t>0BH927711C</t>
    <phoneticPr fontId="2" type="noConversion"/>
  </si>
  <si>
    <t>대신(화물)</t>
    <phoneticPr fontId="2" type="noConversion"/>
  </si>
  <si>
    <t>대전 용정</t>
  </si>
  <si>
    <t>제이오토(대구)_250531_140248.xlsx</t>
  </si>
  <si>
    <t>모토렌</t>
    <phoneticPr fontId="2" type="noConversion"/>
  </si>
  <si>
    <t>제이오토(대구)_250602_123732.xlsx</t>
  </si>
  <si>
    <t>제이오토(대구)_250602_123809.xlsx</t>
  </si>
  <si>
    <t>제이오토(대구)_250602_123911.xlsx</t>
  </si>
  <si>
    <t>제이오토(대구)_250602_135325.xlsx</t>
  </si>
  <si>
    <t>제이오토(대구)_250602_192550.xlsx</t>
  </si>
  <si>
    <t>010-4728-6701</t>
  </si>
  <si>
    <t>천안시 서북구 천안대로 1220번지</t>
  </si>
  <si>
    <t>제이오토(대구)_250602_192725.xlsx</t>
  </si>
  <si>
    <t>한국오토(안양)</t>
    <phoneticPr fontId="2" type="noConversion"/>
  </si>
  <si>
    <t>제이오토(대구)_250603_105945.xlsx</t>
  </si>
  <si>
    <t>8HP45</t>
  </si>
  <si>
    <t>제이오토(대구)_250603_110045.xlsx</t>
  </si>
  <si>
    <t>삼육오모터스</t>
  </si>
  <si>
    <t>010-6169-7263</t>
  </si>
  <si>
    <t>개인거래</t>
  </si>
  <si>
    <t>제이오토(대구)_250603_152318.xlsx</t>
  </si>
  <si>
    <t>제이오토(대구)_250603_153529.xlsx</t>
  </si>
  <si>
    <t xml:space="preserve"> </t>
    <phoneticPr fontId="2" type="noConversion"/>
  </si>
  <si>
    <t>365모터스</t>
  </si>
  <si>
    <t>010-7437-0365</t>
  </si>
  <si>
    <t>경상북도 안동시 서동문로 18-2(태화동)</t>
  </si>
  <si>
    <t>6HP_Repair</t>
    <phoneticPr fontId="2" type="noConversion"/>
  </si>
  <si>
    <t>365모터스(안동)</t>
    <phoneticPr fontId="2" type="noConversion"/>
  </si>
  <si>
    <t>010-7437-0365</t>
    <phoneticPr fontId="2" type="noConversion"/>
  </si>
  <si>
    <t>경상북도 안동시 서동문로 18-2(태화동)</t>
    <phoneticPr fontId="2" type="noConversion"/>
  </si>
  <si>
    <t>제이오토(대구)_250604_112003.xlsx</t>
  </si>
  <si>
    <t>제이오토(대구)_250604_121856.xlsx</t>
  </si>
  <si>
    <t>대성오토(서울양천)</t>
  </si>
  <si>
    <t>대성오토(서울양천)</t>
    <phoneticPr fontId="2" type="noConversion"/>
  </si>
  <si>
    <t>010-5234-8502</t>
    <phoneticPr fontId="2" type="noConversion"/>
  </si>
  <si>
    <t>서울시 양천구 중앙로 32길 75</t>
    <phoneticPr fontId="2" type="noConversion"/>
  </si>
  <si>
    <t>ISM</t>
  </si>
  <si>
    <t>제이오토(대구)_250604_122150.xlsx</t>
  </si>
  <si>
    <t>365모터스(안동)</t>
  </si>
  <si>
    <t>0B5_TCU_Rebuild</t>
    <phoneticPr fontId="2" type="noConversion"/>
  </si>
  <si>
    <t>제이오토(대구)_250604_154857.xlsx</t>
  </si>
  <si>
    <t>부가세발행비용</t>
  </si>
  <si>
    <t>010-2586-5588</t>
    <phoneticPr fontId="2" type="noConversion"/>
  </si>
  <si>
    <t>대구광역시 남구 대봉로 164</t>
    <phoneticPr fontId="2" type="noConversion"/>
  </si>
  <si>
    <t>대구</t>
    <phoneticPr fontId="2" type="noConversion"/>
  </si>
  <si>
    <t>제이오토(대구)_250605_102823.xlsx</t>
  </si>
  <si>
    <t>제이오토(대구)_250605_103022.xlsx</t>
  </si>
  <si>
    <t>제이오토(대구)_250605_105204.xlsx</t>
  </si>
  <si>
    <t>0B5_Gear_Sensor</t>
  </si>
  <si>
    <t>공임비</t>
  </si>
  <si>
    <t>제이오토(대구)_250605_115601.xlsx</t>
  </si>
  <si>
    <t>A1763503100</t>
  </si>
  <si>
    <t>724_Differ_disc</t>
  </si>
  <si>
    <t>CAR</t>
    <phoneticPr fontId="2" type="noConversion"/>
  </si>
  <si>
    <t>PARTS NAME</t>
    <phoneticPr fontId="2" type="noConversion"/>
  </si>
  <si>
    <t>PARTS INFO</t>
    <phoneticPr fontId="2" type="noConversion"/>
  </si>
  <si>
    <t>DME_Clone</t>
  </si>
  <si>
    <t>세기자동차공업사(인천)</t>
  </si>
  <si>
    <t>제이오토(대구)_250605_165003.xlsx</t>
  </si>
  <si>
    <t>제이오토(대구)_250606_132011.xlsx</t>
  </si>
  <si>
    <t>조이오토(대구)_250607_091949.xlsx</t>
  </si>
  <si>
    <t>신일오토</t>
  </si>
  <si>
    <t>한국오토(노원)</t>
  </si>
  <si>
    <t>한국오토(노원)_250609_105751.xlsx</t>
  </si>
  <si>
    <t>한국오토(안양)_250609_110127.xlsx</t>
  </si>
  <si>
    <t>8HP_Pump_Seal_kit</t>
  </si>
  <si>
    <t>01035174B</t>
  </si>
  <si>
    <t>엠모터스(구미)_250609_110223.xlsx</t>
  </si>
  <si>
    <t>조이오토(대구)_250609_112802.xlsx</t>
  </si>
  <si>
    <t>A0002701852-1</t>
  </si>
  <si>
    <t>0AW_TCU</t>
  </si>
  <si>
    <t>현진미션(남대구)_250609_163157.xlsx</t>
  </si>
  <si>
    <t>대륙오토(대구)_250609_163230.xlsx</t>
  </si>
  <si>
    <t>미르오토(대구)_250609_163308.xlsx</t>
  </si>
  <si>
    <t>대구오토(대구)_250609_163406.xlsx</t>
  </si>
  <si>
    <t>0B5 Oil Cooler(직배송건)</t>
  </si>
  <si>
    <t>4G0317021AF</t>
  </si>
  <si>
    <t>0B5_Oil_Cooler</t>
  </si>
  <si>
    <t>4H0121671B</t>
  </si>
  <si>
    <t>0B5_Cooler_Valve</t>
  </si>
  <si>
    <t>AZ제일오토미션(순천)_250609_164139.xlsx</t>
  </si>
  <si>
    <t>02E_AQ_NEW</t>
    <phoneticPr fontId="2" type="noConversion"/>
  </si>
  <si>
    <t>결재(0B5_센서수리)</t>
  </si>
  <si>
    <t>결재(0B5 클러치[구미건])</t>
  </si>
  <si>
    <t>결재(0B5 클러치[제일순천])</t>
  </si>
  <si>
    <t>결재(G20 디퍼누유수리)</t>
  </si>
  <si>
    <t>0GC927711H</t>
    <phoneticPr fontId="2" type="noConversion"/>
  </si>
  <si>
    <t>0B5_Clutch_Rebuild</t>
    <phoneticPr fontId="2" type="noConversion"/>
  </si>
  <si>
    <t>조이오토(대구)_250609_165912.xlsx</t>
  </si>
  <si>
    <t>미르오토(대구)_250609_181008.xlsx</t>
  </si>
  <si>
    <t>한국오토(안양)</t>
    <phoneticPr fontId="2" type="noConversion"/>
  </si>
  <si>
    <t>010-9220-4828</t>
    <phoneticPr fontId="2" type="noConversion"/>
  </si>
  <si>
    <t>경기도 군포시 금정동 1-40</t>
    <phoneticPr fontId="2" type="noConversion"/>
  </si>
  <si>
    <t>경동(화물)</t>
    <phoneticPr fontId="2" type="noConversion"/>
  </si>
  <si>
    <t>010-9155-7581</t>
    <phoneticPr fontId="2" type="noConversion"/>
  </si>
  <si>
    <t>인천 미추홀구 숭의동 309-10</t>
  </si>
  <si>
    <t>인천 미추홀구 숭의동 309-10</t>
    <phoneticPr fontId="2" type="noConversion"/>
  </si>
  <si>
    <t>대전서구변동70</t>
    <phoneticPr fontId="2" type="noConversion"/>
  </si>
  <si>
    <t>안양한국오토 선불</t>
  </si>
  <si>
    <t>노원 한국오토 선불</t>
  </si>
  <si>
    <t>AZ제일오토</t>
  </si>
  <si>
    <t>AZ제일오토 퀵</t>
  </si>
  <si>
    <t>TG81</t>
    <phoneticPr fontId="2" type="noConversion"/>
  </si>
  <si>
    <t>Grand Cherokee</t>
  </si>
  <si>
    <t>삼육오모터스_250610_153541.xlsx</t>
  </si>
  <si>
    <t>하정오토(광주)_250610_153642.xlsx</t>
  </si>
  <si>
    <t>미르오토(대구)_250610_153726.xlsx</t>
  </si>
  <si>
    <t>TG81_Valvebody</t>
  </si>
  <si>
    <t>성민오토(대전)_250610_153850.xlsx</t>
  </si>
  <si>
    <t>AZ제일오토미션(순천)_250610_153933.xlsx</t>
  </si>
  <si>
    <t>0B5 156F to 156K</t>
  </si>
  <si>
    <t>대륙오토(대구)_250610_154016.xlsx</t>
  </si>
  <si>
    <t>0AM_TCU Clone</t>
  </si>
  <si>
    <t>청주오토(청주)_250610_154141.xlsx</t>
  </si>
  <si>
    <t>마이스터(대구)_250610_154224.xlsx</t>
  </si>
  <si>
    <t>체로키 작업비</t>
  </si>
  <si>
    <t>제일오토(대구)_250611_092310.xlsx</t>
  </si>
  <si>
    <t>한국오토(일산)_반품</t>
    <phoneticPr fontId="2" type="noConversion"/>
  </si>
  <si>
    <t>02E_AL</t>
    <phoneticPr fontId="2" type="noConversion"/>
  </si>
  <si>
    <t>모토렌(경산)</t>
  </si>
  <si>
    <t>모토렌(경산)</t>
    <phoneticPr fontId="2" type="noConversion"/>
  </si>
  <si>
    <t>010-2044-7301</t>
    <phoneticPr fontId="2" type="noConversion"/>
  </si>
  <si>
    <t>대구</t>
    <phoneticPr fontId="2" type="noConversion"/>
  </si>
  <si>
    <t xml:space="preserve">경북 경산시 삼성현로 37길 7  </t>
    <phoneticPr fontId="2" type="noConversion"/>
  </si>
  <si>
    <t>청주오토(청주)</t>
    <phoneticPr fontId="2" type="noConversion"/>
  </si>
  <si>
    <t>225740A-QX</t>
  </si>
  <si>
    <t>VGSNAG3_Solenoid</t>
    <phoneticPr fontId="2" type="noConversion"/>
  </si>
  <si>
    <t>365모터스_250611_144735.xlsx</t>
  </si>
  <si>
    <t>서기사오토(대구)</t>
  </si>
  <si>
    <t>서기사오토(대구)_250611_151710.xlsx</t>
  </si>
  <si>
    <t>대덕미션</t>
  </si>
  <si>
    <t>대덕오토(대전)_250611_174151.xlsx</t>
  </si>
  <si>
    <t>정인호오토샵(김천)_250611_174227.xlsx</t>
  </si>
  <si>
    <t>모토렌(경산)_250611_174257.xlsx</t>
  </si>
  <si>
    <t>제일오토(대구)_250611_174335.xlsx</t>
  </si>
  <si>
    <t>진영오토(남양주)_250612_172338.xlsx</t>
  </si>
  <si>
    <t>진영오토(남양주)_250612_172518.xlsx</t>
  </si>
  <si>
    <t>연화오토(대구)_250612_172549.xlsx</t>
  </si>
  <si>
    <t>이박사자동차정비(구미)</t>
  </si>
  <si>
    <t>이박사자동차정비(구미)</t>
    <phoneticPr fontId="2" type="noConversion"/>
  </si>
  <si>
    <t>010-9273-5364</t>
    <phoneticPr fontId="2" type="noConversion"/>
  </si>
  <si>
    <t>경북 구미시 인동46길 37-32</t>
    <phoneticPr fontId="2" type="noConversion"/>
  </si>
  <si>
    <t>임수493</t>
  </si>
  <si>
    <t>B&amp;M모터스</t>
    <phoneticPr fontId="2" type="noConversion"/>
  </si>
  <si>
    <t>이박사자동차정비(구미)_250613_114011.xlsx</t>
  </si>
  <si>
    <t>현진미션(남대구)_250613_144746.xlsx</t>
  </si>
  <si>
    <t>김해오토(김해)_250613_144844.xlsx</t>
  </si>
  <si>
    <t>코리아탑오토샵(대전)_250613_145131.xlsx</t>
  </si>
  <si>
    <t>은현자동차공업소(용인)</t>
  </si>
  <si>
    <t>은현자동차공업소(용인)_250613_145206.xlsx</t>
  </si>
  <si>
    <t>724_Solenoid</t>
    <phoneticPr fontId="2" type="noConversion"/>
  </si>
  <si>
    <t>725_Solenoid</t>
  </si>
  <si>
    <t>FRM Repair</t>
  </si>
  <si>
    <t>이시아오토(대구)_250613_155408.xlsx</t>
  </si>
  <si>
    <t>부산오토(부산)</t>
  </si>
  <si>
    <t>010-6571-4560</t>
    <phoneticPr fontId="2" type="noConversion"/>
  </si>
  <si>
    <t>010-5227-9921</t>
    <phoneticPr fontId="2" type="noConversion"/>
  </si>
  <si>
    <t>경기도 용인시 수지구 죽전동 푸른솔로 77</t>
    <phoneticPr fontId="2" type="noConversion"/>
  </si>
  <si>
    <t>웨스트모터스(대구)_250613_175235.xlsx</t>
  </si>
  <si>
    <t>미르오토(대구)_250614_110517.xlsx</t>
  </si>
  <si>
    <t>제이오토(대구)_250614_115928.xlsx</t>
  </si>
  <si>
    <t>비앤비모터스(창원)_250616_162202.xlsx</t>
  </si>
  <si>
    <t>한국오토 선불</t>
  </si>
  <si>
    <t>MB246_Filter</t>
  </si>
  <si>
    <t>246_Double_Clutch</t>
  </si>
  <si>
    <t>MB246_Filter</t>
    <phoneticPr fontId="2" type="noConversion"/>
  </si>
  <si>
    <t>현진미션(남대구)_250616_183609.xlsx</t>
  </si>
  <si>
    <t>미르오토(대구)_250616_183801.xlsx</t>
  </si>
  <si>
    <t>매드모터스(광주)_250617_101014.xlsx</t>
  </si>
  <si>
    <t>매드모터스</t>
  </si>
  <si>
    <t>8HP70_Mechatronics</t>
    <phoneticPr fontId="2" type="noConversion"/>
  </si>
  <si>
    <t>8HP70_VALBEBODY</t>
    <phoneticPr fontId="2" type="noConversion"/>
  </si>
  <si>
    <t>Schaeffler 결재</t>
    <phoneticPr fontId="2" type="noConversion"/>
  </si>
  <si>
    <t>Schaeffler 이익</t>
    <phoneticPr fontId="2" type="noConversion"/>
  </si>
  <si>
    <t>플라이휠(Schaeffler)</t>
    <phoneticPr fontId="2" type="noConversion"/>
  </si>
  <si>
    <t>0B5</t>
    <phoneticPr fontId="2" type="noConversion"/>
  </si>
  <si>
    <t>공급자
(구입자)</t>
    <phoneticPr fontId="28" type="noConversion"/>
  </si>
  <si>
    <t>수량</t>
    <phoneticPr fontId="28" type="noConversion"/>
  </si>
  <si>
    <t>단가</t>
    <phoneticPr fontId="28" type="noConversion"/>
  </si>
  <si>
    <t>금액</t>
    <phoneticPr fontId="28" type="noConversion"/>
  </si>
  <si>
    <t>세액</t>
    <phoneticPr fontId="28" type="noConversion"/>
  </si>
  <si>
    <t>피카몰</t>
    <phoneticPr fontId="28" type="noConversion"/>
  </si>
  <si>
    <t>오일</t>
    <phoneticPr fontId="28" type="noConversion"/>
  </si>
  <si>
    <t>매입</t>
  </si>
  <si>
    <t>대구비닐</t>
    <phoneticPr fontId="28" type="noConversion"/>
  </si>
  <si>
    <t>에어캡</t>
    <phoneticPr fontId="28" type="noConversion"/>
  </si>
  <si>
    <t>매입</t>
    <phoneticPr fontId="28" type="noConversion"/>
  </si>
  <si>
    <t>합동상사</t>
    <phoneticPr fontId="28" type="noConversion"/>
  </si>
  <si>
    <t>배터리</t>
    <phoneticPr fontId="28" type="noConversion"/>
  </si>
  <si>
    <t>준걸</t>
    <phoneticPr fontId="28" type="noConversion"/>
  </si>
  <si>
    <t>선물셋트</t>
    <phoneticPr fontId="28" type="noConversion"/>
  </si>
  <si>
    <t>대왕</t>
    <phoneticPr fontId="28" type="noConversion"/>
  </si>
  <si>
    <t>삼성쉘</t>
    <phoneticPr fontId="28" type="noConversion"/>
  </si>
  <si>
    <t>파츠맨</t>
    <phoneticPr fontId="28" type="noConversion"/>
  </si>
  <si>
    <t>필터</t>
    <phoneticPr fontId="28" type="noConversion"/>
  </si>
  <si>
    <t>상원상사</t>
    <phoneticPr fontId="28" type="noConversion"/>
  </si>
  <si>
    <t>훅스오일</t>
    <phoneticPr fontId="28" type="noConversion"/>
  </si>
  <si>
    <t>기국</t>
    <phoneticPr fontId="28" type="noConversion"/>
  </si>
  <si>
    <t>남영판지</t>
    <phoneticPr fontId="28" type="noConversion"/>
  </si>
  <si>
    <t>박스</t>
    <phoneticPr fontId="28" type="noConversion"/>
  </si>
  <si>
    <t>세종파츠</t>
    <phoneticPr fontId="28" type="noConversion"/>
  </si>
  <si>
    <t>부품</t>
    <phoneticPr fontId="28" type="noConversion"/>
  </si>
  <si>
    <t>검아웃</t>
    <phoneticPr fontId="28" type="noConversion"/>
  </si>
  <si>
    <t>뉴그린</t>
    <phoneticPr fontId="28" type="noConversion"/>
  </si>
  <si>
    <t>합   계</t>
    <phoneticPr fontId="28" type="noConversion"/>
  </si>
  <si>
    <t>품명</t>
    <phoneticPr fontId="2" type="noConversion"/>
  </si>
  <si>
    <t>세액</t>
    <phoneticPr fontId="2" type="noConversion"/>
  </si>
  <si>
    <t>0CK_USED_GEAR_BOX</t>
  </si>
  <si>
    <t>제이오토(대구)_250617_144742.xlsx</t>
  </si>
  <si>
    <t>거래처에바로입금</t>
  </si>
  <si>
    <t>새흰돌오토미션(전남순천)</t>
  </si>
  <si>
    <t>미르오토(대구)_250617_163707.xlsx</t>
  </si>
  <si>
    <t>새흰돌오토미션(전남순천)_250617_163807.xlsx</t>
  </si>
  <si>
    <t>새흰돌오토미션(전남순천)</t>
    <phoneticPr fontId="2" type="noConversion"/>
  </si>
  <si>
    <t>010-3646-3677</t>
    <phoneticPr fontId="2" type="noConversion"/>
  </si>
  <si>
    <t>제일오토(순천)</t>
  </si>
  <si>
    <t>현진미션(남대구)_250618_151246.xlsx</t>
  </si>
  <si>
    <t>01J927156JG</t>
  </si>
  <si>
    <t>01J_TCU</t>
  </si>
  <si>
    <t>미르오토(대구)_250618_151810.xlsx</t>
  </si>
  <si>
    <t>서기사오토(대구)_250618_152004.xlsx</t>
  </si>
  <si>
    <t>SJ모터스(부산)_250618_152141.xlsx</t>
  </si>
  <si>
    <t>한신오토미션(서울 송파)_250618_155513.xlsx</t>
  </si>
  <si>
    <t>조이오토(대구)_250618_180056.xlsx</t>
  </si>
  <si>
    <t>미르오토(대구)_250618_180143.xlsx</t>
  </si>
  <si>
    <t>SJ모터스</t>
  </si>
  <si>
    <t>SJ모터스(부산)_250619_101631.xlsx</t>
  </si>
  <si>
    <t>제일오토(대구)_250619_101808.xlsx</t>
  </si>
  <si>
    <t>02E927770AQ</t>
    <phoneticPr fontId="2" type="noConversion"/>
  </si>
  <si>
    <t>0D9_AQ</t>
    <phoneticPr fontId="2" type="noConversion"/>
  </si>
  <si>
    <t>02E927770AS</t>
    <phoneticPr fontId="2" type="noConversion"/>
  </si>
  <si>
    <t>0D9_AS</t>
    <phoneticPr fontId="2" type="noConversion"/>
  </si>
  <si>
    <t>새흰돌오토미션(전남순천)_250619_102526.xlsx</t>
  </si>
  <si>
    <t>948TE_Solenoid</t>
    <phoneticPr fontId="2" type="noConversion"/>
  </si>
  <si>
    <t>04752889AA</t>
  </si>
  <si>
    <t>미르오토(대구)_250619_163902.xlsx</t>
  </si>
  <si>
    <t>대륙오토(대구)_250619_164019.xlsx</t>
  </si>
  <si>
    <t>조이오토(대구)_250619_164103.xlsx</t>
  </si>
  <si>
    <t>한국오토(노원)_250619_164223.xlsx</t>
  </si>
  <si>
    <t>ZF6HP_Switch repair</t>
  </si>
  <si>
    <t>AZ제일오토미션(순천)_250619_164323.xlsx</t>
  </si>
  <si>
    <t>Dog Clutch Filter</t>
  </si>
  <si>
    <t>AZ제일오토미션(순천)_250619_164639.xlsx</t>
  </si>
  <si>
    <t>SJ모터스 선불</t>
  </si>
  <si>
    <t>BMW모터스_착한정비(울산)</t>
    <phoneticPr fontId="2" type="noConversion"/>
  </si>
  <si>
    <t>010-8582-4285</t>
    <phoneticPr fontId="2" type="noConversion"/>
  </si>
  <si>
    <t>울산 남구 달동 569-6</t>
    <phoneticPr fontId="2" type="noConversion"/>
  </si>
  <si>
    <t>010-5883-6482</t>
    <phoneticPr fontId="2" type="noConversion"/>
  </si>
  <si>
    <t>부산 금정구 범어천로 7-8</t>
    <phoneticPr fontId="2" type="noConversion"/>
  </si>
  <si>
    <t>오토서비스(평택)</t>
  </si>
  <si>
    <t>오토서비스(평택)_250620_125354.xlsx</t>
  </si>
  <si>
    <t>대구오토(대구)_250620_142059.xlsx</t>
  </si>
  <si>
    <t>하나오토(청주)_250620_142242.xlsx</t>
  </si>
  <si>
    <t>제이오토(대구)_250620_143230.xlsx</t>
  </si>
  <si>
    <t>BMW모터스_착한정비(울산)</t>
  </si>
  <si>
    <t>BMW모터스_착한정비(울산)_250620_143304.xlsx</t>
  </si>
  <si>
    <t>대구오토(대구)_250620_160802.xlsx</t>
  </si>
  <si>
    <t>010-4131-2070</t>
    <phoneticPr fontId="2" type="noConversion"/>
  </si>
  <si>
    <t>경기도 평택시 평남로 374</t>
    <phoneticPr fontId="2" type="noConversion"/>
  </si>
  <si>
    <t>대신(화물)</t>
    <phoneticPr fontId="2" type="noConversion"/>
  </si>
  <si>
    <t>평택신대동지점</t>
  </si>
  <si>
    <t>마이스터 선불</t>
  </si>
  <si>
    <t>오거리카(대구)</t>
  </si>
  <si>
    <t>오거리카(대구)_250620_221254.xlsx</t>
  </si>
  <si>
    <t>0CK_Filter</t>
    <phoneticPr fontId="2" type="noConversion"/>
  </si>
  <si>
    <t>한국오토(일산)_250621_110246.xlsx</t>
  </si>
  <si>
    <t>부산오토(부산)_250621_110419.xlsx</t>
  </si>
  <si>
    <t>0501.218.962</t>
  </si>
  <si>
    <t>PDK_Sensor(4WD)</t>
  </si>
  <si>
    <t>조이오토(대구)_250621_112721.xlsx</t>
  </si>
  <si>
    <t>오토젠(남양주)</t>
  </si>
  <si>
    <t>오토젠(남양주)_250623_151417.xlsx</t>
  </si>
  <si>
    <t>010-7728-7330</t>
    <phoneticPr fontId="2" type="noConversion"/>
  </si>
  <si>
    <t>경기도 남양주시 별내면 송산로 519-8</t>
    <phoneticPr fontId="2" type="noConversion"/>
  </si>
  <si>
    <t>8HP70_Inner_Gear</t>
  </si>
  <si>
    <t>메르카바(고양)</t>
  </si>
  <si>
    <t>메르카바(고양)_250623_171251.xlsx</t>
  </si>
  <si>
    <t>Clutch 작업비</t>
  </si>
  <si>
    <t>경북구미시 고아읍 송평로1길 20</t>
    <phoneticPr fontId="2" type="noConversion"/>
  </si>
  <si>
    <t>구미원평1051</t>
    <phoneticPr fontId="2" type="noConversion"/>
  </si>
  <si>
    <t>엠모터스</t>
    <phoneticPr fontId="2" type="noConversion"/>
  </si>
  <si>
    <t>VGSNAG3 Clone</t>
  </si>
  <si>
    <t>엠모터스(구미)_250624_110046.xlsx</t>
  </si>
  <si>
    <t>대구오토(대구)_250624_151531.xlsx</t>
  </si>
  <si>
    <t>효성오토</t>
  </si>
  <si>
    <t>효성오토</t>
    <phoneticPr fontId="2" type="noConversion"/>
  </si>
  <si>
    <t>010-3253-0000</t>
    <phoneticPr fontId="2" type="noConversion"/>
  </si>
  <si>
    <t>262-02-00432</t>
  </si>
  <si>
    <t>경북 구미시 선산대로 245 1동 지하1층</t>
    <phoneticPr fontId="2" type="noConversion"/>
  </si>
  <si>
    <t>구미 원평점</t>
    <phoneticPr fontId="2" type="noConversion"/>
  </si>
  <si>
    <t>서기사오토(대구)_250624_173313.xlsx</t>
  </si>
  <si>
    <t>효성오토_250624_173344.xlsx</t>
  </si>
  <si>
    <t>조이오토(대구)_250624_173516.xlsx</t>
  </si>
  <si>
    <t>제이오토(대구)_250624_185310.xlsx</t>
  </si>
  <si>
    <t>8HP51</t>
    <phoneticPr fontId="2" type="noConversion"/>
  </si>
  <si>
    <t>성실자동차(인천)</t>
  </si>
  <si>
    <t>010-8969-4658</t>
    <phoneticPr fontId="2" type="noConversion"/>
  </si>
  <si>
    <t>인천광역시 서구 원석로 196번길 24</t>
    <phoneticPr fontId="2" type="noConversion"/>
  </si>
  <si>
    <t>인천서구원창424</t>
  </si>
  <si>
    <t>메르카바(고양점)</t>
  </si>
  <si>
    <t>전주오토(전주)_250625_115108.xlsx</t>
  </si>
  <si>
    <t>마일레오토(군포)_250625_115148.xlsx</t>
  </si>
  <si>
    <t>마이스터(대구)_250625_115235.xlsx</t>
  </si>
  <si>
    <t>8HP51_Mechatronics</t>
  </si>
  <si>
    <t>스카이오토미션(천안)_250625_122403.xlsx</t>
  </si>
  <si>
    <t>성실자동차(인천)_250625_122539.xlsx</t>
  </si>
  <si>
    <t>8HP51_Mechatronics</t>
    <phoneticPr fontId="2" type="noConversion"/>
  </si>
  <si>
    <t>혜광오토(부산)_250625_145137.xlsx</t>
  </si>
  <si>
    <t>한국오토(일산)_250625_145244.xlsx</t>
  </si>
  <si>
    <t>0GC_Repair</t>
    <phoneticPr fontId="2" type="noConversion"/>
  </si>
  <si>
    <t>마트</t>
  </si>
  <si>
    <t>기타</t>
  </si>
  <si>
    <t>쓰봉</t>
  </si>
  <si>
    <t>연화오토(대구)_250625_190518.xlsx</t>
  </si>
  <si>
    <t>이시아오토(대구)_250626_103641.xlsx</t>
  </si>
  <si>
    <t>0B5_Shaft_Seal</t>
    <phoneticPr fontId="2" type="noConversion"/>
  </si>
  <si>
    <t>0B5_Filter(Inner)</t>
  </si>
  <si>
    <t>조이오토(대구)_250626_104513.xlsx</t>
  </si>
  <si>
    <t>미르오토(대구)_250626_104555.xlsx</t>
  </si>
  <si>
    <t>ZF_8HP_Oilpan(Schaeffler)</t>
    <phoneticPr fontId="2" type="noConversion"/>
  </si>
  <si>
    <t>미르오토(대구)_250626_111703.xlsx</t>
  </si>
  <si>
    <t>라베놀 디퍼오일(Schaeffler)</t>
    <phoneticPr fontId="2" type="noConversion"/>
  </si>
  <si>
    <t>ZF_Oilpan_9G</t>
    <phoneticPr fontId="2" type="noConversion"/>
  </si>
  <si>
    <t>결재(5만원할인)</t>
  </si>
  <si>
    <t>부산오토(부산)</t>
    <phoneticPr fontId="2" type="noConversion"/>
  </si>
  <si>
    <t>0CW_Mechatronics</t>
    <phoneticPr fontId="2" type="noConversion"/>
  </si>
  <si>
    <t>거래불가(X)</t>
    <phoneticPr fontId="2" type="noConversion"/>
  </si>
  <si>
    <t>010-2799-0034</t>
    <phoneticPr fontId="2" type="noConversion"/>
  </si>
  <si>
    <t>부산 연제구 좌수영로 311(연산동 469-2)</t>
    <phoneticPr fontId="2" type="noConversion"/>
  </si>
  <si>
    <t>부산오토(부산)_X</t>
    <phoneticPr fontId="2" type="noConversion"/>
  </si>
  <si>
    <t>미르오토(대구)_250626_145821.xlsx</t>
  </si>
  <si>
    <t>A7259820003</t>
  </si>
  <si>
    <t>0HK_ONLINE</t>
  </si>
  <si>
    <t>혜광오토(부산)_250626_171306.xlsx</t>
  </si>
  <si>
    <t>8HP75_Mechatronics</t>
    <phoneticPr fontId="2" type="noConversion"/>
  </si>
  <si>
    <t>8HP45_EGS</t>
    <phoneticPr fontId="2" type="noConversion"/>
  </si>
  <si>
    <t>0AM_Valvebody</t>
    <phoneticPr fontId="2" type="noConversion"/>
  </si>
  <si>
    <t>8HP75_Valvebody</t>
    <phoneticPr fontId="2" type="noConversion"/>
  </si>
  <si>
    <t>0AM_Mechatronics</t>
    <phoneticPr fontId="2" type="noConversion"/>
  </si>
  <si>
    <t>8HP50_Mechatronics</t>
    <phoneticPr fontId="2" type="noConversion"/>
  </si>
  <si>
    <t>0B5_DISC(DME_Clone)</t>
    <phoneticPr fontId="2" type="noConversion"/>
  </si>
  <si>
    <t>1087298388-1</t>
  </si>
  <si>
    <t>8HP45_Solenoid</t>
  </si>
  <si>
    <t>시골밥상</t>
  </si>
  <si>
    <t>매드모터스(광주)_250627_125832.xlsx</t>
  </si>
  <si>
    <t>대명오토(서울서초)_250627_125941.xlsx</t>
  </si>
  <si>
    <t>폭스바겐/아우디 차량의 6단 DSG 변속기용 습식 클러치 키트 부품 번호</t>
  </si>
  <si>
    <t>혜광오토(부산)_250627_154359.xlsx</t>
  </si>
  <si>
    <t>AZ제일오토미션(순천)_250627_160908.xlsx</t>
  </si>
  <si>
    <t>A0054463310</t>
  </si>
  <si>
    <t>조이오토(대구)_250627_161619.xlsx</t>
  </si>
  <si>
    <t>진영오토(남양주)_250627_172018.xlsx</t>
  </si>
  <si>
    <t>현진미션(남대구)</t>
    <phoneticPr fontId="2" type="noConversion"/>
  </si>
  <si>
    <t>246_Double_Clutch(Schaeffler)</t>
    <phoneticPr fontId="2" type="noConversion"/>
  </si>
  <si>
    <t>OB5_FILTER_SET</t>
    <phoneticPr fontId="2" type="noConversion"/>
  </si>
  <si>
    <t>한신오토미션(서울 송파)_250630_115515.xlsx</t>
  </si>
  <si>
    <t>천안오토(천안)</t>
  </si>
  <si>
    <t>010-3225-2080</t>
  </si>
  <si>
    <t>천안 서북구 직산읍 상덕로 11</t>
  </si>
  <si>
    <t>천안서북모시 253영업소</t>
  </si>
  <si>
    <t>거래 내역</t>
    <phoneticPr fontId="28" type="noConversion"/>
  </si>
  <si>
    <t>매입 금액</t>
    <phoneticPr fontId="28" type="noConversion"/>
  </si>
  <si>
    <t>매출 금액</t>
    <phoneticPr fontId="28" type="noConversion"/>
  </si>
  <si>
    <t>조이오토(대구)_250630_121739.xlsx</t>
  </si>
  <si>
    <t>A0002703252</t>
  </si>
  <si>
    <t>W212_ISM</t>
  </si>
  <si>
    <t>혜광오토(김해)_250630_122413.xlsx</t>
  </si>
  <si>
    <t>천안오토(천안)_250630_161418.xlsx</t>
  </si>
  <si>
    <t>대륙오토(대구)_250630_161518.xlsx</t>
  </si>
  <si>
    <t>조이오토(대구)_250630_161613.xlsx</t>
  </si>
  <si>
    <t>코리아탑오토샵(대전)_250630_161741.xlsx</t>
  </si>
  <si>
    <t>천안오토(천안)</t>
    <phoneticPr fontId="2" type="noConversion"/>
  </si>
  <si>
    <t>A7259820003</t>
    <phoneticPr fontId="2" type="noConversion"/>
  </si>
  <si>
    <t>대명오토(서울서초)_250630_162018.xlsx</t>
  </si>
  <si>
    <t>602000700(0AM클러치)_Schaeffler</t>
    <phoneticPr fontId="2" type="noConversion"/>
  </si>
  <si>
    <t>Flange_G반품</t>
  </si>
  <si>
    <t>FRM_Repair</t>
  </si>
  <si>
    <t>댐스(대구)</t>
  </si>
  <si>
    <t>댐스(대구)_250701_103715.xlsx</t>
  </si>
  <si>
    <t>연화오토(대구)_250701_103750.xlsx</t>
  </si>
  <si>
    <t>강성엽</t>
  </si>
  <si>
    <t>대구오토(대구)_250701_114914.xlsx</t>
  </si>
  <si>
    <t>결재(Clone비 제외)</t>
    <phoneticPr fontId="2" type="noConversion"/>
  </si>
  <si>
    <t>결재(할인)</t>
  </si>
  <si>
    <t>스마트정비(순천)</t>
  </si>
  <si>
    <t>010-6314-0633</t>
  </si>
  <si>
    <t>순천시 강변로 921</t>
  </si>
  <si>
    <t>스마트정비(순천)_250701_190334.xlsx</t>
  </si>
  <si>
    <t>대륙오토(대구)_250701_190435.xlsx</t>
  </si>
  <si>
    <t>ZF_9G_Oilpan</t>
    <phoneticPr fontId="2" type="noConversion"/>
  </si>
  <si>
    <t>윤중오토(대전)</t>
  </si>
  <si>
    <t>태성카오토(서울)</t>
  </si>
  <si>
    <t>명차(대구)</t>
  </si>
  <si>
    <t>명차(대구)_250702_103040.xlsx</t>
  </si>
  <si>
    <t>태성카오토(동대문)</t>
  </si>
  <si>
    <t>010-8731-1880</t>
  </si>
  <si>
    <t>서울 동대문로 한천로 71</t>
  </si>
  <si>
    <t>서울동대문장안190</t>
  </si>
  <si>
    <t>태성카오토(동대문)_250702_104149.xlsx</t>
  </si>
  <si>
    <t>결재(박병준)</t>
  </si>
  <si>
    <t>0AW927156K</t>
  </si>
  <si>
    <t>725_Oilpan</t>
  </si>
  <si>
    <t>7252703114-1</t>
  </si>
  <si>
    <t>9HP48_dog_clutch</t>
    <phoneticPr fontId="2" type="noConversion"/>
  </si>
  <si>
    <t>신우파츠 35, BI 45</t>
    <phoneticPr fontId="2" type="noConversion"/>
  </si>
  <si>
    <t>대구오토(대구)_250702_172829.xlsx</t>
  </si>
  <si>
    <t>카이드모터스(인천)_250702_173016.xlsx</t>
  </si>
  <si>
    <t>윤중오토미션(대전)_250702_173107.xlsx</t>
  </si>
  <si>
    <t>전주오토(전주)_250703_133605.xlsx</t>
  </si>
  <si>
    <t>JAMAICAR</t>
    <phoneticPr fontId="2" type="noConversion"/>
  </si>
  <si>
    <t>010-3060-0376</t>
    <phoneticPr fontId="2" type="noConversion"/>
  </si>
  <si>
    <t>경기도 고양시 일산동구 성석로 184</t>
    <phoneticPr fontId="2" type="noConversion"/>
  </si>
  <si>
    <t>경동(택배)</t>
    <phoneticPr fontId="2" type="noConversion"/>
  </si>
  <si>
    <t>일산 성석점</t>
    <phoneticPr fontId="2" type="noConversion"/>
  </si>
  <si>
    <t>AP오토서비스(수원)</t>
  </si>
  <si>
    <t>010-5057-4492</t>
  </si>
  <si>
    <t>경기도 수원시 권선구 매송고색로 804번길 33</t>
  </si>
  <si>
    <t>AP오토서비스(수원)_250703_170506.xlsx</t>
  </si>
  <si>
    <t>김해오토(김해)_250703_170611.xlsx</t>
  </si>
  <si>
    <t>JAMAICAR_250703_170753.xlsx</t>
  </si>
  <si>
    <t>대구오토(대구)_250703_170825.xlsx</t>
  </si>
  <si>
    <t>디아우디모터스(포항)</t>
    <phoneticPr fontId="2" type="noConversion"/>
  </si>
  <si>
    <t>010-3055-0055</t>
    <phoneticPr fontId="2" type="noConversion"/>
  </si>
  <si>
    <t>경상북도 포항시 북구 법원로 111번길 30</t>
    <phoneticPr fontId="2" type="noConversion"/>
  </si>
  <si>
    <t>디아우디모터스(포항)</t>
  </si>
  <si>
    <t>스카이오토미션(천안)_250704_152752.xlsx</t>
  </si>
  <si>
    <t>대구오토(대구)_250704_152827.xlsx</t>
  </si>
  <si>
    <t>0D9_AQ</t>
  </si>
  <si>
    <t>대명오토(서울서초)_250704_152938.xlsx</t>
  </si>
  <si>
    <t>엠모터스(구미)_250704_153024.xlsx</t>
  </si>
  <si>
    <t>1,2100,00</t>
  </si>
  <si>
    <t>제이오토(대구)_250705_123837.xlsx</t>
  </si>
  <si>
    <t>제이오토(대구)_250707_093451.xlsx</t>
  </si>
  <si>
    <t>대륙오토(대구)_250707_174815.xlsx</t>
  </si>
  <si>
    <t>연화오토(대구)_250707_174850.xlsx</t>
  </si>
  <si>
    <t>루모터스(신평점)</t>
  </si>
  <si>
    <t>루모터스(신평점)</t>
    <phoneticPr fontId="2" type="noConversion"/>
  </si>
  <si>
    <t>010-3551-2366</t>
    <phoneticPr fontId="2" type="noConversion"/>
  </si>
  <si>
    <t>부산시 사하구 하신중앙로 110-1</t>
    <phoneticPr fontId="2" type="noConversion"/>
  </si>
  <si>
    <t>경동(택배)</t>
    <phoneticPr fontId="2" type="noConversion"/>
  </si>
  <si>
    <t>하신중앙로 110-1 루모터스 신평점</t>
    <phoneticPr fontId="2" type="noConversion"/>
  </si>
  <si>
    <t>루모터스(동래점)</t>
  </si>
  <si>
    <t>010-8604-1215</t>
  </si>
  <si>
    <t>부산시 동래구 중앙대로 1275</t>
  </si>
  <si>
    <t>주소지</t>
  </si>
  <si>
    <t>루모터스(동래점)_250707_175127.xlsx</t>
  </si>
  <si>
    <t>오토서비스(평택)_250707_175223.xlsx</t>
  </si>
  <si>
    <t>루모터스(신평점)_250707_175405.xlsx</t>
  </si>
  <si>
    <t>엠모터스(구미)_250707_175518.xlsx</t>
  </si>
  <si>
    <t>MEISTER-K(울산)_250707_175609.xlsx</t>
  </si>
  <si>
    <t>대륙오토(대구)_250707_175659.xlsx</t>
  </si>
  <si>
    <t>9HP48_dog_clutch</t>
  </si>
  <si>
    <t>조이오토(대구)_250707_175747.xlsx</t>
  </si>
  <si>
    <t>결재(부가세발행)</t>
  </si>
  <si>
    <t>대명오토(서울)</t>
  </si>
  <si>
    <t>미르오토(대구)_250708_183932.xlsx</t>
  </si>
  <si>
    <t>VW0CK335076D</t>
  </si>
  <si>
    <t>0CK_Solenoid_kit</t>
  </si>
  <si>
    <t>루모터스(동래점)_250708_184040.xlsx</t>
  </si>
  <si>
    <t>제이오토(대구)_250708_184135.xlsx</t>
  </si>
  <si>
    <t>김해오토(김해)_250708_184211.xlsx</t>
  </si>
  <si>
    <t>제일오토(대전)</t>
  </si>
  <si>
    <t>010-5434-5957</t>
  </si>
  <si>
    <t>대전 대덕구 중리동 251-2</t>
  </si>
  <si>
    <t>대전한남</t>
  </si>
  <si>
    <t>제일오토(대전)_250708_184312.xlsx</t>
  </si>
  <si>
    <t>8HP70_VALBEBODY</t>
  </si>
  <si>
    <t>하나오토(청주)_250708_184345.xlsx</t>
  </si>
  <si>
    <t>한국오토(일산)_250708_184415.xlsx</t>
  </si>
  <si>
    <t>AZ제일오토미션(순천)_250708_184659.xlsx</t>
  </si>
  <si>
    <t>엠모터스(구미)_250708_184735.xlsx</t>
  </si>
  <si>
    <t>미르오토(대구)_250709_102645.xlsx</t>
  </si>
  <si>
    <t>엠모터스(상주)</t>
  </si>
  <si>
    <t>한국오토(노원)_250709_112602.xlsx</t>
  </si>
  <si>
    <t>0501.218.962</t>
    <phoneticPr fontId="2" type="noConversion"/>
  </si>
  <si>
    <t>PDK_Sensor(4WD)</t>
    <phoneticPr fontId="2" type="noConversion"/>
  </si>
  <si>
    <t>PDK_Sensor</t>
    <phoneticPr fontId="2" type="noConversion"/>
  </si>
  <si>
    <t>오토솔루션(천안)_250709_170104.xlsx</t>
  </si>
  <si>
    <t>대륙오토(대구)_250709_170143.xlsx</t>
  </si>
  <si>
    <t>조이오토(대구)_250709_170229.xlsx</t>
  </si>
  <si>
    <t>미르오토(대구)_250709_170321.xlsx</t>
  </si>
  <si>
    <t>하정오토(광주)_250709_170434.xlsx</t>
  </si>
  <si>
    <t>한국오토(노원)_250709_170515.xlsx</t>
  </si>
  <si>
    <t>순위</t>
    <phoneticPr fontId="2" type="noConversion"/>
  </si>
  <si>
    <t>총 사용금액</t>
    <phoneticPr fontId="2" type="noConversion"/>
  </si>
  <si>
    <t>ZF_8HP45_Solenoid</t>
  </si>
  <si>
    <t>‎224741A-QX</t>
  </si>
  <si>
    <t>댐스(대구)_250710_180914.xlsx</t>
  </si>
  <si>
    <t>VGSNAG2_Programming</t>
  </si>
  <si>
    <t>청주오토(청주)_250710_181041.xlsx</t>
  </si>
  <si>
    <t>미르오토(대구)_250710_181111.xlsx</t>
  </si>
  <si>
    <t>현대오토(영천)_250710_181237.xlsx</t>
  </si>
  <si>
    <t>ZF_9G_Oilpan</t>
  </si>
  <si>
    <t>하나오토(청주)_250710_181613.xlsx</t>
  </si>
  <si>
    <t>A2463700700</t>
    <phoneticPr fontId="2" type="noConversion"/>
  </si>
  <si>
    <t>724_Pump</t>
    <phoneticPr fontId="2" type="noConversion"/>
  </si>
  <si>
    <t>MERCEDES A B GLA W176 W246 X156 OIL PUMP</t>
    <phoneticPr fontId="2" type="noConversion"/>
  </si>
  <si>
    <t>02E301205C</t>
  </si>
  <si>
    <t>EG218HD320</t>
  </si>
  <si>
    <t>DSG_Filter_kit(Shaeffler)</t>
  </si>
  <si>
    <t>02E301205C</t>
    <phoneticPr fontId="2" type="noConversion"/>
  </si>
  <si>
    <t>02E_Clutch_pack_cover(Shaeffler)</t>
  </si>
  <si>
    <t>02E_Clutch_pack_cover(Shaeffler)</t>
    <phoneticPr fontId="2" type="noConversion"/>
  </si>
  <si>
    <t>AZ제일오토미션(순천)_250711_173438.xlsx</t>
  </si>
  <si>
    <t>대구오토(대구)_250711_173533.xlsx</t>
  </si>
  <si>
    <t>미르오토(대구)_250711_173629.xlsx</t>
  </si>
  <si>
    <t>한독오토(대구)_250711_174148.xlsx</t>
  </si>
  <si>
    <t>제일오토(대구)_250711_174241.xlsx</t>
  </si>
  <si>
    <t>한국오토(일산)_250711_174332.xlsx</t>
  </si>
  <si>
    <t>한국오토(일산)_250711_174444.xlsx</t>
  </si>
  <si>
    <t>준오토샵(충주)</t>
  </si>
  <si>
    <t>준오토샵(충주)_250711_174843.xlsx</t>
  </si>
  <si>
    <t>준오토샵(충주)</t>
    <phoneticPr fontId="2" type="noConversion"/>
  </si>
  <si>
    <t>0AM_CLONE</t>
  </si>
  <si>
    <t>스카이오토미션(천안)_250712_110616.xlsx</t>
  </si>
  <si>
    <t>o</t>
    <phoneticPr fontId="2" type="noConversion"/>
  </si>
  <si>
    <t>댐스(대구)_250712_124045.xlsx</t>
  </si>
  <si>
    <t>현대오토(영천)</t>
    <phoneticPr fontId="2" type="noConversion"/>
  </si>
  <si>
    <t>010-2888-0963</t>
    <phoneticPr fontId="2" type="noConversion"/>
  </si>
  <si>
    <t>충북 충주시 문화동 215-1번지</t>
    <phoneticPr fontId="2" type="noConversion"/>
  </si>
  <si>
    <t>준오토(충주)</t>
  </si>
  <si>
    <t>애니오토(시흥)</t>
  </si>
  <si>
    <t>010-6272-0505</t>
  </si>
  <si>
    <t>경기 시흥시 봉우순환로3번길35</t>
  </si>
  <si>
    <t>애니오토(시흥)_250714_160304.xlsx</t>
  </si>
  <si>
    <t>219모터스(대구)</t>
  </si>
  <si>
    <t>010-4737-3797</t>
  </si>
  <si>
    <t>대구 달서구 와룡로 219</t>
  </si>
  <si>
    <t>A0002701852</t>
  </si>
  <si>
    <t>219모터스(대구)_250714_160439.xlsx</t>
  </si>
  <si>
    <t>미르오토(대구)_250714_160517.xlsx</t>
  </si>
  <si>
    <t>한국오토(노원)_250714_160638.xlsx</t>
  </si>
  <si>
    <t>시흥 죽율30영업소</t>
    <phoneticPr fontId="2" type="noConversion"/>
  </si>
  <si>
    <t>청주오토(청주)_250714_160902.xlsx</t>
  </si>
  <si>
    <t>스카이오토미션(천안)_250714_160952.xlsx</t>
  </si>
  <si>
    <t>대륙오토(대구)_250714_161040.xlsx</t>
  </si>
  <si>
    <t>AL3Z7G276D</t>
  </si>
  <si>
    <t>Ford_Connector</t>
  </si>
  <si>
    <t>Hydraulic_Wire</t>
  </si>
  <si>
    <t>0B5927321L</t>
  </si>
  <si>
    <t>0B5_Gear_Sensor</t>
    <phoneticPr fontId="2" type="noConversion"/>
  </si>
  <si>
    <t>변속기 선택 레버 위치 센서</t>
  </si>
  <si>
    <t>명진오토(제천)</t>
  </si>
  <si>
    <t>010-5485-6736</t>
  </si>
  <si>
    <t>충북 제천시 내토로492</t>
  </si>
  <si>
    <t>제천화산845</t>
  </si>
  <si>
    <t>한국오토(노원)_250715_174656.xlsx</t>
  </si>
  <si>
    <t>하나오토(청주)_250715_174828.xlsx</t>
  </si>
  <si>
    <t>코리아모터스(경기광주)</t>
  </si>
  <si>
    <t>010-7272-6696</t>
  </si>
  <si>
    <t>경기도 광주시 경충대로 1497</t>
  </si>
  <si>
    <t>코리아모터스(경기광주)_250715_175118.xlsx</t>
  </si>
  <si>
    <t>청주오토(청주)_250715_175428.xlsx</t>
  </si>
  <si>
    <t>대명오토(서울서초)_250715_175551.xlsx</t>
  </si>
  <si>
    <t>엠모터스(구미)_250715_175631.xlsx</t>
  </si>
  <si>
    <t>태양모터스(대구)_250715_175713.xlsx</t>
  </si>
  <si>
    <t>0AM_TOOL</t>
  </si>
  <si>
    <t>명진오토(제천)_250715_175901.xlsx</t>
  </si>
  <si>
    <t>조이오토(대구)_250715_180000.xlsx</t>
  </si>
  <si>
    <t>1,500,00</t>
  </si>
  <si>
    <t>애니오토(시흥)</t>
    <phoneticPr fontId="2" type="noConversion"/>
  </si>
  <si>
    <t>1,750,00</t>
  </si>
  <si>
    <t>ECU_Clone</t>
    <phoneticPr fontId="2" type="noConversion"/>
  </si>
  <si>
    <t>Warranty 2 month</t>
    <phoneticPr fontId="2" type="noConversion"/>
  </si>
  <si>
    <t>한신오토미션(서울 송파)_250716_172257.xlsx</t>
  </si>
  <si>
    <t>8L45_WIRE</t>
  </si>
  <si>
    <t>프로오토미션(광주)_250716_172336.xlsx</t>
  </si>
  <si>
    <t>제욱오토(부산)_250716_172523.xlsx</t>
  </si>
  <si>
    <t>다우수입차미션(경기)</t>
  </si>
  <si>
    <t>010-3695-6407</t>
  </si>
  <si>
    <t>다우수입차미션(경기)_250716_172651.xlsx</t>
  </si>
  <si>
    <t>플라이휠(Schaeffler)</t>
  </si>
  <si>
    <t>0AM_Clutch(Schaeffler)</t>
  </si>
  <si>
    <t>0AM_Clutch(Schaeffler)</t>
    <phoneticPr fontId="2" type="noConversion"/>
  </si>
  <si>
    <t>EG218HD320</t>
    <phoneticPr fontId="2" type="noConversion"/>
  </si>
  <si>
    <t>DSG_Filter_kit(Shaeffler)</t>
    <phoneticPr fontId="2" type="noConversion"/>
  </si>
  <si>
    <t>02E_Filter_Set</t>
  </si>
  <si>
    <t>현진미션(남대구)_250717_170520.xlsx</t>
  </si>
  <si>
    <t>EGS</t>
  </si>
  <si>
    <t>대명오토(서울서초)_250717_170642.xlsx</t>
  </si>
  <si>
    <t>메르카바(고양)_250717_170748.xlsx</t>
  </si>
  <si>
    <t>미르오토(대구)_250717_175541.xlsx</t>
  </si>
  <si>
    <t>오토메틱코리아(안동)</t>
  </si>
  <si>
    <t>010-5525-1862</t>
  </si>
  <si>
    <t>경상북도 안동시 관광단지로 75</t>
  </si>
  <si>
    <t>동안동점</t>
  </si>
  <si>
    <t>제일오토(대구)_250718_170811.xlsx</t>
  </si>
  <si>
    <t>자동차이야기(대구)</t>
  </si>
  <si>
    <t>010-3513-6657</t>
  </si>
  <si>
    <t>대구 수성구 범어로 144</t>
  </si>
  <si>
    <t>Online Programming</t>
  </si>
  <si>
    <t>자동차이야기(대구)_250718_170932.xlsx</t>
  </si>
  <si>
    <t>948TE_TCU</t>
  </si>
  <si>
    <t>연화오토(대구)_250718_171045.xlsx</t>
  </si>
  <si>
    <t>오토매틱코리아(안동)</t>
  </si>
  <si>
    <t>IMMO FIX</t>
  </si>
  <si>
    <t>오토매틱코리아(안동)_250718_171232.xlsx</t>
  </si>
  <si>
    <t>로얄오토(대구)_250718_171424.xlsx</t>
  </si>
  <si>
    <t>코리아탑오토샵(대전)_250718_171520.xlsx</t>
  </si>
  <si>
    <t>o</t>
    <phoneticPr fontId="2" type="noConversion"/>
  </si>
  <si>
    <t>010-5420-2735</t>
    <phoneticPr fontId="2" type="noConversion"/>
  </si>
  <si>
    <t>충북 청주시 청원구 사천동 194</t>
    <phoneticPr fontId="2" type="noConversion"/>
  </si>
  <si>
    <t>청주신봉점</t>
  </si>
  <si>
    <t>청주오토(청주)_250719_113143.xlsx</t>
  </si>
  <si>
    <t>VGSNAG3_REPAIR</t>
  </si>
  <si>
    <t>오거리카(대구)_250721_162543.xlsx</t>
  </si>
  <si>
    <t>0BH025065G</t>
  </si>
  <si>
    <t>0BH_Valvebody</t>
  </si>
  <si>
    <t>오토솔루션(천안)_250721_162647.xlsx</t>
  </si>
  <si>
    <t>부산비엔비(부산)_250721_162723.xlsx</t>
  </si>
  <si>
    <t>Mini_Kupplung</t>
  </si>
  <si>
    <t>엠모터스(구미)_250721_163101.xlsx</t>
  </si>
  <si>
    <t>이시아오토(대구)_250721_165754.xlsx</t>
  </si>
  <si>
    <t>제이오토(대구)_250722_201033.xlsx</t>
  </si>
  <si>
    <t>하오르모터스(부산)_250722_201154.xlsx</t>
  </si>
  <si>
    <t>현진미션(남대구)_250722_201259.xlsx</t>
  </si>
  <si>
    <t>태한오토(용계)</t>
  </si>
  <si>
    <t>010-3544-0283</t>
  </si>
  <si>
    <t>대구광역시 동구 안심로 55길 47-1</t>
  </si>
  <si>
    <t>용계지점</t>
  </si>
  <si>
    <t>태한오토(용계)_250722_201425.xlsx</t>
  </si>
  <si>
    <t>조이오토(대구)_250722_201504.xlsx</t>
  </si>
  <si>
    <t>명진오토(제천)_250722_201553.xlsx</t>
  </si>
  <si>
    <t>명진오토(제천)</t>
    <phoneticPr fontId="2" type="noConversion"/>
  </si>
  <si>
    <t>1,200,00</t>
  </si>
  <si>
    <t>피카몰</t>
    <phoneticPr fontId="2" type="noConversion"/>
  </si>
  <si>
    <t>오일</t>
    <phoneticPr fontId="2" type="noConversion"/>
  </si>
  <si>
    <t>6HP_Oring</t>
  </si>
  <si>
    <t>미르오토(대구)_250723_165526.xlsx</t>
  </si>
  <si>
    <t>하정오토(광주)_250723_165658.xlsx</t>
  </si>
  <si>
    <t>김해오토(김해)_250723_165727.xlsx</t>
  </si>
  <si>
    <t>로얄오토(대구)_250723_165815.xlsx</t>
  </si>
  <si>
    <t>대명오토(서울서초)_250723_165952.xlsx</t>
  </si>
  <si>
    <t>혜광오토(부산)_250723_170150.xlsx</t>
  </si>
  <si>
    <t>청주오토(청주)_250723_170248.xlsx</t>
  </si>
  <si>
    <t>홍영도</t>
  </si>
  <si>
    <t>일부입금</t>
  </si>
  <si>
    <t>510,00</t>
  </si>
  <si>
    <t>0B5_Solenoid</t>
    <phoneticPr fontId="2" type="noConversion"/>
  </si>
  <si>
    <t>A2469060018</t>
  </si>
  <si>
    <t>724_electric_pump</t>
  </si>
  <si>
    <t>미르오토(대구)_250724_191239.xlsx</t>
  </si>
  <si>
    <t>MEISTER-K(울산)_250724_191320.xlsx</t>
  </si>
  <si>
    <t>한독오토(대구)_250724_191406.xlsx</t>
  </si>
  <si>
    <t>제일오토(대구)_250724_191508.xlsx</t>
  </si>
  <si>
    <t>대구오토(대구)_250724_191540.xlsx</t>
  </si>
  <si>
    <t>VGS 작업</t>
  </si>
  <si>
    <t>W220</t>
  </si>
  <si>
    <t>대륙오토(대구)_250724_191629.xlsx</t>
  </si>
  <si>
    <t>대덕오토(대전)_250724_191729.xlsx</t>
  </si>
  <si>
    <t>현대오토(전주)</t>
  </si>
  <si>
    <t>현대오토(전주)_250724_191828.xlsx</t>
  </si>
  <si>
    <t>1,600,00</t>
  </si>
  <si>
    <t>0CK_TOOL</t>
  </si>
  <si>
    <t>한독오토(대구)_250724_192231.xlsx</t>
  </si>
  <si>
    <t>13루9594</t>
  </si>
  <si>
    <t>벤츠 S500L</t>
  </si>
  <si>
    <t>365모터스(안동)_250725_160702.xlsx</t>
  </si>
  <si>
    <t>코리아탑오토샵(대전)_250725_160812.xlsx</t>
  </si>
  <si>
    <t>코리아탑오토샵(대전)_250725_160853.xlsx</t>
  </si>
  <si>
    <t>스카이오토미션(천안)_250725_160951.xlsx</t>
  </si>
  <si>
    <t>0GC_Rebuild</t>
  </si>
  <si>
    <t>마일레오토(군포)_250725_161155.xlsx</t>
  </si>
  <si>
    <t>혜광오토(김해)_250725_161344.xlsx</t>
  </si>
  <si>
    <t>연화오토(대구)_250725_180348.xlsx</t>
  </si>
  <si>
    <t>이시아오토(대구)_250725_214859.xlsx</t>
  </si>
  <si>
    <t>대륙오토(대구)_250726_115145.xlsx</t>
  </si>
  <si>
    <t>혜광오토(부산)_250728_162815.xlsx</t>
  </si>
  <si>
    <t>미르오토(대구)_250728_162955.xlsx</t>
  </si>
  <si>
    <t>하정오토(광주)_250728_163122.xlsx</t>
  </si>
  <si>
    <t>로얄오토(대구)_250728_163224.xlsx</t>
  </si>
  <si>
    <t>제욱오토(부산)_250728_163318.xlsx</t>
  </si>
  <si>
    <t>진영오토(남양주)_250728_163355.xlsx</t>
  </si>
  <si>
    <t>톰스게러지(대구)</t>
  </si>
  <si>
    <t>010-3254-8667</t>
  </si>
  <si>
    <t>대구 수성구 화랑로 208</t>
  </si>
  <si>
    <t>톰스게러지(대구)_250728_163514.xlsx</t>
  </si>
  <si>
    <t>동명오토(인천)_250728_163615.xlsx</t>
  </si>
  <si>
    <t>신일오토(부산)_250728_163719.xlsx</t>
  </si>
  <si>
    <t>하정오토(광주)_250728_163814.xlsx</t>
  </si>
  <si>
    <t>제일오토(대구)_250728_163859.xlsx</t>
  </si>
  <si>
    <t>나이스오토(부산)</t>
  </si>
  <si>
    <t>010-3835-8405</t>
  </si>
  <si>
    <t>603-10-76759</t>
  </si>
  <si>
    <t>부산 사상구 사상로161번길 52</t>
  </si>
  <si>
    <t>사상구 합장</t>
  </si>
  <si>
    <t>나이스오토(부산)_250728_174651.xlsx</t>
  </si>
  <si>
    <t>02E927770AQN</t>
  </si>
  <si>
    <t>02E927770AS</t>
  </si>
  <si>
    <t>0AM311665A</t>
  </si>
  <si>
    <t>A2302707000</t>
  </si>
  <si>
    <t>MINI_Wirekit</t>
  </si>
  <si>
    <t>6HP_8HP_출력_리데나</t>
  </si>
  <si>
    <t>TF72_Sensor</t>
  </si>
  <si>
    <t>0AM_Valvebody</t>
  </si>
  <si>
    <t>TG81_Sensor</t>
  </si>
  <si>
    <t>6HP_8_Adapter</t>
  </si>
  <si>
    <t>Shaft_Seal_2WD</t>
  </si>
  <si>
    <t>6HP_Seal</t>
  </si>
  <si>
    <t>Oil_HIS</t>
  </si>
  <si>
    <t>0D9_AS</t>
  </si>
  <si>
    <t>BTOP</t>
  </si>
  <si>
    <t>Valvebody_7G</t>
  </si>
  <si>
    <t>6F35_Solenoid_Pack</t>
  </si>
  <si>
    <t>세척기</t>
    <phoneticPr fontId="2" type="noConversion"/>
  </si>
  <si>
    <t>파츠클리너</t>
    <phoneticPr fontId="2" type="noConversion"/>
  </si>
  <si>
    <t>드림인더스</t>
    <phoneticPr fontId="2" type="noConversion"/>
  </si>
  <si>
    <t>테이프</t>
    <phoneticPr fontId="2" type="noConversion"/>
  </si>
  <si>
    <t>부품</t>
    <phoneticPr fontId="2" type="noConversion"/>
  </si>
  <si>
    <t>포장백서</t>
    <phoneticPr fontId="2" type="noConversion"/>
  </si>
  <si>
    <t>에어캡</t>
    <phoneticPr fontId="2" type="noConversion"/>
  </si>
  <si>
    <t>0CK321281N</t>
  </si>
  <si>
    <t>0CK_Gear_Oil_Pump</t>
  </si>
  <si>
    <t>대륙오토(대구)_250729_174433.xlsx</t>
  </si>
  <si>
    <t>경남오토미션(창원)_250729_174554.xlsx</t>
  </si>
  <si>
    <t>혜광오토(김해)_250729_174743.xlsx</t>
  </si>
  <si>
    <t>성민오토(대전)_250729_174858.xlsx</t>
  </si>
  <si>
    <t>프로오토미션(광주)_250729_174951.xlsx</t>
  </si>
  <si>
    <t>다우수입차미션(경기)_250729_175022.xlsx</t>
  </si>
  <si>
    <t>조이오토(대구)_250729_175100.xlsx</t>
  </si>
  <si>
    <t>대륙오토(대구)_250729_175220.xlsx</t>
  </si>
  <si>
    <t>0AM_TOOL</t>
    <phoneticPr fontId="2" type="noConversion"/>
  </si>
  <si>
    <t>AMG630_Clutch(Schaeffler)</t>
    <phoneticPr fontId="2" type="noConversion"/>
  </si>
  <si>
    <t>SJ모터스(부산)_250730_174140.xlsx</t>
  </si>
  <si>
    <t>김해오토(김해)_250730_174245.xlsx</t>
  </si>
  <si>
    <t>루모터스(동래점)_250730_174456.xlsx</t>
  </si>
  <si>
    <t>6HP_Gear_Sensor</t>
  </si>
  <si>
    <t>프로오토미션(광주)_250730_174806.xlsx</t>
  </si>
  <si>
    <t>AZ제일오토미션(순천)_250730_174901.xlsx</t>
  </si>
  <si>
    <t>한강오토(부천)</t>
  </si>
  <si>
    <t>010-2065-5825</t>
  </si>
  <si>
    <t>경기도 부천시 괴안동 40-4</t>
  </si>
  <si>
    <t>부천소사</t>
  </si>
  <si>
    <t>한강오토(부천)_250730_175121.xlsx</t>
  </si>
  <si>
    <t>청주오토(청주)_250730_175442.xlsx</t>
  </si>
  <si>
    <t>O</t>
    <phoneticPr fontId="2" type="noConversion"/>
  </si>
  <si>
    <t>+</t>
    <phoneticPr fontId="2" type="noConversion"/>
  </si>
  <si>
    <t>진영오토(남양주)_250731_175154.xlsx</t>
  </si>
  <si>
    <t>경남오토미션(창원)_250731_175400.xlsx</t>
  </si>
  <si>
    <t>지오모터스(창원)_250731_175542.xlsx</t>
  </si>
  <si>
    <t>제욱오토(부산)_250731_175633.xlsx</t>
  </si>
  <si>
    <t>대구오토(대구)_250731_175749.xlsx</t>
  </si>
  <si>
    <t>O</t>
    <phoneticPr fontId="2" type="noConversion"/>
  </si>
  <si>
    <t>택배 우선 보내기화물 주소지: 화성양감요당580</t>
    <phoneticPr fontId="2" type="noConversion"/>
  </si>
  <si>
    <t>진영오토(남양주)_250801_160027.xlsx</t>
  </si>
  <si>
    <t>건영자동차공업사(제주)</t>
  </si>
  <si>
    <t>건영자동차공업사(제주)_250801_160222.xlsx</t>
  </si>
  <si>
    <t>모터매니아(화성)_250801_160447.xlsx</t>
  </si>
  <si>
    <t>미르오토(대구)_250801_160536.xlsx</t>
  </si>
  <si>
    <t>010-2841-0984</t>
  </si>
  <si>
    <t>부산 북구 덕천로 381번길 29</t>
  </si>
  <si>
    <t>사직점</t>
  </si>
  <si>
    <t>조이오토(대구)_250801_161527.xlsx</t>
  </si>
  <si>
    <t>AZ제일오토미션(순천)_250804_101020.xlsx</t>
  </si>
  <si>
    <t>219모터스(대구)_250804_101243.xlsx</t>
  </si>
  <si>
    <t>D&amp;N모터스(전주)_250804_103352.xlsx</t>
  </si>
  <si>
    <t>219모터스(대구)_250804_104301.xlsx</t>
  </si>
  <si>
    <t>미르오토(대구)_250804_105156.xlsx</t>
  </si>
  <si>
    <t>하나오토(청주)_250804_173659.xlsx</t>
  </si>
  <si>
    <t>한결부품_250804_173733.xlsx</t>
  </si>
  <si>
    <t>진영오토(남양주)_250804_173905.xlsx</t>
  </si>
  <si>
    <t>진영오토(남양주)_250804_174008.xlsx</t>
  </si>
  <si>
    <t>입금</t>
    <phoneticPr fontId="2" type="noConversion"/>
  </si>
  <si>
    <t>진영오토(남양주)_250804_174315.xlsx</t>
  </si>
  <si>
    <t>진영오토(남양주)_250804_174349.xlsx</t>
  </si>
  <si>
    <t>한결부품_250804_174413.xlsx</t>
  </si>
  <si>
    <t>하나오토(청주)_250804_174444.xlsx</t>
  </si>
  <si>
    <t>메이븐오토미션(서울중랑구)</t>
  </si>
  <si>
    <t>퀵버스(동대구-노포)</t>
    <phoneticPr fontId="2" type="noConversion"/>
  </si>
  <si>
    <t>ES11-1029</t>
  </si>
  <si>
    <t>UPS 특송</t>
  </si>
  <si>
    <t>퀵버스(서부 - 사상)</t>
  </si>
  <si>
    <t>하나오토(광주)</t>
  </si>
  <si>
    <t>010-3613-5995</t>
  </si>
  <si>
    <t>광주광역시 북구 설죽로 267(용봉동)</t>
  </si>
  <si>
    <t>광주 북구 용봉 1420</t>
  </si>
  <si>
    <t>8HP_TCU_AUDI</t>
  </si>
  <si>
    <t>TCM</t>
    <phoneticPr fontId="2" type="noConversion"/>
  </si>
  <si>
    <t>웨스트모터스(대구)_250806_180714.xlsx</t>
  </si>
  <si>
    <t>현대오토(영천)_250806_180747.xlsx</t>
  </si>
  <si>
    <t>현대오토(영천)</t>
    <phoneticPr fontId="2" type="noConversion"/>
  </si>
  <si>
    <t>010-6526-9328</t>
    <phoneticPr fontId="2" type="noConversion"/>
  </si>
  <si>
    <t>경상북도 영천시 장수로 64</t>
    <phoneticPr fontId="2" type="noConversion"/>
  </si>
  <si>
    <t>영천화룡764</t>
  </si>
  <si>
    <t>하나오토(광주)_250806_181004.xlsx</t>
  </si>
  <si>
    <t>8HP45_Inner_Gear2WD</t>
  </si>
  <si>
    <t>엠모터스(구미)_250806_181151.xlsx</t>
  </si>
  <si>
    <t>김해오토(김해)_250806_181216.xlsx</t>
  </si>
  <si>
    <t>엠팩토리(대구)</t>
  </si>
  <si>
    <t>엠팩토리(대구)_250806_181321.xlsx</t>
  </si>
  <si>
    <t>진홍오토(대구)_250806_181503.xlsx</t>
  </si>
  <si>
    <t>Gear_Selector_Repair</t>
  </si>
  <si>
    <t>AZ제일오토미션(순천)_250806_181603.xlsx</t>
  </si>
  <si>
    <t>하정오토(광주)_250806_181722.xlsx</t>
  </si>
  <si>
    <t>A0009013200</t>
    <phoneticPr fontId="2" type="noConversion"/>
  </si>
  <si>
    <t>1,300,00</t>
  </si>
  <si>
    <t>루모터스 반품 물건</t>
  </si>
  <si>
    <t>대륙오토(대구)_250807_162104.xlsx</t>
  </si>
  <si>
    <t>루모터스(신평점)_250807_162358.xlsx</t>
  </si>
  <si>
    <t>한국오토(노원)_250807_162445.xlsx</t>
  </si>
  <si>
    <t>온라인 등록 비용</t>
    <phoneticPr fontId="2" type="noConversion"/>
  </si>
  <si>
    <t>마이오토(전북완주)</t>
  </si>
  <si>
    <t>마이오토(전북완주)_250808_131027.xlsx</t>
  </si>
  <si>
    <t>SL모터스(고양)</t>
  </si>
  <si>
    <t>010-5020-2369</t>
  </si>
  <si>
    <t>경기도 고양시 덕양구 원흥동 667-1</t>
  </si>
  <si>
    <t>은평 역촌</t>
  </si>
  <si>
    <t>SL모터스(고양)_250808_170121.xlsx</t>
  </si>
  <si>
    <t>마이오토(전북완주)_250808_170149.xlsx</t>
  </si>
  <si>
    <t>SL모터스(고양)_250808_170313.xlsx</t>
  </si>
  <si>
    <t>마이오토(전북완주)_250808_170340.xlsx</t>
  </si>
  <si>
    <t>8HP_Plate</t>
  </si>
  <si>
    <t>현진미션(남대구)_250809_120603.xlsx</t>
  </si>
  <si>
    <t>제이피오토미션(부산)</t>
  </si>
  <si>
    <t>제이피오토미션(부산)_250809_120659.xlsx</t>
  </si>
  <si>
    <t>청주오토(청주)_250811_181137.xlsx</t>
  </si>
  <si>
    <t>하정오토(광주)_250811_181216.xlsx</t>
  </si>
  <si>
    <t>대구오토(대구)_250811_181314.xlsx</t>
  </si>
  <si>
    <t>A0002704452</t>
  </si>
  <si>
    <t>2025-08-11\</t>
  </si>
  <si>
    <t>웨스트모터스(대구)_250811_181516.xlsx</t>
  </si>
  <si>
    <t>미르오토(대구)_250811_181802.xlsx</t>
  </si>
  <si>
    <t>마이스터(대구)_250811_181842.xlsx</t>
  </si>
  <si>
    <t>다우수입차미션(경기)_250811_181937.xlsx</t>
  </si>
  <si>
    <t>대명오토(서울서초)_250812_171530.xlsx</t>
  </si>
  <si>
    <t>진영오토(남양주)_250812_172459.xlsx</t>
  </si>
  <si>
    <t>청주오토(청주)_250812_172559.xlsx</t>
  </si>
  <si>
    <t>F1-1424</t>
    <phoneticPr fontId="2" type="noConversion"/>
  </si>
  <si>
    <t>현대오토(전주)_250812_172715.xlsx</t>
  </si>
  <si>
    <t>F1-1239</t>
    <phoneticPr fontId="2" type="noConversion"/>
  </si>
  <si>
    <t>프로오토미션(광주)_250813_174931.xlsx</t>
  </si>
  <si>
    <t>대구오토(대구)_250813_174958.xlsx</t>
  </si>
  <si>
    <t>미르오토(대구)_250813_175144.xlsx</t>
  </si>
  <si>
    <t>AZ제일오토미션(순천)_250813_175339.xlsx</t>
  </si>
  <si>
    <t>현진미션(남대구)_250813_175439.xlsx</t>
  </si>
  <si>
    <t>빅딜게러지(목포)</t>
  </si>
  <si>
    <t>010-3199-6311</t>
  </si>
  <si>
    <t>전남 목포시 고하대로 719번길 13</t>
  </si>
  <si>
    <t>태흥오토미션(광주)</t>
  </si>
  <si>
    <t>태흥오토미션(광주)</t>
    <phoneticPr fontId="2" type="noConversion"/>
  </si>
  <si>
    <t>010-3643-4134</t>
    <phoneticPr fontId="2" type="noConversion"/>
  </si>
  <si>
    <t>광주광역시 북구 무등로 258</t>
    <phoneticPr fontId="2" type="noConversion"/>
  </si>
  <si>
    <t>태흥오토미션(광주)_250813_175718.xlsx</t>
  </si>
  <si>
    <t>ISM_RENEW</t>
  </si>
  <si>
    <t>빅딜게러지(목포)_250813_175753.xlsx</t>
  </si>
  <si>
    <t>대명오토(서울서초)_250814_125741.xlsx</t>
  </si>
  <si>
    <t>광주신암132</t>
  </si>
  <si>
    <t>연화오토(대구)_250814_164351.xlsx</t>
  </si>
  <si>
    <t>현금결재</t>
  </si>
  <si>
    <t>한국오토(안양)_250814_164500.xlsx</t>
  </si>
  <si>
    <t>현대오토(영천)_250814_164530.xlsx</t>
  </si>
  <si>
    <t>15.07.2021</t>
  </si>
  <si>
    <t>혜광오토(양산)_250814_164641.xlsx</t>
  </si>
  <si>
    <t>대성오토(대구)</t>
  </si>
  <si>
    <t>P173600</t>
  </si>
  <si>
    <t>대성오토(대구)_250814_164735.xlsx</t>
  </si>
  <si>
    <t>오토서비스(평택)_250814_164821.xlsx</t>
  </si>
  <si>
    <t>한국오토(노원)_250814_180311.xlsx</t>
  </si>
  <si>
    <t>o</t>
    <phoneticPr fontId="2" type="noConversion"/>
  </si>
  <si>
    <t>환불(25.08.14)</t>
    <phoneticPr fontId="2" type="noConversion"/>
  </si>
  <si>
    <t>제일오토(대구)_250815_180731.xlsx</t>
  </si>
  <si>
    <t>미르오토(대구)_250815_180852.xlsx</t>
  </si>
  <si>
    <t>디알모터스(파주)</t>
  </si>
  <si>
    <t>010-7322-3574</t>
  </si>
  <si>
    <t>경기도 파주시 동서대로 377 2동 1층</t>
  </si>
  <si>
    <t>디알모터스(파주)_250815_181244.xlsx</t>
  </si>
  <si>
    <t>조이오토(대구)_250816_115907.xlsx</t>
  </si>
  <si>
    <t>조이오토(대구)_250818_100737.xlsx</t>
  </si>
  <si>
    <t>9HP50_Valvebody</t>
  </si>
  <si>
    <t>9HP50_Wire</t>
  </si>
  <si>
    <t>8HP50_EGS</t>
    <phoneticPr fontId="2" type="noConversion"/>
  </si>
  <si>
    <t>미르오토(대구)_250818_161014.xlsx</t>
  </si>
  <si>
    <t>연화오토(대구)_250818_161142.xlsx</t>
  </si>
  <si>
    <t>대륙오토(대구)_250818_161208.xlsx</t>
  </si>
  <si>
    <t>0CW_TCU</t>
  </si>
  <si>
    <t>0CW300049, 0CW300044S</t>
  </si>
  <si>
    <t>대명오토(서울서초)_250818_161545.xlsx</t>
  </si>
  <si>
    <t>제일오토(대구)_250818_161620.xlsx</t>
  </si>
  <si>
    <t>SJ모터스(부산)_250818_161716.xlsx</t>
  </si>
  <si>
    <t>FAZIT 2107</t>
    <phoneticPr fontId="2" type="noConversion"/>
  </si>
  <si>
    <t>오거리카(대구)_250818_161811.xlsx</t>
  </si>
  <si>
    <t>FAZIT 2523</t>
  </si>
  <si>
    <t>스카이오토미션(천안)_250818_161906.xlsx</t>
  </si>
  <si>
    <t>FAZIT 0037</t>
  </si>
  <si>
    <t>비앤비모터스(창원)_250818_173224.xlsx</t>
  </si>
  <si>
    <t>0D9300043C</t>
  </si>
  <si>
    <t>AZ제일오토미션(순천)_250819_175644.xlsx</t>
  </si>
  <si>
    <t>미르오토(대구)_250819_175843.xlsx</t>
  </si>
  <si>
    <t>진영오토(남양주)_250819_175939.xlsx</t>
  </si>
  <si>
    <t>스카이오토미션(천안)_250819_180019.xlsx</t>
  </si>
  <si>
    <t>P1736</t>
  </si>
  <si>
    <t>미르오토(대구)_250819_180050.xlsx</t>
  </si>
  <si>
    <t>2021.01.11</t>
  </si>
  <si>
    <t>현대오토(영천)_250820_163715.xlsx</t>
  </si>
  <si>
    <t>제이오토(대구)_250820_163759.xlsx</t>
  </si>
  <si>
    <t>전주오토(전주)_250820_163915.xlsx</t>
  </si>
  <si>
    <t>FAZIT 0231</t>
    <phoneticPr fontId="2" type="noConversion"/>
  </si>
  <si>
    <t>새흰돌오토미션(전남순천)_250820_164033.xlsx</t>
  </si>
  <si>
    <t>JAMAICAR_250820_164105.xlsx</t>
  </si>
  <si>
    <t>이보크D180</t>
  </si>
  <si>
    <t>개인거래_250820_164248.xlsx</t>
  </si>
  <si>
    <t>매드모터스(광주)_250821_174705.xlsx</t>
  </si>
  <si>
    <t>다우수입차미션(경기)_250821_175058.xlsx</t>
  </si>
  <si>
    <t>대구오토(대구)_250821_175136.xlsx</t>
  </si>
  <si>
    <t>새흰돌오토미션(전남순천)_250821_175354.xlsx</t>
  </si>
  <si>
    <t>221.171, 내부속도센서</t>
  </si>
  <si>
    <t>조이오토(대구)_250821_175637.xlsx</t>
  </si>
  <si>
    <t>이보크 작업비</t>
  </si>
  <si>
    <t>카드받음</t>
  </si>
  <si>
    <t>미르오토(대구)_250821_175757.xlsx</t>
  </si>
  <si>
    <t>하나오토(광주)_250821_175838.xlsx</t>
  </si>
  <si>
    <t>충주문화</t>
  </si>
  <si>
    <t>준오토샵(충주)_250822_165746.xlsx</t>
  </si>
  <si>
    <t>P174E 부분변속기2 밸브3</t>
  </si>
  <si>
    <t>하오르모터스(부산)_250822_165917.xlsx</t>
  </si>
  <si>
    <t>아츄얼(서울)</t>
  </si>
  <si>
    <t>010-2547-1032</t>
  </si>
  <si>
    <t>서울 강남구 도곡로84길 6 지하1층 16-58</t>
  </si>
  <si>
    <t>ECU_Repair</t>
  </si>
  <si>
    <t>아츄얼(서울)_250822_170048.xlsx</t>
  </si>
  <si>
    <t>오거리카(대구)_250822_170329.xlsx</t>
  </si>
  <si>
    <t>STC모터스(통영)</t>
  </si>
  <si>
    <t>8HP50Z_Mechatronics</t>
  </si>
  <si>
    <t>솔관련 다수 경고등 발생</t>
  </si>
  <si>
    <t>STC모터스(통영)_250822_170540.xlsx</t>
  </si>
  <si>
    <t>O</t>
    <phoneticPr fontId="2" type="noConversion"/>
  </si>
  <si>
    <t>현진미션(칠곡)_250823_111916.xlsx</t>
  </si>
  <si>
    <t>PDK_Position_sensor</t>
  </si>
  <si>
    <t>PDK 7DT45, 7DT70</t>
  </si>
  <si>
    <t>0501223434</t>
    <phoneticPr fontId="2" type="noConversion"/>
  </si>
  <si>
    <t>0501327105</t>
    <phoneticPr fontId="2" type="noConversion"/>
  </si>
  <si>
    <t>미르오토(대구)_250825_175945.xlsx</t>
  </si>
  <si>
    <t>미르오토(대구)_250825_180032.xlsx</t>
  </si>
  <si>
    <t>미르오토(대구)_250825_180128.xlsx</t>
  </si>
  <si>
    <t>프로오토미션(광주)_250825_180324.xlsx</t>
  </si>
  <si>
    <t>0GC_Valvebody</t>
  </si>
  <si>
    <t>0GC325025C</t>
  </si>
  <si>
    <t>0GC_Valvebody</t>
    <phoneticPr fontId="2" type="noConversion"/>
  </si>
  <si>
    <t>하나오토(광주)_250825_180517.xlsx</t>
  </si>
  <si>
    <t>다우수입차미션(경기)_250825_180611.xlsx</t>
  </si>
  <si>
    <t>AZ제일오토미션(순천)_250825_180653.xlsx</t>
  </si>
  <si>
    <t>한신오토미션(서울 송파)_250825_180759.xlsx</t>
  </si>
  <si>
    <t>새흰돌오토미션(전남순천)_250825_180913.xlsx</t>
  </si>
  <si>
    <t>JC모터스(과천)</t>
  </si>
  <si>
    <t>010-3707-7460</t>
  </si>
  <si>
    <t>경기도 과천시 주암동 440-1번지</t>
  </si>
  <si>
    <t>서초영업소</t>
  </si>
  <si>
    <t>JC모터스(과천)_250825_181040.xlsx</t>
  </si>
  <si>
    <t>JC모터스(과천)_250825_181131.xlsx</t>
  </si>
  <si>
    <t>한국오토(안양)_250825_181210.xlsx</t>
  </si>
  <si>
    <t>티구안 베이직 셋팅</t>
  </si>
  <si>
    <t>한국오토(노원)_250825_181241.xlsx</t>
  </si>
  <si>
    <t>뉴명차(수성점)_250825_181321.xlsx</t>
  </si>
  <si>
    <t>AZ제일오토미션(순천)_250825_181555.xlsx</t>
  </si>
  <si>
    <t>AZ제일오토미션(순천)_250825_181734.xlsx</t>
  </si>
  <si>
    <t>하나오토(청주)_250825_181832.xlsx</t>
  </si>
  <si>
    <t>0B5클러치작업</t>
  </si>
  <si>
    <t>0B5부산작업</t>
  </si>
  <si>
    <t>o</t>
    <phoneticPr fontId="2" type="noConversion"/>
  </si>
  <si>
    <t>제이오토(대구)_250826_175157.xlsx</t>
  </si>
  <si>
    <t>이시아오토(대구)_250826_175233.xlsx</t>
  </si>
  <si>
    <t>하나오토(청주)_250826_175413.xlsx</t>
  </si>
  <si>
    <t>R2222711900</t>
  </si>
  <si>
    <t>대구오토(대구)_250826_175538.xlsx</t>
  </si>
  <si>
    <t>대륙오토(대구)_250826_175656.xlsx</t>
  </si>
  <si>
    <t>6058008114</t>
  </si>
  <si>
    <t>Clysler</t>
  </si>
  <si>
    <t>준오토샵(충주)_250826_180015.xlsx</t>
  </si>
  <si>
    <t>준오토샵(충주)_250826_180033.xlsx</t>
  </si>
  <si>
    <t>광주광산우산220</t>
    <phoneticPr fontId="2" type="noConversion"/>
  </si>
  <si>
    <t>0CK_TCU 재반송</t>
  </si>
  <si>
    <t>WAUZZZ4GGN033172</t>
  </si>
  <si>
    <t>진영오토(남양주)_250827_172849.xlsx</t>
  </si>
  <si>
    <t>F1-0867</t>
  </si>
  <si>
    <t>메이븐오토미션(서울중랑구)_250827_172944.xlsx</t>
  </si>
  <si>
    <t>하정오토(광주)_250827_173026.xlsx</t>
  </si>
  <si>
    <t>혜광오토(김해)_250827_173130.xlsx</t>
  </si>
  <si>
    <t>모토렌(경산)_250827_173228.xlsx</t>
  </si>
  <si>
    <t>결재(이현주)</t>
  </si>
  <si>
    <t>광주 광산구 상무대로419번길 11(선불)</t>
    <phoneticPr fontId="2" type="noConversion"/>
  </si>
  <si>
    <t>010-7140-3822</t>
    <phoneticPr fontId="2" type="noConversion"/>
  </si>
  <si>
    <t>서울 중랑구 봉화산로58길 11</t>
    <phoneticPr fontId="2" type="noConversion"/>
  </si>
  <si>
    <t>대신(택배)</t>
  </si>
  <si>
    <t>01J_TCU</t>
    <phoneticPr fontId="2" type="noConversion"/>
  </si>
  <si>
    <t>01J927156JG</t>
    <phoneticPr fontId="2" type="noConversion"/>
  </si>
  <si>
    <t>대구오토(대구)_250828_161951.xlsx</t>
  </si>
  <si>
    <t>경남오토미션(창원)_250828_162029.xlsx</t>
  </si>
  <si>
    <t>엠모터스(구미)_250828_162053.xlsx</t>
  </si>
  <si>
    <t>전주오토(전주)_250828_162141.xlsx</t>
  </si>
  <si>
    <t>하나오토(진주)_250828_162302.xlsx</t>
  </si>
  <si>
    <t>AZ제일오토미션(순천)_250828_162339.xlsx</t>
  </si>
  <si>
    <t>조이오토(대구)_250828_181120.xlsx</t>
  </si>
  <si>
    <t>JLR_8HP_Gen3</t>
    <phoneticPr fontId="2" type="noConversion"/>
  </si>
  <si>
    <t>2,500,00</t>
  </si>
  <si>
    <t>빼기</t>
  </si>
  <si>
    <t>현대오토(전주)_250829_160636.xlsx</t>
  </si>
  <si>
    <t>부산비엔비(부산)_250829_160933.xlsx</t>
  </si>
  <si>
    <t>조이오토(대구)_250829_161031.xlsx</t>
  </si>
  <si>
    <t>대성오토(대구)_250829_161121.xlsx</t>
  </si>
  <si>
    <t>애니오토(시흥)_250830_100428.xlsx</t>
  </si>
  <si>
    <t>하정오토(광주)_250830_100517.xlsx</t>
  </si>
  <si>
    <t>대현오토(용인)</t>
  </si>
  <si>
    <t>대현오토(용인)</t>
    <phoneticPr fontId="2" type="noConversion"/>
  </si>
  <si>
    <t>010-5925-1947</t>
    <phoneticPr fontId="2" type="noConversion"/>
  </si>
  <si>
    <t>경기도 용인시 처인구 포곡읍 마성리 283-1</t>
    <phoneticPr fontId="2" type="noConversion"/>
  </si>
  <si>
    <t>경동(화물)</t>
    <phoneticPr fontId="2" type="noConversion"/>
  </si>
  <si>
    <t>영문리 117 지점</t>
  </si>
  <si>
    <t>미르오토(대구)_250901_175147.xlsx</t>
  </si>
  <si>
    <t>미르오토(대구)_250901_175247.xlsx</t>
  </si>
  <si>
    <t>부산비엔비(부산)_250901_175410.xlsx</t>
  </si>
  <si>
    <t>진영오토(남양주)_250901_175509.xlsx</t>
  </si>
  <si>
    <t>하오르모터스(부산)_250901_175641.xlsx</t>
  </si>
  <si>
    <t>대륙오토(대구)_250901_175728.xlsx</t>
  </si>
  <si>
    <t>AP오토서비스(수원)_250901_175904.xlsx</t>
  </si>
  <si>
    <t>대현오토(용인)_250901_180022.xlsx</t>
  </si>
  <si>
    <t>대륙오토(대구)_250901_180103.xlsx</t>
  </si>
  <si>
    <t>0B5_Filter</t>
    <phoneticPr fontId="2" type="noConversion"/>
  </si>
  <si>
    <t>P1735, P1736</t>
    <phoneticPr fontId="2" type="noConversion"/>
  </si>
  <si>
    <t>하나오토(진주)_250902_175727.xlsx</t>
  </si>
  <si>
    <t>SJ모터스(부산)_250902_175821.xlsx</t>
  </si>
  <si>
    <t>현대오토(전주)_250902_175931.xlsx</t>
  </si>
  <si>
    <t>엠모터스(구미)_250902_175954.xlsx</t>
  </si>
  <si>
    <t>AZ제일오토미션(순천)_250902_180027.xlsx</t>
  </si>
  <si>
    <t>VGSNAG2_Clone</t>
  </si>
  <si>
    <t>웨스트모터스(대구)_250902_180149.xlsx</t>
  </si>
  <si>
    <t>현진미션(칠곡)_250902_180212.xlsx</t>
  </si>
  <si>
    <t>경남오토미션(창원)_250903_171041.xlsx</t>
  </si>
  <si>
    <t>대명오토(서울서초)_250903_171109.xlsx</t>
  </si>
  <si>
    <t>대륙오토(대구)_250903_171139.xlsx</t>
  </si>
  <si>
    <t>P051300 IMMO FIX</t>
  </si>
  <si>
    <t>하나오토(진주)_250903_171310.xlsx</t>
  </si>
  <si>
    <t>6HP_EGS_REPAIR</t>
  </si>
  <si>
    <t>지오모터스(창원)_250903_171412.xlsx</t>
  </si>
  <si>
    <t>010-5317-7200</t>
    <phoneticPr fontId="2" type="noConversion"/>
  </si>
  <si>
    <t>경남 창원시 마산회원구 자유무역1길 92</t>
    <phoneticPr fontId="2" type="noConversion"/>
  </si>
  <si>
    <t>대구오토(대구)_250903_171554.xlsx</t>
  </si>
  <si>
    <t>JC모터스(과천)_250903_171643.xlsx</t>
  </si>
  <si>
    <t>A7252709917</t>
  </si>
  <si>
    <t>725.1_Gen2_Valvebody</t>
  </si>
  <si>
    <t>하이브리드</t>
  </si>
  <si>
    <t>제일오토(대구)_250903_172038.xlsx</t>
  </si>
  <si>
    <t>제일오토(대구)_250903_172049.xlsx</t>
  </si>
  <si>
    <t>디유모터스(울산)</t>
  </si>
  <si>
    <t>010-6351-6658</t>
    <phoneticPr fontId="2" type="noConversion"/>
  </si>
  <si>
    <t>울산광역시 남구 돋질로 367</t>
    <phoneticPr fontId="2" type="noConversion"/>
  </si>
  <si>
    <t>청주오토(청주)_250903_172330.xlsx</t>
  </si>
  <si>
    <t>디유모터스(울산)_250903_172422.xlsx</t>
  </si>
  <si>
    <t>하정오토(광주)_250903_172532.xlsx</t>
  </si>
  <si>
    <t>청주오토(청주)_250903_172653.xlsx</t>
  </si>
  <si>
    <t>정품오일팬포함</t>
  </si>
  <si>
    <t>로얄오토(대구)_250903_180332.xlsx</t>
  </si>
  <si>
    <t>MBA모터스(경기광주)</t>
  </si>
  <si>
    <t>하정오토(광주)_250904_103742.xlsx</t>
  </si>
  <si>
    <t>하정오토(광주)_250904_103911.xlsx</t>
  </si>
  <si>
    <t>완</t>
    <phoneticPr fontId="2" type="noConversion"/>
  </si>
  <si>
    <t>MBA모터스(경기광주)</t>
    <phoneticPr fontId="2" type="noConversion"/>
  </si>
  <si>
    <t>010-3688-7584</t>
    <phoneticPr fontId="2" type="noConversion"/>
  </si>
  <si>
    <t>경기도 광주시 경충대로 1537</t>
    <phoneticPr fontId="2" type="noConversion"/>
  </si>
  <si>
    <t>젠오토(구미)</t>
  </si>
  <si>
    <t>010-7145-8215</t>
    <phoneticPr fontId="2" type="noConversion"/>
  </si>
  <si>
    <t>경북 구미시 송선로 373</t>
    <phoneticPr fontId="2" type="noConversion"/>
  </si>
  <si>
    <t>원평501</t>
  </si>
  <si>
    <t>조이오토(대구)_250904_175255.xlsx</t>
  </si>
  <si>
    <t>진영오토(남양주)_250904_175402.xlsx</t>
  </si>
  <si>
    <t>다우수입차미션(경기)_250904_175451.xlsx</t>
  </si>
  <si>
    <t>연화오토(대구)_250904_175557.xlsx</t>
  </si>
  <si>
    <t>젠오토(구미)_250904_175649.xlsx</t>
  </si>
  <si>
    <t>A7252803900</t>
  </si>
  <si>
    <t>725_Transfer_Case</t>
  </si>
  <si>
    <t>웨스트모터스(대구)_250904_175829.xlsx</t>
  </si>
  <si>
    <t>웨스트모터스(대구)_250904_175915.xlsx</t>
  </si>
  <si>
    <t>진영오토(남양주)_250904_175959.xlsx</t>
  </si>
  <si>
    <t>MBA모터스(경기광주)_250904_180115.xlsx</t>
  </si>
  <si>
    <t>MBA모터스(경기광주)_250904_180625.xlsx</t>
  </si>
  <si>
    <t>진영오토(남양주)_250904_180703.xlsx</t>
  </si>
  <si>
    <t>웨스트모터스(대구)_250904_180742.xlsx</t>
  </si>
  <si>
    <t>웨스트모터스(대구)_250904_180805.xlsx</t>
  </si>
  <si>
    <t>젠오토(구미)_250904_180833.xlsx</t>
  </si>
  <si>
    <t>연화오토(대구)_250904_180857.xlsx</t>
  </si>
  <si>
    <t>다우수입차미션(경기)_250904_180929.xlsx</t>
  </si>
  <si>
    <t>진영오토(남양주)_250904_181002.xlsx</t>
  </si>
  <si>
    <t>조이오토(대구)_250904_181028.xlsx</t>
  </si>
  <si>
    <t>디유모터스(울산)</t>
    <phoneticPr fontId="2" type="noConversion"/>
  </si>
  <si>
    <t>결제</t>
    <phoneticPr fontId="2" type="noConversion"/>
  </si>
  <si>
    <t>제이에스모터스</t>
  </si>
  <si>
    <t>8월분 입금</t>
  </si>
  <si>
    <t>8월분</t>
  </si>
  <si>
    <t>불량반환으로 매출취소</t>
  </si>
  <si>
    <t>대명오토(서울서초)_250905_152700.xlsx</t>
  </si>
  <si>
    <t>현진미션(남대구)_250905_152725.xlsx</t>
  </si>
  <si>
    <t>ZF_8HP_Oilpan(Schaeffler)</t>
  </si>
  <si>
    <t>대륙오토(대구)_250905_152908.xlsx</t>
  </si>
  <si>
    <t>성민오토(대전)_250905_152954.xlsx</t>
  </si>
  <si>
    <t>TF82_Valvebody</t>
  </si>
  <si>
    <t>조이오토(대구)_250905_153052.xlsx</t>
  </si>
  <si>
    <t>마이오토(전북완주)_250905_153147.xlsx</t>
  </si>
  <si>
    <t>세계오토(대구)</t>
  </si>
  <si>
    <t>세계오토(대구)_250905_153308.xlsx</t>
  </si>
  <si>
    <t>미르오토(대구)_250905_153336.xlsx</t>
  </si>
  <si>
    <t>제일오토(대구)</t>
    <phoneticPr fontId="2" type="noConversion"/>
  </si>
  <si>
    <t>725.1_Gen2_Valvebody</t>
    <phoneticPr fontId="2" type="noConversion"/>
  </si>
  <si>
    <t>A7252709917</t>
    <phoneticPr fontId="2" type="noConversion"/>
  </si>
  <si>
    <t>1,850,00</t>
  </si>
  <si>
    <t>세계오토미션(광주)</t>
  </si>
  <si>
    <t>세계오토미션(광주)</t>
    <phoneticPr fontId="2" type="noConversion"/>
  </si>
  <si>
    <t>010-4524-6035</t>
    <phoneticPr fontId="2" type="noConversion"/>
  </si>
  <si>
    <t>광주광역시 서구 풍암신흥로 62번길</t>
    <phoneticPr fontId="2" type="noConversion"/>
  </si>
  <si>
    <t>경동(화물)</t>
    <phoneticPr fontId="2" type="noConversion"/>
  </si>
  <si>
    <t>광주매월지점</t>
    <phoneticPr fontId="2" type="noConversion"/>
  </si>
  <si>
    <t>봉동용암97</t>
    <phoneticPr fontId="2" type="noConversion"/>
  </si>
  <si>
    <t>진영오토(남양주)_250905_171211.xlsx</t>
  </si>
  <si>
    <t>유한오토미션(대구)</t>
  </si>
  <si>
    <t>010-3526-7165</t>
  </si>
  <si>
    <t>대구 동구 장등로 15</t>
  </si>
  <si>
    <t>LF모터스(전남광양)</t>
  </si>
  <si>
    <t>LF모터스(전남광양)</t>
    <phoneticPr fontId="2" type="noConversion"/>
  </si>
  <si>
    <t>010-8566-3365</t>
    <phoneticPr fontId="2" type="noConversion"/>
  </si>
  <si>
    <t>전남 광양시 광양읍 덕산 6길9</t>
    <phoneticPr fontId="2" type="noConversion"/>
  </si>
  <si>
    <t>0B5_Repair_Kit(Schaeffler)</t>
  </si>
  <si>
    <t>0B5_Repair_Kit(Schaeffler)</t>
    <phoneticPr fontId="2" type="noConversion"/>
  </si>
  <si>
    <t>유한오토미션(대구)_250906_104554.xlsx</t>
  </si>
  <si>
    <t>EGS_RENEW</t>
  </si>
  <si>
    <t>현대오토(전주)_250906_104636.xlsx</t>
  </si>
  <si>
    <t>VGSNAG2_REBUILD</t>
  </si>
  <si>
    <t>LF모터스(전남광양)_250906_104924.xlsx</t>
  </si>
  <si>
    <t>VGSNAG2_RENEW</t>
  </si>
  <si>
    <t>웨스트모터스(대구)_250908_160925.xlsx</t>
  </si>
  <si>
    <t>한국오토(일산)_250908_160954.xlsx</t>
  </si>
  <si>
    <t>성민오토(대전)_250908_161116.xlsx</t>
  </si>
  <si>
    <t>대구오토(대구)_250908_161144.xlsx</t>
  </si>
  <si>
    <t>2202701006</t>
  </si>
  <si>
    <t>AMG_Valvebody</t>
  </si>
  <si>
    <t>제욱오토(부산)_250908_161416.xlsx</t>
  </si>
  <si>
    <t>혜광오토(부산)_250908_161523.xlsx</t>
  </si>
  <si>
    <t>연화오토(대구)_250908_182447.xlsx</t>
  </si>
  <si>
    <t>미르오토(대구)_250908_182531.xlsx</t>
  </si>
  <si>
    <t>o</t>
    <phoneticPr fontId="2" type="noConversion"/>
  </si>
  <si>
    <t>부산비엔비(부산)</t>
    <phoneticPr fontId="2" type="noConversion"/>
  </si>
  <si>
    <t>0B5_Clutch_Rebuild</t>
    <phoneticPr fontId="2" type="noConversion"/>
  </si>
  <si>
    <t>0B5_Solenoid</t>
    <phoneticPr fontId="2" type="noConversion"/>
  </si>
  <si>
    <t>0B5_Clutch_Cover_Oring</t>
    <phoneticPr fontId="2" type="noConversion"/>
  </si>
  <si>
    <t>0B5323525B</t>
    <phoneticPr fontId="2" type="noConversion"/>
  </si>
  <si>
    <t>PLATE</t>
    <phoneticPr fontId="2" type="noConversion"/>
  </si>
  <si>
    <t>0B5_Screen_Filter_1</t>
    <phoneticPr fontId="2" type="noConversion"/>
  </si>
  <si>
    <t>0B5_TCU</t>
    <phoneticPr fontId="2" type="noConversion"/>
  </si>
  <si>
    <t>927156K</t>
    <phoneticPr fontId="2" type="noConversion"/>
  </si>
  <si>
    <t>0B5927156F</t>
    <phoneticPr fontId="2" type="noConversion"/>
  </si>
  <si>
    <t>서울노원상계389</t>
    <phoneticPr fontId="2" type="noConversion"/>
  </si>
  <si>
    <t>메르카바(고양)_250909_161400.xlsx</t>
  </si>
  <si>
    <t>한국오토(노원)_250909_161536.xlsx</t>
  </si>
  <si>
    <t>한국오토(안양)_250909_161612.xlsx</t>
  </si>
  <si>
    <t>모토렌(경산)_250909_161641.xlsx</t>
  </si>
  <si>
    <t>알씨모터스(대구)_250909_161723.xlsx</t>
  </si>
  <si>
    <t>제일오토(대구)_250910_093225.xlsx</t>
  </si>
  <si>
    <t>제욱오토(부산)_250910_155833.xlsx</t>
  </si>
  <si>
    <t>MEISTER-K(울산)_250910_155953.xlsx</t>
  </si>
  <si>
    <t>성호오토파츠(대구)</t>
  </si>
  <si>
    <t>010-7171-4832</t>
  </si>
  <si>
    <t>제이오토(대구)_250910_162436.xlsx</t>
  </si>
  <si>
    <t>ZF_8HP_Oilpan(Schaeffler)</t>
    <phoneticPr fontId="2" type="noConversion"/>
  </si>
  <si>
    <t>0B5_Repair_Kit(Schaeffler)</t>
    <phoneticPr fontId="2" type="noConversion"/>
  </si>
  <si>
    <t>대구 북구 노원로25길 63</t>
  </si>
  <si>
    <t>성호오토파츠(대구)_250910_162555.xlsx</t>
  </si>
  <si>
    <t>대륙오토(대구)_250910_162644.xlsx</t>
  </si>
  <si>
    <t>디유모터스(울산)_250910_162754.xlsx</t>
  </si>
  <si>
    <t>대륙오토(대구)_250910_162834.xlsx</t>
  </si>
  <si>
    <t>성민오토(대전)_250910_162920.xlsx</t>
  </si>
  <si>
    <t>루모터스(신평점)_250910_163016.xlsx</t>
  </si>
  <si>
    <t>루모터스(신평점)_250910_163114.xlsx</t>
  </si>
  <si>
    <t>제일오토(대구)_250910_163145.xlsx</t>
  </si>
  <si>
    <t>제일오토(대구)_250910_163216.xlsx</t>
  </si>
  <si>
    <t>경남오토미션(창원)_250910_163329.xlsx</t>
  </si>
  <si>
    <t>O</t>
    <phoneticPr fontId="2" type="noConversion"/>
  </si>
  <si>
    <t>메르카바(고양)</t>
    <phoneticPr fontId="2" type="noConversion"/>
  </si>
  <si>
    <t>0GC_Repair</t>
    <phoneticPr fontId="2" type="noConversion"/>
  </si>
  <si>
    <t>1,100,00</t>
  </si>
  <si>
    <t>X</t>
    <phoneticPr fontId="2" type="noConversion"/>
  </si>
  <si>
    <t>0AM927769E</t>
  </si>
  <si>
    <t>대명오토(서울서초)_250911_165644.xlsx</t>
  </si>
  <si>
    <t>혜광오토(김해)_250911_165744.xlsx</t>
  </si>
  <si>
    <t>혜광오토(김해)_250911_165818.xlsx</t>
  </si>
  <si>
    <t>하오르모터스(부산)_250911_165915.xlsx</t>
  </si>
  <si>
    <t>한국오토(안양)_250911_165951.xlsx</t>
  </si>
  <si>
    <t>6HP26/28</t>
  </si>
  <si>
    <t>6HP_Plug_set_26/28</t>
  </si>
  <si>
    <t>제일오토(대구)_250911_170053.xlsx</t>
  </si>
  <si>
    <t>미르오토(대구)_250911_170132.xlsx</t>
  </si>
  <si>
    <t>미르오토(대구)_250911_170453.xlsx</t>
  </si>
  <si>
    <t>경남오토미션(창원)_250911_170532.xlsx</t>
  </si>
  <si>
    <t>메이븐오토미션(서울중랑구)_250911_170635.xlsx</t>
  </si>
  <si>
    <t>948TE_TCU</t>
    <phoneticPr fontId="2" type="noConversion"/>
  </si>
  <si>
    <t>진영오토(남양주)_250912_201252.xlsx</t>
  </si>
  <si>
    <t>제욱오토(부산)_250912_201326.xlsx</t>
  </si>
  <si>
    <t>조이오토(대구)_250912_201408.xlsx</t>
  </si>
  <si>
    <t>다우수입차미션(경기)_250912_201440.xlsx</t>
  </si>
  <si>
    <t>AMG630_Clutch(Schaeffler)</t>
  </si>
  <si>
    <t>조이오토(대구)_250912_201519.xlsx</t>
  </si>
  <si>
    <t>이시아오토(대구)_250912_201556.xlsx</t>
  </si>
  <si>
    <t>한일오토(영등포)</t>
  </si>
  <si>
    <t>한일오토(영등포)_250912_201835.xlsx</t>
  </si>
  <si>
    <t>진영오토(남양주)</t>
    <phoneticPr fontId="2" type="noConversion"/>
  </si>
  <si>
    <t>결재</t>
    <phoneticPr fontId="2" type="noConversion"/>
  </si>
  <si>
    <t>조이오토(대구)_250913_114211.xlsx</t>
  </si>
  <si>
    <t>6058011023</t>
  </si>
  <si>
    <t>8HP51Z_EGS</t>
  </si>
  <si>
    <t>제일오토(대구)_250915_180356.xlsx</t>
  </si>
  <si>
    <t>코리아탑오토샵(대전)_250915_180512.xlsx</t>
  </si>
  <si>
    <t>혜광오토(부산)_250915_180736.xlsx</t>
  </si>
  <si>
    <t>신일오토(부산)_250915_180814.xlsx</t>
  </si>
  <si>
    <t>미르오토(대구)_250915_180857.xlsx</t>
  </si>
  <si>
    <t>엠모터스(구미)_250915_180917.xlsx</t>
  </si>
  <si>
    <t>0AM_Repair_kit</t>
  </si>
  <si>
    <t>대륙오토(대구)_250915_181017.xlsx</t>
  </si>
  <si>
    <t>0B5_Clutch 작업</t>
  </si>
  <si>
    <t>대구오토(대구)_250916_181135.xlsx</t>
  </si>
  <si>
    <t>한신오토미션(서울 송파)_250916_181209.xlsx</t>
  </si>
  <si>
    <t>EHS 2122700006</t>
  </si>
  <si>
    <t>코리아탑오토샵(대전)_250916_181256.xlsx</t>
  </si>
  <si>
    <t>대륙오토(대구)_250916_181337.xlsx</t>
  </si>
  <si>
    <t>비앤비모터스(창원)_250916_181448.xlsx</t>
  </si>
  <si>
    <t>하나오토(청주)_250916_181536.xlsx</t>
  </si>
  <si>
    <t>조이오토(대구)_250916_181608.xlsx</t>
  </si>
  <si>
    <t>한국오토(안양)_250916_181634.xlsx</t>
  </si>
  <si>
    <t>웨스트모터스(대구)_250916_181712.xlsx</t>
  </si>
  <si>
    <t>O</t>
    <phoneticPr fontId="2" type="noConversion"/>
  </si>
  <si>
    <t>9A7.906.206</t>
    <phoneticPr fontId="2" type="noConversion"/>
  </si>
  <si>
    <t>PDK_Sensor_4WD</t>
    <phoneticPr fontId="2" type="noConversion"/>
  </si>
  <si>
    <t>9A7.906.206A</t>
  </si>
  <si>
    <t>PDK_Sensor_2WD</t>
  </si>
  <si>
    <t>오토빈모터스(성수동)</t>
  </si>
  <si>
    <t>오토빈모터스(성수동)</t>
    <phoneticPr fontId="2" type="noConversion"/>
  </si>
  <si>
    <t>010-9195-9925</t>
    <phoneticPr fontId="2" type="noConversion"/>
  </si>
  <si>
    <t>서울 성동구 성수동2가 277-96</t>
    <phoneticPr fontId="2" type="noConversion"/>
  </si>
  <si>
    <t>서울 성동 성수759</t>
  </si>
  <si>
    <t>6058008114_236</t>
    <phoneticPr fontId="2" type="noConversion"/>
  </si>
  <si>
    <t>6058008114_237</t>
    <phoneticPr fontId="2" type="noConversion"/>
  </si>
  <si>
    <t>오토빈모터스(성수동)_250917_161427.xlsx</t>
  </si>
  <si>
    <t>프로오토미션(광주)_250917_161553.xlsx</t>
  </si>
  <si>
    <t>하정오토(광주)_250917_161648.xlsx</t>
  </si>
  <si>
    <t>0B5_Mechatronics</t>
  </si>
  <si>
    <t>조이오토(대구)_250917_161854.xlsx</t>
  </si>
  <si>
    <t>진홍오토(대구)_250917_161950.xlsx</t>
  </si>
  <si>
    <t>한결부품_250917_162018.xlsx</t>
  </si>
  <si>
    <t>제욱오토(부산)_250917_175254.xlsx</t>
  </si>
  <si>
    <t>24055324</t>
  </si>
  <si>
    <t>GM_F_Harness</t>
  </si>
  <si>
    <t>-</t>
    <phoneticPr fontId="2" type="noConversion"/>
  </si>
  <si>
    <t>0BH927321A</t>
  </si>
  <si>
    <t>0BH_Harness</t>
  </si>
  <si>
    <t>8R2927156F</t>
  </si>
  <si>
    <t>0CK325110</t>
  </si>
  <si>
    <t>0CK_Range_sensor</t>
  </si>
  <si>
    <t>010-7383-8520</t>
    <phoneticPr fontId="2" type="noConversion"/>
  </si>
  <si>
    <t>경북 구미시 형곡로14길 5</t>
    <phoneticPr fontId="2" type="noConversion"/>
  </si>
  <si>
    <t>원평</t>
  </si>
  <si>
    <t>미르오토(대구)_250918_181151.xlsx</t>
  </si>
  <si>
    <t>현대오토(영천)_250918_181307.xlsx</t>
  </si>
  <si>
    <t>대명오토(서울서초)_250918_181352.xlsx</t>
  </si>
  <si>
    <t>진영오토(남양주)_250918_181427.xlsx</t>
  </si>
  <si>
    <t>6058008114_236</t>
  </si>
  <si>
    <t>하나오토(광주)_250918_181623.xlsx</t>
  </si>
  <si>
    <t>하이웨이(구미)_250918_181709.xlsx</t>
  </si>
  <si>
    <t>세계오토미션(광주)_250918_181752.xlsx</t>
  </si>
  <si>
    <t>대륙오토(대구)_250918_181905.xlsx</t>
  </si>
  <si>
    <t>하정오토(광주)_250918_181929.xlsx</t>
  </si>
  <si>
    <t>제일오토(대전)_250918_182007.xlsx</t>
  </si>
  <si>
    <t>메이븐오토미션(서울중랑구)_250918_182219.xlsx</t>
  </si>
  <si>
    <t>천안오토(천안)_250918_182346.xlsx</t>
  </si>
  <si>
    <t>청주오토(청주)_250918_182413.xlsx</t>
  </si>
  <si>
    <t>청주오토(청주)</t>
    <phoneticPr fontId="2" type="noConversion"/>
  </si>
  <si>
    <t>0HK_TCU</t>
    <phoneticPr fontId="2" type="noConversion"/>
  </si>
  <si>
    <t>0HK927156B</t>
    <phoneticPr fontId="2" type="noConversion"/>
  </si>
  <si>
    <t>0HL_ONLINE_SERVICE</t>
    <phoneticPr fontId="2" type="noConversion"/>
  </si>
  <si>
    <t>150,00</t>
  </si>
  <si>
    <t>O</t>
    <phoneticPr fontId="2" type="noConversion"/>
  </si>
  <si>
    <t>혜광오토(김해)_250919_182313.xlsx</t>
  </si>
  <si>
    <t>미르오토(대구)_250919_182350.xlsx</t>
  </si>
  <si>
    <t>현진미션(남대구)_250919_182420.xlsx</t>
  </si>
  <si>
    <t>JLR_8HP_Gen3_Clone</t>
  </si>
  <si>
    <t>태성카오토(동대문)_250919_182454.xlsx</t>
  </si>
  <si>
    <t>모임결재</t>
  </si>
  <si>
    <t>청주오토(청주)</t>
    <phoneticPr fontId="2" type="noConversion"/>
  </si>
  <si>
    <t>PARK_PAWL</t>
    <phoneticPr fontId="2" type="noConversion"/>
  </si>
  <si>
    <t>A7259820003</t>
    <phoneticPr fontId="2" type="noConversion"/>
  </si>
  <si>
    <t>700,00</t>
  </si>
  <si>
    <t>04752814AA</t>
  </si>
  <si>
    <t>948_Filter</t>
  </si>
  <si>
    <t>김해오토(김해)_250920_133446.xlsx</t>
  </si>
  <si>
    <t>경기도 화성시 향남읍 두물안길2</t>
  </si>
  <si>
    <t>119모터스(화성)</t>
    <phoneticPr fontId="2" type="noConversion"/>
  </si>
  <si>
    <t>010-5511-5207</t>
    <phoneticPr fontId="2" type="noConversion"/>
  </si>
  <si>
    <t>경기도 화성시 향남읍 두물안길2</t>
    <phoneticPr fontId="2" type="noConversion"/>
  </si>
  <si>
    <t>119모터스(화성)_250922_162325.xlsx</t>
  </si>
  <si>
    <t>SJ모터스(부산)_250922_162449.xlsx</t>
  </si>
  <si>
    <t>대구오토(대구)_250922_162519.xlsx</t>
  </si>
  <si>
    <t>대명오토(서울서초)_250922_162615.xlsx</t>
  </si>
  <si>
    <t>D&amp;N모터스(전주)_250922_162643.xlsx</t>
  </si>
  <si>
    <t>한국오토(노원)_250922_162900.xlsx</t>
  </si>
  <si>
    <t>현대오토(영천)_250922_162937.xlsx</t>
  </si>
  <si>
    <t>010-3123-6754</t>
    <phoneticPr fontId="2" type="noConversion"/>
  </si>
  <si>
    <t>전주시 완산구 쑥고개로 301-15</t>
    <phoneticPr fontId="2" type="noConversion"/>
  </si>
  <si>
    <t>전주완산효자3가670</t>
  </si>
  <si>
    <t>o</t>
    <phoneticPr fontId="2" type="noConversion"/>
  </si>
  <si>
    <t>혜광오토(부산)_250923_172910.xlsx</t>
  </si>
  <si>
    <t>80A927155DM, FAZIT - 3550</t>
    <phoneticPr fontId="2" type="noConversion"/>
  </si>
  <si>
    <t>현진미션(남대구)_250923_173010.xlsx</t>
  </si>
  <si>
    <t>현진미션(칠곡)_250923_173035.xlsx</t>
  </si>
  <si>
    <t>신일오토(부산)_250923_173125.xlsx</t>
  </si>
  <si>
    <t>대덕오토(대전)_250923_173238.xlsx</t>
  </si>
  <si>
    <t>그린카서비스(대전)_250923_173353.xlsx</t>
  </si>
  <si>
    <t>하나오토(청주)_250923_173507.xlsx</t>
  </si>
  <si>
    <t>0HK_ONLINE_SERVICE</t>
  </si>
  <si>
    <t>혜광오토(부산)_250923_174246.xlsx</t>
  </si>
  <si>
    <t>현금</t>
  </si>
  <si>
    <t>제이오토(대구)_250923_183027.xlsx</t>
  </si>
  <si>
    <t>0CK_TCU(반품)</t>
  </si>
  <si>
    <t>MEISTER-K(울산)</t>
    <phoneticPr fontId="2" type="noConversion"/>
  </si>
  <si>
    <t>0B5_TCU(반품)</t>
    <phoneticPr fontId="2" type="noConversion"/>
  </si>
  <si>
    <t>0B5_TCU</t>
    <phoneticPr fontId="2" type="noConversion"/>
  </si>
  <si>
    <t>927156K</t>
    <phoneticPr fontId="2" type="noConversion"/>
  </si>
  <si>
    <t>0B5927156F</t>
    <phoneticPr fontId="2" type="noConversion"/>
  </si>
  <si>
    <t>삼호미션(전주)_250924_164327.xlsx</t>
  </si>
  <si>
    <t>B193</t>
  </si>
  <si>
    <t>한국오토(안양)_250924_164527.xlsx</t>
  </si>
  <si>
    <t>미르오토(대구)_250924_164623.xlsx</t>
  </si>
  <si>
    <t>태성카오토(동대문)_250924_164702.xlsx</t>
  </si>
  <si>
    <t>제일오토(대구)_250924_164743.xlsx</t>
  </si>
  <si>
    <t>ID</t>
    <phoneticPr fontId="2" type="noConversion"/>
  </si>
  <si>
    <t>혜광(부산)</t>
    <phoneticPr fontId="2" type="noConversion"/>
  </si>
  <si>
    <t>제욱(부산)</t>
    <phoneticPr fontId="2" type="noConversion"/>
  </si>
  <si>
    <t>AZ</t>
    <phoneticPr fontId="2" type="noConversion"/>
  </si>
  <si>
    <t>대명</t>
    <phoneticPr fontId="2" type="noConversion"/>
  </si>
  <si>
    <t>sj</t>
    <phoneticPr fontId="2" type="noConversion"/>
  </si>
  <si>
    <t>하정</t>
    <phoneticPr fontId="2" type="noConversion"/>
  </si>
  <si>
    <t>스카이</t>
    <phoneticPr fontId="2" type="noConversion"/>
  </si>
  <si>
    <t>한국(노원)</t>
    <phoneticPr fontId="2" type="noConversion"/>
  </si>
  <si>
    <t>엠모터스</t>
    <phoneticPr fontId="2" type="noConversion"/>
  </si>
  <si>
    <t>청주오토</t>
    <phoneticPr fontId="2" type="noConversion"/>
  </si>
  <si>
    <t>하나(청주)</t>
    <phoneticPr fontId="2" type="noConversion"/>
  </si>
  <si>
    <t>한국(안양)</t>
    <phoneticPr fontId="2" type="noConversion"/>
  </si>
  <si>
    <t>성민(대전)</t>
    <phoneticPr fontId="2" type="noConversion"/>
  </si>
  <si>
    <t>코리아(대전)</t>
    <phoneticPr fontId="2" type="noConversion"/>
  </si>
  <si>
    <t>한국(일산)</t>
    <phoneticPr fontId="2" type="noConversion"/>
  </si>
  <si>
    <t>신일(부산)</t>
    <phoneticPr fontId="2" type="noConversion"/>
  </si>
  <si>
    <t>경남</t>
    <phoneticPr fontId="2" type="noConversion"/>
  </si>
  <si>
    <t>전주</t>
    <phoneticPr fontId="2" type="noConversion"/>
  </si>
  <si>
    <t>프로오토</t>
    <phoneticPr fontId="2" type="noConversion"/>
  </si>
  <si>
    <t>새흰돌</t>
    <phoneticPr fontId="2" type="noConversion"/>
  </si>
  <si>
    <t>김해</t>
    <phoneticPr fontId="2" type="noConversion"/>
  </si>
  <si>
    <t>메이븐</t>
    <phoneticPr fontId="2" type="noConversion"/>
  </si>
  <si>
    <t>현대(전주)</t>
    <phoneticPr fontId="2" type="noConversion"/>
  </si>
  <si>
    <t>삼호(전주)</t>
    <phoneticPr fontId="2" type="noConversion"/>
  </si>
  <si>
    <t>하나(진주)</t>
    <phoneticPr fontId="2" type="noConversion"/>
  </si>
  <si>
    <t>각 1개씩</t>
    <phoneticPr fontId="2" type="noConversion"/>
  </si>
  <si>
    <t>대구</t>
    <phoneticPr fontId="2" type="noConversion"/>
  </si>
  <si>
    <t>남대구</t>
    <phoneticPr fontId="2" type="noConversion"/>
  </si>
  <si>
    <t>로얄</t>
    <phoneticPr fontId="2" type="noConversion"/>
  </si>
  <si>
    <t>진홍</t>
    <phoneticPr fontId="2" type="noConversion"/>
  </si>
  <si>
    <t>미르</t>
    <phoneticPr fontId="2" type="noConversion"/>
  </si>
  <si>
    <t>제이</t>
    <phoneticPr fontId="2" type="noConversion"/>
  </si>
  <si>
    <t>연화</t>
    <phoneticPr fontId="2" type="noConversion"/>
  </si>
  <si>
    <t>대성</t>
    <phoneticPr fontId="2" type="noConversion"/>
  </si>
  <si>
    <t>조이</t>
    <phoneticPr fontId="2" type="noConversion"/>
  </si>
  <si>
    <t>한독</t>
    <phoneticPr fontId="2" type="noConversion"/>
  </si>
  <si>
    <t>제일</t>
    <phoneticPr fontId="2" type="noConversion"/>
  </si>
  <si>
    <t>대륙</t>
    <phoneticPr fontId="2" type="noConversion"/>
  </si>
  <si>
    <t>영천현대</t>
    <phoneticPr fontId="2" type="noConversion"/>
  </si>
  <si>
    <t>오토맥스</t>
    <phoneticPr fontId="2" type="noConversion"/>
  </si>
  <si>
    <t>119모터스(화성)</t>
    <phoneticPr fontId="2" type="noConversion"/>
  </si>
  <si>
    <t>VGSNAG2</t>
    <phoneticPr fontId="2" type="noConversion"/>
  </si>
  <si>
    <t>A0002703300</t>
    <phoneticPr fontId="2" type="noConversion"/>
  </si>
  <si>
    <t>스팸</t>
    <phoneticPr fontId="2" type="noConversion"/>
  </si>
  <si>
    <t>스팸, 반반</t>
    <phoneticPr fontId="2" type="noConversion"/>
  </si>
  <si>
    <t>스팸</t>
  </si>
  <si>
    <t>프로오토미션(광주)_250926_163911.xlsx</t>
  </si>
  <si>
    <t>하나오토(진주)_250926_164005.xlsx</t>
  </si>
  <si>
    <t>미르오토(대구)_250926_164038.xlsx</t>
  </si>
  <si>
    <t>제이오토(대구)_250926_164123.xlsx</t>
  </si>
  <si>
    <t>오토월드(대구)</t>
  </si>
  <si>
    <t>VGS2 - FDCT</t>
  </si>
  <si>
    <t>오토월드(대구)_250926_183107.xlsx</t>
  </si>
  <si>
    <t>라임모터스(경기도)</t>
  </si>
  <si>
    <t>010-7466-2647</t>
  </si>
  <si>
    <t>경기도 양촌읍 서현로 78번길 38-16</t>
  </si>
  <si>
    <t>경동화물 - 김포 대곶 대능 494 영업소</t>
  </si>
  <si>
    <t>라임모터스(경기도)_250927_105937.xlsx</t>
  </si>
  <si>
    <t>박병준</t>
  </si>
  <si>
    <t xml:space="preserve">0GC 중고 미션 전달 </t>
  </si>
  <si>
    <t>카이드모터스(인천)_250927_125341.xlsx</t>
  </si>
  <si>
    <t>반반2</t>
    <phoneticPr fontId="2" type="noConversion"/>
  </si>
  <si>
    <t>반반</t>
    <phoneticPr fontId="2" type="noConversion"/>
  </si>
  <si>
    <t>교환</t>
  </si>
  <si>
    <t>18.09.21 F1-3262</t>
  </si>
  <si>
    <t>오토솔루션(천안)_250929_144520.xlsx</t>
  </si>
  <si>
    <t>STC모터스(통영)</t>
    <phoneticPr fontId="2" type="noConversion"/>
  </si>
  <si>
    <t>010-9222-6447</t>
    <phoneticPr fontId="2" type="noConversion"/>
  </si>
  <si>
    <t>통영시 광도면 죽림리 1570-65</t>
    <phoneticPr fontId="2" type="noConversion"/>
  </si>
  <si>
    <t>경동(택배)</t>
    <phoneticPr fontId="2" type="noConversion"/>
  </si>
  <si>
    <t>조복태</t>
  </si>
  <si>
    <t>대명오토(서울서초)_250929_175731.xlsx</t>
  </si>
  <si>
    <t>중고 156F</t>
  </si>
  <si>
    <t>대명오토(서울서초)_250929_175850.xlsx</t>
  </si>
  <si>
    <t>하정오토(광주)_250929_180028.xlsx</t>
  </si>
  <si>
    <t>준오토샵(충주)_250929_180138.xlsx</t>
  </si>
  <si>
    <t>삼호미션(전주)_250929_180208.xlsx</t>
  </si>
  <si>
    <t>20만원 추가입금 받음</t>
  </si>
  <si>
    <t>카이드모터스(인천)_250929_180317.xlsx</t>
  </si>
  <si>
    <t>중고 발송</t>
  </si>
  <si>
    <t>STC모터스(통영)_250929_180445.xlsx</t>
  </si>
  <si>
    <t>지난번 중고출고건 대품</t>
  </si>
  <si>
    <t>LF모터스(전남광양)_250929_180540.xlsx</t>
  </si>
  <si>
    <t>조이오토(대구)_250929_180611.xlsx</t>
  </si>
  <si>
    <t>미르오토(대구)_250929_182527.xlsx</t>
  </si>
  <si>
    <t>제이오토(대구)_250929_182556.xlsx</t>
  </si>
  <si>
    <t>매드모터스(광주)_250929_182642.xlsx</t>
  </si>
  <si>
    <t>제이오토(대구)_250929_182851.xlsx</t>
  </si>
  <si>
    <t>카이드디퍼수리(X7)</t>
  </si>
  <si>
    <t>O</t>
    <phoneticPr fontId="2" type="noConversion"/>
  </si>
  <si>
    <t>동양오토(목포)</t>
  </si>
  <si>
    <t>동양오토(목포)</t>
    <phoneticPr fontId="2" type="noConversion"/>
  </si>
  <si>
    <t>010-3607-3709</t>
    <phoneticPr fontId="2" type="noConversion"/>
  </si>
  <si>
    <t>전남 목포시 백년대로 247</t>
    <phoneticPr fontId="2" type="noConversion"/>
  </si>
  <si>
    <t>경동(화물)</t>
    <phoneticPr fontId="2" type="noConversion"/>
  </si>
  <si>
    <t>목포옥암952</t>
  </si>
  <si>
    <t>60580082114</t>
  </si>
  <si>
    <t>o</t>
    <phoneticPr fontId="2" type="noConversion"/>
  </si>
  <si>
    <t>한결부품_250930_172609.xlsx</t>
  </si>
  <si>
    <t>제이오토(대구)_250930_172733.xlsx</t>
  </si>
  <si>
    <t>845RE Rebuild</t>
  </si>
  <si>
    <t>메르카바(고양)_250930_172854.xlsx</t>
  </si>
  <si>
    <t>미르오토(대구)_250930_172922.xlsx</t>
  </si>
  <si>
    <t>대명오토(서울서초)_250930_172939.xlsx</t>
  </si>
  <si>
    <t>조이오토(대구)_250930_173009.xlsx</t>
  </si>
  <si>
    <t>하정오토(광주)_250930_173115.xlsx</t>
  </si>
  <si>
    <t>동양오토(목포)_250930_173249.xlsx</t>
  </si>
  <si>
    <t>지원</t>
  </si>
  <si>
    <t>노익승</t>
  </si>
  <si>
    <t>동양오토(목포)</t>
    <phoneticPr fontId="2" type="noConversion"/>
  </si>
  <si>
    <t>0AM_Mechatronics</t>
    <phoneticPr fontId="2" type="noConversion"/>
  </si>
  <si>
    <t>결재</t>
    <phoneticPr fontId="2" type="noConversion"/>
  </si>
  <si>
    <t>김원규</t>
  </si>
  <si>
    <t>주건호</t>
  </si>
  <si>
    <t>0CK_Solenoid_kit(반품)</t>
  </si>
  <si>
    <t>AP오토서비스(수원)</t>
    <phoneticPr fontId="2" type="noConversion"/>
  </si>
  <si>
    <t>0CK_Solenoid_kit(반품)</t>
    <phoneticPr fontId="2" type="noConversion"/>
  </si>
  <si>
    <t>VW0CK335076D</t>
    <phoneticPr fontId="2" type="noConversion"/>
  </si>
  <si>
    <t>엠모터스(2)</t>
    <phoneticPr fontId="2" type="noConversion"/>
  </si>
  <si>
    <t>다우수입차미션(경기)</t>
    <phoneticPr fontId="2" type="noConversion"/>
  </si>
  <si>
    <t>매드모터스</t>
    <phoneticPr fontId="2" type="noConversion"/>
  </si>
  <si>
    <t>하오르모터스(부산)</t>
    <phoneticPr fontId="2" type="noConversion"/>
  </si>
  <si>
    <t>전북 전주시 완산구 쑥고개로 301-6</t>
    <phoneticPr fontId="2" type="noConversion"/>
  </si>
  <si>
    <t>경동(화물)</t>
    <phoneticPr fontId="2" type="noConversion"/>
  </si>
  <si>
    <t>전주완산효자3가370</t>
    <phoneticPr fontId="2" type="noConversion"/>
  </si>
  <si>
    <t>전남 순천시 덕암동 222-10</t>
    <phoneticPr fontId="2" type="noConversion"/>
  </si>
  <si>
    <t>대신(화물)</t>
    <phoneticPr fontId="2" type="noConversion"/>
  </si>
  <si>
    <t>순천남정점</t>
    <phoneticPr fontId="2" type="noConversion"/>
  </si>
  <si>
    <t>경상남도 김해시 흥동로 183 A동 김해오토미션</t>
    <phoneticPr fontId="2" type="noConversion"/>
  </si>
  <si>
    <t>김해화목 1055</t>
    <phoneticPr fontId="2" type="noConversion"/>
  </si>
  <si>
    <t>부산 수영구 감포로 32</t>
    <phoneticPr fontId="2" type="noConversion"/>
  </si>
  <si>
    <t>수영 망리지점</t>
    <phoneticPr fontId="2" type="noConversion"/>
  </si>
  <si>
    <t>스팸</t>
    <phoneticPr fontId="2" type="noConversion"/>
  </si>
  <si>
    <t>o</t>
    <phoneticPr fontId="2" type="noConversion"/>
  </si>
  <si>
    <t>진영오토</t>
    <phoneticPr fontId="2" type="noConversion"/>
  </si>
  <si>
    <t>남양주시 진접읍 경복대로 451</t>
    <phoneticPr fontId="2" type="noConversion"/>
  </si>
  <si>
    <t>남양주진접금곡501</t>
    <phoneticPr fontId="2" type="noConversion"/>
  </si>
  <si>
    <t>부산 사상구 학장동 376-3</t>
    <phoneticPr fontId="2" type="noConversion"/>
  </si>
  <si>
    <t>반반</t>
    <phoneticPr fontId="2" type="noConversion"/>
  </si>
  <si>
    <t>반반(2)</t>
    <phoneticPr fontId="2" type="noConversion"/>
  </si>
  <si>
    <t>반반?</t>
    <phoneticPr fontId="2" type="noConversion"/>
  </si>
  <si>
    <t>로얄오토(대구)_251001_170419.xlsx</t>
  </si>
  <si>
    <t>하정오토(광주)_251001_170814.xlsx</t>
  </si>
  <si>
    <t>와우모터스_251001_170841.xlsx</t>
  </si>
  <si>
    <t>하나오토(청주)_251001_170905.xlsx</t>
  </si>
  <si>
    <t>02E_CLONE</t>
  </si>
  <si>
    <t>MEISTER-K(울산)_251001_181130.xlsx</t>
  </si>
  <si>
    <t>한일오토(구리)</t>
  </si>
  <si>
    <t>한일오토(구리)_251001_181210.xlsx</t>
  </si>
  <si>
    <t>박규서</t>
  </si>
  <si>
    <t>케이오토미션(목포)</t>
  </si>
  <si>
    <t>010-3625-1777</t>
  </si>
  <si>
    <t>전남 목포시 용당로 77번길 8</t>
  </si>
  <si>
    <t>조이오토(대구)_251002_173747.xlsx</t>
  </si>
  <si>
    <t>경남오토미션(창원)_251002_173837.xlsx</t>
  </si>
  <si>
    <t>DVQ1C</t>
  </si>
  <si>
    <t>6DTC450_Valvebody</t>
  </si>
  <si>
    <t>DVQ1C</t>
    <phoneticPr fontId="2" type="noConversion"/>
  </si>
  <si>
    <t>6DCT450_Valvebody</t>
    <phoneticPr fontId="2" type="noConversion"/>
  </si>
  <si>
    <t>미르오토(대구)_251002_174344.xlsx</t>
  </si>
  <si>
    <t>02E300058N</t>
  </si>
  <si>
    <t>케이오토미션(목포)_251002_174433.xlsx</t>
  </si>
  <si>
    <t>진홍오토(대구)_251002_174500.xlsx</t>
  </si>
  <si>
    <t>정성희 일부결재</t>
  </si>
  <si>
    <t>김혁</t>
  </si>
  <si>
    <t>9월분결재</t>
  </si>
  <si>
    <t>최영필</t>
  </si>
  <si>
    <t>김길상</t>
  </si>
  <si>
    <t>진홍오토(대구)_251003_142359.xlsx</t>
  </si>
  <si>
    <t>AUDI_8HP_EGS</t>
  </si>
  <si>
    <t>6058008122</t>
  </si>
  <si>
    <t>하이웨이(구미)_251003_171849.xlsx</t>
  </si>
  <si>
    <t>하이웨이(구미)_251003_175558.xlsx</t>
  </si>
  <si>
    <t>김봉국</t>
  </si>
  <si>
    <t>대구오토(대구)_251009_120300.xlsx</t>
  </si>
  <si>
    <t>대륙오토(대구)_251009_155853.xlsx</t>
  </si>
  <si>
    <t>6058008163</t>
    <phoneticPr fontId="2" type="noConversion"/>
  </si>
  <si>
    <t>B193</t>
    <phoneticPr fontId="2" type="noConversion"/>
  </si>
  <si>
    <t>서울영등포당산2가30</t>
  </si>
  <si>
    <t>성민오토(대전)_251010_112135.xlsx</t>
  </si>
  <si>
    <t>05/31 출고품 교환(F1-2753)</t>
    <phoneticPr fontId="2" type="noConversion"/>
  </si>
  <si>
    <t>정진택</t>
  </si>
  <si>
    <t>김천 신음37</t>
    <phoneticPr fontId="2" type="noConversion"/>
  </si>
  <si>
    <t>니들베어링(Schaeffler)</t>
  </si>
  <si>
    <t>410013910</t>
  </si>
  <si>
    <t>하정오토(광주)_251010_174956.xlsx</t>
  </si>
  <si>
    <t>AZ제일오토미션(순천)_251010_175102.xlsx</t>
  </si>
  <si>
    <t>매드모터스(광주)_251010_175243.xlsx</t>
  </si>
  <si>
    <t>TFK-1819-0633 교체</t>
    <phoneticPr fontId="2" type="noConversion"/>
  </si>
  <si>
    <t>정인호오토샵(김천)_251010_175347.xlsx</t>
  </si>
  <si>
    <t>하나오토(청주)_251010_175553.xlsx</t>
  </si>
  <si>
    <t>MBA모터스(경기광주)_251010_175630.xlsx</t>
  </si>
  <si>
    <t>하나오토(진주)_251010_175723.xlsx</t>
  </si>
  <si>
    <t>이박사자동차정비(구미)_251010_175750.xlsx</t>
  </si>
  <si>
    <t>한일오토(구리)_251010_175812.xlsx</t>
  </si>
  <si>
    <t>스카이오토미션(천안)_251010_175904.xlsx</t>
  </si>
  <si>
    <t>신일모터스(경주)_251010_185852.xlsx</t>
  </si>
  <si>
    <t>o</t>
    <phoneticPr fontId="2" type="noConversion"/>
  </si>
  <si>
    <t>정성희</t>
  </si>
  <si>
    <t>김지영</t>
  </si>
  <si>
    <t>김태엽</t>
  </si>
  <si>
    <t>이가형</t>
  </si>
  <si>
    <t>고재환</t>
  </si>
  <si>
    <t>고재환</t>
    <phoneticPr fontId="2" type="noConversion"/>
  </si>
  <si>
    <t>경남오토미션(창원)_251010_190953.xlsx</t>
  </si>
  <si>
    <t>이박사자동차정비(구미)_251010_191410.xlsx</t>
  </si>
  <si>
    <t>현대오토(전주)_251011_113338.xlsx</t>
  </si>
  <si>
    <t>조이오토(대구)_251011_121147.xlsx</t>
  </si>
  <si>
    <t>경기도 남양주시 별내면 송산로 519-8</t>
    <phoneticPr fontId="2" type="noConversion"/>
  </si>
  <si>
    <t>9009381061816</t>
  </si>
  <si>
    <t>ATC35L-DISC</t>
  </si>
  <si>
    <t>매드모터스(광주)_251013_152822.xlsx</t>
  </si>
  <si>
    <t>09/25 출고품 교환(1819 &gt; 0204)</t>
    <phoneticPr fontId="2" type="noConversion"/>
  </si>
  <si>
    <t>미르오토(대구)_251013_174658.xlsx</t>
  </si>
  <si>
    <t>TFK-1819 - 0633교체</t>
  </si>
  <si>
    <t>매드모터스(광주)_251013_174927.xlsx</t>
  </si>
  <si>
    <t>UNI&amp;ARS MOTORS(대구)</t>
  </si>
  <si>
    <t>010-5066-6004</t>
  </si>
  <si>
    <t>대구 서구 와룡로 411(이현동)</t>
  </si>
  <si>
    <t>UNI&amp;ARS MOTORS(대구)_251013_175032.xlsx</t>
  </si>
  <si>
    <t>대구오토(대구)_251013_175105.xlsx</t>
  </si>
  <si>
    <t>오토젠(남양주)_251013_175200.xlsx</t>
  </si>
  <si>
    <t>한국오토정비공업사(울산)</t>
  </si>
  <si>
    <t>한국오토정비공업사(울산)_251013_175240.xlsx</t>
  </si>
  <si>
    <t>STC모터스(통영)_251013_175306.xlsx</t>
  </si>
  <si>
    <t>O</t>
    <phoneticPr fontId="2" type="noConversion"/>
  </si>
  <si>
    <t>김연홍</t>
  </si>
  <si>
    <t>김연홍</t>
    <phoneticPr fontId="2" type="noConversion"/>
  </si>
  <si>
    <t>최성재</t>
  </si>
  <si>
    <t>최성재</t>
    <phoneticPr fontId="2" type="noConversion"/>
  </si>
  <si>
    <t>장성기</t>
  </si>
  <si>
    <t>장성기</t>
    <phoneticPr fontId="2" type="noConversion"/>
  </si>
  <si>
    <t>배용섭</t>
  </si>
  <si>
    <t>배용섭</t>
    <phoneticPr fontId="2" type="noConversion"/>
  </si>
  <si>
    <t>이주호</t>
  </si>
  <si>
    <t>이주호</t>
    <phoneticPr fontId="2" type="noConversion"/>
  </si>
  <si>
    <t>UNI&amp;ARS MOTORS</t>
  </si>
  <si>
    <t>UNI&amp;ARS MOTORS</t>
    <phoneticPr fontId="2" type="noConversion"/>
  </si>
  <si>
    <t>알씨모터스(대구)_251013_192115.xlsx</t>
  </si>
  <si>
    <t>부산비엔비(부산)_251013_192154.xlsx</t>
  </si>
  <si>
    <t>o</t>
    <phoneticPr fontId="2" type="noConversion"/>
  </si>
  <si>
    <t xml:space="preserve"> </t>
    <phoneticPr fontId="2" type="noConversion"/>
  </si>
  <si>
    <t>미르오토(대구)_251014_171555.xlsx</t>
  </si>
  <si>
    <t>6HP_Plate</t>
  </si>
  <si>
    <t>미르오토(대구)_251014_171701.xlsx</t>
  </si>
  <si>
    <t>대성오토(일산)</t>
  </si>
  <si>
    <t>010-8911-8801</t>
  </si>
  <si>
    <t>경기도 고양시 일산동구 성석로 214</t>
  </si>
  <si>
    <t>대성오토(일산)_251014_171754.xlsx</t>
  </si>
  <si>
    <t>한국오토(일산)_251014_171821.xlsx</t>
  </si>
  <si>
    <t>프로오토미션(광주)_251014_171925.xlsx</t>
  </si>
  <si>
    <t>부산비엔비(부산)_251014_172004.xlsx</t>
  </si>
  <si>
    <t>대구오토(대구)_251014_172034.xlsx</t>
  </si>
  <si>
    <t>제품 교환</t>
  </si>
  <si>
    <t>메이븐오토미션(서울중랑구)_251014_172140.xlsx</t>
  </si>
  <si>
    <t>0AU409053T</t>
  </si>
  <si>
    <t>CC_TC</t>
  </si>
  <si>
    <t>미르오토(대구)_251015_180139.xlsx</t>
  </si>
  <si>
    <t>하이웨이(구미)_251015_180236.xlsx</t>
  </si>
  <si>
    <t>TFK-2834</t>
    <phoneticPr fontId="2" type="noConversion"/>
  </si>
  <si>
    <t>대명오토(서울서초)_251015_180425.xlsx</t>
  </si>
  <si>
    <t>그린오토매틱(제주)_251015_180601.xlsx</t>
  </si>
  <si>
    <t>경원자동변속기(창원)</t>
  </si>
  <si>
    <t>010-8001-4306</t>
  </si>
  <si>
    <t>경남 창원시 마산합포구 두월동 1-1</t>
  </si>
  <si>
    <t>마산해운</t>
  </si>
  <si>
    <t>경원자동변속기(창원)_251015_180814.xlsx</t>
  </si>
  <si>
    <t>경남오토미션(창원)_251015_180846.xlsx</t>
  </si>
  <si>
    <t>전주오토(전주)_251015_180917.xlsx</t>
  </si>
  <si>
    <t>웨스트모터스(대구)_251015_180943.xlsx</t>
  </si>
  <si>
    <t>0B5_Clutch</t>
  </si>
  <si>
    <t>제일오토(대구)_251015_181106.xlsx</t>
  </si>
  <si>
    <t>o</t>
    <phoneticPr fontId="2" type="noConversion"/>
  </si>
  <si>
    <t>유청</t>
  </si>
  <si>
    <t>이동혁</t>
  </si>
  <si>
    <t>경원오토미션</t>
  </si>
  <si>
    <t>점프모터스(울산)</t>
  </si>
  <si>
    <t>010-8525-8573</t>
  </si>
  <si>
    <t>울산 북구 진장로 95</t>
  </si>
  <si>
    <t>울산북구진장284</t>
  </si>
  <si>
    <t>제주사라봉7992</t>
    <phoneticPr fontId="2" type="noConversion"/>
  </si>
  <si>
    <t>울산남구삼산196</t>
    <phoneticPr fontId="2" type="noConversion"/>
  </si>
  <si>
    <t>SJ모터스(부산)_251016_161624.xlsx</t>
  </si>
  <si>
    <t>진영오토(남양주)_251016_161652.xlsx</t>
  </si>
  <si>
    <t>오토티엠(광명)_251016_161739.xlsx</t>
  </si>
  <si>
    <t>스카이오토미션(천안)_251016_161905.xlsx</t>
  </si>
  <si>
    <t>점프모터스(울산)_251016_161957.xlsx</t>
  </si>
  <si>
    <t>한일오토(구리)_251016_162118.xlsx</t>
  </si>
  <si>
    <t>8HP50X_Valvebody</t>
  </si>
  <si>
    <t>경남오토미션(창원)_251016_175037.xlsx</t>
  </si>
  <si>
    <t>오토티엠광명</t>
  </si>
  <si>
    <t>이주연</t>
  </si>
  <si>
    <t>점프모터스</t>
  </si>
  <si>
    <t>N55 DME Clone</t>
  </si>
  <si>
    <t>이시아오토(대구)_251017_182128.xlsx</t>
  </si>
  <si>
    <t>0B5_Repair_Kit(RE)</t>
  </si>
  <si>
    <t>엠모터스(구미)_251017_182442.xlsx</t>
  </si>
  <si>
    <t>김대섭</t>
  </si>
  <si>
    <t>2025-10-18</t>
  </si>
  <si>
    <t>경남오토미션(창원)_251018_111427.xlsx</t>
  </si>
  <si>
    <t>농협 3520106511413</t>
    <phoneticPr fontId="2" type="noConversion"/>
  </si>
  <si>
    <t>WDDZF0EB5KA691416</t>
  </si>
  <si>
    <t>SJ모터스(부산)_251018_111502.xlsx</t>
  </si>
  <si>
    <t>SJ모터스(부산)_251018_111502.xlsx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</si>
</sst>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76" formatCode="_(* #,##0_);_(* \(#,##0\);_(* &quot;-&quot;_);_(@_)"/>
    <numFmt numFmtId="177" formatCode="&quot;₩&quot;#,##0_);[Red]\(&quot;₩&quot;#,##0\)"/>
    <numFmt numFmtId="178" formatCode="_(&quot;₩&quot;* #,##0_);_(&quot;₩&quot;* \(#,##0\);_(&quot;₩&quot;* &quot;-&quot;_);_(@_)"/>
    <numFmt numFmtId="179" formatCode="_-#,##0_-;_-@_-"/>
    <numFmt numFmtId="180" formatCode="_-@"/>
    <numFmt numFmtId="181" formatCode="#,##0;\-#,##0;\-;@"/>
    <numFmt numFmtId="182" formatCode="#"/>
    <numFmt numFmtId="183" formatCode="&quot;₩&quot;\ #,##0"/>
    <numFmt numFmtId="184" formatCode="0&quot;월&quot;"/>
    <numFmt numFmtId="185" formatCode="#,###"/>
    <numFmt numFmtId="186" formatCode="dd&quot;일&quot;"/>
  </numFmts>
  <fonts count="31" x14ac:knownFonts="1">
    <font>
      <sz val="11"/>
      <color theme="1"/>
      <name val="맑은 고딕"/>
      <family val="2"/>
      <charset val="129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</font>
    <font>
      <b/>
      <sz val="11"/>
      <color theme="1"/>
      <name val="맑은 고딕"/>
      <family val="3"/>
      <charset val="129"/>
    </font>
    <font>
      <b/>
      <sz val="9"/>
      <color theme="0"/>
      <name val="맑은 고딕"/>
      <family val="3"/>
      <charset val="129"/>
    </font>
    <font>
      <sz val="9"/>
      <color theme="1"/>
      <name val="맑은 고딕"/>
      <family val="3"/>
      <charset val="129"/>
    </font>
    <font>
      <b/>
      <sz val="9"/>
      <color theme="1"/>
      <name val="맑은 고딕"/>
      <family val="3"/>
      <charset val="129"/>
    </font>
    <font>
      <sz val="9"/>
      <color rgb="FF808080"/>
      <name val="맑은 고딕"/>
      <family val="3"/>
      <charset val="129"/>
    </font>
    <font>
      <sz val="9"/>
      <color rgb="FF000000"/>
      <name val="맑은 고딕"/>
      <family val="3"/>
      <charset val="129"/>
    </font>
    <font>
      <sz val="9"/>
      <name val="맑은 고딕"/>
      <family val="3"/>
      <charset val="129"/>
    </font>
    <font>
      <sz val="9"/>
      <color theme="0"/>
      <name val="맑은 고딕"/>
      <family val="3"/>
      <charset val="129"/>
    </font>
    <font>
      <sz val="11"/>
      <color theme="1"/>
      <name val="맑은 고딕"/>
      <family val="2"/>
      <charset val="129"/>
    </font>
    <font>
      <sz val="10"/>
      <color theme="1"/>
      <name val="맑은 고딕"/>
      <family val="3"/>
      <charset val="129"/>
    </font>
    <font>
      <b/>
      <u/>
      <sz val="18"/>
      <color theme="1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b/>
      <sz val="10.3"/>
      <color rgb="FF666666"/>
      <name val="Arial"/>
      <family val="2"/>
    </font>
    <font>
      <b/>
      <sz val="10"/>
      <color theme="0"/>
      <name val="맑은 고딕"/>
      <family val="3"/>
      <charset val="129"/>
    </font>
    <font>
      <sz val="10"/>
      <color rgb="FF000000"/>
      <name val="맑은 고딕"/>
      <family val="3"/>
      <charset val="129"/>
    </font>
    <font>
      <u/>
      <sz val="11"/>
      <color theme="10"/>
      <name val="맑은 고딕"/>
      <family val="2"/>
      <charset val="129"/>
    </font>
    <font>
      <sz val="11"/>
      <color theme="0"/>
      <name val="맑은 고딕"/>
      <family val="2"/>
      <charset val="129"/>
    </font>
    <font>
      <b/>
      <sz val="11"/>
      <color theme="0"/>
      <name val="맑은 고딕"/>
      <family val="3"/>
      <charset val="129"/>
    </font>
    <font>
      <u/>
      <sz val="11"/>
      <color theme="0"/>
      <name val="맑은 고딕"/>
      <family val="2"/>
      <charset val="129"/>
    </font>
    <font>
      <b/>
      <u/>
      <sz val="10"/>
      <color theme="1"/>
      <name val="맑은 고딕"/>
      <family val="3"/>
      <charset val="129"/>
    </font>
    <font>
      <b/>
      <sz val="48"/>
      <name val="맑은 고딕"/>
      <family val="3"/>
      <charset val="129"/>
    </font>
    <font>
      <sz val="11"/>
      <color rgb="FF808080"/>
      <name val="맑은 고딕"/>
      <family val="2"/>
      <charset val="129"/>
    </font>
    <font>
      <b/>
      <sz val="16"/>
      <color theme="1"/>
      <name val="맑은 고딕"/>
      <family val="3"/>
      <charset val="129"/>
    </font>
    <font>
      <b/>
      <sz val="16"/>
      <color rgb="FFFF0000"/>
      <name val="맑은 고딕"/>
      <family val="3"/>
      <charset val="129"/>
    </font>
    <font>
      <b/>
      <sz val="10"/>
      <name val="맑은 고딕"/>
      <family val="3"/>
      <charset val="129"/>
    </font>
    <font>
      <sz val="8"/>
      <name val="돋움"/>
      <family val="3"/>
      <charset val="129"/>
    </font>
    <font>
      <sz val="10"/>
      <name val="굴림"/>
      <family val="3"/>
      <charset val="129"/>
    </font>
    <font>
      <b/>
      <sz val="11"/>
      <name val="돋움"/>
      <family val="3"/>
      <charset val="129"/>
    </font>
  </fonts>
  <fills count="1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DCDDDD"/>
        <bgColor indexed="64"/>
      </patternFill>
    </fill>
    <fill>
      <patternFill patternType="solid">
        <fgColor rgb="FFF0F0F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00"/>
        <bgColor indexed="64"/>
      </patternFill>
    </fill>
  </fills>
  <borders count="123">
    <border>
      <left/>
      <right/>
      <top/>
      <bottom/>
      <diagonal/>
    </border>
    <border>
      <left/>
      <right/>
      <top/>
      <bottom style="medium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auto="1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theme="0"/>
      </bottom>
      <diagonal/>
    </border>
    <border>
      <left/>
      <right/>
      <top style="medium">
        <color indexed="64"/>
      </top>
      <bottom style="medium">
        <color theme="0"/>
      </bottom>
      <diagonal/>
    </border>
    <border>
      <left style="medium">
        <color indexed="64"/>
      </left>
      <right/>
      <top style="medium">
        <color theme="0"/>
      </top>
      <bottom style="thin">
        <color indexed="64"/>
      </bottom>
      <diagonal/>
    </border>
    <border>
      <left/>
      <right/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theme="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medium">
        <color rgb="FFE6E6E6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medium">
        <color rgb="FFE6E6E6"/>
      </bottom>
      <diagonal/>
    </border>
    <border>
      <left style="thin">
        <color theme="0"/>
      </left>
      <right/>
      <top style="medium">
        <color theme="0"/>
      </top>
      <bottom style="thin">
        <color indexed="64"/>
      </bottom>
      <diagonal/>
    </border>
    <border>
      <left/>
      <right style="thin">
        <color theme="0"/>
      </right>
      <top style="medium">
        <color theme="0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auto="1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thin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auto="1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auto="1"/>
      </right>
      <top style="medium">
        <color auto="1"/>
      </top>
      <bottom style="medium">
        <color theme="0"/>
      </bottom>
      <diagonal/>
    </border>
    <border>
      <left style="hair">
        <color theme="0" tint="-0.34998626667073579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 style="hair">
        <color theme="0" tint="-0.34998626667073579"/>
      </top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medium">
        <color theme="0" tint="-0.499984740745262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/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/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auto="1"/>
      </left>
      <right/>
      <top/>
      <bottom/>
      <diagonal/>
    </border>
    <border>
      <left/>
      <right style="hair">
        <color auto="1"/>
      </right>
      <top/>
      <bottom/>
      <diagonal/>
    </border>
    <border>
      <left style="hair">
        <color auto="1"/>
      </left>
      <right/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hair">
        <color auto="1"/>
      </right>
      <top style="double">
        <color indexed="64"/>
      </top>
      <bottom/>
      <diagonal/>
    </border>
    <border>
      <left style="hair">
        <color auto="1"/>
      </left>
      <right/>
      <top style="double">
        <color indexed="64"/>
      </top>
      <bottom/>
      <diagonal/>
    </border>
    <border>
      <left/>
      <right style="medium">
        <color indexed="64"/>
      </right>
      <top style="double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double">
        <color indexed="64"/>
      </bottom>
      <diagonal/>
    </border>
    <border>
      <left/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</borders>
  <cellStyleXfs count="4">
    <xf numFmtId="0" fontId="0" fillId="0" borderId="0">
      <alignment vertical="center"/>
    </xf>
    <xf numFmtId="176" fontId="11" fillId="0" borderId="0" applyFon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" fillId="0" borderId="0">
      <alignment vertical="center"/>
    </xf>
  </cellStyleXfs>
  <cellXfs count="528">
    <xf numFmtId="0" fontId="0" fillId="0" borderId="0" xfId="0">
      <alignment vertical="center"/>
    </xf>
    <xf numFmtId="0" fontId="5" fillId="0" borderId="0" xfId="0" applyFont="1">
      <alignment vertical="center"/>
    </xf>
    <xf numFmtId="0" fontId="5" fillId="0" borderId="0" xfId="0" applyFont="1" applyAlignment="1">
      <alignment horizontal="center" vertical="center"/>
    </xf>
    <xf numFmtId="0" fontId="5" fillId="0" borderId="0" xfId="0" applyFont="1" applyAlignment="1">
      <alignment horizontal="left" vertical="center" indent="1"/>
    </xf>
    <xf numFmtId="0" fontId="5" fillId="0" borderId="0" xfId="0" applyFont="1" applyAlignment="1">
      <alignment horizontal="left" vertical="center"/>
    </xf>
    <xf numFmtId="0" fontId="4" fillId="3" borderId="2" xfId="0" applyFont="1" applyFill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3" fillId="0" borderId="1" xfId="0" applyFont="1" applyBorder="1">
      <alignment vertical="center"/>
    </xf>
    <xf numFmtId="0" fontId="3" fillId="2" borderId="0" xfId="0" applyFont="1" applyFill="1">
      <alignment vertical="center"/>
    </xf>
    <xf numFmtId="0" fontId="6" fillId="0" borderId="0" xfId="0" applyFont="1">
      <alignment vertical="center"/>
    </xf>
    <xf numFmtId="0" fontId="6" fillId="0" borderId="0" xfId="0" applyFont="1" applyAlignment="1">
      <alignment horizontal="left" vertical="center"/>
    </xf>
    <xf numFmtId="0" fontId="6" fillId="0" borderId="0" xfId="0" applyFont="1" applyAlignment="1">
      <alignment horizontal="left" vertical="center" indent="1"/>
    </xf>
    <xf numFmtId="0" fontId="8" fillId="5" borderId="0" xfId="0" applyFont="1" applyFill="1">
      <alignment vertical="center"/>
    </xf>
    <xf numFmtId="14" fontId="0" fillId="0" borderId="0" xfId="0" applyNumberFormat="1">
      <alignment vertical="center"/>
    </xf>
    <xf numFmtId="0" fontId="9" fillId="5" borderId="0" xfId="0" applyFont="1" applyFill="1">
      <alignment vertical="center"/>
    </xf>
    <xf numFmtId="0" fontId="9" fillId="5" borderId="0" xfId="0" applyFont="1" applyFill="1" applyAlignment="1">
      <alignment horizontal="center" vertical="center"/>
    </xf>
    <xf numFmtId="0" fontId="5" fillId="0" borderId="0" xfId="0" applyFont="1" applyAlignment="1">
      <alignment horizontal="center" vertical="center" shrinkToFit="1"/>
    </xf>
    <xf numFmtId="0" fontId="5" fillId="0" borderId="2" xfId="0" applyFont="1" applyBorder="1" applyAlignment="1">
      <alignment horizontal="center" vertical="center" shrinkToFit="1"/>
    </xf>
    <xf numFmtId="14" fontId="5" fillId="0" borderId="2" xfId="0" applyNumberFormat="1" applyFont="1" applyBorder="1" applyAlignment="1">
      <alignment horizontal="center" vertical="center" shrinkToFit="1"/>
    </xf>
    <xf numFmtId="0" fontId="5" fillId="0" borderId="2" xfId="0" applyFont="1" applyBorder="1" applyAlignment="1">
      <alignment vertical="center" shrinkToFit="1"/>
    </xf>
    <xf numFmtId="3" fontId="5" fillId="0" borderId="0" xfId="0" applyNumberFormat="1" applyFont="1" applyAlignment="1">
      <alignment horizontal="center" vertical="center" shrinkToFit="1"/>
    </xf>
    <xf numFmtId="3" fontId="4" fillId="3" borderId="2" xfId="0" applyNumberFormat="1" applyFont="1" applyFill="1" applyBorder="1" applyAlignment="1">
      <alignment horizontal="center" vertical="center"/>
    </xf>
    <xf numFmtId="3" fontId="5" fillId="0" borderId="2" xfId="0" applyNumberFormat="1" applyFont="1" applyBorder="1" applyAlignment="1">
      <alignment horizontal="center" vertical="center" shrinkToFit="1"/>
    </xf>
    <xf numFmtId="181" fontId="5" fillId="0" borderId="0" xfId="0" applyNumberFormat="1" applyFont="1" applyAlignment="1">
      <alignment horizontal="center" vertical="center" shrinkToFit="1"/>
    </xf>
    <xf numFmtId="181" fontId="4" fillId="3" borderId="2" xfId="0" applyNumberFormat="1" applyFont="1" applyFill="1" applyBorder="1" applyAlignment="1">
      <alignment horizontal="center" vertical="center"/>
    </xf>
    <xf numFmtId="181" fontId="5" fillId="0" borderId="2" xfId="0" applyNumberFormat="1" applyFont="1" applyBorder="1" applyAlignment="1">
      <alignment vertical="center" shrinkToFit="1"/>
    </xf>
    <xf numFmtId="0" fontId="10" fillId="6" borderId="0" xfId="0" applyFont="1" applyFill="1">
      <alignment vertical="center"/>
    </xf>
    <xf numFmtId="0" fontId="5" fillId="0" borderId="5" xfId="0" applyFont="1" applyBorder="1" applyAlignment="1">
      <alignment horizontal="left" vertical="center"/>
    </xf>
    <xf numFmtId="0" fontId="5" fillId="0" borderId="5" xfId="0" applyFont="1" applyBorder="1" applyAlignment="1">
      <alignment horizontal="left" vertical="center" indent="1"/>
    </xf>
    <xf numFmtId="0" fontId="4" fillId="3" borderId="0" xfId="0" applyFont="1" applyFill="1" applyAlignment="1">
      <alignment horizontal="left" vertical="center"/>
    </xf>
    <xf numFmtId="0" fontId="4" fillId="3" borderId="0" xfId="0" applyFont="1" applyFill="1" applyAlignment="1">
      <alignment horizontal="left" vertical="center" indent="1"/>
    </xf>
    <xf numFmtId="0" fontId="3" fillId="0" borderId="1" xfId="0" applyFont="1" applyBorder="1" applyAlignment="1">
      <alignment horizontal="center" vertical="center"/>
    </xf>
    <xf numFmtId="179" fontId="6" fillId="0" borderId="2" xfId="0" applyNumberFormat="1" applyFont="1" applyBorder="1" applyAlignment="1">
      <alignment horizontal="left" vertical="center"/>
    </xf>
    <xf numFmtId="0" fontId="6" fillId="6" borderId="2" xfId="0" applyFont="1" applyFill="1" applyBorder="1" applyAlignment="1">
      <alignment horizontal="center" vertical="center"/>
    </xf>
    <xf numFmtId="0" fontId="6" fillId="4" borderId="2" xfId="0" applyFont="1" applyFill="1" applyBorder="1" applyAlignment="1">
      <alignment horizontal="center" vertical="center"/>
    </xf>
    <xf numFmtId="176" fontId="6" fillId="4" borderId="2" xfId="1" applyFont="1" applyFill="1" applyBorder="1" applyAlignment="1">
      <alignment horizontal="center" vertical="center"/>
    </xf>
    <xf numFmtId="3" fontId="6" fillId="6" borderId="2" xfId="0" applyNumberFormat="1" applyFont="1" applyFill="1" applyBorder="1" applyAlignment="1">
      <alignment horizontal="center" vertical="center"/>
    </xf>
    <xf numFmtId="0" fontId="14" fillId="7" borderId="5" xfId="0" applyFont="1" applyFill="1" applyBorder="1" applyAlignment="1">
      <alignment horizontal="center" vertical="center" wrapText="1"/>
    </xf>
    <xf numFmtId="0" fontId="14" fillId="7" borderId="5" xfId="0" applyFont="1" applyFill="1" applyBorder="1" applyAlignment="1">
      <alignment horizontal="center" vertical="center"/>
    </xf>
    <xf numFmtId="0" fontId="15" fillId="0" borderId="32" xfId="0" applyFont="1" applyBorder="1" applyAlignment="1">
      <alignment horizontal="center" vertical="center" wrapText="1"/>
    </xf>
    <xf numFmtId="0" fontId="15" fillId="0" borderId="33" xfId="0" applyFont="1" applyBorder="1" applyAlignment="1">
      <alignment horizontal="center" vertical="center" wrapText="1"/>
    </xf>
    <xf numFmtId="0" fontId="15" fillId="8" borderId="32" xfId="0" applyFont="1" applyFill="1" applyBorder="1" applyAlignment="1">
      <alignment horizontal="center" vertical="center" wrapText="1"/>
    </xf>
    <xf numFmtId="0" fontId="15" fillId="9" borderId="32" xfId="0" applyFont="1" applyFill="1" applyBorder="1" applyAlignment="1">
      <alignment horizontal="center" vertical="center" wrapText="1"/>
    </xf>
    <xf numFmtId="0" fontId="15" fillId="9" borderId="33" xfId="0" applyFont="1" applyFill="1" applyBorder="1" applyAlignment="1">
      <alignment horizontal="center" vertical="center" wrapText="1"/>
    </xf>
    <xf numFmtId="0" fontId="15" fillId="8" borderId="34" xfId="0" applyFont="1" applyFill="1" applyBorder="1" applyAlignment="1">
      <alignment horizontal="center" vertical="center" wrapText="1"/>
    </xf>
    <xf numFmtId="0" fontId="15" fillId="0" borderId="34" xfId="0" applyFont="1" applyBorder="1" applyAlignment="1">
      <alignment horizontal="center" vertical="center" wrapText="1"/>
    </xf>
    <xf numFmtId="0" fontId="15" fillId="0" borderId="35" xfId="0" applyFont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22" fontId="0" fillId="0" borderId="0" xfId="0" applyNumberFormat="1">
      <alignment vertical="center"/>
    </xf>
    <xf numFmtId="1" fontId="0" fillId="0" borderId="0" xfId="0" applyNumberFormat="1">
      <alignment vertical="center"/>
    </xf>
    <xf numFmtId="1" fontId="3" fillId="0" borderId="1" xfId="0" applyNumberFormat="1" applyFont="1" applyBorder="1" applyAlignment="1">
      <alignment horizontal="center" vertical="center"/>
    </xf>
    <xf numFmtId="176" fontId="3" fillId="0" borderId="1" xfId="1" applyFont="1" applyBorder="1" applyAlignment="1">
      <alignment horizontal="center" vertical="center"/>
    </xf>
    <xf numFmtId="176" fontId="0" fillId="0" borderId="0" xfId="1" applyFont="1">
      <alignment vertical="center"/>
    </xf>
    <xf numFmtId="1" fontId="5" fillId="0" borderId="2" xfId="0" applyNumberFormat="1" applyFont="1" applyBorder="1" applyAlignment="1">
      <alignment horizontal="center" vertical="center" shrinkToFit="1"/>
    </xf>
    <xf numFmtId="0" fontId="0" fillId="0" borderId="38" xfId="0" applyBorder="1">
      <alignment vertical="center"/>
    </xf>
    <xf numFmtId="1" fontId="6" fillId="4" borderId="2" xfId="0" applyNumberFormat="1" applyFont="1" applyFill="1" applyBorder="1" applyAlignment="1">
      <alignment horizontal="center" vertical="center"/>
    </xf>
    <xf numFmtId="1" fontId="5" fillId="0" borderId="0" xfId="0" applyNumberFormat="1" applyFont="1" applyAlignment="1">
      <alignment horizontal="center" vertical="center" shrinkToFit="1"/>
    </xf>
    <xf numFmtId="1" fontId="4" fillId="3" borderId="2" xfId="0" applyNumberFormat="1" applyFont="1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3" fillId="0" borderId="0" xfId="0" applyFont="1">
      <alignment vertical="center"/>
    </xf>
    <xf numFmtId="0" fontId="3" fillId="10" borderId="1" xfId="0" applyFont="1" applyFill="1" applyBorder="1" applyAlignment="1">
      <alignment horizontal="center" vertical="center"/>
    </xf>
    <xf numFmtId="14" fontId="5" fillId="0" borderId="2" xfId="0" applyNumberFormat="1" applyFont="1" applyBorder="1" applyAlignment="1">
      <alignment vertical="center" shrinkToFit="1"/>
    </xf>
    <xf numFmtId="1" fontId="5" fillId="0" borderId="2" xfId="0" applyNumberFormat="1" applyFont="1" applyBorder="1" applyAlignment="1">
      <alignment vertical="center" shrinkToFit="1"/>
    </xf>
    <xf numFmtId="3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 shrinkToFit="1"/>
    </xf>
    <xf numFmtId="181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/>
    </xf>
    <xf numFmtId="0" fontId="12" fillId="0" borderId="38" xfId="0" applyFont="1" applyBorder="1">
      <alignment vertical="center"/>
    </xf>
    <xf numFmtId="0" fontId="17" fillId="5" borderId="38" xfId="0" applyFont="1" applyFill="1" applyBorder="1">
      <alignment vertical="center"/>
    </xf>
    <xf numFmtId="0" fontId="12" fillId="0" borderId="62" xfId="0" applyFont="1" applyBorder="1">
      <alignment vertical="center"/>
    </xf>
    <xf numFmtId="3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 shrinkToFit="1"/>
    </xf>
    <xf numFmtId="181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/>
    </xf>
    <xf numFmtId="0" fontId="12" fillId="0" borderId="63" xfId="0" applyFont="1" applyBorder="1">
      <alignment vertical="center"/>
    </xf>
    <xf numFmtId="3" fontId="16" fillId="3" borderId="64" xfId="0" applyNumberFormat="1" applyFont="1" applyFill="1" applyBorder="1" applyAlignment="1">
      <alignment horizontal="center" vertical="center"/>
    </xf>
    <xf numFmtId="14" fontId="16" fillId="3" borderId="65" xfId="0" applyNumberFormat="1" applyFont="1" applyFill="1" applyBorder="1" applyAlignment="1">
      <alignment horizontal="center" vertical="center"/>
    </xf>
    <xf numFmtId="181" fontId="16" fillId="3" borderId="65" xfId="0" applyNumberFormat="1" applyFont="1" applyFill="1" applyBorder="1" applyAlignment="1">
      <alignment horizontal="center" vertical="center"/>
    </xf>
    <xf numFmtId="0" fontId="12" fillId="0" borderId="67" xfId="0" applyFont="1" applyBorder="1">
      <alignment vertical="center"/>
    </xf>
    <xf numFmtId="176" fontId="12" fillId="0" borderId="67" xfId="1" applyFont="1" applyBorder="1">
      <alignment vertical="center"/>
    </xf>
    <xf numFmtId="37" fontId="12" fillId="0" borderId="67" xfId="0" applyNumberFormat="1" applyFont="1" applyBorder="1">
      <alignment vertical="center"/>
    </xf>
    <xf numFmtId="176" fontId="12" fillId="0" borderId="67" xfId="0" applyNumberFormat="1" applyFont="1" applyBorder="1">
      <alignment vertical="center"/>
    </xf>
    <xf numFmtId="3" fontId="12" fillId="0" borderId="66" xfId="0" applyNumberFormat="1" applyFont="1" applyBorder="1" applyAlignment="1">
      <alignment horizontal="center" vertical="center" shrinkToFit="1"/>
    </xf>
    <xf numFmtId="0" fontId="12" fillId="0" borderId="67" xfId="0" applyFont="1" applyBorder="1" applyAlignment="1">
      <alignment horizontal="center" vertical="center" shrinkToFit="1"/>
    </xf>
    <xf numFmtId="181" fontId="12" fillId="0" borderId="67" xfId="0" applyNumberFormat="1" applyFont="1" applyBorder="1" applyAlignment="1">
      <alignment vertical="center" shrinkToFit="1"/>
    </xf>
    <xf numFmtId="0" fontId="12" fillId="0" borderId="67" xfId="0" applyFont="1" applyBorder="1" applyAlignment="1">
      <alignment horizontal="center" vertical="center"/>
    </xf>
    <xf numFmtId="3" fontId="12" fillId="0" borderId="39" xfId="0" applyNumberFormat="1" applyFont="1" applyBorder="1" applyAlignment="1">
      <alignment horizontal="center" vertical="center" shrinkToFit="1"/>
    </xf>
    <xf numFmtId="0" fontId="12" fillId="0" borderId="39" xfId="0" applyFont="1" applyBorder="1" applyAlignment="1">
      <alignment horizontal="center" vertical="center" shrinkToFit="1"/>
    </xf>
    <xf numFmtId="181" fontId="12" fillId="0" borderId="39" xfId="0" applyNumberFormat="1" applyFont="1" applyBorder="1" applyAlignment="1">
      <alignment horizontal="center" vertical="center" shrinkToFit="1"/>
    </xf>
    <xf numFmtId="0" fontId="12" fillId="0" borderId="66" xfId="0" applyFont="1" applyBorder="1" applyAlignment="1">
      <alignment horizontal="center" vertical="center"/>
    </xf>
    <xf numFmtId="14" fontId="12" fillId="0" borderId="38" xfId="0" applyNumberFormat="1" applyFont="1" applyBorder="1" applyAlignment="1">
      <alignment horizontal="center" vertical="center" shrinkToFit="1"/>
    </xf>
    <xf numFmtId="14" fontId="12" fillId="0" borderId="63" xfId="0" applyNumberFormat="1" applyFont="1" applyBorder="1" applyAlignment="1">
      <alignment horizontal="center" vertical="center" shrinkToFit="1"/>
    </xf>
    <xf numFmtId="14" fontId="12" fillId="0" borderId="39" xfId="0" applyNumberFormat="1" applyFont="1" applyBorder="1" applyAlignment="1">
      <alignment horizontal="center" vertical="center" shrinkToFit="1"/>
    </xf>
    <xf numFmtId="14" fontId="12" fillId="0" borderId="67" xfId="0" applyNumberFormat="1" applyFont="1" applyBorder="1" applyAlignment="1">
      <alignment horizontal="center" vertical="center" shrinkToFit="1"/>
    </xf>
    <xf numFmtId="14" fontId="12" fillId="0" borderId="67" xfId="0" applyNumberFormat="1" applyFont="1" applyBorder="1" applyAlignment="1">
      <alignment horizontal="center" vertical="center"/>
    </xf>
    <xf numFmtId="0" fontId="0" fillId="10" borderId="68" xfId="0" applyFill="1" applyBorder="1">
      <alignment vertical="center"/>
    </xf>
    <xf numFmtId="0" fontId="19" fillId="0" borderId="0" xfId="0" applyFont="1">
      <alignment vertical="center"/>
    </xf>
    <xf numFmtId="0" fontId="20" fillId="0" borderId="0" xfId="0" applyFont="1">
      <alignment vertical="center"/>
    </xf>
    <xf numFmtId="0" fontId="13" fillId="0" borderId="70" xfId="0" applyFont="1" applyBorder="1">
      <alignment vertical="center"/>
    </xf>
    <xf numFmtId="14" fontId="0" fillId="0" borderId="72" xfId="0" applyNumberFormat="1" applyBorder="1">
      <alignment vertical="center"/>
    </xf>
    <xf numFmtId="0" fontId="0" fillId="0" borderId="72" xfId="0" applyBorder="1">
      <alignment vertical="center"/>
    </xf>
    <xf numFmtId="14" fontId="0" fillId="0" borderId="73" xfId="0" applyNumberFormat="1" applyBorder="1">
      <alignment vertical="center"/>
    </xf>
    <xf numFmtId="0" fontId="0" fillId="0" borderId="74" xfId="0" applyBorder="1">
      <alignment vertical="center"/>
    </xf>
    <xf numFmtId="0" fontId="0" fillId="0" borderId="75" xfId="0" applyBorder="1">
      <alignment vertical="center"/>
    </xf>
    <xf numFmtId="0" fontId="0" fillId="0" borderId="76" xfId="0" applyBorder="1">
      <alignment vertical="center"/>
    </xf>
    <xf numFmtId="0" fontId="0" fillId="0" borderId="77" xfId="0" applyBorder="1">
      <alignment vertical="center"/>
    </xf>
    <xf numFmtId="0" fontId="3" fillId="10" borderId="78" xfId="0" applyFont="1" applyFill="1" applyBorder="1" applyAlignment="1">
      <alignment horizontal="center" vertical="center"/>
    </xf>
    <xf numFmtId="0" fontId="3" fillId="10" borderId="79" xfId="0" applyFont="1" applyFill="1" applyBorder="1" applyAlignment="1">
      <alignment horizontal="center" vertical="center"/>
    </xf>
    <xf numFmtId="0" fontId="3" fillId="10" borderId="80" xfId="0" applyFont="1" applyFill="1" applyBorder="1" applyAlignment="1">
      <alignment horizontal="center" vertical="center"/>
    </xf>
    <xf numFmtId="0" fontId="0" fillId="0" borderId="72" xfId="0" applyBorder="1" applyAlignment="1">
      <alignment vertical="center" wrapText="1"/>
    </xf>
    <xf numFmtId="0" fontId="0" fillId="0" borderId="73" xfId="0" applyBorder="1" applyAlignment="1">
      <alignment vertical="center" wrapText="1"/>
    </xf>
    <xf numFmtId="0" fontId="3" fillId="10" borderId="81" xfId="0" applyFont="1" applyFill="1" applyBorder="1" applyAlignment="1">
      <alignment horizontal="center" vertical="center"/>
    </xf>
    <xf numFmtId="0" fontId="12" fillId="0" borderId="67" xfId="0" applyFont="1" applyBorder="1" applyAlignment="1">
      <alignment horizontal="left" vertical="center"/>
    </xf>
    <xf numFmtId="0" fontId="12" fillId="0" borderId="67" xfId="0" applyFont="1" applyBorder="1" applyAlignment="1">
      <alignment horizontal="left" vertical="center" shrinkToFit="1"/>
    </xf>
    <xf numFmtId="0" fontId="12" fillId="0" borderId="38" xfId="0" applyFont="1" applyBorder="1" applyAlignment="1">
      <alignment horizontal="left" vertical="center" shrinkToFit="1"/>
    </xf>
    <xf numFmtId="0" fontId="12" fillId="0" borderId="63" xfId="0" applyFont="1" applyBorder="1" applyAlignment="1">
      <alignment horizontal="left" vertical="center" shrinkToFit="1"/>
    </xf>
    <xf numFmtId="181" fontId="12" fillId="0" borderId="39" xfId="0" applyNumberFormat="1" applyFont="1" applyBorder="1" applyAlignment="1">
      <alignment horizontal="left" vertical="center" shrinkToFit="1"/>
    </xf>
    <xf numFmtId="0" fontId="0" fillId="6" borderId="0" xfId="0" applyFill="1" applyAlignment="1">
      <alignment horizontal="center" vertical="center"/>
    </xf>
    <xf numFmtId="0" fontId="0" fillId="6" borderId="0" xfId="0" applyFill="1">
      <alignment vertical="center"/>
    </xf>
    <xf numFmtId="37" fontId="16" fillId="3" borderId="65" xfId="0" applyNumberFormat="1" applyFont="1" applyFill="1" applyBorder="1" applyAlignment="1">
      <alignment horizontal="center" vertical="center"/>
    </xf>
    <xf numFmtId="37" fontId="12" fillId="0" borderId="67" xfId="0" applyNumberFormat="1" applyFont="1" applyBorder="1" applyAlignment="1">
      <alignment vertical="center" shrinkToFit="1"/>
    </xf>
    <xf numFmtId="37" fontId="12" fillId="0" borderId="38" xfId="0" applyNumberFormat="1" applyFont="1" applyBorder="1" applyAlignment="1">
      <alignment horizontal="center" vertical="center"/>
    </xf>
    <xf numFmtId="37" fontId="12" fillId="0" borderId="63" xfId="0" applyNumberFormat="1" applyFont="1" applyBorder="1" applyAlignment="1">
      <alignment horizontal="center" vertical="center"/>
    </xf>
    <xf numFmtId="37" fontId="12" fillId="0" borderId="39" xfId="0" applyNumberFormat="1" applyFont="1" applyBorder="1" applyAlignment="1">
      <alignment horizontal="center" vertical="center"/>
    </xf>
    <xf numFmtId="37" fontId="12" fillId="0" borderId="38" xfId="0" applyNumberFormat="1" applyFont="1" applyBorder="1" applyAlignment="1">
      <alignment horizontal="right" vertical="center"/>
    </xf>
    <xf numFmtId="37" fontId="12" fillId="0" borderId="63" xfId="0" applyNumberFormat="1" applyFont="1" applyBorder="1" applyAlignment="1">
      <alignment horizontal="right" vertical="center"/>
    </xf>
    <xf numFmtId="37" fontId="12" fillId="0" borderId="67" xfId="0" applyNumberFormat="1" applyFont="1" applyBorder="1" applyAlignment="1">
      <alignment horizontal="right" vertical="center"/>
    </xf>
    <xf numFmtId="37" fontId="12" fillId="0" borderId="39" xfId="0" applyNumberFormat="1" applyFont="1" applyBorder="1" applyAlignment="1">
      <alignment horizontal="right" vertical="center"/>
    </xf>
    <xf numFmtId="37" fontId="12" fillId="0" borderId="67" xfId="1" applyNumberFormat="1" applyFont="1" applyBorder="1" applyAlignment="1">
      <alignment horizontal="right" vertical="center"/>
    </xf>
    <xf numFmtId="0" fontId="4" fillId="0" borderId="38" xfId="0" applyFont="1" applyBorder="1">
      <alignment vertical="center"/>
    </xf>
    <xf numFmtId="0" fontId="6" fillId="0" borderId="38" xfId="0" applyFont="1" applyBorder="1" applyAlignment="1">
      <alignment horizontal="left" vertical="center"/>
    </xf>
    <xf numFmtId="0" fontId="6" fillId="0" borderId="38" xfId="0" applyFont="1" applyBorder="1" applyAlignment="1">
      <alignment horizontal="left" vertical="center" indent="1"/>
    </xf>
    <xf numFmtId="0" fontId="5" fillId="0" borderId="38" xfId="0" applyFont="1" applyBorder="1" applyAlignment="1">
      <alignment horizontal="center" vertical="center"/>
    </xf>
    <xf numFmtId="0" fontId="5" fillId="0" borderId="38" xfId="0" applyFont="1" applyBorder="1" applyAlignment="1">
      <alignment horizontal="center" vertical="center" shrinkToFit="1"/>
    </xf>
    <xf numFmtId="181" fontId="5" fillId="0" borderId="38" xfId="0" applyNumberFormat="1" applyFont="1" applyBorder="1" applyAlignment="1">
      <alignment horizontal="center" vertical="center" shrinkToFit="1"/>
    </xf>
    <xf numFmtId="0" fontId="5" fillId="0" borderId="38" xfId="0" applyFont="1" applyBorder="1">
      <alignment vertical="center"/>
    </xf>
    <xf numFmtId="0" fontId="10" fillId="0" borderId="38" xfId="0" applyFont="1" applyBorder="1">
      <alignment vertical="center"/>
    </xf>
    <xf numFmtId="0" fontId="5" fillId="0" borderId="38" xfId="0" applyFont="1" applyBorder="1" applyAlignment="1">
      <alignment horizontal="left" vertical="center"/>
    </xf>
    <xf numFmtId="0" fontId="5" fillId="0" borderId="38" xfId="0" applyFont="1" applyBorder="1" applyAlignment="1">
      <alignment horizontal="left" vertical="center" indent="1"/>
    </xf>
    <xf numFmtId="0" fontId="8" fillId="5" borderId="38" xfId="0" applyFont="1" applyFill="1" applyBorder="1">
      <alignment vertical="center"/>
    </xf>
    <xf numFmtId="14" fontId="5" fillId="0" borderId="82" xfId="0" applyNumberFormat="1" applyFont="1" applyBorder="1" applyAlignment="1">
      <alignment horizontal="center" vertical="center" shrinkToFit="1"/>
    </xf>
    <xf numFmtId="0" fontId="5" fillId="0" borderId="82" xfId="0" applyFont="1" applyBorder="1" applyAlignment="1">
      <alignment horizontal="center" vertical="center" shrinkToFit="1"/>
    </xf>
    <xf numFmtId="176" fontId="5" fillId="0" borderId="82" xfId="1" applyFont="1" applyBorder="1" applyAlignment="1">
      <alignment horizontal="center" vertical="center" shrinkToFit="1"/>
    </xf>
    <xf numFmtId="181" fontId="5" fillId="0" borderId="82" xfId="1" applyNumberFormat="1" applyFont="1" applyBorder="1" applyAlignment="1">
      <alignment horizontal="center" vertical="center" shrinkToFit="1"/>
    </xf>
    <xf numFmtId="181" fontId="5" fillId="0" borderId="82" xfId="1" applyNumberFormat="1" applyFont="1" applyBorder="1" applyAlignment="1">
      <alignment vertical="center" shrinkToFit="1"/>
    </xf>
    <xf numFmtId="14" fontId="5" fillId="0" borderId="82" xfId="0" applyNumberFormat="1" applyFont="1" applyBorder="1" applyAlignment="1">
      <alignment vertical="center" shrinkToFit="1"/>
    </xf>
    <xf numFmtId="1" fontId="5" fillId="0" borderId="82" xfId="0" applyNumberFormat="1" applyFont="1" applyBorder="1" applyAlignment="1">
      <alignment horizontal="center" vertical="center" shrinkToFit="1"/>
    </xf>
    <xf numFmtId="176" fontId="5" fillId="0" borderId="82" xfId="1" applyFont="1" applyBorder="1" applyAlignment="1">
      <alignment vertical="center" shrinkToFit="1"/>
    </xf>
    <xf numFmtId="0" fontId="4" fillId="0" borderId="83" xfId="0" applyFont="1" applyBorder="1" applyAlignment="1">
      <alignment horizontal="center" vertical="center"/>
    </xf>
    <xf numFmtId="0" fontId="10" fillId="0" borderId="83" xfId="0" applyFont="1" applyBorder="1" applyAlignment="1">
      <alignment horizontal="center" vertical="center" shrinkToFit="1"/>
    </xf>
    <xf numFmtId="0" fontId="10" fillId="0" borderId="83" xfId="0" applyFont="1" applyBorder="1">
      <alignment vertical="center"/>
    </xf>
    <xf numFmtId="0" fontId="5" fillId="0" borderId="62" xfId="0" applyFont="1" applyBorder="1">
      <alignment vertical="center"/>
    </xf>
    <xf numFmtId="0" fontId="8" fillId="5" borderId="63" xfId="0" applyFont="1" applyFill="1" applyBorder="1">
      <alignment vertical="center"/>
    </xf>
    <xf numFmtId="0" fontId="5" fillId="0" borderId="39" xfId="0" applyFont="1" applyBorder="1" applyAlignment="1">
      <alignment horizontal="left" vertical="center"/>
    </xf>
    <xf numFmtId="0" fontId="4" fillId="3" borderId="84" xfId="0" applyFont="1" applyFill="1" applyBorder="1" applyAlignment="1">
      <alignment horizontal="center" vertical="center"/>
    </xf>
    <xf numFmtId="0" fontId="4" fillId="3" borderId="85" xfId="0" applyFont="1" applyFill="1" applyBorder="1" applyAlignment="1">
      <alignment horizontal="center" vertical="center"/>
    </xf>
    <xf numFmtId="181" fontId="4" fillId="3" borderId="85" xfId="0" applyNumberFormat="1" applyFont="1" applyFill="1" applyBorder="1" applyAlignment="1">
      <alignment horizontal="center" vertical="center"/>
    </xf>
    <xf numFmtId="181" fontId="4" fillId="3" borderId="86" xfId="0" applyNumberFormat="1" applyFont="1" applyFill="1" applyBorder="1" applyAlignment="1">
      <alignment horizontal="center" vertical="center"/>
    </xf>
    <xf numFmtId="14" fontId="5" fillId="0" borderId="87" xfId="0" applyNumberFormat="1" applyFont="1" applyBorder="1" applyAlignment="1">
      <alignment horizontal="center" vertical="center" shrinkToFit="1"/>
    </xf>
    <xf numFmtId="181" fontId="5" fillId="0" borderId="88" xfId="1" applyNumberFormat="1" applyFont="1" applyBorder="1" applyAlignment="1">
      <alignment horizontal="center" vertical="center" shrinkToFit="1"/>
    </xf>
    <xf numFmtId="181" fontId="5" fillId="0" borderId="88" xfId="1" applyNumberFormat="1" applyFont="1" applyBorder="1" applyAlignment="1">
      <alignment vertical="center" shrinkToFit="1"/>
    </xf>
    <xf numFmtId="0" fontId="21" fillId="0" borderId="83" xfId="2" applyFont="1" applyBorder="1">
      <alignment vertical="center"/>
    </xf>
    <xf numFmtId="14" fontId="10" fillId="0" borderId="83" xfId="0" applyNumberFormat="1" applyFont="1" applyBorder="1">
      <alignment vertical="center"/>
    </xf>
    <xf numFmtId="0" fontId="5" fillId="0" borderId="83" xfId="0" applyFont="1" applyBorder="1">
      <alignment vertical="center"/>
    </xf>
    <xf numFmtId="0" fontId="5" fillId="0" borderId="63" xfId="0" applyFont="1" applyBorder="1" applyAlignment="1">
      <alignment horizontal="left" vertical="center"/>
    </xf>
    <xf numFmtId="0" fontId="5" fillId="0" borderId="63" xfId="0" applyFont="1" applyBorder="1" applyAlignment="1">
      <alignment horizontal="left" vertical="center" indent="1"/>
    </xf>
    <xf numFmtId="0" fontId="5" fillId="0" borderId="63" xfId="0" applyFont="1" applyBorder="1" applyAlignment="1">
      <alignment horizontal="center" vertical="center"/>
    </xf>
    <xf numFmtId="0" fontId="9" fillId="5" borderId="92" xfId="0" applyFont="1" applyFill="1" applyBorder="1" applyAlignment="1">
      <alignment horizontal="center" vertical="center"/>
    </xf>
    <xf numFmtId="180" fontId="4" fillId="3" borderId="84" xfId="0" applyNumberFormat="1" applyFont="1" applyFill="1" applyBorder="1" applyAlignment="1">
      <alignment horizontal="left" vertical="center"/>
    </xf>
    <xf numFmtId="179" fontId="6" fillId="0" borderId="87" xfId="0" applyNumberFormat="1" applyFont="1" applyBorder="1" applyAlignment="1">
      <alignment horizontal="left" vertical="center"/>
    </xf>
    <xf numFmtId="14" fontId="6" fillId="4" borderId="88" xfId="0" applyNumberFormat="1" applyFont="1" applyFill="1" applyBorder="1">
      <alignment vertical="center"/>
    </xf>
    <xf numFmtId="0" fontId="6" fillId="4" borderId="88" xfId="0" applyFont="1" applyFill="1" applyBorder="1">
      <alignment vertical="center"/>
    </xf>
    <xf numFmtId="179" fontId="6" fillId="0" borderId="89" xfId="0" applyNumberFormat="1" applyFont="1" applyBorder="1" applyAlignment="1">
      <alignment horizontal="left" vertical="center"/>
    </xf>
    <xf numFmtId="0" fontId="5" fillId="0" borderId="83" xfId="0" applyFont="1" applyBorder="1" applyAlignment="1">
      <alignment horizontal="center" vertical="center"/>
    </xf>
    <xf numFmtId="0" fontId="5" fillId="0" borderId="63" xfId="0" applyFont="1" applyBorder="1">
      <alignment vertical="center"/>
    </xf>
    <xf numFmtId="0" fontId="5" fillId="0" borderId="39" xfId="0" applyFont="1" applyBorder="1">
      <alignment vertical="center"/>
    </xf>
    <xf numFmtId="180" fontId="4" fillId="3" borderId="87" xfId="0" applyNumberFormat="1" applyFont="1" applyFill="1" applyBorder="1" applyAlignment="1">
      <alignment horizontal="left" vertical="center"/>
    </xf>
    <xf numFmtId="180" fontId="4" fillId="3" borderId="89" xfId="0" applyNumberFormat="1" applyFont="1" applyFill="1" applyBorder="1" applyAlignment="1">
      <alignment horizontal="left" vertical="center"/>
    </xf>
    <xf numFmtId="177" fontId="5" fillId="0" borderId="88" xfId="1" applyNumberFormat="1" applyFont="1" applyBorder="1" applyAlignment="1">
      <alignment horizontal="right" vertical="center" shrinkToFit="1"/>
    </xf>
    <xf numFmtId="183" fontId="5" fillId="0" borderId="90" xfId="0" applyNumberFormat="1" applyFont="1" applyBorder="1" applyAlignment="1">
      <alignment horizontal="right" vertical="center" shrinkToFit="1"/>
    </xf>
    <xf numFmtId="0" fontId="3" fillId="12" borderId="0" xfId="0" applyFont="1" applyFill="1" applyAlignment="1">
      <alignment horizontal="center" vertical="center"/>
    </xf>
    <xf numFmtId="182" fontId="5" fillId="0" borderId="82" xfId="0" applyNumberFormat="1" applyFont="1" applyBorder="1" applyAlignment="1">
      <alignment horizontal="center" vertical="center" shrinkToFit="1"/>
    </xf>
    <xf numFmtId="14" fontId="5" fillId="0" borderId="93" xfId="0" applyNumberFormat="1" applyFont="1" applyBorder="1" applyAlignment="1">
      <alignment horizontal="center" vertical="center" shrinkToFit="1"/>
    </xf>
    <xf numFmtId="1" fontId="5" fillId="0" borderId="94" xfId="0" applyNumberFormat="1" applyFont="1" applyBorder="1" applyAlignment="1">
      <alignment horizontal="center" vertical="center" shrinkToFit="1"/>
    </xf>
    <xf numFmtId="0" fontId="5" fillId="0" borderId="94" xfId="0" applyFont="1" applyBorder="1" applyAlignment="1">
      <alignment horizontal="center" vertical="center" shrinkToFit="1"/>
    </xf>
    <xf numFmtId="176" fontId="5" fillId="0" borderId="94" xfId="1" applyFont="1" applyBorder="1" applyAlignment="1">
      <alignment vertical="center" shrinkToFit="1"/>
    </xf>
    <xf numFmtId="181" fontId="5" fillId="0" borderId="94" xfId="1" applyNumberFormat="1" applyFont="1" applyBorder="1" applyAlignment="1">
      <alignment vertical="center" shrinkToFit="1"/>
    </xf>
    <xf numFmtId="181" fontId="5" fillId="0" borderId="95" xfId="1" applyNumberFormat="1" applyFont="1" applyBorder="1" applyAlignment="1">
      <alignment vertical="center" shrinkToFit="1"/>
    </xf>
    <xf numFmtId="181" fontId="5" fillId="0" borderId="97" xfId="0" applyNumberFormat="1" applyFont="1" applyBorder="1">
      <alignment vertical="center"/>
    </xf>
    <xf numFmtId="181" fontId="5" fillId="0" borderId="98" xfId="0" applyNumberFormat="1" applyFont="1" applyBorder="1">
      <alignment vertical="center"/>
    </xf>
    <xf numFmtId="0" fontId="0" fillId="0" borderId="0" xfId="0" applyAlignment="1">
      <alignment horizontal="right" vertical="center"/>
    </xf>
    <xf numFmtId="1" fontId="0" fillId="0" borderId="0" xfId="0" applyNumberFormat="1" applyAlignment="1">
      <alignment horizontal="right" vertical="center"/>
    </xf>
    <xf numFmtId="0" fontId="5" fillId="0" borderId="91" xfId="0" applyFont="1" applyBorder="1">
      <alignment vertical="center"/>
    </xf>
    <xf numFmtId="0" fontId="6" fillId="6" borderId="90" xfId="0" applyFont="1" applyFill="1" applyBorder="1">
      <alignment vertical="center"/>
    </xf>
    <xf numFmtId="181" fontId="0" fillId="0" borderId="0" xfId="1" applyNumberFormat="1" applyFont="1">
      <alignment vertical="center"/>
    </xf>
    <xf numFmtId="0" fontId="5" fillId="0" borderId="82" xfId="1" applyNumberFormat="1" applyFont="1" applyBorder="1" applyAlignment="1">
      <alignment horizontal="right" vertical="center" shrinkToFit="1"/>
    </xf>
    <xf numFmtId="176" fontId="5" fillId="0" borderId="82" xfId="1" applyFont="1" applyBorder="1" applyAlignment="1">
      <alignment horizontal="right" vertical="center" shrinkToFit="1"/>
    </xf>
    <xf numFmtId="0" fontId="5" fillId="0" borderId="82" xfId="0" applyFont="1" applyBorder="1" applyAlignment="1">
      <alignment vertical="center" shrinkToFit="1"/>
    </xf>
    <xf numFmtId="181" fontId="3" fillId="10" borderId="1" xfId="1" applyNumberFormat="1" applyFont="1" applyFill="1" applyBorder="1" applyAlignment="1">
      <alignment horizontal="center" vertical="center"/>
    </xf>
    <xf numFmtId="0" fontId="5" fillId="0" borderId="39" xfId="0" applyFont="1" applyBorder="1" applyAlignment="1">
      <alignment horizontal="center" vertical="center"/>
    </xf>
    <xf numFmtId="176" fontId="5" fillId="0" borderId="94" xfId="1" applyFont="1" applyBorder="1" applyAlignment="1">
      <alignment horizontal="right" vertical="center" shrinkToFit="1"/>
    </xf>
    <xf numFmtId="0" fontId="5" fillId="0" borderId="39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 shrinkToFit="1"/>
    </xf>
    <xf numFmtId="0" fontId="5" fillId="0" borderId="63" xfId="0" applyFont="1" applyBorder="1" applyAlignment="1">
      <alignment horizontal="right" vertical="center" shrinkToFit="1"/>
    </xf>
    <xf numFmtId="0" fontId="4" fillId="3" borderId="86" xfId="0" applyFont="1" applyFill="1" applyBorder="1" applyAlignment="1">
      <alignment horizontal="right" vertical="center"/>
    </xf>
    <xf numFmtId="1" fontId="6" fillId="4" borderId="88" xfId="0" applyNumberFormat="1" applyFont="1" applyFill="1" applyBorder="1" applyAlignment="1">
      <alignment horizontal="right" vertical="center"/>
    </xf>
    <xf numFmtId="0" fontId="6" fillId="4" borderId="88" xfId="0" quotePrefix="1" applyFont="1" applyFill="1" applyBorder="1" applyAlignment="1">
      <alignment horizontal="right" vertical="center"/>
    </xf>
    <xf numFmtId="0" fontId="6" fillId="4" borderId="88" xfId="0" applyFont="1" applyFill="1" applyBorder="1" applyAlignment="1">
      <alignment horizontal="right" vertical="center"/>
    </xf>
    <xf numFmtId="181" fontId="6" fillId="4" borderId="88" xfId="1" applyNumberFormat="1" applyFont="1" applyFill="1" applyBorder="1" applyAlignment="1">
      <alignment horizontal="right" vertical="center"/>
    </xf>
    <xf numFmtId="176" fontId="6" fillId="4" borderId="88" xfId="1" applyFont="1" applyFill="1" applyBorder="1" applyAlignment="1">
      <alignment horizontal="right" vertical="center"/>
    </xf>
    <xf numFmtId="0" fontId="6" fillId="4" borderId="90" xfId="0" applyFont="1" applyFill="1" applyBorder="1" applyAlignment="1">
      <alignment horizontal="right" vertical="center"/>
    </xf>
    <xf numFmtId="0" fontId="8" fillId="5" borderId="92" xfId="0" applyFont="1" applyFill="1" applyBorder="1" applyAlignment="1">
      <alignment horizontal="right" vertical="center"/>
    </xf>
    <xf numFmtId="0" fontId="5" fillId="0" borderId="62" xfId="0" applyFont="1" applyBorder="1" applyAlignment="1">
      <alignment horizontal="center" vertical="center"/>
    </xf>
    <xf numFmtId="0" fontId="8" fillId="5" borderId="63" xfId="0" applyFont="1" applyFill="1" applyBorder="1" applyAlignment="1">
      <alignment horizontal="center" vertical="center"/>
    </xf>
    <xf numFmtId="181" fontId="5" fillId="0" borderId="94" xfId="1" applyNumberFormat="1" applyFont="1" applyBorder="1" applyAlignment="1">
      <alignment horizontal="center" vertical="center" shrinkToFit="1"/>
    </xf>
    <xf numFmtId="0" fontId="8" fillId="5" borderId="63" xfId="0" applyFont="1" applyFill="1" applyBorder="1" applyAlignment="1">
      <alignment horizontal="right" vertical="center"/>
    </xf>
    <xf numFmtId="181" fontId="5" fillId="0" borderId="82" xfId="1" applyNumberFormat="1" applyFont="1" applyBorder="1" applyAlignment="1">
      <alignment horizontal="right" vertical="center" shrinkToFit="1"/>
    </xf>
    <xf numFmtId="181" fontId="5" fillId="0" borderId="94" xfId="1" applyNumberFormat="1" applyFont="1" applyBorder="1" applyAlignment="1">
      <alignment horizontal="right" vertical="center" shrinkToFit="1"/>
    </xf>
    <xf numFmtId="0" fontId="5" fillId="0" borderId="82" xfId="1" applyNumberFormat="1" applyFont="1" applyBorder="1" applyAlignment="1">
      <alignment horizontal="center" vertical="center" shrinkToFit="1"/>
    </xf>
    <xf numFmtId="178" fontId="5" fillId="0" borderId="86" xfId="0" applyNumberFormat="1" applyFont="1" applyBorder="1" applyAlignment="1">
      <alignment horizontal="right" vertical="center" shrinkToFit="1"/>
    </xf>
    <xf numFmtId="37" fontId="12" fillId="0" borderId="38" xfId="0" applyNumberFormat="1" applyFont="1" applyBorder="1" applyAlignment="1">
      <alignment vertical="center" shrinkToFit="1"/>
    </xf>
    <xf numFmtId="37" fontId="12" fillId="0" borderId="63" xfId="0" applyNumberFormat="1" applyFont="1" applyBorder="1" applyAlignment="1">
      <alignment vertical="center" shrinkToFit="1"/>
    </xf>
    <xf numFmtId="37" fontId="12" fillId="0" borderId="39" xfId="0" applyNumberFormat="1" applyFont="1" applyBorder="1" applyAlignment="1">
      <alignment vertical="center" shrinkToFit="1"/>
    </xf>
    <xf numFmtId="37" fontId="12" fillId="0" borderId="67" xfId="1" applyNumberFormat="1" applyFont="1" applyBorder="1" applyAlignment="1">
      <alignment vertical="center"/>
    </xf>
    <xf numFmtId="14" fontId="6" fillId="6" borderId="2" xfId="0" applyNumberFormat="1" applyFont="1" applyFill="1" applyBorder="1" applyAlignment="1">
      <alignment horizontal="center" vertical="center"/>
    </xf>
    <xf numFmtId="3" fontId="0" fillId="0" borderId="0" xfId="0" applyNumberFormat="1">
      <alignment vertical="center"/>
    </xf>
    <xf numFmtId="0" fontId="0" fillId="10" borderId="103" xfId="0" applyFill="1" applyBorder="1">
      <alignment vertical="center"/>
    </xf>
    <xf numFmtId="0" fontId="3" fillId="10" borderId="122" xfId="0" applyFont="1" applyFill="1" applyBorder="1" applyAlignment="1">
      <alignment horizontal="center" vertical="center"/>
    </xf>
    <xf numFmtId="0" fontId="26" fillId="0" borderId="0" xfId="0" applyFont="1">
      <alignment vertical="center"/>
    </xf>
    <xf numFmtId="0" fontId="25" fillId="0" borderId="0" xfId="0" applyFont="1">
      <alignment vertical="center"/>
    </xf>
    <xf numFmtId="0" fontId="27" fillId="0" borderId="0" xfId="0" applyFont="1">
      <alignment vertical="center"/>
    </xf>
    <xf numFmtId="177" fontId="27" fillId="0" borderId="0" xfId="0" applyNumberFormat="1" applyFont="1">
      <alignment vertical="center"/>
    </xf>
    <xf numFmtId="176" fontId="20" fillId="0" borderId="0" xfId="1" applyFont="1" applyFill="1">
      <alignment vertical="center"/>
    </xf>
    <xf numFmtId="186" fontId="12" fillId="0" borderId="5" xfId="0" quotePrefix="1" applyNumberFormat="1" applyFont="1" applyBorder="1" applyAlignment="1">
      <alignment horizontal="center" vertical="center" shrinkToFit="1"/>
    </xf>
    <xf numFmtId="14" fontId="16" fillId="11" borderId="5" xfId="0" applyNumberFormat="1" applyFont="1" applyFill="1" applyBorder="1" applyAlignment="1">
      <alignment horizontal="center" vertical="center" shrinkToFit="1"/>
    </xf>
    <xf numFmtId="176" fontId="12" fillId="0" borderId="5" xfId="1" applyFont="1" applyBorder="1" applyAlignment="1">
      <alignment horizontal="center" vertical="center" shrinkToFit="1"/>
    </xf>
    <xf numFmtId="0" fontId="16" fillId="11" borderId="5" xfId="0" applyFont="1" applyFill="1" applyBorder="1" applyAlignment="1">
      <alignment horizontal="center" vertical="center" shrinkToFit="1"/>
    </xf>
    <xf numFmtId="0" fontId="12" fillId="0" borderId="5" xfId="0" applyFont="1" applyBorder="1" applyAlignment="1">
      <alignment horizontal="left" vertical="center" shrinkToFit="1"/>
    </xf>
    <xf numFmtId="37" fontId="16" fillId="11" borderId="5" xfId="0" applyNumberFormat="1" applyFont="1" applyFill="1" applyBorder="1" applyAlignment="1">
      <alignment horizontal="center" vertical="center"/>
    </xf>
    <xf numFmtId="37" fontId="12" fillId="0" borderId="5" xfId="0" applyNumberFormat="1" applyFont="1" applyBorder="1" applyAlignment="1">
      <alignment horizontal="center" vertical="center"/>
    </xf>
    <xf numFmtId="184" fontId="12" fillId="0" borderId="5" xfId="0" applyNumberFormat="1" applyFont="1" applyBorder="1" applyAlignment="1">
      <alignment horizontal="center" vertical="center" shrinkToFit="1"/>
    </xf>
    <xf numFmtId="181" fontId="12" fillId="0" borderId="5" xfId="0" applyNumberFormat="1" applyFont="1" applyBorder="1" applyAlignment="1">
      <alignment horizontal="center" vertical="center" shrinkToFit="1"/>
    </xf>
    <xf numFmtId="37" fontId="12" fillId="0" borderId="5" xfId="0" applyNumberFormat="1" applyFont="1" applyBorder="1" applyAlignment="1">
      <alignment vertical="center" shrinkToFit="1"/>
    </xf>
    <xf numFmtId="37" fontId="12" fillId="0" borderId="5" xfId="0" applyNumberFormat="1" applyFont="1" applyBorder="1" applyAlignment="1">
      <alignment horizontal="right" vertical="center"/>
    </xf>
    <xf numFmtId="181" fontId="12" fillId="0" borderId="5" xfId="0" applyNumberFormat="1" applyFont="1" applyBorder="1" applyAlignment="1">
      <alignment horizontal="left" vertical="center" shrinkToFit="1"/>
    </xf>
    <xf numFmtId="19" fontId="6" fillId="4" borderId="88" xfId="0" applyNumberFormat="1" applyFont="1" applyFill="1" applyBorder="1" applyAlignment="1">
      <alignment horizontal="left" vertical="center"/>
    </xf>
    <xf numFmtId="37" fontId="16" fillId="11" borderId="5" xfId="0" applyNumberFormat="1" applyFont="1" applyFill="1" applyBorder="1" applyAlignment="1">
      <alignment horizontal="center" vertical="center" shrinkToFit="1"/>
    </xf>
    <xf numFmtId="0" fontId="12" fillId="0" borderId="5" xfId="0" quotePrefix="1" applyFont="1" applyBorder="1" applyAlignment="1">
      <alignment horizontal="center" vertical="center" shrinkToFit="1"/>
    </xf>
    <xf numFmtId="0" fontId="0" fillId="0" borderId="0" xfId="0" applyProtection="1">
      <alignment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/>
      <protection locked="0"/>
    </xf>
    <xf numFmtId="0" fontId="29" fillId="0" borderId="5" xfId="0" applyFont="1" applyBorder="1" applyAlignment="1" applyProtection="1">
      <alignment horizontal="center" vertical="center"/>
      <protection locked="0"/>
    </xf>
    <xf numFmtId="176" fontId="29" fillId="0" borderId="5" xfId="1" applyFont="1" applyBorder="1" applyAlignment="1" applyProtection="1">
      <alignment horizontal="center" vertical="center"/>
      <protection locked="0"/>
    </xf>
    <xf numFmtId="176" fontId="29" fillId="0" borderId="5" xfId="1" applyFont="1" applyBorder="1" applyAlignment="1" applyProtection="1">
      <alignment horizontal="center" vertical="center"/>
    </xf>
    <xf numFmtId="176" fontId="0" fillId="0" borderId="5" xfId="0" applyNumberFormat="1" applyBorder="1" applyProtection="1">
      <alignment vertical="center"/>
      <protection locked="0"/>
    </xf>
    <xf numFmtId="176" fontId="29" fillId="0" borderId="5" xfId="1" applyFont="1" applyBorder="1" applyProtection="1">
      <alignment vertical="center"/>
    </xf>
    <xf numFmtId="14" fontId="29" fillId="0" borderId="5" xfId="0" applyNumberFormat="1" applyFont="1" applyBorder="1" applyAlignment="1" applyProtection="1">
      <alignment horizontal="center" vertical="center"/>
      <protection locked="0"/>
    </xf>
    <xf numFmtId="14" fontId="0" fillId="0" borderId="0" xfId="0" applyNumberFormat="1" applyProtection="1">
      <alignment vertical="center"/>
      <protection locked="0"/>
    </xf>
    <xf numFmtId="0" fontId="3" fillId="0" borderId="5" xfId="0" applyFont="1" applyBorder="1" applyAlignment="1">
      <alignment horizontal="center" vertical="center"/>
    </xf>
    <xf numFmtId="14" fontId="3" fillId="0" borderId="5" xfId="0" applyNumberFormat="1" applyFont="1" applyBorder="1" applyAlignment="1">
      <alignment horizontal="center" vertical="center"/>
    </xf>
    <xf numFmtId="181" fontId="3" fillId="0" borderId="5" xfId="1" applyNumberFormat="1" applyFont="1" applyBorder="1" applyAlignment="1">
      <alignment horizontal="center" vertical="center"/>
    </xf>
    <xf numFmtId="185" fontId="3" fillId="0" borderId="5" xfId="1" applyNumberFormat="1" applyFont="1" applyBorder="1" applyAlignment="1">
      <alignment horizontal="center" vertical="center"/>
    </xf>
    <xf numFmtId="1" fontId="0" fillId="0" borderId="5" xfId="0" applyNumberFormat="1" applyBorder="1">
      <alignment vertical="center"/>
    </xf>
    <xf numFmtId="14" fontId="0" fillId="0" borderId="5" xfId="0" applyNumberFormat="1" applyBorder="1">
      <alignment vertical="center"/>
    </xf>
    <xf numFmtId="181" fontId="0" fillId="0" borderId="5" xfId="1" applyNumberFormat="1" applyFont="1" applyBorder="1">
      <alignment vertical="center"/>
    </xf>
    <xf numFmtId="185" fontId="0" fillId="0" borderId="5" xfId="1" applyNumberFormat="1" applyFont="1" applyBorder="1">
      <alignment vertical="center"/>
    </xf>
    <xf numFmtId="14" fontId="0" fillId="0" borderId="5" xfId="1" applyNumberFormat="1" applyFont="1" applyBorder="1">
      <alignment vertical="center"/>
    </xf>
    <xf numFmtId="176" fontId="0" fillId="0" borderId="5" xfId="1" applyFont="1" applyBorder="1">
      <alignment vertical="center"/>
    </xf>
    <xf numFmtId="0" fontId="0" fillId="0" borderId="5" xfId="0" applyBorder="1">
      <alignment vertical="center"/>
    </xf>
    <xf numFmtId="3" fontId="0" fillId="0" borderId="5" xfId="0" applyNumberFormat="1" applyBorder="1">
      <alignment vertical="center"/>
    </xf>
    <xf numFmtId="1" fontId="0" fillId="0" borderId="5" xfId="0" applyNumberFormat="1" applyBorder="1" applyAlignment="1">
      <alignment horizontal="center" vertical="center"/>
    </xf>
    <xf numFmtId="0" fontId="0" fillId="0" borderId="58" xfId="0" applyBorder="1" applyAlignment="1" applyProtection="1">
      <alignment horizontal="center" vertical="center"/>
      <protection locked="0"/>
    </xf>
    <xf numFmtId="176" fontId="0" fillId="0" borderId="0" xfId="0" applyNumberFormat="1" applyProtection="1">
      <alignment vertical="center"/>
      <protection locked="0"/>
    </xf>
    <xf numFmtId="176" fontId="0" fillId="0" borderId="0" xfId="1" applyFont="1" applyProtection="1">
      <alignment vertical="center"/>
      <protection locked="0"/>
    </xf>
    <xf numFmtId="0" fontId="0" fillId="0" borderId="5" xfId="0" applyBorder="1" applyProtection="1">
      <alignment vertical="center"/>
      <protection locked="0"/>
    </xf>
    <xf numFmtId="14" fontId="29" fillId="0" borderId="58" xfId="0" applyNumberFormat="1" applyFont="1" applyBorder="1" applyAlignment="1" applyProtection="1">
      <alignment horizontal="center" vertical="center"/>
      <protection locked="0"/>
    </xf>
    <xf numFmtId="0" fontId="29" fillId="0" borderId="58" xfId="0" applyFont="1" applyBorder="1" applyAlignment="1" applyProtection="1">
      <alignment horizontal="center" vertical="center"/>
      <protection locked="0"/>
    </xf>
    <xf numFmtId="176" fontId="29" fillId="0" borderId="58" xfId="1" applyFont="1" applyBorder="1" applyAlignment="1" applyProtection="1">
      <alignment horizontal="center" vertical="center"/>
      <protection locked="0"/>
    </xf>
    <xf numFmtId="176" fontId="29" fillId="0" borderId="58" xfId="1" applyFont="1" applyBorder="1" applyAlignment="1" applyProtection="1">
      <alignment horizontal="center" vertical="center"/>
    </xf>
    <xf numFmtId="176" fontId="0" fillId="0" borderId="58" xfId="0" applyNumberFormat="1" applyBorder="1" applyProtection="1">
      <alignment vertical="center"/>
      <protection locked="0"/>
    </xf>
    <xf numFmtId="0" fontId="0" fillId="0" borderId="40" xfId="0" applyBorder="1" applyAlignment="1" applyProtection="1">
      <alignment horizontal="center" vertical="center"/>
      <protection locked="0"/>
    </xf>
    <xf numFmtId="181" fontId="0" fillId="0" borderId="0" xfId="0" applyNumberFormat="1">
      <alignment vertical="center"/>
    </xf>
    <xf numFmtId="0" fontId="3" fillId="10" borderId="0" xfId="0" applyFont="1" applyFill="1" applyAlignment="1">
      <alignment horizontal="center" vertical="center"/>
    </xf>
    <xf numFmtId="0" fontId="0" fillId="0" borderId="5" xfId="0" applyBorder="1" applyAlignment="1">
      <alignment vertical="center" wrapText="1"/>
    </xf>
    <xf numFmtId="176" fontId="29" fillId="0" borderId="8" xfId="1" applyFont="1" applyBorder="1" applyAlignment="1" applyProtection="1">
      <alignment horizontal="center" vertical="center"/>
      <protection locked="0"/>
    </xf>
    <xf numFmtId="37" fontId="12" fillId="0" borderId="5" xfId="1" applyNumberFormat="1" applyFont="1" applyBorder="1" applyAlignment="1">
      <alignment horizontal="right" vertical="center" shrinkToFit="1"/>
    </xf>
    <xf numFmtId="49" fontId="3" fillId="0" borderId="1" xfId="0" applyNumberFormat="1" applyFont="1" applyBorder="1" applyAlignment="1">
      <alignment horizontal="center" vertical="center"/>
    </xf>
    <xf numFmtId="49" fontId="0" fillId="0" borderId="0" xfId="0" applyNumberFormat="1" applyAlignment="1">
      <alignment horizontal="right" vertical="center"/>
    </xf>
    <xf numFmtId="49" fontId="3" fillId="10" borderId="80" xfId="1" applyNumberFormat="1" applyFont="1" applyFill="1" applyBorder="1" applyAlignment="1">
      <alignment horizontal="center" vertical="center"/>
    </xf>
    <xf numFmtId="49" fontId="0" fillId="0" borderId="0" xfId="0" applyNumberFormat="1">
      <alignment vertical="center"/>
    </xf>
    <xf numFmtId="49" fontId="3" fillId="10" borderId="79" xfId="0" applyNumberFormat="1" applyFont="1" applyFill="1" applyBorder="1" applyAlignment="1">
      <alignment horizontal="center" vertical="center"/>
    </xf>
    <xf numFmtId="49" fontId="0" fillId="0" borderId="5" xfId="0" applyNumberFormat="1" applyBorder="1">
      <alignment vertical="center"/>
    </xf>
    <xf numFmtId="49" fontId="0" fillId="0" borderId="38" xfId="0" applyNumberFormat="1" applyBorder="1">
      <alignment vertical="center"/>
    </xf>
    <xf numFmtId="49" fontId="3" fillId="0" borderId="5" xfId="0" applyNumberFormat="1" applyFont="1" applyBorder="1" applyAlignment="1">
      <alignment horizontal="center" vertical="center"/>
    </xf>
    <xf numFmtId="49" fontId="0" fillId="0" borderId="5" xfId="0" applyNumberFormat="1" applyBorder="1" applyAlignment="1">
      <alignment horizontal="right" vertical="center"/>
    </xf>
    <xf numFmtId="49" fontId="0" fillId="0" borderId="5" xfId="1" applyNumberFormat="1" applyFont="1" applyBorder="1">
      <alignment vertical="center"/>
    </xf>
    <xf numFmtId="49" fontId="0" fillId="0" borderId="5" xfId="1" applyNumberFormat="1" applyFont="1" applyBorder="1" applyAlignment="1">
      <alignment horizontal="right" vertical="center"/>
    </xf>
    <xf numFmtId="49" fontId="0" fillId="13" borderId="5" xfId="0" applyNumberFormat="1" applyFill="1" applyBorder="1">
      <alignment vertical="center"/>
    </xf>
    <xf numFmtId="181" fontId="3" fillId="10" borderId="0" xfId="1" applyNumberFormat="1" applyFont="1" applyFill="1" applyBorder="1" applyAlignment="1">
      <alignment horizontal="center" vertical="center"/>
    </xf>
    <xf numFmtId="176" fontId="0" fillId="0" borderId="0" xfId="1" applyFont="1" applyBorder="1">
      <alignment vertical="center"/>
    </xf>
    <xf numFmtId="176" fontId="0" fillId="0" borderId="5" xfId="1" applyFont="1" applyBorder="1" applyAlignment="1">
      <alignment horizontal="center" vertical="center"/>
    </xf>
    <xf numFmtId="176" fontId="0" fillId="0" borderId="0" xfId="1" applyFont="1" applyBorder="1" applyAlignment="1">
      <alignment horizontal="center" vertical="center"/>
    </xf>
    <xf numFmtId="0" fontId="0" fillId="13" borderId="0" xfId="0" applyFill="1">
      <alignment vertical="center"/>
    </xf>
    <xf numFmtId="49" fontId="0" fillId="0" borderId="5" xfId="0" applyNumberFormat="1" applyBorder="1" applyAlignment="1">
      <alignment vertical="center" wrapText="1"/>
    </xf>
    <xf numFmtId="0" fontId="19" fillId="0" borderId="0" xfId="0" applyFont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12" fillId="0" borderId="28" xfId="0" applyFont="1" applyBorder="1" applyAlignment="1">
      <alignment horizontal="right" vertical="center"/>
    </xf>
    <xf numFmtId="0" fontId="12" fillId="0" borderId="37" xfId="0" applyFont="1" applyBorder="1" applyAlignment="1">
      <alignment horizontal="right" vertical="center"/>
    </xf>
    <xf numFmtId="0" fontId="12" fillId="0" borderId="36" xfId="0" applyFont="1" applyBorder="1" applyAlignment="1">
      <alignment horizontal="center" vertical="center"/>
    </xf>
    <xf numFmtId="0" fontId="12" fillId="0" borderId="29" xfId="0" applyFont="1" applyBorder="1" applyAlignment="1">
      <alignment horizontal="center" vertical="center"/>
    </xf>
    <xf numFmtId="0" fontId="12" fillId="0" borderId="37" xfId="0" applyFont="1" applyBorder="1" applyAlignment="1">
      <alignment horizontal="center" vertical="center"/>
    </xf>
    <xf numFmtId="0" fontId="12" fillId="0" borderId="36" xfId="0" applyFont="1" applyBorder="1" applyAlignment="1">
      <alignment horizontal="right" vertical="center"/>
    </xf>
    <xf numFmtId="0" fontId="12" fillId="0" borderId="29" xfId="0" applyFont="1" applyBorder="1" applyAlignment="1">
      <alignment horizontal="right" vertical="center"/>
    </xf>
    <xf numFmtId="14" fontId="12" fillId="0" borderId="36" xfId="0" applyNumberFormat="1" applyFont="1" applyBorder="1" applyAlignment="1">
      <alignment horizontal="center" vertical="center"/>
    </xf>
    <xf numFmtId="14" fontId="12" fillId="0" borderId="30" xfId="0" applyNumberFormat="1" applyFont="1" applyBorder="1" applyAlignment="1">
      <alignment horizontal="center" vertical="center"/>
    </xf>
    <xf numFmtId="0" fontId="14" fillId="7" borderId="20" xfId="0" applyFont="1" applyFill="1" applyBorder="1" applyAlignment="1">
      <alignment horizontal="center" vertical="center"/>
    </xf>
    <xf numFmtId="0" fontId="14" fillId="7" borderId="7" xfId="0" applyFont="1" applyFill="1" applyBorder="1" applyAlignment="1">
      <alignment horizontal="center" vertical="center"/>
    </xf>
    <xf numFmtId="181" fontId="14" fillId="0" borderId="7" xfId="0" applyNumberFormat="1" applyFont="1" applyBorder="1" applyAlignment="1">
      <alignment horizontal="center" vertical="center"/>
    </xf>
    <xf numFmtId="181" fontId="14" fillId="0" borderId="8" xfId="0" applyNumberFormat="1" applyFont="1" applyBorder="1" applyAlignment="1">
      <alignment horizontal="center" vertical="center"/>
    </xf>
    <xf numFmtId="181" fontId="14" fillId="0" borderId="5" xfId="0" applyNumberFormat="1" applyFont="1" applyBorder="1" applyAlignment="1">
      <alignment horizontal="center" vertical="center"/>
    </xf>
    <xf numFmtId="0" fontId="14" fillId="7" borderId="21" xfId="0" applyFont="1" applyFill="1" applyBorder="1" applyAlignment="1">
      <alignment horizontal="center" vertical="center"/>
    </xf>
    <xf numFmtId="0" fontId="14" fillId="7" borderId="22" xfId="0" applyFont="1" applyFill="1" applyBorder="1" applyAlignment="1">
      <alignment horizontal="center" vertical="center"/>
    </xf>
    <xf numFmtId="181" fontId="14" fillId="0" borderId="22" xfId="0" applyNumberFormat="1" applyFont="1" applyBorder="1" applyAlignment="1">
      <alignment horizontal="center" vertical="center"/>
    </xf>
    <xf numFmtId="181" fontId="14" fillId="0" borderId="23" xfId="0" applyNumberFormat="1" applyFont="1" applyBorder="1" applyAlignment="1">
      <alignment horizontal="center" vertical="center"/>
    </xf>
    <xf numFmtId="0" fontId="14" fillId="7" borderId="24" xfId="0" applyFont="1" applyFill="1" applyBorder="1" applyAlignment="1">
      <alignment horizontal="center" vertical="center"/>
    </xf>
    <xf numFmtId="0" fontId="12" fillId="0" borderId="22" xfId="0" applyFont="1" applyBorder="1" applyAlignment="1">
      <alignment horizontal="center" vertical="center"/>
    </xf>
    <xf numFmtId="0" fontId="0" fillId="0" borderId="69" xfId="0" applyBorder="1" applyAlignment="1">
      <alignment horizontal="center" vertical="center"/>
    </xf>
    <xf numFmtId="0" fontId="0" fillId="0" borderId="70" xfId="0" applyBorder="1" applyAlignment="1">
      <alignment horizontal="center" vertical="center"/>
    </xf>
    <xf numFmtId="0" fontId="5" fillId="0" borderId="70" xfId="0" applyFont="1" applyBorder="1" applyAlignment="1">
      <alignment horizontal="right"/>
    </xf>
    <xf numFmtId="185" fontId="22" fillId="0" borderId="70" xfId="0" applyNumberFormat="1" applyFont="1" applyBorder="1" applyAlignment="1">
      <alignment horizontal="center"/>
    </xf>
    <xf numFmtId="185" fontId="22" fillId="0" borderId="71" xfId="0" applyNumberFormat="1" applyFont="1" applyBorder="1" applyAlignment="1">
      <alignment horizontal="center"/>
    </xf>
    <xf numFmtId="182" fontId="14" fillId="0" borderId="108" xfId="0" applyNumberFormat="1" applyFont="1" applyBorder="1" applyAlignment="1">
      <alignment horizontal="center" vertical="center"/>
    </xf>
    <xf numFmtId="182" fontId="14" fillId="0" borderId="109" xfId="0" applyNumberFormat="1" applyFont="1" applyBorder="1" applyAlignment="1">
      <alignment horizontal="center" vertical="center"/>
    </xf>
    <xf numFmtId="182" fontId="14" fillId="0" borderId="110" xfId="0" applyNumberFormat="1" applyFont="1" applyBorder="1" applyAlignment="1">
      <alignment horizontal="center" vertical="center"/>
    </xf>
    <xf numFmtId="182" fontId="14" fillId="0" borderId="113" xfId="0" applyNumberFormat="1" applyFont="1" applyBorder="1" applyAlignment="1">
      <alignment horizontal="center" vertical="center"/>
    </xf>
    <xf numFmtId="182" fontId="14" fillId="0" borderId="0" xfId="0" applyNumberFormat="1" applyFont="1" applyAlignment="1">
      <alignment horizontal="center" vertical="center"/>
    </xf>
    <xf numFmtId="182" fontId="14" fillId="0" borderId="100" xfId="0" applyNumberFormat="1" applyFont="1" applyBorder="1" applyAlignment="1">
      <alignment horizontal="center" vertical="center"/>
    </xf>
    <xf numFmtId="182" fontId="14" fillId="0" borderId="115" xfId="0" applyNumberFormat="1" applyFont="1" applyBorder="1" applyAlignment="1">
      <alignment horizontal="center" vertical="center"/>
    </xf>
    <xf numFmtId="182" fontId="14" fillId="0" borderId="104" xfId="0" applyNumberFormat="1" applyFont="1" applyBorder="1" applyAlignment="1">
      <alignment horizontal="center" vertical="center"/>
    </xf>
    <xf numFmtId="182" fontId="14" fillId="0" borderId="116" xfId="0" applyNumberFormat="1" applyFont="1" applyBorder="1" applyAlignment="1">
      <alignment horizontal="center" vertical="center"/>
    </xf>
    <xf numFmtId="182" fontId="5" fillId="0" borderId="111" xfId="0" applyNumberFormat="1" applyFont="1" applyBorder="1" applyAlignment="1">
      <alignment vertical="top" wrapText="1"/>
    </xf>
    <xf numFmtId="182" fontId="5" fillId="0" borderId="109" xfId="0" applyNumberFormat="1" applyFont="1" applyBorder="1" applyAlignment="1">
      <alignment vertical="top" wrapText="1"/>
    </xf>
    <xf numFmtId="182" fontId="5" fillId="0" borderId="112" xfId="0" applyNumberFormat="1" applyFont="1" applyBorder="1" applyAlignment="1">
      <alignment vertical="top" wrapText="1"/>
    </xf>
    <xf numFmtId="182" fontId="5" fillId="0" borderId="99" xfId="0" applyNumberFormat="1" applyFont="1" applyBorder="1" applyAlignment="1">
      <alignment vertical="top" wrapText="1"/>
    </xf>
    <xf numFmtId="182" fontId="5" fillId="0" borderId="0" xfId="0" applyNumberFormat="1" applyFont="1" applyAlignment="1">
      <alignment vertical="top" wrapText="1"/>
    </xf>
    <xf numFmtId="182" fontId="5" fillId="0" borderId="114" xfId="0" applyNumberFormat="1" applyFont="1" applyBorder="1" applyAlignment="1">
      <alignment vertical="top" wrapText="1"/>
    </xf>
    <xf numFmtId="182" fontId="5" fillId="0" borderId="117" xfId="0" applyNumberFormat="1" applyFont="1" applyBorder="1" applyAlignment="1">
      <alignment vertical="top" wrapText="1"/>
    </xf>
    <xf numFmtId="182" fontId="5" fillId="0" borderId="104" xfId="0" applyNumberFormat="1" applyFont="1" applyBorder="1" applyAlignment="1">
      <alignment vertical="top" wrapText="1"/>
    </xf>
    <xf numFmtId="182" fontId="5" fillId="0" borderId="118" xfId="0" applyNumberFormat="1" applyFont="1" applyBorder="1" applyAlignment="1">
      <alignment vertical="top" wrapText="1"/>
    </xf>
    <xf numFmtId="0" fontId="14" fillId="0" borderId="22" xfId="0" applyFont="1" applyBorder="1" applyAlignment="1">
      <alignment horizontal="center" vertical="center"/>
    </xf>
    <xf numFmtId="0" fontId="14" fillId="7" borderId="23" xfId="0" applyFont="1" applyFill="1" applyBorder="1" applyAlignment="1">
      <alignment horizontal="center" vertical="center"/>
    </xf>
    <xf numFmtId="14" fontId="14" fillId="0" borderId="24" xfId="0" applyNumberFormat="1" applyFont="1" applyBorder="1" applyAlignment="1">
      <alignment horizontal="center" vertical="center"/>
    </xf>
    <xf numFmtId="14" fontId="14" fillId="0" borderId="22" xfId="0" applyNumberFormat="1" applyFont="1" applyBorder="1" applyAlignment="1">
      <alignment horizontal="center" vertical="center"/>
    </xf>
    <xf numFmtId="14" fontId="14" fillId="0" borderId="25" xfId="0" applyNumberFormat="1" applyFont="1" applyBorder="1" applyAlignment="1">
      <alignment horizontal="center" vertical="center"/>
    </xf>
    <xf numFmtId="176" fontId="14" fillId="0" borderId="6" xfId="0" applyNumberFormat="1" applyFont="1" applyBorder="1" applyAlignment="1">
      <alignment horizontal="center" vertical="center"/>
    </xf>
    <xf numFmtId="176" fontId="14" fillId="0" borderId="7" xfId="0" applyNumberFormat="1" applyFont="1" applyBorder="1" applyAlignment="1">
      <alignment horizontal="center" vertical="center"/>
    </xf>
    <xf numFmtId="176" fontId="14" fillId="0" borderId="8" xfId="0" applyNumberFormat="1" applyFont="1" applyBorder="1" applyAlignment="1">
      <alignment horizontal="center" vertical="center"/>
    </xf>
    <xf numFmtId="181" fontId="14" fillId="0" borderId="6" xfId="0" applyNumberFormat="1" applyFont="1" applyBorder="1" applyAlignment="1">
      <alignment horizontal="center" vertical="center"/>
    </xf>
    <xf numFmtId="181" fontId="14" fillId="0" borderId="13" xfId="0" applyNumberFormat="1" applyFont="1" applyBorder="1" applyAlignment="1">
      <alignment horizontal="center" vertical="center"/>
    </xf>
    <xf numFmtId="182" fontId="12" fillId="0" borderId="119" xfId="0" applyNumberFormat="1" applyFont="1" applyBorder="1" applyAlignment="1">
      <alignment horizontal="center" vertical="center"/>
    </xf>
    <xf numFmtId="182" fontId="12" fillId="0" borderId="120" xfId="0" applyNumberFormat="1" applyFont="1" applyBorder="1" applyAlignment="1">
      <alignment horizontal="center" vertical="center"/>
    </xf>
    <xf numFmtId="185" fontId="12" fillId="0" borderId="120" xfId="1" applyNumberFormat="1" applyFont="1" applyBorder="1" applyAlignment="1">
      <alignment vertical="center"/>
    </xf>
    <xf numFmtId="185" fontId="12" fillId="0" borderId="120" xfId="0" applyNumberFormat="1" applyFont="1" applyBorder="1" applyAlignment="1">
      <alignment horizontal="center" vertical="center"/>
    </xf>
    <xf numFmtId="185" fontId="12" fillId="0" borderId="121" xfId="0" applyNumberFormat="1" applyFont="1" applyBorder="1" applyAlignment="1">
      <alignment horizontal="center" vertical="center"/>
    </xf>
    <xf numFmtId="182" fontId="12" fillId="0" borderId="16" xfId="0" applyNumberFormat="1" applyFont="1" applyBorder="1" applyAlignment="1">
      <alignment horizontal="center" vertical="center"/>
    </xf>
    <xf numFmtId="182" fontId="12" fillId="0" borderId="10" xfId="0" applyNumberFormat="1" applyFont="1" applyBorder="1" applyAlignment="1">
      <alignment horizontal="center" vertical="center"/>
    </xf>
    <xf numFmtId="185" fontId="12" fillId="0" borderId="10" xfId="1" applyNumberFormat="1" applyFont="1" applyBorder="1" applyAlignment="1">
      <alignment vertical="center"/>
    </xf>
    <xf numFmtId="185" fontId="12" fillId="0" borderId="10" xfId="0" applyNumberFormat="1" applyFont="1" applyBorder="1" applyAlignment="1">
      <alignment horizontal="center" vertical="center"/>
    </xf>
    <xf numFmtId="185" fontId="12" fillId="0" borderId="17" xfId="0" applyNumberFormat="1" applyFont="1" applyBorder="1" applyAlignment="1">
      <alignment horizontal="center" vertical="center"/>
    </xf>
    <xf numFmtId="185" fontId="12" fillId="0" borderId="10" xfId="1" applyNumberFormat="1" applyFont="1" applyBorder="1" applyAlignment="1">
      <alignment horizontal="center" vertical="center"/>
    </xf>
    <xf numFmtId="185" fontId="12" fillId="0" borderId="120" xfId="1" applyNumberFormat="1" applyFont="1" applyBorder="1" applyAlignment="1">
      <alignment horizontal="center" vertical="center"/>
    </xf>
    <xf numFmtId="182" fontId="12" fillId="0" borderId="14" xfId="0" applyNumberFormat="1" applyFont="1" applyBorder="1" applyAlignment="1">
      <alignment horizontal="center" vertical="center"/>
    </xf>
    <xf numFmtId="182" fontId="12" fillId="0" borderId="9" xfId="0" applyNumberFormat="1" applyFont="1" applyBorder="1" applyAlignment="1">
      <alignment horizontal="center" vertical="center"/>
    </xf>
    <xf numFmtId="185" fontId="12" fillId="0" borderId="9" xfId="1" applyNumberFormat="1" applyFont="1" applyBorder="1" applyAlignment="1">
      <alignment vertical="center"/>
    </xf>
    <xf numFmtId="185" fontId="12" fillId="0" borderId="9" xfId="0" applyNumberFormat="1" applyFont="1" applyBorder="1" applyAlignment="1">
      <alignment horizontal="center" vertical="center"/>
    </xf>
    <xf numFmtId="185" fontId="12" fillId="0" borderId="15" xfId="0" applyNumberFormat="1" applyFont="1" applyBorder="1" applyAlignment="1">
      <alignment horizontal="center" vertical="center"/>
    </xf>
    <xf numFmtId="185" fontId="12" fillId="0" borderId="9" xfId="1" applyNumberFormat="1" applyFont="1" applyBorder="1" applyAlignment="1">
      <alignment horizontal="center" vertical="center"/>
    </xf>
    <xf numFmtId="0" fontId="12" fillId="0" borderId="25" xfId="0" applyFont="1" applyBorder="1" applyAlignment="1">
      <alignment horizontal="center" vertical="center"/>
    </xf>
    <xf numFmtId="0" fontId="14" fillId="7" borderId="8" xfId="0" applyFont="1" applyFill="1" applyBorder="1" applyAlignment="1">
      <alignment horizontal="center" vertical="center"/>
    </xf>
    <xf numFmtId="0" fontId="14" fillId="7" borderId="6" xfId="0" applyFont="1" applyFill="1" applyBorder="1" applyAlignment="1">
      <alignment horizontal="center" vertical="center"/>
    </xf>
    <xf numFmtId="0" fontId="14" fillId="7" borderId="13" xfId="0" applyFont="1" applyFill="1" applyBorder="1" applyAlignment="1">
      <alignment horizontal="center" vertical="center"/>
    </xf>
    <xf numFmtId="0" fontId="14" fillId="7" borderId="59" xfId="0" applyFont="1" applyFill="1" applyBorder="1" applyAlignment="1">
      <alignment horizontal="center" vertical="center" wrapText="1"/>
    </xf>
    <xf numFmtId="0" fontId="14" fillId="7" borderId="60" xfId="0" applyFont="1" applyFill="1" applyBorder="1" applyAlignment="1">
      <alignment horizontal="center" vertical="center" wrapText="1"/>
    </xf>
    <xf numFmtId="0" fontId="14" fillId="7" borderId="61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14" fillId="7" borderId="56" xfId="0" applyFont="1" applyFill="1" applyBorder="1" applyAlignment="1">
      <alignment horizontal="center" vertical="center" wrapText="1"/>
    </xf>
    <xf numFmtId="0" fontId="14" fillId="7" borderId="57" xfId="0" applyFont="1" applyFill="1" applyBorder="1" applyAlignment="1">
      <alignment horizontal="center" vertical="center" wrapText="1"/>
    </xf>
    <xf numFmtId="0" fontId="14" fillId="7" borderId="58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 wrapText="1"/>
    </xf>
    <xf numFmtId="0" fontId="3" fillId="0" borderId="7" xfId="0" applyFont="1" applyBorder="1" applyAlignment="1">
      <alignment horizontal="center" vertical="center" wrapText="1"/>
    </xf>
    <xf numFmtId="0" fontId="3" fillId="0" borderId="13" xfId="0" applyFont="1" applyBorder="1" applyAlignment="1">
      <alignment horizontal="center" vertical="center" wrapText="1"/>
    </xf>
    <xf numFmtId="185" fontId="12" fillId="0" borderId="6" xfId="0" applyNumberFormat="1" applyFont="1" applyBorder="1" applyAlignment="1">
      <alignment horizontal="center" vertical="center"/>
    </xf>
    <xf numFmtId="185" fontId="12" fillId="0" borderId="7" xfId="0" applyNumberFormat="1" applyFont="1" applyBorder="1" applyAlignment="1">
      <alignment horizontal="center" vertical="center"/>
    </xf>
    <xf numFmtId="185" fontId="12" fillId="0" borderId="8" xfId="0" applyNumberFormat="1" applyFont="1" applyBorder="1" applyAlignment="1">
      <alignment horizontal="center" vertical="center"/>
    </xf>
    <xf numFmtId="0" fontId="12" fillId="0" borderId="6" xfId="0" applyFont="1" applyBorder="1" applyAlignment="1">
      <alignment horizontal="center" vertical="center"/>
    </xf>
    <xf numFmtId="0" fontId="12" fillId="0" borderId="7" xfId="0" applyFont="1" applyBorder="1" applyAlignment="1">
      <alignment horizontal="center" vertical="center"/>
    </xf>
    <xf numFmtId="0" fontId="12" fillId="0" borderId="8" xfId="0" applyFont="1" applyBorder="1" applyAlignment="1">
      <alignment horizontal="center" vertical="center"/>
    </xf>
    <xf numFmtId="0" fontId="12" fillId="0" borderId="13" xfId="0" applyFont="1" applyBorder="1" applyAlignment="1">
      <alignment horizontal="center" vertical="center"/>
    </xf>
    <xf numFmtId="182" fontId="12" fillId="0" borderId="105" xfId="0" applyNumberFormat="1" applyFont="1" applyBorder="1" applyAlignment="1">
      <alignment horizontal="center" vertical="center"/>
    </xf>
    <xf numFmtId="182" fontId="12" fillId="0" borderId="12" xfId="0" applyNumberFormat="1" applyFont="1" applyBorder="1" applyAlignment="1">
      <alignment horizontal="center" vertical="center"/>
    </xf>
    <xf numFmtId="182" fontId="12" fillId="0" borderId="102" xfId="0" applyNumberFormat="1" applyFont="1" applyBorder="1" applyAlignment="1">
      <alignment horizontal="center" vertical="center"/>
    </xf>
    <xf numFmtId="182" fontId="12" fillId="0" borderId="101" xfId="0" applyNumberFormat="1" applyFont="1" applyBorder="1" applyAlignment="1">
      <alignment horizontal="center" vertical="center"/>
    </xf>
    <xf numFmtId="176" fontId="12" fillId="0" borderId="101" xfId="1" applyFont="1" applyBorder="1" applyAlignment="1">
      <alignment horizontal="center" vertical="center"/>
    </xf>
    <xf numFmtId="176" fontId="12" fillId="0" borderId="12" xfId="1" applyFont="1" applyBorder="1" applyAlignment="1">
      <alignment horizontal="center" vertical="center"/>
    </xf>
    <xf numFmtId="176" fontId="12" fillId="0" borderId="102" xfId="1" applyFont="1" applyBorder="1" applyAlignment="1">
      <alignment horizontal="center" vertical="center"/>
    </xf>
    <xf numFmtId="176" fontId="12" fillId="0" borderId="101" xfId="0" applyNumberFormat="1" applyFont="1" applyBorder="1" applyAlignment="1">
      <alignment horizontal="center" vertical="center"/>
    </xf>
    <xf numFmtId="176" fontId="12" fillId="0" borderId="107" xfId="0" applyNumberFormat="1" applyFont="1" applyBorder="1" applyAlignment="1">
      <alignment horizontal="center" vertical="center"/>
    </xf>
    <xf numFmtId="176" fontId="12" fillId="0" borderId="106" xfId="0" applyNumberFormat="1" applyFont="1" applyBorder="1" applyAlignment="1">
      <alignment horizontal="center" vertical="center"/>
    </xf>
    <xf numFmtId="181" fontId="12" fillId="0" borderId="106" xfId="1" applyNumberFormat="1" applyFont="1" applyBorder="1" applyAlignment="1">
      <alignment horizontal="center" vertical="center"/>
    </xf>
    <xf numFmtId="182" fontId="12" fillId="0" borderId="45" xfId="0" applyNumberFormat="1" applyFont="1" applyBorder="1" applyAlignment="1">
      <alignment horizontal="center" vertical="center"/>
    </xf>
    <xf numFmtId="182" fontId="12" fillId="0" borderId="42" xfId="0" applyNumberFormat="1" applyFont="1" applyBorder="1" applyAlignment="1">
      <alignment horizontal="center" vertical="center"/>
    </xf>
    <xf numFmtId="182" fontId="12" fillId="0" borderId="43" xfId="0" applyNumberFormat="1" applyFont="1" applyBorder="1" applyAlignment="1">
      <alignment horizontal="center" vertical="center"/>
    </xf>
    <xf numFmtId="182" fontId="12" fillId="0" borderId="41" xfId="0" applyNumberFormat="1" applyFont="1" applyBorder="1" applyAlignment="1">
      <alignment horizontal="center" vertical="center"/>
    </xf>
    <xf numFmtId="176" fontId="12" fillId="0" borderId="41" xfId="1" applyFont="1" applyBorder="1" applyAlignment="1">
      <alignment vertical="center"/>
    </xf>
    <xf numFmtId="176" fontId="12" fillId="0" borderId="42" xfId="1" applyFont="1" applyBorder="1" applyAlignment="1">
      <alignment vertical="center"/>
    </xf>
    <xf numFmtId="176" fontId="12" fillId="0" borderId="43" xfId="1" applyFont="1" applyBorder="1" applyAlignment="1">
      <alignment vertical="center"/>
    </xf>
    <xf numFmtId="176" fontId="12" fillId="0" borderId="41" xfId="0" applyNumberFormat="1" applyFont="1" applyBorder="1" applyAlignment="1">
      <alignment horizontal="center" vertical="center"/>
    </xf>
    <xf numFmtId="176" fontId="12" fillId="0" borderId="44" xfId="0" applyNumberFormat="1" applyFont="1" applyBorder="1" applyAlignment="1">
      <alignment horizontal="center" vertical="center"/>
    </xf>
    <xf numFmtId="176" fontId="12" fillId="0" borderId="10" xfId="0" applyNumberFormat="1" applyFont="1" applyBorder="1" applyAlignment="1">
      <alignment horizontal="center" vertical="center"/>
    </xf>
    <xf numFmtId="181" fontId="12" fillId="0" borderId="10" xfId="1" applyNumberFormat="1" applyFont="1" applyBorder="1" applyAlignment="1">
      <alignment horizontal="center" vertical="center"/>
    </xf>
    <xf numFmtId="0" fontId="12" fillId="0" borderId="54" xfId="0" applyFont="1" applyBorder="1" applyAlignment="1">
      <alignment horizontal="center" vertical="center"/>
    </xf>
    <xf numFmtId="0" fontId="12" fillId="0" borderId="52" xfId="0" applyFont="1" applyBorder="1" applyAlignment="1">
      <alignment horizontal="center" vertical="center"/>
    </xf>
    <xf numFmtId="0" fontId="12" fillId="0" borderId="53" xfId="0" applyFont="1" applyBorder="1" applyAlignment="1">
      <alignment horizontal="center" vertical="center"/>
    </xf>
    <xf numFmtId="49" fontId="12" fillId="0" borderId="51" xfId="0" applyNumberFormat="1" applyFont="1" applyBorder="1" applyAlignment="1">
      <alignment horizontal="center" vertical="center"/>
    </xf>
    <xf numFmtId="49" fontId="12" fillId="0" borderId="52" xfId="0" applyNumberFormat="1" applyFont="1" applyBorder="1" applyAlignment="1">
      <alignment horizontal="center" vertical="center"/>
    </xf>
    <xf numFmtId="49" fontId="12" fillId="0" borderId="53" xfId="0" applyNumberFormat="1" applyFont="1" applyBorder="1" applyAlignment="1">
      <alignment horizontal="center" vertical="center"/>
    </xf>
    <xf numFmtId="176" fontId="12" fillId="0" borderId="51" xfId="1" applyFont="1" applyBorder="1" applyAlignment="1">
      <alignment vertical="center"/>
    </xf>
    <xf numFmtId="176" fontId="12" fillId="0" borderId="52" xfId="1" applyFont="1" applyBorder="1" applyAlignment="1">
      <alignment vertical="center"/>
    </xf>
    <xf numFmtId="176" fontId="12" fillId="0" borderId="53" xfId="1" applyFont="1" applyBorder="1" applyAlignment="1">
      <alignment vertical="center"/>
    </xf>
    <xf numFmtId="176" fontId="12" fillId="0" borderId="51" xfId="0" applyNumberFormat="1" applyFont="1" applyBorder="1" applyAlignment="1">
      <alignment horizontal="center" vertical="center"/>
    </xf>
    <xf numFmtId="176" fontId="12" fillId="0" borderId="55" xfId="0" applyNumberFormat="1" applyFont="1" applyBorder="1" applyAlignment="1">
      <alignment horizontal="center" vertical="center"/>
    </xf>
    <xf numFmtId="176" fontId="12" fillId="0" borderId="9" xfId="1" applyFont="1" applyBorder="1" applyAlignment="1">
      <alignment horizontal="center" vertical="center"/>
    </xf>
    <xf numFmtId="181" fontId="12" fillId="0" borderId="9" xfId="1" applyNumberFormat="1" applyFont="1" applyBorder="1" applyAlignment="1">
      <alignment horizontal="center" vertical="center"/>
    </xf>
    <xf numFmtId="1" fontId="12" fillId="0" borderId="6" xfId="0" applyNumberFormat="1" applyFont="1" applyBorder="1" applyAlignment="1">
      <alignment horizontal="center" vertical="center"/>
    </xf>
    <xf numFmtId="1" fontId="12" fillId="0" borderId="7" xfId="0" applyNumberFormat="1" applyFont="1" applyBorder="1" applyAlignment="1">
      <alignment horizontal="center" vertical="center"/>
    </xf>
    <xf numFmtId="1" fontId="12" fillId="0" borderId="8" xfId="0" applyNumberFormat="1" applyFont="1" applyBorder="1" applyAlignment="1">
      <alignment horizontal="center" vertical="center"/>
    </xf>
    <xf numFmtId="0" fontId="22" fillId="0" borderId="70" xfId="0" applyFont="1" applyBorder="1" applyAlignment="1">
      <alignment horizontal="center"/>
    </xf>
    <xf numFmtId="0" fontId="22" fillId="0" borderId="71" xfId="0" applyFont="1" applyBorder="1" applyAlignment="1">
      <alignment horizontal="center"/>
    </xf>
    <xf numFmtId="180" fontId="4" fillId="3" borderId="84" xfId="0" applyNumberFormat="1" applyFont="1" applyFill="1" applyBorder="1" applyAlignment="1">
      <alignment horizontal="left" vertical="center"/>
    </xf>
    <xf numFmtId="180" fontId="4" fillId="3" borderId="86" xfId="0" applyNumberFormat="1" applyFont="1" applyFill="1" applyBorder="1" applyAlignment="1">
      <alignment horizontal="left" vertical="center"/>
    </xf>
    <xf numFmtId="14" fontId="5" fillId="0" borderId="96" xfId="0" applyNumberFormat="1" applyFont="1" applyBorder="1" applyAlignment="1">
      <alignment horizontal="center" vertical="center"/>
    </xf>
    <xf numFmtId="14" fontId="5" fillId="0" borderId="97" xfId="0" applyNumberFormat="1" applyFont="1" applyBorder="1" applyAlignment="1">
      <alignment horizontal="center" vertical="center"/>
    </xf>
    <xf numFmtId="14" fontId="5" fillId="0" borderId="97" xfId="0" applyNumberFormat="1" applyFont="1" applyBorder="1" applyAlignment="1">
      <alignment horizontal="right" vertical="center"/>
    </xf>
    <xf numFmtId="0" fontId="0" fillId="0" borderId="0" xfId="0" applyAlignment="1">
      <alignment horizontal="center" vertical="center"/>
    </xf>
    <xf numFmtId="0" fontId="24" fillId="6" borderId="0" xfId="0" applyFont="1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23" fillId="6" borderId="0" xfId="0" applyFont="1" applyFill="1" applyAlignment="1">
      <alignment horizontal="center" vertical="center"/>
    </xf>
    <xf numFmtId="0" fontId="0" fillId="0" borderId="5" xfId="0" applyBorder="1" applyAlignment="1" applyProtection="1">
      <alignment horizontal="center" vertical="center"/>
      <protection locked="0"/>
    </xf>
    <xf numFmtId="0" fontId="0" fillId="0" borderId="40" xfId="0" applyBorder="1" applyAlignment="1" applyProtection="1">
      <alignment horizontal="center" vertical="center"/>
      <protection locked="0"/>
    </xf>
    <xf numFmtId="0" fontId="30" fillId="0" borderId="5" xfId="0" applyFont="1" applyBorder="1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 wrapText="1"/>
      <protection locked="0"/>
    </xf>
    <xf numFmtId="0" fontId="0" fillId="0" borderId="40" xfId="0" applyBorder="1" applyAlignment="1" applyProtection="1">
      <alignment horizontal="center" vertical="center" wrapText="1"/>
      <protection locked="0"/>
    </xf>
    <xf numFmtId="14" fontId="0" fillId="0" borderId="5" xfId="0" applyNumberFormat="1" applyBorder="1" applyAlignment="1" applyProtection="1">
      <alignment horizontal="center" vertical="center"/>
      <protection locked="0"/>
    </xf>
    <xf numFmtId="14" fontId="0" fillId="0" borderId="40" xfId="0" applyNumberFormat="1" applyBorder="1" applyAlignment="1" applyProtection="1">
      <alignment horizontal="center" vertical="center"/>
      <protection locked="0"/>
    </xf>
    <xf numFmtId="182" fontId="12" fillId="0" borderId="50" xfId="0" applyNumberFormat="1" applyFont="1" applyBorder="1" applyAlignment="1">
      <alignment horizontal="center" vertical="center"/>
    </xf>
    <xf numFmtId="182" fontId="12" fillId="0" borderId="48" xfId="0" applyNumberFormat="1" applyFont="1" applyBorder="1" applyAlignment="1">
      <alignment horizontal="center" vertical="center"/>
    </xf>
    <xf numFmtId="182" fontId="12" fillId="0" borderId="49" xfId="0" applyNumberFormat="1" applyFont="1" applyBorder="1" applyAlignment="1">
      <alignment horizontal="center" vertical="center"/>
    </xf>
    <xf numFmtId="182" fontId="12" fillId="0" borderId="46" xfId="0" applyNumberFormat="1" applyFont="1" applyBorder="1" applyAlignment="1">
      <alignment horizontal="center" vertical="center"/>
    </xf>
    <xf numFmtId="176" fontId="12" fillId="0" borderId="10" xfId="0" applyNumberFormat="1" applyFont="1" applyBorder="1">
      <alignment vertical="center"/>
    </xf>
    <xf numFmtId="176" fontId="12" fillId="0" borderId="17" xfId="0" applyNumberFormat="1" applyFont="1" applyBorder="1">
      <alignment vertical="center"/>
    </xf>
    <xf numFmtId="181" fontId="12" fillId="0" borderId="10" xfId="1" applyNumberFormat="1" applyFont="1" applyBorder="1" applyAlignment="1">
      <alignment vertical="center"/>
    </xf>
    <xf numFmtId="176" fontId="12" fillId="0" borderId="16" xfId="0" applyNumberFormat="1" applyFont="1" applyBorder="1">
      <alignment vertical="center"/>
    </xf>
    <xf numFmtId="176" fontId="12" fillId="0" borderId="5" xfId="0" applyNumberFormat="1" applyFont="1" applyBorder="1">
      <alignment vertical="center"/>
    </xf>
    <xf numFmtId="14" fontId="12" fillId="0" borderId="24" xfId="0" applyNumberFormat="1" applyFont="1" applyBorder="1" applyAlignment="1">
      <alignment horizontal="center" vertical="center"/>
    </xf>
    <xf numFmtId="14" fontId="12" fillId="0" borderId="22" xfId="0" applyNumberFormat="1" applyFont="1" applyBorder="1" applyAlignment="1">
      <alignment horizontal="center" vertical="center"/>
    </xf>
    <xf numFmtId="14" fontId="12" fillId="0" borderId="25" xfId="0" applyNumberFormat="1" applyFont="1" applyBorder="1" applyAlignment="1">
      <alignment horizontal="center" vertical="center"/>
    </xf>
    <xf numFmtId="0" fontId="13" fillId="0" borderId="26" xfId="0" applyFont="1" applyBorder="1" applyAlignment="1">
      <alignment horizontal="center" vertical="center"/>
    </xf>
    <xf numFmtId="0" fontId="13" fillId="0" borderId="27" xfId="0" applyFont="1" applyBorder="1" applyAlignment="1">
      <alignment horizontal="center" vertical="center"/>
    </xf>
    <xf numFmtId="0" fontId="13" fillId="0" borderId="31" xfId="0" applyFont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181" fontId="12" fillId="0" borderId="46" xfId="1" applyNumberFormat="1" applyFont="1" applyBorder="1" applyAlignment="1">
      <alignment horizontal="center" vertical="center"/>
    </xf>
    <xf numFmtId="181" fontId="12" fillId="0" borderId="48" xfId="1" applyNumberFormat="1" applyFont="1" applyBorder="1" applyAlignment="1">
      <alignment horizontal="center" vertical="center"/>
    </xf>
    <xf numFmtId="181" fontId="12" fillId="0" borderId="49" xfId="1" applyNumberFormat="1" applyFont="1" applyBorder="1" applyAlignment="1">
      <alignment horizontal="center" vertical="center"/>
    </xf>
    <xf numFmtId="176" fontId="12" fillId="0" borderId="46" xfId="0" applyNumberFormat="1" applyFont="1" applyBorder="1" applyAlignment="1">
      <alignment horizontal="center" vertical="center"/>
    </xf>
    <xf numFmtId="176" fontId="12" fillId="0" borderId="47" xfId="0" applyNumberFormat="1" applyFont="1" applyBorder="1" applyAlignment="1">
      <alignment horizontal="center" vertical="center"/>
    </xf>
    <xf numFmtId="176" fontId="12" fillId="0" borderId="18" xfId="0" applyNumberFormat="1" applyFont="1" applyBorder="1">
      <alignment vertical="center"/>
    </xf>
    <xf numFmtId="176" fontId="12" fillId="0" borderId="11" xfId="0" applyNumberFormat="1" applyFont="1" applyBorder="1">
      <alignment vertical="center"/>
    </xf>
    <xf numFmtId="181" fontId="12" fillId="0" borderId="11" xfId="1" applyNumberFormat="1" applyFont="1" applyBorder="1" applyAlignment="1">
      <alignment vertical="center"/>
    </xf>
    <xf numFmtId="176" fontId="12" fillId="0" borderId="19" xfId="0" applyNumberFormat="1" applyFont="1" applyBorder="1">
      <alignment vertical="center"/>
    </xf>
    <xf numFmtId="176" fontId="12" fillId="0" borderId="14" xfId="0" applyNumberFormat="1" applyFont="1" applyBorder="1">
      <alignment vertical="center"/>
    </xf>
    <xf numFmtId="176" fontId="12" fillId="0" borderId="9" xfId="0" applyNumberFormat="1" applyFont="1" applyBorder="1">
      <alignment vertical="center"/>
    </xf>
    <xf numFmtId="181" fontId="12" fillId="0" borderId="9" xfId="1" applyNumberFormat="1" applyFont="1" applyBorder="1" applyAlignment="1">
      <alignment vertical="center"/>
    </xf>
    <xf numFmtId="181" fontId="12" fillId="0" borderId="41" xfId="1" applyNumberFormat="1" applyFont="1" applyBorder="1" applyAlignment="1">
      <alignment horizontal="center" vertical="center"/>
    </xf>
    <xf numFmtId="181" fontId="12" fillId="0" borderId="42" xfId="1" applyNumberFormat="1" applyFont="1" applyBorder="1" applyAlignment="1">
      <alignment horizontal="center" vertical="center"/>
    </xf>
    <xf numFmtId="181" fontId="12" fillId="0" borderId="43" xfId="1" applyNumberFormat="1" applyFont="1" applyBorder="1" applyAlignment="1">
      <alignment horizontal="center" vertical="center"/>
    </xf>
    <xf numFmtId="14" fontId="14" fillId="0" borderId="6" xfId="0" applyNumberFormat="1" applyFont="1" applyBorder="1" applyAlignment="1">
      <alignment horizontal="center" vertical="center"/>
    </xf>
    <xf numFmtId="14" fontId="14" fillId="0" borderId="7" xfId="0" applyNumberFormat="1" applyFont="1" applyBorder="1" applyAlignment="1">
      <alignment horizontal="center" vertical="center"/>
    </xf>
    <xf numFmtId="14" fontId="14" fillId="0" borderId="8" xfId="0" applyNumberFormat="1" applyFont="1" applyBorder="1" applyAlignment="1">
      <alignment horizontal="center" vertical="center"/>
    </xf>
    <xf numFmtId="0" fontId="14" fillId="0" borderId="6" xfId="0" applyFont="1" applyBorder="1" applyAlignment="1">
      <alignment horizontal="center" vertical="center" wrapText="1"/>
    </xf>
    <xf numFmtId="0" fontId="14" fillId="0" borderId="7" xfId="0" applyFont="1" applyBorder="1" applyAlignment="1">
      <alignment horizontal="center" vertical="center" wrapText="1"/>
    </xf>
    <xf numFmtId="0" fontId="14" fillId="0" borderId="13" xfId="0" applyFont="1" applyBorder="1" applyAlignment="1">
      <alignment horizontal="center" vertical="center" wrapText="1"/>
    </xf>
    <xf numFmtId="176" fontId="12" fillId="0" borderId="15" xfId="0" applyNumberFormat="1" applyFont="1" applyBorder="1">
      <alignment vertical="center"/>
    </xf>
    <xf numFmtId="181" fontId="12" fillId="0" borderId="41" xfId="1" applyNumberFormat="1" applyFont="1" applyBorder="1" applyAlignment="1">
      <alignment vertical="center"/>
    </xf>
    <xf numFmtId="181" fontId="12" fillId="0" borderId="42" xfId="1" applyNumberFormat="1" applyFont="1" applyBorder="1" applyAlignment="1">
      <alignment vertical="center"/>
    </xf>
    <xf numFmtId="181" fontId="12" fillId="0" borderId="43" xfId="1" applyNumberFormat="1" applyFont="1" applyBorder="1" applyAlignment="1">
      <alignment vertical="center"/>
    </xf>
    <xf numFmtId="182" fontId="12" fillId="0" borderId="45" xfId="0" applyNumberFormat="1" applyFont="1" applyBorder="1">
      <alignment vertical="center"/>
    </xf>
    <xf numFmtId="182" fontId="12" fillId="0" borderId="42" xfId="0" applyNumberFormat="1" applyFont="1" applyBorder="1">
      <alignment vertical="center"/>
    </xf>
    <xf numFmtId="182" fontId="12" fillId="0" borderId="43" xfId="0" applyNumberFormat="1" applyFont="1" applyBorder="1">
      <alignment vertical="center"/>
    </xf>
    <xf numFmtId="182" fontId="12" fillId="0" borderId="41" xfId="0" applyNumberFormat="1" applyFont="1" applyBorder="1">
      <alignment vertical="center"/>
    </xf>
    <xf numFmtId="182" fontId="12" fillId="0" borderId="41" xfId="0" applyNumberFormat="1" applyFont="1" applyBorder="1" applyAlignment="1">
      <alignment horizontal="left" vertical="center"/>
    </xf>
    <xf numFmtId="182" fontId="12" fillId="0" borderId="42" xfId="0" applyNumberFormat="1" applyFont="1" applyBorder="1" applyAlignment="1">
      <alignment horizontal="left" vertical="center"/>
    </xf>
    <xf numFmtId="182" fontId="12" fillId="0" borderId="43" xfId="0" applyNumberFormat="1" applyFont="1" applyBorder="1" applyAlignment="1">
      <alignment horizontal="left" vertical="center"/>
    </xf>
    <xf numFmtId="0" fontId="14" fillId="0" borderId="6" xfId="0" applyFont="1" applyBorder="1" applyAlignment="1">
      <alignment horizontal="center" vertical="center"/>
    </xf>
    <xf numFmtId="0" fontId="14" fillId="0" borderId="7" xfId="0" applyFont="1" applyBorder="1" applyAlignment="1">
      <alignment horizontal="center" vertical="center"/>
    </xf>
    <xf numFmtId="0" fontId="14" fillId="0" borderId="8" xfId="0" applyFont="1" applyBorder="1" applyAlignment="1">
      <alignment horizontal="center" vertical="center"/>
    </xf>
    <xf numFmtId="0" fontId="12" fillId="0" borderId="54" xfId="0" applyFont="1" applyBorder="1">
      <alignment vertical="center"/>
    </xf>
    <xf numFmtId="0" fontId="12" fillId="0" borderId="52" xfId="0" applyFont="1" applyBorder="1">
      <alignment vertical="center"/>
    </xf>
    <xf numFmtId="0" fontId="12" fillId="0" borderId="53" xfId="0" applyFont="1" applyBorder="1">
      <alignment vertical="center"/>
    </xf>
    <xf numFmtId="0" fontId="12" fillId="0" borderId="51" xfId="0" applyFont="1" applyBorder="1">
      <alignment vertical="center"/>
    </xf>
    <xf numFmtId="0" fontId="12" fillId="0" borderId="51" xfId="0" applyFont="1" applyBorder="1" applyAlignment="1">
      <alignment horizontal="center" vertical="center"/>
    </xf>
    <xf numFmtId="181" fontId="12" fillId="0" borderId="51" xfId="1" applyNumberFormat="1" applyFont="1" applyBorder="1" applyAlignment="1">
      <alignment vertical="center"/>
    </xf>
    <xf numFmtId="181" fontId="12" fillId="0" borderId="52" xfId="1" applyNumberFormat="1" applyFont="1" applyBorder="1" applyAlignment="1">
      <alignment vertical="center"/>
    </xf>
    <xf numFmtId="181" fontId="12" fillId="0" borderId="53" xfId="1" applyNumberFormat="1" applyFont="1" applyBorder="1" applyAlignment="1">
      <alignment vertical="center"/>
    </xf>
    <xf numFmtId="176" fontId="12" fillId="0" borderId="6" xfId="0" applyNumberFormat="1" applyFont="1" applyBorder="1" applyAlignment="1">
      <alignment horizontal="center" vertical="center"/>
    </xf>
    <xf numFmtId="176" fontId="12" fillId="0" borderId="7" xfId="0" applyNumberFormat="1" applyFont="1" applyBorder="1" applyAlignment="1">
      <alignment horizontal="center" vertical="center"/>
    </xf>
    <xf numFmtId="176" fontId="12" fillId="0" borderId="8" xfId="0" applyNumberFormat="1" applyFont="1" applyBorder="1" applyAlignment="1">
      <alignment horizontal="center" vertical="center"/>
    </xf>
    <xf numFmtId="176" fontId="14" fillId="0" borderId="6" xfId="0" applyNumberFormat="1" applyFont="1" applyBorder="1" applyAlignment="1">
      <alignment horizontal="right" vertical="center"/>
    </xf>
    <xf numFmtId="176" fontId="14" fillId="0" borderId="7" xfId="0" applyNumberFormat="1" applyFont="1" applyBorder="1" applyAlignment="1">
      <alignment horizontal="right" vertical="center"/>
    </xf>
    <xf numFmtId="176" fontId="14" fillId="0" borderId="8" xfId="0" applyNumberFormat="1" applyFont="1" applyBorder="1" applyAlignment="1">
      <alignment horizontal="right" vertical="center"/>
    </xf>
    <xf numFmtId="181" fontId="12" fillId="0" borderId="6" xfId="0" applyNumberFormat="1" applyFont="1" applyBorder="1" applyAlignment="1">
      <alignment horizontal="center" vertical="center"/>
    </xf>
    <xf numFmtId="181" fontId="12" fillId="0" borderId="7" xfId="0" applyNumberFormat="1" applyFont="1" applyBorder="1" applyAlignment="1">
      <alignment horizontal="center" vertical="center"/>
    </xf>
    <xf numFmtId="181" fontId="12" fillId="0" borderId="13" xfId="0" applyNumberFormat="1" applyFont="1" applyBorder="1" applyAlignment="1">
      <alignment horizontal="center" vertical="center"/>
    </xf>
    <xf numFmtId="180" fontId="4" fillId="3" borderId="3" xfId="0" applyNumberFormat="1" applyFont="1" applyFill="1" applyBorder="1" applyAlignment="1">
      <alignment horizontal="left" vertical="center"/>
    </xf>
    <xf numFmtId="180" fontId="4" fillId="3" borderId="4" xfId="0" applyNumberFormat="1" applyFont="1" applyFill="1" applyBorder="1" applyAlignment="1">
      <alignment horizontal="left" vertical="center"/>
    </xf>
  </cellXfs>
  <cellStyles count="4">
    <cellStyle name="쉼표 [0]" xfId="1" builtinId="6"/>
    <cellStyle name="표준" xfId="0" builtinId="0"/>
    <cellStyle name="표준 2" xfId="3" xr:uid="{93610B7F-A677-4762-8102-7E6D6EF28710}"/>
    <cellStyle name="하이퍼링크" xfId="2" builtinId="8"/>
  </cellStyles>
  <dxfs count="3"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1D6F42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BTS</a:t>
            </a:r>
            <a:r>
              <a:rPr lang="en-US" altLang="ko-KR" baseline="0"/>
              <a:t> </a:t>
            </a:r>
            <a:r>
              <a:rPr lang="ko-KR" altLang="en-US" baseline="0"/>
              <a:t>매출순위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 alt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chemeClr val="accent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temp2!$B$2:$B$11</c:f>
              <c:strCache>
                <c:ptCount val="10"/>
                <c:pt idx="0">
                  <c:v>하이웨이(구미)</c:v>
                </c:pt>
                <c:pt idx="1">
                  <c:v>미르오토(대구)</c:v>
                </c:pt>
                <c:pt idx="2">
                  <c:v>하나오토(청주)</c:v>
                </c:pt>
                <c:pt idx="3">
                  <c:v>오토젠(남양주)</c:v>
                </c:pt>
                <c:pt idx="4">
                  <c:v>조이오토(대구)</c:v>
                </c:pt>
                <c:pt idx="5">
                  <c:v>대명오토(서울서초)</c:v>
                </c:pt>
                <c:pt idx="6">
                  <c:v>그린오토매틱(제주)</c:v>
                </c:pt>
                <c:pt idx="7">
                  <c:v>부산비엔비(부산)</c:v>
                </c:pt>
                <c:pt idx="8">
                  <c:v>경남오토미션(창원)</c:v>
                </c:pt>
                <c:pt idx="9">
                  <c:v>진홍오토(대구)</c:v>
                </c:pt>
              </c:strCache>
            </c:strRef>
          </c:cat>
          <c:val>
            <c:numRef>
              <c:f>temp2!$C$2:$C$11</c:f>
              <c:numCache>
                <c:formatCode>_(* #,##0_);_(* \(#,##0\);_(* "-"_);_(@_)</c:formatCode>
                <c:ptCount val="10"/>
                <c:pt idx="0">
                  <c:v>5550000</c:v>
                </c:pt>
                <c:pt idx="1">
                  <c:v>4050000</c:v>
                </c:pt>
                <c:pt idx="2">
                  <c:v>2970000</c:v>
                </c:pt>
                <c:pt idx="3">
                  <c:v>2895000</c:v>
                </c:pt>
                <c:pt idx="4">
                  <c:v>2305000</c:v>
                </c:pt>
                <c:pt idx="5">
                  <c:v>2255000</c:v>
                </c:pt>
                <c:pt idx="6">
                  <c:v>2100000</c:v>
                </c:pt>
                <c:pt idx="7">
                  <c:v>1955000</c:v>
                </c:pt>
                <c:pt idx="8">
                  <c:v>2900000</c:v>
                </c:pt>
                <c:pt idx="9">
                  <c:v>1650000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499-41F0-AC73-87B63CE4B6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418658848"/>
        <c:axId val="1418659808"/>
        <c:extLst>
          <c:ext xmlns:c15="http://schemas.microsoft.com/office/drawing/2012/chart" uri="{02D57815-91ED-43cb-92C2-25804820EDAC}">
            <c15:filteredBarSeries>
              <c15:ser>
                <c:idx val="1"/>
                <c:order val="1"/>
                <c:spPr>
                  <a:solidFill>
                    <a:schemeClr val="accent2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uri="{02D57815-91ED-43cb-92C2-25804820EDAC}">
                        <c15:formulaRef>
                          <c15:sqref>temp2!$B$2:$B$11</c15:sqref>
                        </c15:formulaRef>
                      </c:ext>
                    </c:extLst>
                    <c:strCache>
                      <c:ptCount val="10"/>
                      <c:pt idx="0">
                        <c:v>하이웨이(구미)</c:v>
                      </c:pt>
                      <c:pt idx="1">
                        <c:v>미르오토(대구)</c:v>
                      </c:pt>
                      <c:pt idx="2">
                        <c:v>하나오토(청주)</c:v>
                      </c:pt>
                      <c:pt idx="3">
                        <c:v>오토젠(남양주)</c:v>
                      </c:pt>
                      <c:pt idx="4">
                        <c:v>조이오토(대구)</c:v>
                      </c:pt>
                      <c:pt idx="5">
                        <c:v>대명오토(서울서초)</c:v>
                      </c:pt>
                      <c:pt idx="6">
                        <c:v>그린오토매틱(제주)</c:v>
                      </c:pt>
                      <c:pt idx="7">
                        <c:v>부산비엔비(부산)</c:v>
                      </c:pt>
                      <c:pt idx="8">
                        <c:v>경남오토미션(창원)</c:v>
                      </c:pt>
                      <c:pt idx="9">
                        <c:v>진홍오토(대구)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temp2!$D$2:$D$11</c15:sqref>
                        </c15:formulaRef>
                      </c:ext>
                    </c:extLst>
                    <c:numCache>
                      <c:formatCode>General</c:formatCode>
                      <c:ptCount val="10"/>
                      <c:pt idx="0">
                        <c:v>1</c:v>
                      </c:pt>
                      <c:pt idx="1">
                        <c:v>2</c:v>
                      </c:pt>
                      <c:pt idx="2">
                        <c:v>3</c:v>
                      </c:pt>
                      <c:pt idx="3">
                        <c:v>5</c:v>
                      </c:pt>
                      <c:pt idx="4">
                        <c:v>6</c:v>
                      </c:pt>
                      <c:pt idx="5">
                        <c:v>7</c:v>
                      </c:pt>
                      <c:pt idx="6">
                        <c:v>8</c:v>
                      </c:pt>
                      <c:pt idx="7">
                        <c:v>10</c:v>
                      </c:pt>
                      <c:pt idx="8">
                        <c:v>4</c:v>
                      </c:pt>
                      <c:pt idx="9">
                        <c:v>13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1-C499-41F0-AC73-87B63CE4B67C}"/>
                  </c:ext>
                </c:extLst>
              </c15:ser>
            </c15:filteredBarSeries>
          </c:ext>
        </c:extLst>
      </c:barChart>
      <c:catAx>
        <c:axId val="141865884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18659808"/>
        <c:crosses val="autoZero"/>
        <c:auto val="1"/>
        <c:lblAlgn val="ctr"/>
        <c:lblOffset val="100"/>
        <c:noMultiLvlLbl val="0"/>
      </c:catAx>
      <c:valAx>
        <c:axId val="14186598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186588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>
                  <a:noFill/>
                </a:ln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</c:legendEntry>
      <c:layout>
        <c:manualLayout>
          <c:xMode val="edge"/>
          <c:yMode val="edge"/>
          <c:x val="0.46165846699000146"/>
          <c:y val="0.91597752760243811"/>
          <c:w val="0.11410305617263131"/>
          <c:h val="6.198390490444892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svg"/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svg"/><Relationship Id="rId13" Type="http://schemas.openxmlformats.org/officeDocument/2006/relationships/image" Target="../media/image14.png"/><Relationship Id="rId3" Type="http://schemas.openxmlformats.org/officeDocument/2006/relationships/image" Target="../media/image6.png"/><Relationship Id="rId7" Type="http://schemas.openxmlformats.org/officeDocument/2006/relationships/image" Target="../media/image10.png"/><Relationship Id="rId12" Type="http://schemas.openxmlformats.org/officeDocument/2006/relationships/image" Target="../media/image3.svg"/><Relationship Id="rId2" Type="http://schemas.openxmlformats.org/officeDocument/2006/relationships/image" Target="../media/image5.svg"/><Relationship Id="rId1" Type="http://schemas.openxmlformats.org/officeDocument/2006/relationships/image" Target="../media/image4.png"/><Relationship Id="rId6" Type="http://schemas.openxmlformats.org/officeDocument/2006/relationships/image" Target="../media/image9.svg"/><Relationship Id="rId11" Type="http://schemas.openxmlformats.org/officeDocument/2006/relationships/image" Target="../media/image2.png"/><Relationship Id="rId5" Type="http://schemas.openxmlformats.org/officeDocument/2006/relationships/image" Target="../media/image8.png"/><Relationship Id="rId10" Type="http://schemas.openxmlformats.org/officeDocument/2006/relationships/image" Target="../media/image13.svg"/><Relationship Id="rId4" Type="http://schemas.openxmlformats.org/officeDocument/2006/relationships/image" Target="../media/image7.svg"/><Relationship Id="rId9" Type="http://schemas.openxmlformats.org/officeDocument/2006/relationships/image" Target="../media/image12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7.png"/><Relationship Id="rId1" Type="http://schemas.openxmlformats.org/officeDocument/2006/relationships/image" Target="../media/image1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20.png"/><Relationship Id="rId2" Type="http://schemas.openxmlformats.org/officeDocument/2006/relationships/image" Target="../media/image19.svg"/><Relationship Id="rId1" Type="http://schemas.openxmlformats.org/officeDocument/2006/relationships/image" Target="../media/image18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9.svg"/><Relationship Id="rId2" Type="http://schemas.openxmlformats.org/officeDocument/2006/relationships/image" Target="../media/image18.png"/><Relationship Id="rId1" Type="http://schemas.openxmlformats.org/officeDocument/2006/relationships/image" Target="../media/image20.png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svg"/><Relationship Id="rId13" Type="http://schemas.openxmlformats.org/officeDocument/2006/relationships/image" Target="../media/image12.png"/><Relationship Id="rId18" Type="http://schemas.openxmlformats.org/officeDocument/2006/relationships/image" Target="../media/image24.svg"/><Relationship Id="rId3" Type="http://schemas.openxmlformats.org/officeDocument/2006/relationships/image" Target="../media/image18.png"/><Relationship Id="rId21" Type="http://schemas.openxmlformats.org/officeDocument/2006/relationships/image" Target="../media/image20.png"/><Relationship Id="rId7" Type="http://schemas.openxmlformats.org/officeDocument/2006/relationships/image" Target="../media/image6.png"/><Relationship Id="rId12" Type="http://schemas.openxmlformats.org/officeDocument/2006/relationships/image" Target="../media/image11.svg"/><Relationship Id="rId17" Type="http://schemas.openxmlformats.org/officeDocument/2006/relationships/image" Target="../media/image23.png"/><Relationship Id="rId2" Type="http://schemas.openxmlformats.org/officeDocument/2006/relationships/image" Target="../media/image5.svg"/><Relationship Id="rId16" Type="http://schemas.openxmlformats.org/officeDocument/2006/relationships/image" Target="../media/image3.svg"/><Relationship Id="rId20" Type="http://schemas.openxmlformats.org/officeDocument/2006/relationships/image" Target="../media/image26.svg"/><Relationship Id="rId1" Type="http://schemas.openxmlformats.org/officeDocument/2006/relationships/image" Target="../media/image4.png"/><Relationship Id="rId6" Type="http://schemas.openxmlformats.org/officeDocument/2006/relationships/image" Target="../media/image22.svg"/><Relationship Id="rId11" Type="http://schemas.openxmlformats.org/officeDocument/2006/relationships/image" Target="../media/image10.png"/><Relationship Id="rId5" Type="http://schemas.openxmlformats.org/officeDocument/2006/relationships/image" Target="../media/image21.png"/><Relationship Id="rId15" Type="http://schemas.openxmlformats.org/officeDocument/2006/relationships/image" Target="../media/image2.png"/><Relationship Id="rId10" Type="http://schemas.openxmlformats.org/officeDocument/2006/relationships/image" Target="../media/image9.svg"/><Relationship Id="rId19" Type="http://schemas.openxmlformats.org/officeDocument/2006/relationships/image" Target="../media/image25.png"/><Relationship Id="rId4" Type="http://schemas.openxmlformats.org/officeDocument/2006/relationships/image" Target="../media/image19.svg"/><Relationship Id="rId9" Type="http://schemas.openxmlformats.org/officeDocument/2006/relationships/image" Target="../media/image8.png"/><Relationship Id="rId14" Type="http://schemas.openxmlformats.org/officeDocument/2006/relationships/image" Target="../media/image13.sv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6</xdr:row>
      <xdr:rowOff>0</xdr:rowOff>
    </xdr:from>
    <xdr:to>
      <xdr:col>17</xdr:col>
      <xdr:colOff>0</xdr:colOff>
      <xdr:row>6</xdr:row>
      <xdr:rowOff>0</xdr:rowOff>
    </xdr:to>
    <xdr:cxnSp macro="">
      <xdr:nvCxnSpPr>
        <xdr:cNvPr id="9" name="직선 연결선 8">
          <a:extLst>
            <a:ext uri="{FF2B5EF4-FFF2-40B4-BE49-F238E27FC236}">
              <a16:creationId xmlns:a16="http://schemas.microsoft.com/office/drawing/2014/main" id="{84BB77A7-7BA3-1443-7DB1-C1E28312F72C}"/>
            </a:ext>
          </a:extLst>
        </xdr:cNvPr>
        <xdr:cNvCxnSpPr/>
      </xdr:nvCxnSpPr>
      <xdr:spPr>
        <a:xfrm>
          <a:off x="1371600" y="1257300"/>
          <a:ext cx="10287000" cy="0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371475</xdr:colOff>
      <xdr:row>5</xdr:row>
      <xdr:rowOff>200025</xdr:rowOff>
    </xdr:from>
    <xdr:to>
      <xdr:col>6</xdr:col>
      <xdr:colOff>371475</xdr:colOff>
      <xdr:row>24</xdr:row>
      <xdr:rowOff>190500</xdr:rowOff>
    </xdr:to>
    <xdr:cxnSp macro="">
      <xdr:nvCxnSpPr>
        <xdr:cNvPr id="18" name="직선 연결선 17">
          <a:extLst>
            <a:ext uri="{FF2B5EF4-FFF2-40B4-BE49-F238E27FC236}">
              <a16:creationId xmlns:a16="http://schemas.microsoft.com/office/drawing/2014/main" id="{E547B113-01A4-4BB2-9F28-59382E46A68A}"/>
            </a:ext>
          </a:extLst>
        </xdr:cNvPr>
        <xdr:cNvCxnSpPr/>
      </xdr:nvCxnSpPr>
      <xdr:spPr>
        <a:xfrm>
          <a:off x="4486275" y="1247775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542925</xdr:colOff>
      <xdr:row>6</xdr:row>
      <xdr:rowOff>0</xdr:rowOff>
    </xdr:from>
    <xdr:to>
      <xdr:col>11</xdr:col>
      <xdr:colOff>542925</xdr:colOff>
      <xdr:row>24</xdr:row>
      <xdr:rowOff>200025</xdr:rowOff>
    </xdr:to>
    <xdr:cxnSp macro="">
      <xdr:nvCxnSpPr>
        <xdr:cNvPr id="30" name="직선 연결선 29">
          <a:extLst>
            <a:ext uri="{FF2B5EF4-FFF2-40B4-BE49-F238E27FC236}">
              <a16:creationId xmlns:a16="http://schemas.microsoft.com/office/drawing/2014/main" id="{44FF4F7F-BD88-4F6E-A7A9-80D5CC8B6F84}"/>
            </a:ext>
          </a:extLst>
        </xdr:cNvPr>
        <xdr:cNvCxnSpPr/>
      </xdr:nvCxnSpPr>
      <xdr:spPr>
        <a:xfrm>
          <a:off x="8086725" y="1257300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647699</xdr:colOff>
      <xdr:row>32</xdr:row>
      <xdr:rowOff>0</xdr:rowOff>
    </xdr:to>
    <xdr:grpSp>
      <xdr:nvGrpSpPr>
        <xdr:cNvPr id="43" name="그룹 42">
          <a:extLst>
            <a:ext uri="{FF2B5EF4-FFF2-40B4-BE49-F238E27FC236}">
              <a16:creationId xmlns:a16="http://schemas.microsoft.com/office/drawing/2014/main" id="{B7CD441C-39E6-A85F-24BB-18A80407B500}"/>
            </a:ext>
          </a:extLst>
        </xdr:cNvPr>
        <xdr:cNvGrpSpPr/>
      </xdr:nvGrpSpPr>
      <xdr:grpSpPr>
        <a:xfrm>
          <a:off x="0" y="0"/>
          <a:ext cx="10934699" cy="6076950"/>
          <a:chOff x="1543878" y="1600200"/>
          <a:chExt cx="10696575" cy="5823499"/>
        </a:xfrm>
      </xdr:grpSpPr>
      <xdr:grpSp>
        <xdr:nvGrpSpPr>
          <xdr:cNvPr id="42" name="그룹 41">
            <a:extLst>
              <a:ext uri="{FF2B5EF4-FFF2-40B4-BE49-F238E27FC236}">
                <a16:creationId xmlns:a16="http://schemas.microsoft.com/office/drawing/2014/main" id="{C499FBA4-AB41-B691-3A56-348899FD4C58}"/>
              </a:ext>
            </a:extLst>
          </xdr:cNvPr>
          <xdr:cNvGrpSpPr/>
        </xdr:nvGrpSpPr>
        <xdr:grpSpPr>
          <a:xfrm>
            <a:off x="1543878" y="1600200"/>
            <a:ext cx="10696575" cy="5823499"/>
            <a:chOff x="1058103" y="133350"/>
            <a:chExt cx="10696575" cy="5823499"/>
          </a:xfrm>
        </xdr:grpSpPr>
        <xdr:pic>
          <xdr:nvPicPr>
            <xdr:cNvPr id="32" name="그림 31">
              <a:extLst>
                <a:ext uri="{FF2B5EF4-FFF2-40B4-BE49-F238E27FC236}">
                  <a16:creationId xmlns:a16="http://schemas.microsoft.com/office/drawing/2014/main" id="{950FE8C6-76A1-AD1F-9A24-E009B20146AB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>
              <a:alphaModFix/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058103" y="133350"/>
              <a:ext cx="10696575" cy="5823499"/>
            </a:xfrm>
            <a:prstGeom prst="rect">
              <a:avLst/>
            </a:prstGeom>
          </xdr:spPr>
        </xdr:pic>
        <xdr:grpSp>
          <xdr:nvGrpSpPr>
            <xdr:cNvPr id="7" name="그룹 6">
              <a:extLst>
                <a:ext uri="{FF2B5EF4-FFF2-40B4-BE49-F238E27FC236}">
                  <a16:creationId xmlns:a16="http://schemas.microsoft.com/office/drawing/2014/main" id="{0447E312-AB2F-C4E6-C485-B80A25650D3C}"/>
                </a:ext>
              </a:extLst>
            </xdr:cNvPr>
            <xdr:cNvGrpSpPr/>
          </xdr:nvGrpSpPr>
          <xdr:grpSpPr>
            <a:xfrm>
              <a:off x="2057400" y="1762126"/>
              <a:ext cx="1724025" cy="457200"/>
              <a:chOff x="1666875" y="952501"/>
              <a:chExt cx="1724025" cy="457200"/>
            </a:xfrm>
          </xdr:grpSpPr>
          <xdr:sp macro="[0]!주문_이동" textlink="">
            <xdr:nvSpPr>
              <xdr:cNvPr id="2" name="직사각형 1">
                <a:extLst>
                  <a:ext uri="{FF2B5EF4-FFF2-40B4-BE49-F238E27FC236}">
                    <a16:creationId xmlns:a16="http://schemas.microsoft.com/office/drawing/2014/main" id="{ADFF894C-3C03-4F41-74B5-D844C1CEB79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주문</a:t>
                </a:r>
                <a:r>
                  <a:rPr lang="ko-KR" altLang="en-US" sz="1100" baseline="0">
                    <a:solidFill>
                      <a:sysClr val="windowText" lastClr="000000"/>
                    </a:solidFill>
                  </a:rPr>
                  <a:t> 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W)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 macro="[0]!주문_이동">
            <xdr:nvPicPr>
              <xdr:cNvPr id="5" name="Graphic 9" descr="Document">
                <a:extLst>
                  <a:ext uri="{FF2B5EF4-FFF2-40B4-BE49-F238E27FC236}">
                    <a16:creationId xmlns:a16="http://schemas.microsoft.com/office/drawing/2014/main" id="{C94BB103-DCFA-6E38-E10D-5ABB8578B22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sp macro="[0]!거래리스트_이동" textlink="">
          <xdr:nvSpPr>
            <xdr:cNvPr id="13" name="직사각형 12">
              <a:extLst>
                <a:ext uri="{FF2B5EF4-FFF2-40B4-BE49-F238E27FC236}">
                  <a16:creationId xmlns:a16="http://schemas.microsoft.com/office/drawing/2014/main" id="{F40DD120-1268-B097-594E-E69DB9206F71}"/>
                </a:ext>
              </a:extLst>
            </xdr:cNvPr>
            <xdr:cNvSpPr/>
          </xdr:nvSpPr>
          <xdr:spPr>
            <a:xfrm>
              <a:off x="2038350" y="2419351"/>
              <a:ext cx="1724025" cy="457200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ko-KR" altLang="en-US" sz="1100">
                  <a:solidFill>
                    <a:sysClr val="windowText" lastClr="000000"/>
                  </a:solidFill>
                </a:rPr>
                <a:t>주문내역</a:t>
              </a:r>
              <a:endParaRPr lang="en-US" altLang="ko-KR" sz="1100">
                <a:solidFill>
                  <a:sysClr val="windowText" lastClr="000000"/>
                </a:solidFill>
              </a:endParaRPr>
            </a:p>
          </xdr:txBody>
        </xdr:sp>
        <xdr:grpSp>
          <xdr:nvGrpSpPr>
            <xdr:cNvPr id="15" name="그룹 14">
              <a:extLst>
                <a:ext uri="{FF2B5EF4-FFF2-40B4-BE49-F238E27FC236}">
                  <a16:creationId xmlns:a16="http://schemas.microsoft.com/office/drawing/2014/main" id="{06E71499-EC86-40D0-A6BE-B7A469B9A0E8}"/>
                </a:ext>
              </a:extLst>
            </xdr:cNvPr>
            <xdr:cNvGrpSpPr/>
          </xdr:nvGrpSpPr>
          <xdr:grpSpPr>
            <a:xfrm>
              <a:off x="2038350" y="3076576"/>
              <a:ext cx="1724025" cy="457200"/>
              <a:chOff x="1666875" y="952501"/>
              <a:chExt cx="1724025" cy="457200"/>
            </a:xfrm>
          </xdr:grpSpPr>
          <xdr:sp macro="[0]!거래내역서_이동" textlink="">
            <xdr:nvSpPr>
              <xdr:cNvPr id="16" name="직사각형 15">
                <a:extLst>
                  <a:ext uri="{FF2B5EF4-FFF2-40B4-BE49-F238E27FC236}">
                    <a16:creationId xmlns:a16="http://schemas.microsoft.com/office/drawing/2014/main" id="{7E2FCC6C-9034-4C3B-4185-5F2CE6D65428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거래내역서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17" name="Graphic 9" descr="Document">
                <a:extLst>
                  <a:ext uri="{FF2B5EF4-FFF2-40B4-BE49-F238E27FC236}">
                    <a16:creationId xmlns:a16="http://schemas.microsoft.com/office/drawing/2014/main" id="{DDF4EB59-818B-339C-EB8D-466DF6D4D69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1" name="그룹 20">
              <a:extLst>
                <a:ext uri="{FF2B5EF4-FFF2-40B4-BE49-F238E27FC236}">
                  <a16:creationId xmlns:a16="http://schemas.microsoft.com/office/drawing/2014/main" id="{984B8297-105E-4BC2-BB75-153BC76618B2}"/>
                </a:ext>
              </a:extLst>
            </xdr:cNvPr>
            <xdr:cNvGrpSpPr/>
          </xdr:nvGrpSpPr>
          <xdr:grpSpPr>
            <a:xfrm>
              <a:off x="5362575" y="1762126"/>
              <a:ext cx="1724025" cy="457200"/>
              <a:chOff x="1666875" y="952501"/>
              <a:chExt cx="1724025" cy="457200"/>
            </a:xfrm>
          </xdr:grpSpPr>
          <xdr:sp macro="[0]!거래처_이동" textlink="">
            <xdr:nvSpPr>
              <xdr:cNvPr id="22" name="직사각형 21">
                <a:extLst>
                  <a:ext uri="{FF2B5EF4-FFF2-40B4-BE49-F238E27FC236}">
                    <a16:creationId xmlns:a16="http://schemas.microsoft.com/office/drawing/2014/main" id="{3D96BC54-8EF1-7CF4-AA8C-E617C78BEB41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    거래처관리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E)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3" name="Graphic 9" descr="Document">
                <a:extLst>
                  <a:ext uri="{FF2B5EF4-FFF2-40B4-BE49-F238E27FC236}">
                    <a16:creationId xmlns:a16="http://schemas.microsoft.com/office/drawing/2014/main" id="{BC193453-54D3-28CA-BF0B-7E51AFA50645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4" name="그룹 23">
              <a:extLst>
                <a:ext uri="{FF2B5EF4-FFF2-40B4-BE49-F238E27FC236}">
                  <a16:creationId xmlns:a16="http://schemas.microsoft.com/office/drawing/2014/main" id="{6625431C-4606-4421-AC68-F29F09FD2357}"/>
                </a:ext>
              </a:extLst>
            </xdr:cNvPr>
            <xdr:cNvGrpSpPr/>
          </xdr:nvGrpSpPr>
          <xdr:grpSpPr>
            <a:xfrm>
              <a:off x="5381625" y="2419351"/>
              <a:ext cx="1724025" cy="457200"/>
              <a:chOff x="1666875" y="952501"/>
              <a:chExt cx="1724025" cy="457200"/>
            </a:xfrm>
          </xdr:grpSpPr>
          <xdr:sp macro="[0]!제품리스트_이동" textlink="">
            <xdr:nvSpPr>
              <xdr:cNvPr id="25" name="직사각형 24">
                <a:extLst>
                  <a:ext uri="{FF2B5EF4-FFF2-40B4-BE49-F238E27FC236}">
                    <a16:creationId xmlns:a16="http://schemas.microsoft.com/office/drawing/2014/main" id="{83D03AC7-1CA7-4BCE-506B-441E9F6A953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제품관리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6" name="Graphic 9" descr="Document">
                <a:extLst>
                  <a:ext uri="{FF2B5EF4-FFF2-40B4-BE49-F238E27FC236}">
                    <a16:creationId xmlns:a16="http://schemas.microsoft.com/office/drawing/2014/main" id="{03B39079-084F-3F63-36C3-764524EFF7C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3" name="그룹 32">
              <a:extLst>
                <a:ext uri="{FF2B5EF4-FFF2-40B4-BE49-F238E27FC236}">
                  <a16:creationId xmlns:a16="http://schemas.microsoft.com/office/drawing/2014/main" id="{955AB0B2-A2DD-4B43-A959-829A25CE7907}"/>
                </a:ext>
              </a:extLst>
            </xdr:cNvPr>
            <xdr:cNvGrpSpPr/>
          </xdr:nvGrpSpPr>
          <xdr:grpSpPr>
            <a:xfrm>
              <a:off x="5353391" y="3048741"/>
              <a:ext cx="1724025" cy="457200"/>
              <a:chOff x="-1771309" y="2248641"/>
              <a:chExt cx="1724025" cy="457200"/>
            </a:xfrm>
          </xdr:grpSpPr>
          <xdr:sp macro="[0]!매출관리_이동" textlink="">
            <xdr:nvSpPr>
              <xdr:cNvPr id="34" name="직사각형 33">
                <a:extLst>
                  <a:ext uri="{FF2B5EF4-FFF2-40B4-BE49-F238E27FC236}">
                    <a16:creationId xmlns:a16="http://schemas.microsoft.com/office/drawing/2014/main" id="{0B603061-4549-765E-8AF8-26C3674329A3}"/>
                  </a:ext>
                </a:extLst>
              </xdr:cNvPr>
              <xdr:cNvSpPr/>
            </xdr:nvSpPr>
            <xdr:spPr>
              <a:xfrm>
                <a:off x="-1771309" y="224864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  매출관리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R)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5" name="Graphic 9" descr="Document">
                <a:extLst>
                  <a:ext uri="{FF2B5EF4-FFF2-40B4-BE49-F238E27FC236}">
                    <a16:creationId xmlns:a16="http://schemas.microsoft.com/office/drawing/2014/main" id="{CF0FAE1D-DFDE-3270-9DC2-3EF8589CB5A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-1682383" y="2319950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6" name="그룹 35">
              <a:extLst>
                <a:ext uri="{FF2B5EF4-FFF2-40B4-BE49-F238E27FC236}">
                  <a16:creationId xmlns:a16="http://schemas.microsoft.com/office/drawing/2014/main" id="{3AF14D37-3623-406E-8914-7D64CEC8B192}"/>
                </a:ext>
              </a:extLst>
            </xdr:cNvPr>
            <xdr:cNvGrpSpPr/>
          </xdr:nvGrpSpPr>
          <xdr:grpSpPr>
            <a:xfrm>
              <a:off x="5372025" y="3678979"/>
              <a:ext cx="1724025" cy="457200"/>
              <a:chOff x="-1752675" y="2212129"/>
              <a:chExt cx="1724025" cy="457200"/>
            </a:xfrm>
          </xdr:grpSpPr>
          <xdr:sp macro="[0]!미수금" textlink="">
            <xdr:nvSpPr>
              <xdr:cNvPr id="37" name="직사각형 36">
                <a:extLst>
                  <a:ext uri="{FF2B5EF4-FFF2-40B4-BE49-F238E27FC236}">
                    <a16:creationId xmlns:a16="http://schemas.microsoft.com/office/drawing/2014/main" id="{B73D7EB2-3C55-14D6-FFAF-93B3039CE02A}"/>
                  </a:ext>
                </a:extLst>
              </xdr:cNvPr>
              <xdr:cNvSpPr/>
            </xdr:nvSpPr>
            <xdr:spPr>
              <a:xfrm>
                <a:off x="-1752675" y="2212129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미수금관리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8" name="Graphic 9" descr="Document">
                <a:extLst>
                  <a:ext uri="{FF2B5EF4-FFF2-40B4-BE49-F238E27FC236}">
                    <a16:creationId xmlns:a16="http://schemas.microsoft.com/office/drawing/2014/main" id="{B8F4086F-6241-A2FA-7D9D-41FA2768DD3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-1663747" y="228344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9" name="그룹 38">
              <a:extLst>
                <a:ext uri="{FF2B5EF4-FFF2-40B4-BE49-F238E27FC236}">
                  <a16:creationId xmlns:a16="http://schemas.microsoft.com/office/drawing/2014/main" id="{41380357-08E0-404A-B3D0-ECE06301D0A8}"/>
                </a:ext>
              </a:extLst>
            </xdr:cNvPr>
            <xdr:cNvGrpSpPr/>
          </xdr:nvGrpSpPr>
          <xdr:grpSpPr>
            <a:xfrm>
              <a:off x="2047875" y="3724276"/>
              <a:ext cx="1724025" cy="457200"/>
              <a:chOff x="1666875" y="952501"/>
              <a:chExt cx="1724025" cy="457200"/>
            </a:xfrm>
          </xdr:grpSpPr>
          <xdr:sp macro="[0]!경비처리_이동" textlink="">
            <xdr:nvSpPr>
              <xdr:cNvPr id="40" name="직사각형 39">
                <a:extLst>
                  <a:ext uri="{FF2B5EF4-FFF2-40B4-BE49-F238E27FC236}">
                    <a16:creationId xmlns:a16="http://schemas.microsoft.com/office/drawing/2014/main" id="{5054E457-1CA9-7F88-2B3D-5B3656A38007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경비처리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41" name="Graphic 9" descr="Document">
                <a:extLst>
                  <a:ext uri="{FF2B5EF4-FFF2-40B4-BE49-F238E27FC236}">
                    <a16:creationId xmlns:a16="http://schemas.microsoft.com/office/drawing/2014/main" id="{8B63A8DE-02B5-FD30-231F-260A77FCC1F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</xdr:grpSp>
      <xdr:sp macro="" textlink="">
        <xdr:nvSpPr>
          <xdr:cNvPr id="11" name="TextBox 10">
            <a:extLst>
              <a:ext uri="{FF2B5EF4-FFF2-40B4-BE49-F238E27FC236}">
                <a16:creationId xmlns:a16="http://schemas.microsoft.com/office/drawing/2014/main" id="{90924AE9-6300-28DB-82B8-EB0A4194ADB7}"/>
              </a:ext>
            </a:extLst>
          </xdr:cNvPr>
          <xdr:cNvSpPr txBox="1"/>
        </xdr:nvSpPr>
        <xdr:spPr>
          <a:xfrm>
            <a:off x="4800600" y="1647825"/>
            <a:ext cx="4520378" cy="85532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480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BTS&amp;</a:t>
            </a:r>
            <a:r>
              <a:rPr lang="en-US" altLang="ko-KR" sz="4800" baseline="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P </a:t>
            </a:r>
            <a:r>
              <a:rPr lang="ko-KR" altLang="en-US" sz="4800" baseline="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매출관리</a:t>
            </a:r>
            <a:endParaRPr lang="ko-KR" altLang="en-US" sz="4800">
              <a:solidFill>
                <a:schemeClr val="bg1"/>
              </a:solidFill>
              <a:latin typeface="HY헤드라인M" panose="02030600000101010101" pitchFamily="18" charset="-127"/>
              <a:ea typeface="HY헤드라인M" panose="02030600000101010101" pitchFamily="18" charset="-127"/>
            </a:endParaRPr>
          </a:p>
        </xdr:txBody>
      </xdr:sp>
    </xdr:grpSp>
    <xdr:clientData/>
  </xdr:twoCellAnchor>
  <xdr:twoCellAnchor>
    <xdr:from>
      <xdr:col>3</xdr:col>
      <xdr:colOff>323849</xdr:colOff>
      <xdr:row>24</xdr:row>
      <xdr:rowOff>9525</xdr:rowOff>
    </xdr:from>
    <xdr:to>
      <xdr:col>5</xdr:col>
      <xdr:colOff>676274</xdr:colOff>
      <xdr:row>26</xdr:row>
      <xdr:rowOff>47625</xdr:rowOff>
    </xdr:to>
    <xdr:sp macro="[0]!거래명세서_이동" textlink="">
      <xdr:nvSpPr>
        <xdr:cNvPr id="10" name="직사각형 9">
          <a:extLst>
            <a:ext uri="{FF2B5EF4-FFF2-40B4-BE49-F238E27FC236}">
              <a16:creationId xmlns:a16="http://schemas.microsoft.com/office/drawing/2014/main" id="{D0BFE49E-C3F9-470C-89AB-CF66C8636BD8}"/>
            </a:ext>
          </a:extLst>
        </xdr:cNvPr>
        <xdr:cNvSpPr/>
      </xdr:nvSpPr>
      <xdr:spPr>
        <a:xfrm>
          <a:off x="1009649" y="4410075"/>
          <a:ext cx="1724025" cy="4572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>
              <a:solidFill>
                <a:sysClr val="windowText" lastClr="000000"/>
              </a:solidFill>
            </a:rPr>
            <a:t>거래명세서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</xdr:col>
      <xdr:colOff>371474</xdr:colOff>
      <xdr:row>24</xdr:row>
      <xdr:rowOff>66675</xdr:rowOff>
    </xdr:from>
    <xdr:to>
      <xdr:col>3</xdr:col>
      <xdr:colOff>678099</xdr:colOff>
      <xdr:row>25</xdr:row>
      <xdr:rowOff>177639</xdr:rowOff>
    </xdr:to>
    <xdr:pic>
      <xdr:nvPicPr>
        <xdr:cNvPr id="19" name="Graphic 9" descr="Document">
          <a:extLst>
            <a:ext uri="{FF2B5EF4-FFF2-40B4-BE49-F238E27FC236}">
              <a16:creationId xmlns:a16="http://schemas.microsoft.com/office/drawing/2014/main" id="{C250252F-D6A2-4826-8796-289CB8C0D5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057274" y="4467225"/>
          <a:ext cx="306625" cy="320514"/>
        </a:xfrm>
        <a:prstGeom prst="rect">
          <a:avLst/>
        </a:prstGeom>
      </xdr:spPr>
    </xdr:pic>
    <xdr:clientData/>
  </xdr:twoCellAnchor>
  <xdr:twoCellAnchor>
    <xdr:from>
      <xdr:col>13</xdr:col>
      <xdr:colOff>123825</xdr:colOff>
      <xdr:row>11</xdr:row>
      <xdr:rowOff>9525</xdr:rowOff>
    </xdr:from>
    <xdr:to>
      <xdr:col>15</xdr:col>
      <xdr:colOff>514630</xdr:colOff>
      <xdr:row>13</xdr:row>
      <xdr:rowOff>67523</xdr:rowOff>
    </xdr:to>
    <xdr:sp macro="[0]!FastGrage매입장_이동" textlink="">
      <xdr:nvSpPr>
        <xdr:cNvPr id="3" name="직사각형 2">
          <a:extLst>
            <a:ext uri="{FF2B5EF4-FFF2-40B4-BE49-F238E27FC236}">
              <a16:creationId xmlns:a16="http://schemas.microsoft.com/office/drawing/2014/main" id="{AE5D023C-3347-4917-8266-4D6A1BE39387}"/>
            </a:ext>
          </a:extLst>
        </xdr:cNvPr>
        <xdr:cNvSpPr/>
      </xdr:nvSpPr>
      <xdr:spPr>
        <a:xfrm>
          <a:off x="7667625" y="1685925"/>
          <a:ext cx="1762405" cy="477098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>
              <a:solidFill>
                <a:sysClr val="windowText" lastClr="000000"/>
              </a:solidFill>
            </a:rPr>
            <a:t>FastGrage </a:t>
          </a:r>
          <a:r>
            <a:rPr lang="ko-KR" altLang="en-US" sz="1100">
              <a:solidFill>
                <a:sysClr val="windowText" lastClr="000000"/>
              </a:solidFill>
            </a:rPr>
            <a:t>매입장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13</xdr:col>
      <xdr:colOff>204995</xdr:colOff>
      <xdr:row>11</xdr:row>
      <xdr:rowOff>83939</xdr:rowOff>
    </xdr:from>
    <xdr:to>
      <xdr:col>13</xdr:col>
      <xdr:colOff>518446</xdr:colOff>
      <xdr:row>12</xdr:row>
      <xdr:rowOff>208852</xdr:rowOff>
    </xdr:to>
    <xdr:pic>
      <xdr:nvPicPr>
        <xdr:cNvPr id="4" name="Graphic 9" descr="Document">
          <a:extLst>
            <a:ext uri="{FF2B5EF4-FFF2-40B4-BE49-F238E27FC236}">
              <a16:creationId xmlns:a16="http://schemas.microsoft.com/office/drawing/2014/main" id="{89BCE509-D058-4F85-9B22-171A4BFF39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7748795" y="1760339"/>
          <a:ext cx="313451" cy="334463"/>
        </a:xfrm>
        <a:prstGeom prst="rect">
          <a:avLst/>
        </a:prstGeom>
      </xdr:spPr>
    </xdr:pic>
    <xdr:clientData/>
  </xdr:twoCellAnchor>
  <xdr:twoCellAnchor>
    <xdr:from>
      <xdr:col>3</xdr:col>
      <xdr:colOff>433595</xdr:colOff>
      <xdr:row>14</xdr:row>
      <xdr:rowOff>160139</xdr:rowOff>
    </xdr:from>
    <xdr:to>
      <xdr:col>4</xdr:col>
      <xdr:colOff>61246</xdr:colOff>
      <xdr:row>16</xdr:row>
      <xdr:rowOff>75502</xdr:rowOff>
    </xdr:to>
    <xdr:pic>
      <xdr:nvPicPr>
        <xdr:cNvPr id="6" name="Graphic 9" descr="Document">
          <a:extLst>
            <a:ext uri="{FF2B5EF4-FFF2-40B4-BE49-F238E27FC236}">
              <a16:creationId xmlns:a16="http://schemas.microsoft.com/office/drawing/2014/main" id="{A765CF5D-5432-4E46-B4D0-6C3379C0A4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119395" y="2465189"/>
          <a:ext cx="313451" cy="33446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23</xdr:row>
      <xdr:rowOff>19050</xdr:rowOff>
    </xdr:from>
    <xdr:to>
      <xdr:col>17</xdr:col>
      <xdr:colOff>38101</xdr:colOff>
      <xdr:row>24</xdr:row>
      <xdr:rowOff>0</xdr:rowOff>
    </xdr:to>
    <xdr:sp macro="" textlink="">
      <xdr:nvSpPr>
        <xdr:cNvPr id="6" name="직사각형 5">
          <a:extLst>
            <a:ext uri="{FF2B5EF4-FFF2-40B4-BE49-F238E27FC236}">
              <a16:creationId xmlns:a16="http://schemas.microsoft.com/office/drawing/2014/main" id="{2F4C7C27-8F5B-434B-9D94-10F267CA3764}"/>
            </a:ext>
          </a:extLst>
        </xdr:cNvPr>
        <xdr:cNvSpPr/>
      </xdr:nvSpPr>
      <xdr:spPr>
        <a:xfrm>
          <a:off x="19051" y="472440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16565</xdr:rowOff>
    </xdr:from>
    <xdr:to>
      <xdr:col>27</xdr:col>
      <xdr:colOff>470647</xdr:colOff>
      <xdr:row>1</xdr:row>
      <xdr:rowOff>236830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E4937043-C812-4D55-A650-0886434E9D4E}"/>
            </a:ext>
          </a:extLst>
        </xdr:cNvPr>
        <xdr:cNvSpPr/>
      </xdr:nvSpPr>
      <xdr:spPr>
        <a:xfrm>
          <a:off x="0" y="16565"/>
          <a:ext cx="27910930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" name="Group 37">
          <a:extLst>
            <a:ext uri="{FF2B5EF4-FFF2-40B4-BE49-F238E27FC236}">
              <a16:creationId xmlns:a16="http://schemas.microsoft.com/office/drawing/2014/main" id="{BA3C667D-3598-42DD-A240-26A79FD2F276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4" name="Rectangle 19">
            <a:extLst>
              <a:ext uri="{FF2B5EF4-FFF2-40B4-BE49-F238E27FC236}">
                <a16:creationId xmlns:a16="http://schemas.microsoft.com/office/drawing/2014/main" id="{6C7C87B7-5E20-8789-4F23-0997C50D4289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5" name="Group 36">
            <a:extLst>
              <a:ext uri="{FF2B5EF4-FFF2-40B4-BE49-F238E27FC236}">
                <a16:creationId xmlns:a16="http://schemas.microsoft.com/office/drawing/2014/main" id="{A2158F0C-6D72-04C5-E67C-CEEE26F60E69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6" name="Rectangle 20">
              <a:extLst>
                <a:ext uri="{FF2B5EF4-FFF2-40B4-BE49-F238E27FC236}">
                  <a16:creationId xmlns:a16="http://schemas.microsoft.com/office/drawing/2014/main" id="{F27CC46E-91E7-9EAD-9854-E0852E0256A8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7" name="Graphic 22" descr="User">
              <a:extLst>
                <a:ext uri="{FF2B5EF4-FFF2-40B4-BE49-F238E27FC236}">
                  <a16:creationId xmlns:a16="http://schemas.microsoft.com/office/drawing/2014/main" id="{DA3CB890-DA1E-2E94-5311-E4910FEC570F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16" name="Group 3">
          <a:extLst>
            <a:ext uri="{FF2B5EF4-FFF2-40B4-BE49-F238E27FC236}">
              <a16:creationId xmlns:a16="http://schemas.microsoft.com/office/drawing/2014/main" id="{CEF6249A-40DF-4E62-89D9-1187231A5D93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17" name="Group 98">
            <a:extLst>
              <a:ext uri="{FF2B5EF4-FFF2-40B4-BE49-F238E27FC236}">
                <a16:creationId xmlns:a16="http://schemas.microsoft.com/office/drawing/2014/main" id="{5D01BC37-D2DF-BF3F-FC93-193D90DBB417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19" name="Rectangle 93">
              <a:extLst>
                <a:ext uri="{FF2B5EF4-FFF2-40B4-BE49-F238E27FC236}">
                  <a16:creationId xmlns:a16="http://schemas.microsoft.com/office/drawing/2014/main" id="{33EE088A-7150-38F7-938A-AF6675E3EDC8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20" name="Rectangle 94">
              <a:extLst>
                <a:ext uri="{FF2B5EF4-FFF2-40B4-BE49-F238E27FC236}">
                  <a16:creationId xmlns:a16="http://schemas.microsoft.com/office/drawing/2014/main" id="{A91A6C3A-CF10-679B-24DF-861E2602F076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18" name="Graphic 2" descr="Inventory with solid fill">
            <a:extLst>
              <a:ext uri="{FF2B5EF4-FFF2-40B4-BE49-F238E27FC236}">
                <a16:creationId xmlns:a16="http://schemas.microsoft.com/office/drawing/2014/main" id="{4D14E076-858F-DE51-0AC2-BA13993E4D8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1" name="Group 21">
          <a:extLst>
            <a:ext uri="{FF2B5EF4-FFF2-40B4-BE49-F238E27FC236}">
              <a16:creationId xmlns:a16="http://schemas.microsoft.com/office/drawing/2014/main" id="{FD773007-22C6-4991-ABB4-1846ED1776AD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CustomerSelect" textlink="">
        <xdr:nvSpPr>
          <xdr:cNvPr id="22" name="직사각형 1">
            <a:extLst>
              <a:ext uri="{FF2B5EF4-FFF2-40B4-BE49-F238E27FC236}">
                <a16:creationId xmlns:a16="http://schemas.microsoft.com/office/drawing/2014/main" id="{EA2DBE97-B6E5-334D-5183-0FE0E07D9883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CustomerSelect">
        <xdr:nvPicPr>
          <xdr:cNvPr id="23" name="Graphic 24" descr="Magnifying glass">
            <a:extLst>
              <a:ext uri="{FF2B5EF4-FFF2-40B4-BE49-F238E27FC236}">
                <a16:creationId xmlns:a16="http://schemas.microsoft.com/office/drawing/2014/main" id="{AA098FC9-77F0-D369-D964-18FAD7DC539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2149961</xdr:colOff>
      <xdr:row>5</xdr:row>
      <xdr:rowOff>21711</xdr:rowOff>
    </xdr:from>
    <xdr:to>
      <xdr:col>2</xdr:col>
      <xdr:colOff>2340220</xdr:colOff>
      <xdr:row>5</xdr:row>
      <xdr:rowOff>207180</xdr:rowOff>
    </xdr:to>
    <xdr:grpSp>
      <xdr:nvGrpSpPr>
        <xdr:cNvPr id="24" name="Group 25">
          <a:extLst>
            <a:ext uri="{FF2B5EF4-FFF2-40B4-BE49-F238E27FC236}">
              <a16:creationId xmlns:a16="http://schemas.microsoft.com/office/drawing/2014/main" id="{EC282668-A262-4B32-B2BB-194D42336D9D}"/>
            </a:ext>
          </a:extLst>
        </xdr:cNvPr>
        <xdr:cNvGrpSpPr/>
      </xdr:nvGrpSpPr>
      <xdr:grpSpPr>
        <a:xfrm>
          <a:off x="3321536" y="1412361"/>
          <a:ext cx="190259" cy="185469"/>
          <a:chOff x="2710677" y="1097978"/>
          <a:chExt cx="190259" cy="191184"/>
        </a:xfrm>
      </xdr:grpSpPr>
      <xdr:sp macro="[0]!OrderCustomerDelete" textlink="">
        <xdr:nvSpPr>
          <xdr:cNvPr id="25" name="직사각형 1">
            <a:extLst>
              <a:ext uri="{FF2B5EF4-FFF2-40B4-BE49-F238E27FC236}">
                <a16:creationId xmlns:a16="http://schemas.microsoft.com/office/drawing/2014/main" id="{861E93B2-9660-BFB8-8AD7-3A8C1206EAE4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CustomerDelete">
        <xdr:nvPicPr>
          <xdr:cNvPr id="26" name="Graphic 27" descr="Garbage">
            <a:extLst>
              <a:ext uri="{FF2B5EF4-FFF2-40B4-BE49-F238E27FC236}">
                <a16:creationId xmlns:a16="http://schemas.microsoft.com/office/drawing/2014/main" id="{8E691F1C-C041-993C-6AF2-DA55B06960F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27" name="그룹 26">
          <a:extLst>
            <a:ext uri="{FF2B5EF4-FFF2-40B4-BE49-F238E27FC236}">
              <a16:creationId xmlns:a16="http://schemas.microsoft.com/office/drawing/2014/main" id="{67849550-C4E4-4A06-A52F-8A7619FE969C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OrderDate" textlink="">
        <xdr:nvSpPr>
          <xdr:cNvPr id="28" name="직사각형 1">
            <a:extLst>
              <a:ext uri="{FF2B5EF4-FFF2-40B4-BE49-F238E27FC236}">
                <a16:creationId xmlns:a16="http://schemas.microsoft.com/office/drawing/2014/main" id="{A52767EE-9901-A3FE-84E7-157A4C2E9C46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Date">
        <xdr:nvPicPr>
          <xdr:cNvPr id="29" name="그래픽 28" descr="일일 일정표 단색으로 채워진">
            <a:extLst>
              <a:ext uri="{FF2B5EF4-FFF2-40B4-BE49-F238E27FC236}">
                <a16:creationId xmlns:a16="http://schemas.microsoft.com/office/drawing/2014/main" id="{3AC8623C-ACB0-68CA-867A-3C1950692A9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3</xdr:row>
      <xdr:rowOff>0</xdr:rowOff>
    </xdr:from>
    <xdr:to>
      <xdr:col>7</xdr:col>
      <xdr:colOff>0</xdr:colOff>
      <xdr:row>4</xdr:row>
      <xdr:rowOff>132155</xdr:rowOff>
    </xdr:to>
    <xdr:grpSp>
      <xdr:nvGrpSpPr>
        <xdr:cNvPr id="30" name="Group 12">
          <a:extLst>
            <a:ext uri="{FF2B5EF4-FFF2-40B4-BE49-F238E27FC236}">
              <a16:creationId xmlns:a16="http://schemas.microsoft.com/office/drawing/2014/main" id="{BDBEDF0B-6969-4255-ACB3-2F317E102A5E}"/>
            </a:ext>
          </a:extLst>
        </xdr:cNvPr>
        <xdr:cNvGrpSpPr/>
      </xdr:nvGrpSpPr>
      <xdr:grpSpPr>
        <a:xfrm>
          <a:off x="6364738" y="933450"/>
          <a:ext cx="1426712" cy="360755"/>
          <a:chOff x="1412631" y="4347613"/>
          <a:chExt cx="1418492" cy="365062"/>
        </a:xfrm>
      </xdr:grpSpPr>
      <xdr:sp macro="[0]!Insert_Order" textlink="">
        <xdr:nvSpPr>
          <xdr:cNvPr id="31" name="직사각형 1">
            <a:extLst>
              <a:ext uri="{FF2B5EF4-FFF2-40B4-BE49-F238E27FC236}">
                <a16:creationId xmlns:a16="http://schemas.microsoft.com/office/drawing/2014/main" id="{EAA89A17-8843-226E-EE51-E66B0828B4AC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추가</a:t>
            </a:r>
          </a:p>
        </xdr:txBody>
      </xdr:sp>
      <xdr:pic macro="[0]!Insert_Inventory">
        <xdr:nvPicPr>
          <xdr:cNvPr id="32" name="Graphic 9" descr="Document">
            <a:extLst>
              <a:ext uri="{FF2B5EF4-FFF2-40B4-BE49-F238E27FC236}">
                <a16:creationId xmlns:a16="http://schemas.microsoft.com/office/drawing/2014/main" id="{17F63233-580C-F3FB-BA0F-8FD9EDF30C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249026</xdr:colOff>
      <xdr:row>5</xdr:row>
      <xdr:rowOff>17227</xdr:rowOff>
    </xdr:from>
    <xdr:to>
      <xdr:col>7</xdr:col>
      <xdr:colOff>0</xdr:colOff>
      <xdr:row>6</xdr:row>
      <xdr:rowOff>174147</xdr:rowOff>
    </xdr:to>
    <xdr:grpSp>
      <xdr:nvGrpSpPr>
        <xdr:cNvPr id="42" name="Group 12">
          <a:extLst>
            <a:ext uri="{FF2B5EF4-FFF2-40B4-BE49-F238E27FC236}">
              <a16:creationId xmlns:a16="http://schemas.microsoft.com/office/drawing/2014/main" id="{E857279E-9457-73E9-1F96-00101373EC35}"/>
            </a:ext>
          </a:extLst>
        </xdr:cNvPr>
        <xdr:cNvGrpSpPr/>
      </xdr:nvGrpSpPr>
      <xdr:grpSpPr>
        <a:xfrm>
          <a:off x="6364076" y="1407877"/>
          <a:ext cx="1427374" cy="385520"/>
          <a:chOff x="1412631" y="4347613"/>
          <a:chExt cx="1418492" cy="365062"/>
        </a:xfrm>
      </xdr:grpSpPr>
      <xdr:sp macro="[0]!All_Clear_order_list" textlink="">
        <xdr:nvSpPr>
          <xdr:cNvPr id="43" name="직사각형 1">
            <a:extLst>
              <a:ext uri="{FF2B5EF4-FFF2-40B4-BE49-F238E27FC236}">
                <a16:creationId xmlns:a16="http://schemas.microsoft.com/office/drawing/2014/main" id="{40755952-41FB-96D5-60F3-44743A870A19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       전체 초기화</a:t>
            </a:r>
          </a:p>
        </xdr:txBody>
      </xdr:sp>
      <xdr:pic macro="[0]!Insert_Inventory">
        <xdr:nvPicPr>
          <xdr:cNvPr id="44" name="Graphic 9" descr="Document">
            <a:extLst>
              <a:ext uri="{FF2B5EF4-FFF2-40B4-BE49-F238E27FC236}">
                <a16:creationId xmlns:a16="http://schemas.microsoft.com/office/drawing/2014/main" id="{27F1AE1D-F928-BB7F-27E2-2BAFF0A7BA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7</xdr:row>
      <xdr:rowOff>76899</xdr:rowOff>
    </xdr:from>
    <xdr:to>
      <xdr:col>7</xdr:col>
      <xdr:colOff>0</xdr:colOff>
      <xdr:row>9</xdr:row>
      <xdr:rowOff>1</xdr:rowOff>
    </xdr:to>
    <xdr:grpSp>
      <xdr:nvGrpSpPr>
        <xdr:cNvPr id="45" name="Group 12">
          <a:extLst>
            <a:ext uri="{FF2B5EF4-FFF2-40B4-BE49-F238E27FC236}">
              <a16:creationId xmlns:a16="http://schemas.microsoft.com/office/drawing/2014/main" id="{8C574871-E992-C2C9-8E2B-CCF1D64F6660}"/>
            </a:ext>
          </a:extLst>
        </xdr:cNvPr>
        <xdr:cNvGrpSpPr/>
      </xdr:nvGrpSpPr>
      <xdr:grpSpPr>
        <a:xfrm>
          <a:off x="6364738" y="1924749"/>
          <a:ext cx="1426712" cy="380302"/>
          <a:chOff x="1412632" y="4347614"/>
          <a:chExt cx="1418492" cy="365062"/>
        </a:xfrm>
      </xdr:grpSpPr>
      <xdr:sp macro="[0]!인쇄" textlink="">
        <xdr:nvSpPr>
          <xdr:cNvPr id="49" name="직사각형 1">
            <a:extLst>
              <a:ext uri="{FF2B5EF4-FFF2-40B4-BE49-F238E27FC236}">
                <a16:creationId xmlns:a16="http://schemas.microsoft.com/office/drawing/2014/main" id="{497E923C-A6CD-A293-C33F-ACB3FF637F26}"/>
              </a:ext>
            </a:extLst>
          </xdr:cNvPr>
          <xdr:cNvSpPr/>
        </xdr:nvSpPr>
        <xdr:spPr>
          <a:xfrm>
            <a:off x="1412632" y="4347614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주문</a:t>
            </a:r>
          </a:p>
        </xdr:txBody>
      </xdr:sp>
      <xdr:pic macro="[0]!Group12_Click">
        <xdr:nvPicPr>
          <xdr:cNvPr id="50" name="Graphic 9" descr="Document">
            <a:extLst>
              <a:ext uri="{FF2B5EF4-FFF2-40B4-BE49-F238E27FC236}">
                <a16:creationId xmlns:a16="http://schemas.microsoft.com/office/drawing/2014/main" id="{420257FC-6DAF-E952-DEC7-6119AED6C2B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3</xdr:col>
      <xdr:colOff>783056</xdr:colOff>
      <xdr:row>4</xdr:row>
      <xdr:rowOff>18729</xdr:rowOff>
    </xdr:from>
    <xdr:to>
      <xdr:col>3</xdr:col>
      <xdr:colOff>973315</xdr:colOff>
      <xdr:row>4</xdr:row>
      <xdr:rowOff>211818</xdr:rowOff>
    </xdr:to>
    <xdr:grpSp>
      <xdr:nvGrpSpPr>
        <xdr:cNvPr id="46" name="Group 21">
          <a:extLst>
            <a:ext uri="{FF2B5EF4-FFF2-40B4-BE49-F238E27FC236}">
              <a16:creationId xmlns:a16="http://schemas.microsoft.com/office/drawing/2014/main" id="{76C7989E-20BA-46F5-9295-5194A6F4A5F1}"/>
            </a:ext>
          </a:extLst>
        </xdr:cNvPr>
        <xdr:cNvGrpSpPr/>
      </xdr:nvGrpSpPr>
      <xdr:grpSpPr>
        <a:xfrm>
          <a:off x="4373981" y="1180779"/>
          <a:ext cx="190259" cy="193089"/>
          <a:chOff x="1584047" y="912421"/>
          <a:chExt cx="167563" cy="169966"/>
        </a:xfrm>
      </xdr:grpSpPr>
      <xdr:sp macro="[0]!OpenfrmOrderSelect" textlink="">
        <xdr:nvSpPr>
          <xdr:cNvPr id="47" name="직사각형 1">
            <a:extLst>
              <a:ext uri="{FF2B5EF4-FFF2-40B4-BE49-F238E27FC236}">
                <a16:creationId xmlns:a16="http://schemas.microsoft.com/office/drawing/2014/main" id="{2DA1D06D-3BA1-E09A-A65C-268340226DBE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OrderSelect">
        <xdr:nvPicPr>
          <xdr:cNvPr id="48" name="Graphic 24" descr="Magnifying glass">
            <a:extLst>
              <a:ext uri="{FF2B5EF4-FFF2-40B4-BE49-F238E27FC236}">
                <a16:creationId xmlns:a16="http://schemas.microsoft.com/office/drawing/2014/main" id="{BC10A921-5221-C977-4759-37E8843C8EA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1183380</xdr:colOff>
      <xdr:row>4</xdr:row>
      <xdr:rowOff>18728</xdr:rowOff>
    </xdr:from>
    <xdr:to>
      <xdr:col>4</xdr:col>
      <xdr:colOff>1373639</xdr:colOff>
      <xdr:row>4</xdr:row>
      <xdr:rowOff>211817</xdr:rowOff>
    </xdr:to>
    <xdr:grpSp>
      <xdr:nvGrpSpPr>
        <xdr:cNvPr id="51" name="Group 25">
          <a:extLst>
            <a:ext uri="{FF2B5EF4-FFF2-40B4-BE49-F238E27FC236}">
              <a16:creationId xmlns:a16="http://schemas.microsoft.com/office/drawing/2014/main" id="{EABE89DB-E2AA-44F1-9066-636D1883F539}"/>
            </a:ext>
          </a:extLst>
        </xdr:cNvPr>
        <xdr:cNvGrpSpPr/>
      </xdr:nvGrpSpPr>
      <xdr:grpSpPr>
        <a:xfrm>
          <a:off x="5888730" y="1180778"/>
          <a:ext cx="190259" cy="193089"/>
          <a:chOff x="2710677" y="1097978"/>
          <a:chExt cx="190259" cy="191184"/>
        </a:xfrm>
      </xdr:grpSpPr>
      <xdr:sp macro="[0]!OrderItemDelete" textlink="">
        <xdr:nvSpPr>
          <xdr:cNvPr id="52" name="직사각형 1">
            <a:extLst>
              <a:ext uri="{FF2B5EF4-FFF2-40B4-BE49-F238E27FC236}">
                <a16:creationId xmlns:a16="http://schemas.microsoft.com/office/drawing/2014/main" id="{DB42F37B-2071-6F57-D35C-E8C3354799B3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ItemDelete">
        <xdr:nvPicPr>
          <xdr:cNvPr id="53" name="Graphic 27" descr="Garbage">
            <a:extLst>
              <a:ext uri="{FF2B5EF4-FFF2-40B4-BE49-F238E27FC236}">
                <a16:creationId xmlns:a16="http://schemas.microsoft.com/office/drawing/2014/main" id="{4E205D33-4651-E0FA-433B-B4E5D9D276C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3</xdr:col>
      <xdr:colOff>0</xdr:colOff>
      <xdr:row>10</xdr:row>
      <xdr:rowOff>0</xdr:rowOff>
    </xdr:from>
    <xdr:to>
      <xdr:col>5</xdr:col>
      <xdr:colOff>0</xdr:colOff>
      <xdr:row>11</xdr:row>
      <xdr:rowOff>0</xdr:rowOff>
    </xdr:to>
    <xdr:sp macro="[0]!vatopen" textlink="">
      <xdr:nvSpPr>
        <xdr:cNvPr id="9" name="직사각형 8">
          <a:extLst>
            <a:ext uri="{FF2B5EF4-FFF2-40B4-BE49-F238E27FC236}">
              <a16:creationId xmlns:a16="http://schemas.microsoft.com/office/drawing/2014/main" id="{EF2A5708-8C0A-9A39-9E61-69D7D2F19AC5}"/>
            </a:ext>
          </a:extLst>
        </xdr:cNvPr>
        <xdr:cNvSpPr/>
      </xdr:nvSpPr>
      <xdr:spPr>
        <a:xfrm>
          <a:off x="3188804" y="2559326"/>
          <a:ext cx="2385392" cy="231913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8</xdr:col>
      <xdr:colOff>202967</xdr:colOff>
      <xdr:row>8</xdr:row>
      <xdr:rowOff>57657</xdr:rowOff>
    </xdr:from>
    <xdr:to>
      <xdr:col>8</xdr:col>
      <xdr:colOff>393226</xdr:colOff>
      <xdr:row>9</xdr:row>
      <xdr:rowOff>13118</xdr:rowOff>
    </xdr:to>
    <xdr:grpSp>
      <xdr:nvGrpSpPr>
        <xdr:cNvPr id="8" name="Group 25">
          <a:extLst>
            <a:ext uri="{FF2B5EF4-FFF2-40B4-BE49-F238E27FC236}">
              <a16:creationId xmlns:a16="http://schemas.microsoft.com/office/drawing/2014/main" id="{B6F96221-DAF6-47E1-B481-8A73833C3598}"/>
            </a:ext>
          </a:extLst>
        </xdr:cNvPr>
        <xdr:cNvGrpSpPr/>
      </xdr:nvGrpSpPr>
      <xdr:grpSpPr>
        <a:xfrm>
          <a:off x="7994417" y="2134107"/>
          <a:ext cx="190259" cy="184061"/>
          <a:chOff x="2710677" y="1097978"/>
          <a:chExt cx="190259" cy="191184"/>
        </a:xfrm>
      </xdr:grpSpPr>
      <xdr:sp macro="[0]!Clearorderlist" textlink="">
        <xdr:nvSpPr>
          <xdr:cNvPr id="10" name="직사각형 1">
            <a:extLst>
              <a:ext uri="{FF2B5EF4-FFF2-40B4-BE49-F238E27FC236}">
                <a16:creationId xmlns:a16="http://schemas.microsoft.com/office/drawing/2014/main" id="{F40E3D7A-95F7-C46F-96E4-B0EC12289532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orderlist">
        <xdr:nvPicPr>
          <xdr:cNvPr id="11" name="Graphic 27" descr="Garbage">
            <a:extLst>
              <a:ext uri="{FF2B5EF4-FFF2-40B4-BE49-F238E27FC236}">
                <a16:creationId xmlns:a16="http://schemas.microsoft.com/office/drawing/2014/main" id="{DF0A7163-BAD0-1EF5-2BED-E752F8719F6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81997</xdr:colOff>
      <xdr:row>0</xdr:row>
      <xdr:rowOff>92351</xdr:rowOff>
    </xdr:from>
    <xdr:to>
      <xdr:col>1</xdr:col>
      <xdr:colOff>782457</xdr:colOff>
      <xdr:row>1</xdr:row>
      <xdr:rowOff>185851</xdr:rowOff>
    </xdr:to>
    <xdr:grpSp>
      <xdr:nvGrpSpPr>
        <xdr:cNvPr id="15" name="그룹 14">
          <a:extLst>
            <a:ext uri="{FF2B5EF4-FFF2-40B4-BE49-F238E27FC236}">
              <a16:creationId xmlns:a16="http://schemas.microsoft.com/office/drawing/2014/main" id="{0C560206-38F8-FC3B-E8B6-0F12AB5DBE5D}"/>
            </a:ext>
          </a:extLst>
        </xdr:cNvPr>
        <xdr:cNvGrpSpPr/>
      </xdr:nvGrpSpPr>
      <xdr:grpSpPr>
        <a:xfrm>
          <a:off x="81997" y="92351"/>
          <a:ext cx="948110" cy="322100"/>
          <a:chOff x="273325" y="82826"/>
          <a:chExt cx="951837" cy="325413"/>
        </a:xfrm>
      </xdr:grpSpPr>
      <xdr:pic>
        <xdr:nvPicPr>
          <xdr:cNvPr id="13" name="그림 12">
            <a:extLst>
              <a:ext uri="{FF2B5EF4-FFF2-40B4-BE49-F238E27FC236}">
                <a16:creationId xmlns:a16="http://schemas.microsoft.com/office/drawing/2014/main" id="{76B5878D-7370-E523-AF4E-3980EFE593F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14" name="TextBox 13">
            <a:extLst>
              <a:ext uri="{FF2B5EF4-FFF2-40B4-BE49-F238E27FC236}">
                <a16:creationId xmlns:a16="http://schemas.microsoft.com/office/drawing/2014/main" id="{3FC4D30A-44E8-D6EA-4929-D76ACED3B128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161924</xdr:colOff>
      <xdr:row>9</xdr:row>
      <xdr:rowOff>47625</xdr:rowOff>
    </xdr:from>
    <xdr:ext cx="314325" cy="321988"/>
    <xdr:pic>
      <xdr:nvPicPr>
        <xdr:cNvPr id="3" name="그림 2">
          <a:extLst>
            <a:ext uri="{FF2B5EF4-FFF2-40B4-BE49-F238E27FC236}">
              <a16:creationId xmlns:a16="http://schemas.microsoft.com/office/drawing/2014/main" id="{3136DB28-7F51-4362-9A65-8C3F98695E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90924" y="2400300"/>
          <a:ext cx="314325" cy="321988"/>
        </a:xfrm>
        <a:prstGeom prst="rect">
          <a:avLst/>
        </a:prstGeom>
      </xdr:spPr>
    </xdr:pic>
    <xdr:clientData/>
  </xdr:oneCellAnchor>
  <xdr:oneCellAnchor>
    <xdr:from>
      <xdr:col>5</xdr:col>
      <xdr:colOff>152399</xdr:colOff>
      <xdr:row>11</xdr:row>
      <xdr:rowOff>57150</xdr:rowOff>
    </xdr:from>
    <xdr:ext cx="303163" cy="295275"/>
    <xdr:pic>
      <xdr:nvPicPr>
        <xdr:cNvPr id="4" name="그림 3">
          <a:extLst>
            <a:ext uri="{FF2B5EF4-FFF2-40B4-BE49-F238E27FC236}">
              <a16:creationId xmlns:a16="http://schemas.microsoft.com/office/drawing/2014/main" id="{95DB26B9-373D-48FA-A913-FFB8A7110B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81399" y="3038475"/>
          <a:ext cx="303163" cy="295275"/>
        </a:xfrm>
        <a:prstGeom prst="rect">
          <a:avLst/>
        </a:prstGeom>
      </xdr:spPr>
    </xdr:pic>
    <xdr:clientData/>
  </xdr:oneCellAnchor>
  <xdr:twoCellAnchor>
    <xdr:from>
      <xdr:col>5</xdr:col>
      <xdr:colOff>190500</xdr:colOff>
      <xdr:row>14</xdr:row>
      <xdr:rowOff>95250</xdr:rowOff>
    </xdr:from>
    <xdr:to>
      <xdr:col>9</xdr:col>
      <xdr:colOff>409575</xdr:colOff>
      <xdr:row>16</xdr:row>
      <xdr:rowOff>95250</xdr:rowOff>
    </xdr:to>
    <xdr:sp macro="[0]!shtLogin.Login_Verification" textlink="">
      <xdr:nvSpPr>
        <xdr:cNvPr id="5" name="직사각형 4">
          <a:extLst>
            <a:ext uri="{FF2B5EF4-FFF2-40B4-BE49-F238E27FC236}">
              <a16:creationId xmlns:a16="http://schemas.microsoft.com/office/drawing/2014/main" id="{DD4146D4-347A-DAA5-D1A7-DFC68FEB070B}"/>
            </a:ext>
          </a:extLst>
        </xdr:cNvPr>
        <xdr:cNvSpPr/>
      </xdr:nvSpPr>
      <xdr:spPr>
        <a:xfrm>
          <a:off x="3619500" y="3905250"/>
          <a:ext cx="2962275" cy="419100"/>
        </a:xfrm>
        <a:prstGeom prst="rect">
          <a:avLst/>
        </a:prstGeom>
        <a:solidFill>
          <a:schemeClr val="tx1">
            <a:lumMod val="50000"/>
            <a:lumOff val="50000"/>
          </a:schemeClr>
        </a:solidFill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400" b="1"/>
            <a:t>로그인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0</xdr:rowOff>
    </xdr:from>
    <xdr:to>
      <xdr:col>12</xdr:col>
      <xdr:colOff>499222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28E739C8-D493-40C6-8A67-DB6D88E236B5}"/>
            </a:ext>
          </a:extLst>
        </xdr:cNvPr>
        <xdr:cNvSpPr/>
      </xdr:nvSpPr>
      <xdr:spPr>
        <a:xfrm>
          <a:off x="28575" y="0"/>
          <a:ext cx="1815857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7</xdr:col>
      <xdr:colOff>677746</xdr:colOff>
      <xdr:row>0</xdr:row>
      <xdr:rowOff>64770</xdr:rowOff>
    </xdr:from>
    <xdr:to>
      <xdr:col>8</xdr:col>
      <xdr:colOff>88153</xdr:colOff>
      <xdr:row>1</xdr:row>
      <xdr:rowOff>123055</xdr:rowOff>
    </xdr:to>
    <xdr:sp macro="[0]!OpenSalesSearch" textlink="">
      <xdr:nvSpPr>
        <xdr:cNvPr id="13" name="Rectangle 59">
          <a:extLst>
            <a:ext uri="{FF2B5EF4-FFF2-40B4-BE49-F238E27FC236}">
              <a16:creationId xmlns:a16="http://schemas.microsoft.com/office/drawing/2014/main" id="{DED4DB9F-1D54-1587-52CB-7E590551A993}"/>
            </a:ext>
          </a:extLst>
        </xdr:cNvPr>
        <xdr:cNvSpPr/>
      </xdr:nvSpPr>
      <xdr:spPr>
        <a:xfrm>
          <a:off x="8488246" y="64770"/>
          <a:ext cx="305757" cy="286885"/>
        </a:xfrm>
        <a:prstGeom prst="rect">
          <a:avLst/>
        </a:prstGeom>
        <a:solidFill>
          <a:schemeClr val="tx1">
            <a:lumMod val="65000"/>
            <a:lumOff val="35000"/>
          </a:schemeClr>
        </a:solidFill>
        <a:ln w="6350">
          <a:solidFill>
            <a:schemeClr val="tx1">
              <a:lumMod val="65000"/>
              <a:lumOff val="3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endParaRPr lang="ko-KR" altLang="en-US" sz="900"/>
        </a:p>
      </xdr:txBody>
    </xdr:sp>
    <xdr:clientData/>
  </xdr:twoCellAnchor>
  <xdr:twoCellAnchor>
    <xdr:from>
      <xdr:col>7</xdr:col>
      <xdr:colOff>47625</xdr:colOff>
      <xdr:row>0</xdr:row>
      <xdr:rowOff>64787</xdr:rowOff>
    </xdr:from>
    <xdr:to>
      <xdr:col>8</xdr:col>
      <xdr:colOff>65271</xdr:colOff>
      <xdr:row>1</xdr:row>
      <xdr:rowOff>123040</xdr:rowOff>
    </xdr:to>
    <xdr:grpSp>
      <xdr:nvGrpSpPr>
        <xdr:cNvPr id="4" name="그룹 3">
          <a:extLst>
            <a:ext uri="{FF2B5EF4-FFF2-40B4-BE49-F238E27FC236}">
              <a16:creationId xmlns:a16="http://schemas.microsoft.com/office/drawing/2014/main" id="{7FCD1802-066D-F7BA-64E8-169E04D76E36}"/>
            </a:ext>
          </a:extLst>
        </xdr:cNvPr>
        <xdr:cNvGrpSpPr/>
      </xdr:nvGrpSpPr>
      <xdr:grpSpPr>
        <a:xfrm>
          <a:off x="7858125" y="64787"/>
          <a:ext cx="912996" cy="286853"/>
          <a:chOff x="7858125" y="64787"/>
          <a:chExt cx="912996" cy="286853"/>
        </a:xfrm>
      </xdr:grpSpPr>
      <xdr:sp macro="[0]!OpenSalesSearch" textlink="">
        <xdr:nvSpPr>
          <xdr:cNvPr id="12" name="Rectangle 57">
            <a:extLst>
              <a:ext uri="{FF2B5EF4-FFF2-40B4-BE49-F238E27FC236}">
                <a16:creationId xmlns:a16="http://schemas.microsoft.com/office/drawing/2014/main" id="{E2CCD3C9-6B0D-3D55-5E95-4DBA43DE4E7C}"/>
              </a:ext>
            </a:extLst>
          </xdr:cNvPr>
          <xdr:cNvSpPr/>
        </xdr:nvSpPr>
        <xdr:spPr>
          <a:xfrm>
            <a:off x="7858125" y="64787"/>
            <a:ext cx="624250" cy="28685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pic macro="[0]!OpenSalesSearch">
        <xdr:nvPicPr>
          <xdr:cNvPr id="14" name="Graphic 73" descr="Eraser">
            <a:extLst>
              <a:ext uri="{FF2B5EF4-FFF2-40B4-BE49-F238E27FC236}">
                <a16:creationId xmlns:a16="http://schemas.microsoft.com/office/drawing/2014/main" id="{69233455-CC0E-CEB7-E727-6FDEA086DB7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8501397" y="72145"/>
            <a:ext cx="269724" cy="270993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6" name="그룹 5">
          <a:extLst>
            <a:ext uri="{FF2B5EF4-FFF2-40B4-BE49-F238E27FC236}">
              <a16:creationId xmlns:a16="http://schemas.microsoft.com/office/drawing/2014/main" id="{30F564BD-DA66-4CFE-B12B-8A00DA73139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8943DBFE-5C92-2459-F8CB-C1AF577F3B2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8" name="TextBox 7">
            <a:extLst>
              <a:ext uri="{FF2B5EF4-FFF2-40B4-BE49-F238E27FC236}">
                <a16:creationId xmlns:a16="http://schemas.microsoft.com/office/drawing/2014/main" id="{5E16B9D1-0E1A-5BDF-7119-594BF6F165FB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1</xdr:col>
      <xdr:colOff>0</xdr:colOff>
      <xdr:row>5</xdr:row>
      <xdr:rowOff>0</xdr:rowOff>
    </xdr:to>
    <xdr:sp macro="[0]!OrderDate" textlink="">
      <xdr:nvSpPr>
        <xdr:cNvPr id="3" name="직사각형 2">
          <a:extLst>
            <a:ext uri="{FF2B5EF4-FFF2-40B4-BE49-F238E27FC236}">
              <a16:creationId xmlns:a16="http://schemas.microsoft.com/office/drawing/2014/main" id="{4C51327C-C54F-D638-5F52-6DFEC01B8798}"/>
            </a:ext>
          </a:extLst>
        </xdr:cNvPr>
        <xdr:cNvSpPr/>
      </xdr:nvSpPr>
      <xdr:spPr>
        <a:xfrm>
          <a:off x="0" y="552450"/>
          <a:ext cx="523875" cy="600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3</xdr:row>
      <xdr:rowOff>0</xdr:rowOff>
    </xdr:from>
    <xdr:to>
      <xdr:col>14</xdr:col>
      <xdr:colOff>276225</xdr:colOff>
      <xdr:row>19</xdr:row>
      <xdr:rowOff>104775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52D92473-5D05-6AA7-9ABA-5F20CE80AA5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0</xdr:colOff>
      <xdr:row>0</xdr:row>
      <xdr:rowOff>0</xdr:rowOff>
    </xdr:from>
    <xdr:to>
      <xdr:col>8</xdr:col>
      <xdr:colOff>0</xdr:colOff>
      <xdr:row>2</xdr:row>
      <xdr:rowOff>0</xdr:rowOff>
    </xdr:to>
    <xdr:sp macro="[0]!순위확인" textlink="">
      <xdr:nvSpPr>
        <xdr:cNvPr id="5" name="직사각형 4">
          <a:extLst>
            <a:ext uri="{FF2B5EF4-FFF2-40B4-BE49-F238E27FC236}">
              <a16:creationId xmlns:a16="http://schemas.microsoft.com/office/drawing/2014/main" id="{1FEB651A-76A4-8B27-27CF-014299D0A70A}"/>
            </a:ext>
          </a:extLst>
        </xdr:cNvPr>
        <xdr:cNvSpPr/>
      </xdr:nvSpPr>
      <xdr:spPr>
        <a:xfrm>
          <a:off x="6438900" y="0"/>
          <a:ext cx="2057400" cy="428625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순위 확인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0</xdr:rowOff>
    </xdr:from>
    <xdr:to>
      <xdr:col>14</xdr:col>
      <xdr:colOff>499222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60CBE96F-2C6F-4201-8BA7-5F794FEE9355}"/>
            </a:ext>
          </a:extLst>
        </xdr:cNvPr>
        <xdr:cNvSpPr/>
      </xdr:nvSpPr>
      <xdr:spPr>
        <a:xfrm>
          <a:off x="28575" y="0"/>
          <a:ext cx="1951112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3" name="그룹 2">
          <a:extLst>
            <a:ext uri="{FF2B5EF4-FFF2-40B4-BE49-F238E27FC236}">
              <a16:creationId xmlns:a16="http://schemas.microsoft.com/office/drawing/2014/main" id="{283E8353-CFB6-4250-A254-DA883E36E33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4" name="그림 3">
            <a:extLst>
              <a:ext uri="{FF2B5EF4-FFF2-40B4-BE49-F238E27FC236}">
                <a16:creationId xmlns:a16="http://schemas.microsoft.com/office/drawing/2014/main" id="{BD3C6BFC-5269-037E-2E5C-1BC35AAF19A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5" name="TextBox 4">
            <a:extLst>
              <a:ext uri="{FF2B5EF4-FFF2-40B4-BE49-F238E27FC236}">
                <a16:creationId xmlns:a16="http://schemas.microsoft.com/office/drawing/2014/main" id="{440122C3-7910-C0EB-3290-D26988009AD1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1</xdr:col>
      <xdr:colOff>0</xdr:colOff>
      <xdr:row>5</xdr:row>
      <xdr:rowOff>0</xdr:rowOff>
    </xdr:to>
    <xdr:sp macro="[0]!OrderDate" textlink="">
      <xdr:nvSpPr>
        <xdr:cNvPr id="6" name="직사각형 5">
          <a:extLst>
            <a:ext uri="{FF2B5EF4-FFF2-40B4-BE49-F238E27FC236}">
              <a16:creationId xmlns:a16="http://schemas.microsoft.com/office/drawing/2014/main" id="{5CD32588-1CC0-42B4-A481-3CC7983F9435}"/>
            </a:ext>
          </a:extLst>
        </xdr:cNvPr>
        <xdr:cNvSpPr/>
      </xdr:nvSpPr>
      <xdr:spPr>
        <a:xfrm>
          <a:off x="0" y="552450"/>
          <a:ext cx="523875" cy="600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11</xdr:col>
      <xdr:colOff>66675</xdr:colOff>
      <xdr:row>0</xdr:row>
      <xdr:rowOff>76200</xdr:rowOff>
    </xdr:from>
    <xdr:to>
      <xdr:col>12</xdr:col>
      <xdr:colOff>31003</xdr:colOff>
      <xdr:row>1</xdr:row>
      <xdr:rowOff>134485</xdr:rowOff>
    </xdr:to>
    <xdr:grpSp>
      <xdr:nvGrpSpPr>
        <xdr:cNvPr id="7" name="Group 89">
          <a:extLst>
            <a:ext uri="{FF2B5EF4-FFF2-40B4-BE49-F238E27FC236}">
              <a16:creationId xmlns:a16="http://schemas.microsoft.com/office/drawing/2014/main" id="{A6A03845-CC20-44CD-84CA-9BE5270592BC}"/>
            </a:ext>
          </a:extLst>
        </xdr:cNvPr>
        <xdr:cNvGrpSpPr/>
      </xdr:nvGrpSpPr>
      <xdr:grpSpPr>
        <a:xfrm>
          <a:off x="11649075" y="76200"/>
          <a:ext cx="916828" cy="286885"/>
          <a:chOff x="5379271" y="83099"/>
          <a:chExt cx="922738" cy="287382"/>
        </a:xfrm>
      </xdr:grpSpPr>
      <xdr:sp macro="[0]!OpenFastSalesSearch" textlink="">
        <xdr:nvSpPr>
          <xdr:cNvPr id="8" name="Rectangle 57">
            <a:extLst>
              <a:ext uri="{FF2B5EF4-FFF2-40B4-BE49-F238E27FC236}">
                <a16:creationId xmlns:a16="http://schemas.microsoft.com/office/drawing/2014/main" id="{49B9946F-AF25-4E58-3797-BEC99359A5A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9" name="Rectangle 59">
            <a:extLst>
              <a:ext uri="{FF2B5EF4-FFF2-40B4-BE49-F238E27FC236}">
                <a16:creationId xmlns:a16="http://schemas.microsoft.com/office/drawing/2014/main" id="{1AA9FEFA-8845-53AE-CA86-3D79F367067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10" name="Graphic 73" descr="Eraser">
            <a:extLst>
              <a:ext uri="{FF2B5EF4-FFF2-40B4-BE49-F238E27FC236}">
                <a16:creationId xmlns:a16="http://schemas.microsoft.com/office/drawing/2014/main" id="{A1890D19-BCFC-85E7-8C96-F630D607F84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0</xdr:row>
      <xdr:rowOff>19050</xdr:rowOff>
    </xdr:from>
    <xdr:to>
      <xdr:col>17</xdr:col>
      <xdr:colOff>38101</xdr:colOff>
      <xdr:row>1</xdr:row>
      <xdr:rowOff>0</xdr:rowOff>
    </xdr:to>
    <xdr:sp macro="[0]!홈_이동" textlink="">
      <xdr:nvSpPr>
        <xdr:cNvPr id="5" name="직사각형 4">
          <a:extLst>
            <a:ext uri="{FF2B5EF4-FFF2-40B4-BE49-F238E27FC236}">
              <a16:creationId xmlns:a16="http://schemas.microsoft.com/office/drawing/2014/main" id="{6FBB6484-99B4-CF8B-DC64-D7DB99D323DD}"/>
            </a:ext>
          </a:extLst>
        </xdr:cNvPr>
        <xdr:cNvSpPr/>
      </xdr:nvSpPr>
      <xdr:spPr>
        <a:xfrm>
          <a:off x="19051" y="1905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0</xdr:row>
      <xdr:rowOff>0</xdr:rowOff>
    </xdr:from>
    <xdr:to>
      <xdr:col>8</xdr:col>
      <xdr:colOff>0</xdr:colOff>
      <xdr:row>1</xdr:row>
      <xdr:rowOff>0</xdr:rowOff>
    </xdr:to>
    <xdr:sp macro="[0]!미수금확인" textlink="">
      <xdr:nvSpPr>
        <xdr:cNvPr id="2" name="직사각형 1">
          <a:extLst>
            <a:ext uri="{FF2B5EF4-FFF2-40B4-BE49-F238E27FC236}">
              <a16:creationId xmlns:a16="http://schemas.microsoft.com/office/drawing/2014/main" id="{2F209612-4B2E-A775-9616-16391CD932E1}"/>
            </a:ext>
          </a:extLst>
        </xdr:cNvPr>
        <xdr:cNvSpPr/>
      </xdr:nvSpPr>
      <xdr:spPr>
        <a:xfrm>
          <a:off x="11725275" y="0"/>
          <a:ext cx="2190750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0</xdr:row>
      <xdr:rowOff>0</xdr:rowOff>
    </xdr:from>
    <xdr:to>
      <xdr:col>9</xdr:col>
      <xdr:colOff>0</xdr:colOff>
      <xdr:row>1</xdr:row>
      <xdr:rowOff>0</xdr:rowOff>
    </xdr:to>
    <xdr:sp macro="[0]!미수금해제" textlink="">
      <xdr:nvSpPr>
        <xdr:cNvPr id="3" name="직사각형 2">
          <a:extLst>
            <a:ext uri="{FF2B5EF4-FFF2-40B4-BE49-F238E27FC236}">
              <a16:creationId xmlns:a16="http://schemas.microsoft.com/office/drawing/2014/main" id="{7D5F6909-AA3C-4DC0-A96E-8C732532B3D5}"/>
            </a:ext>
          </a:extLst>
        </xdr:cNvPr>
        <xdr:cNvSpPr/>
      </xdr:nvSpPr>
      <xdr:spPr>
        <a:xfrm>
          <a:off x="15268575" y="0"/>
          <a:ext cx="885825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30</xdr:col>
      <xdr:colOff>470647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30CDEC94-DD6E-4BFB-BAB3-2F9E4CB0F29E}"/>
            </a:ext>
          </a:extLst>
        </xdr:cNvPr>
        <xdr:cNvSpPr/>
      </xdr:nvSpPr>
      <xdr:spPr>
        <a:xfrm>
          <a:off x="0" y="0"/>
          <a:ext cx="21018143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8" name="Group 37">
          <a:extLst>
            <a:ext uri="{FF2B5EF4-FFF2-40B4-BE49-F238E27FC236}">
              <a16:creationId xmlns:a16="http://schemas.microsoft.com/office/drawing/2014/main" id="{23193C83-BA1C-4E1D-9318-C09B9B0E13D4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20" name="Rectangle 19">
            <a:extLst>
              <a:ext uri="{FF2B5EF4-FFF2-40B4-BE49-F238E27FC236}">
                <a16:creationId xmlns:a16="http://schemas.microsoft.com/office/drawing/2014/main" id="{C5D89302-06CF-4C62-914B-D80C5ED78D5E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37" name="Group 36">
            <a:extLst>
              <a:ext uri="{FF2B5EF4-FFF2-40B4-BE49-F238E27FC236}">
                <a16:creationId xmlns:a16="http://schemas.microsoft.com/office/drawing/2014/main" id="{3E2CDE0A-51B6-417B-8BF9-3121F8E10B6C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21" name="Rectangle 20">
              <a:extLst>
                <a:ext uri="{FF2B5EF4-FFF2-40B4-BE49-F238E27FC236}">
                  <a16:creationId xmlns:a16="http://schemas.microsoft.com/office/drawing/2014/main" id="{BBF9C909-57C7-4F3B-9286-0CAEF9069DE2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23" name="Graphic 22" descr="User">
              <a:extLst>
                <a:ext uri="{FF2B5EF4-FFF2-40B4-BE49-F238E27FC236}">
                  <a16:creationId xmlns:a16="http://schemas.microsoft.com/office/drawing/2014/main" id="{B0FD12BB-08FD-4DD8-9CCD-8CE0E81D456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 editAs="absolute">
    <xdr:from>
      <xdr:col>8</xdr:col>
      <xdr:colOff>702109</xdr:colOff>
      <xdr:row>0</xdr:row>
      <xdr:rowOff>98452</xdr:rowOff>
    </xdr:from>
    <xdr:to>
      <xdr:col>9</xdr:col>
      <xdr:colOff>703462</xdr:colOff>
      <xdr:row>1</xdr:row>
      <xdr:rowOff>149614</xdr:rowOff>
    </xdr:to>
    <xdr:grpSp>
      <xdr:nvGrpSpPr>
        <xdr:cNvPr id="90" name="Group 89">
          <a:extLst>
            <a:ext uri="{FF2B5EF4-FFF2-40B4-BE49-F238E27FC236}">
              <a16:creationId xmlns:a16="http://schemas.microsoft.com/office/drawing/2014/main" id="{B1E84428-845E-4102-BB25-E1B5D44732B5}"/>
            </a:ext>
          </a:extLst>
        </xdr:cNvPr>
        <xdr:cNvGrpSpPr/>
      </xdr:nvGrpSpPr>
      <xdr:grpSpPr>
        <a:xfrm>
          <a:off x="6236134" y="98452"/>
          <a:ext cx="868128" cy="279762"/>
          <a:chOff x="5379271" y="83099"/>
          <a:chExt cx="922738" cy="287382"/>
        </a:xfrm>
      </xdr:grpSpPr>
      <xdr:sp macro="[0]!OpenfrmInventoryEdit" textlink="">
        <xdr:nvSpPr>
          <xdr:cNvPr id="58" name="Rectangle 57">
            <a:extLst>
              <a:ext uri="{FF2B5EF4-FFF2-40B4-BE49-F238E27FC236}">
                <a16:creationId xmlns:a16="http://schemas.microsoft.com/office/drawing/2014/main" id="{A7D4256C-277C-4719-8F60-748E9B4D3F2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수정</a:t>
            </a:r>
          </a:p>
        </xdr:txBody>
      </xdr:sp>
      <xdr:sp macro="[0]!OpenfrmInventoryEdit" textlink="">
        <xdr:nvSpPr>
          <xdr:cNvPr id="60" name="Rectangle 59">
            <a:extLst>
              <a:ext uri="{FF2B5EF4-FFF2-40B4-BE49-F238E27FC236}">
                <a16:creationId xmlns:a16="http://schemas.microsoft.com/office/drawing/2014/main" id="{690BDA4E-DF6B-42E2-996B-EC358851C8C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Edit">
        <xdr:nvPicPr>
          <xdr:cNvPr id="74" name="Graphic 73" descr="Eraser">
            <a:extLst>
              <a:ext uri="{FF2B5EF4-FFF2-40B4-BE49-F238E27FC236}">
                <a16:creationId xmlns:a16="http://schemas.microsoft.com/office/drawing/2014/main" id="{DC9A8667-28EB-4482-924B-150517AE645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9</xdr:col>
      <xdr:colOff>855998</xdr:colOff>
      <xdr:row>0</xdr:row>
      <xdr:rowOff>98452</xdr:rowOff>
    </xdr:from>
    <xdr:to>
      <xdr:col>10</xdr:col>
      <xdr:colOff>440791</xdr:colOff>
      <xdr:row>1</xdr:row>
      <xdr:rowOff>149614</xdr:rowOff>
    </xdr:to>
    <xdr:grpSp>
      <xdr:nvGrpSpPr>
        <xdr:cNvPr id="89" name="Group 88">
          <a:extLst>
            <a:ext uri="{FF2B5EF4-FFF2-40B4-BE49-F238E27FC236}">
              <a16:creationId xmlns:a16="http://schemas.microsoft.com/office/drawing/2014/main" id="{945F4570-D5DE-4D89-8B45-038CF14DDB36}"/>
            </a:ext>
          </a:extLst>
        </xdr:cNvPr>
        <xdr:cNvGrpSpPr/>
      </xdr:nvGrpSpPr>
      <xdr:grpSpPr>
        <a:xfrm>
          <a:off x="7256798" y="98452"/>
          <a:ext cx="908768" cy="279762"/>
          <a:chOff x="6424299" y="83099"/>
          <a:chExt cx="922738" cy="287382"/>
        </a:xfrm>
      </xdr:grpSpPr>
      <xdr:sp macro="[0]!Delete_Inventory" textlink="">
        <xdr:nvSpPr>
          <xdr:cNvPr id="63" name="Rectangle 62">
            <a:extLst>
              <a:ext uri="{FF2B5EF4-FFF2-40B4-BE49-F238E27FC236}">
                <a16:creationId xmlns:a16="http://schemas.microsoft.com/office/drawing/2014/main" id="{246E492F-856B-44D5-A9B8-62346C078991}"/>
              </a:ext>
            </a:extLst>
          </xdr:cNvPr>
          <xdr:cNvSpPr/>
        </xdr:nvSpPr>
        <xdr:spPr>
          <a:xfrm>
            <a:off x="6424299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삭제</a:t>
            </a:r>
          </a:p>
        </xdr:txBody>
      </xdr:sp>
      <xdr:sp macro="[0]!Delete_Inventory" textlink="">
        <xdr:nvSpPr>
          <xdr:cNvPr id="65" name="Rectangle 64">
            <a:extLst>
              <a:ext uri="{FF2B5EF4-FFF2-40B4-BE49-F238E27FC236}">
                <a16:creationId xmlns:a16="http://schemas.microsoft.com/office/drawing/2014/main" id="{3A94D6D5-9D78-480F-8544-A0EAAD15693D}"/>
              </a:ext>
            </a:extLst>
          </xdr:cNvPr>
          <xdr:cNvSpPr/>
        </xdr:nvSpPr>
        <xdr:spPr>
          <a:xfrm>
            <a:off x="7039309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Delete_Inventory">
        <xdr:nvPicPr>
          <xdr:cNvPr id="76" name="Graphic 75" descr="Garbage">
            <a:extLst>
              <a:ext uri="{FF2B5EF4-FFF2-40B4-BE49-F238E27FC236}">
                <a16:creationId xmlns:a16="http://schemas.microsoft.com/office/drawing/2014/main" id="{82957D15-CF3A-4727-8A5B-AB16039C00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7064792" y="95252"/>
            <a:ext cx="261938" cy="261938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3FA1F486-00E7-4099-BA1C-BC21754BB0ED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99" name="Group 98">
            <a:extLst>
              <a:ext uri="{FF2B5EF4-FFF2-40B4-BE49-F238E27FC236}">
                <a16:creationId xmlns:a16="http://schemas.microsoft.com/office/drawing/2014/main" id="{2FB073F8-EB19-42BB-9DEE-A686A2075E6C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94" name="Rectangle 93">
              <a:extLst>
                <a:ext uri="{FF2B5EF4-FFF2-40B4-BE49-F238E27FC236}">
                  <a16:creationId xmlns:a16="http://schemas.microsoft.com/office/drawing/2014/main" id="{236B508C-EF29-43EC-BB4C-AEDC87675DF2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95" name="Rectangle 94">
              <a:extLst>
                <a:ext uri="{FF2B5EF4-FFF2-40B4-BE49-F238E27FC236}">
                  <a16:creationId xmlns:a16="http://schemas.microsoft.com/office/drawing/2014/main" id="{E887DC1F-74B3-4402-BA44-826380B27737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3" name="Graphic 2" descr="Inventory with solid fill">
            <a:extLst>
              <a:ext uri="{FF2B5EF4-FFF2-40B4-BE49-F238E27FC236}">
                <a16:creationId xmlns:a16="http://schemas.microsoft.com/office/drawing/2014/main" id="{A323DD4D-1FB6-4FBE-A7E3-2A0A60AA37C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2" name="Group 21">
          <a:extLst>
            <a:ext uri="{FF2B5EF4-FFF2-40B4-BE49-F238E27FC236}">
              <a16:creationId xmlns:a16="http://schemas.microsoft.com/office/drawing/2014/main" id="{535B623C-AA10-431F-8B90-4A787952BD88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ProductSelect" textlink="">
        <xdr:nvSpPr>
          <xdr:cNvPr id="24" name="직사각형 1">
            <a:extLst>
              <a:ext uri="{FF2B5EF4-FFF2-40B4-BE49-F238E27FC236}">
                <a16:creationId xmlns:a16="http://schemas.microsoft.com/office/drawing/2014/main" id="{FFF1639D-9BD8-470C-943C-48EB016F9C49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ProductSelect">
        <xdr:nvPicPr>
          <xdr:cNvPr id="25" name="Graphic 24" descr="Magnifying glass">
            <a:extLst>
              <a:ext uri="{FF2B5EF4-FFF2-40B4-BE49-F238E27FC236}">
                <a16:creationId xmlns:a16="http://schemas.microsoft.com/office/drawing/2014/main" id="{00B0EE73-5517-4BDB-ADA4-774A09A2BD1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1159858</xdr:colOff>
      <xdr:row>5</xdr:row>
      <xdr:rowOff>15416</xdr:rowOff>
    </xdr:from>
    <xdr:to>
      <xdr:col>2</xdr:col>
      <xdr:colOff>1350117</xdr:colOff>
      <xdr:row>5</xdr:row>
      <xdr:rowOff>206600</xdr:rowOff>
    </xdr:to>
    <xdr:grpSp>
      <xdr:nvGrpSpPr>
        <xdr:cNvPr id="26" name="Group 25">
          <a:extLst>
            <a:ext uri="{FF2B5EF4-FFF2-40B4-BE49-F238E27FC236}">
              <a16:creationId xmlns:a16="http://schemas.microsoft.com/office/drawing/2014/main" id="{2F92FAC2-C5B5-4487-B96A-F99182E94527}"/>
            </a:ext>
          </a:extLst>
        </xdr:cNvPr>
        <xdr:cNvGrpSpPr/>
      </xdr:nvGrpSpPr>
      <xdr:grpSpPr>
        <a:xfrm>
          <a:off x="2331433" y="1406066"/>
          <a:ext cx="190259" cy="191184"/>
          <a:chOff x="2710677" y="1097978"/>
          <a:chExt cx="190259" cy="191184"/>
        </a:xfrm>
      </xdr:grpSpPr>
      <xdr:sp macro="[0]!ClearProductData" textlink="">
        <xdr:nvSpPr>
          <xdr:cNvPr id="27" name="직사각형 1">
            <a:extLst>
              <a:ext uri="{FF2B5EF4-FFF2-40B4-BE49-F238E27FC236}">
                <a16:creationId xmlns:a16="http://schemas.microsoft.com/office/drawing/2014/main" id="{8C28A1DD-07FA-4E75-8F60-0A3E58F9149D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ProductData">
        <xdr:nvPicPr>
          <xdr:cNvPr id="28" name="Graphic 27" descr="Garbage">
            <a:extLst>
              <a:ext uri="{FF2B5EF4-FFF2-40B4-BE49-F238E27FC236}">
                <a16:creationId xmlns:a16="http://schemas.microsoft.com/office/drawing/2014/main" id="{98503D1C-5D95-4D50-8F21-484D0CD10F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8" name="그룹 7">
          <a:extLst>
            <a:ext uri="{FF2B5EF4-FFF2-40B4-BE49-F238E27FC236}">
              <a16:creationId xmlns:a16="http://schemas.microsoft.com/office/drawing/2014/main" id="{C7E436E6-EDE1-45CE-A018-AAAEF6F614BA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InventoryDate" textlink="">
        <xdr:nvSpPr>
          <xdr:cNvPr id="30" name="직사각형 1">
            <a:extLst>
              <a:ext uri="{FF2B5EF4-FFF2-40B4-BE49-F238E27FC236}">
                <a16:creationId xmlns:a16="http://schemas.microsoft.com/office/drawing/2014/main" id="{40F81FC3-96E4-4B6C-B84F-6E1486C45BC7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InventoryDate">
        <xdr:nvPicPr>
          <xdr:cNvPr id="6" name="그래픽 5" descr="일일 일정표 단색으로 채워진">
            <a:extLst>
              <a:ext uri="{FF2B5EF4-FFF2-40B4-BE49-F238E27FC236}">
                <a16:creationId xmlns:a16="http://schemas.microsoft.com/office/drawing/2014/main" id="{F8EA33F6-D273-41CC-9699-3E891D2B9E8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4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898631</xdr:colOff>
      <xdr:row>13</xdr:row>
      <xdr:rowOff>92138</xdr:rowOff>
    </xdr:from>
    <xdr:to>
      <xdr:col>3</xdr:col>
      <xdr:colOff>0</xdr:colOff>
      <xdr:row>15</xdr:row>
      <xdr:rowOff>0</xdr:rowOff>
    </xdr:to>
    <xdr:grpSp>
      <xdr:nvGrpSpPr>
        <xdr:cNvPr id="31" name="Group 12">
          <a:extLst>
            <a:ext uri="{FF2B5EF4-FFF2-40B4-BE49-F238E27FC236}">
              <a16:creationId xmlns:a16="http://schemas.microsoft.com/office/drawing/2014/main" id="{C8A19ECE-3F92-4ED3-8193-68FF25DA2DEE}"/>
            </a:ext>
          </a:extLst>
        </xdr:cNvPr>
        <xdr:cNvGrpSpPr/>
      </xdr:nvGrpSpPr>
      <xdr:grpSpPr>
        <a:xfrm>
          <a:off x="1146281" y="3311588"/>
          <a:ext cx="1425469" cy="365062"/>
          <a:chOff x="1412631" y="4347616"/>
          <a:chExt cx="1418492" cy="365062"/>
        </a:xfrm>
      </xdr:grpSpPr>
      <xdr:sp macro="[0]!Insert_Inventory" textlink="">
        <xdr:nvSpPr>
          <xdr:cNvPr id="32" name="직사각형 1">
            <a:extLst>
              <a:ext uri="{FF2B5EF4-FFF2-40B4-BE49-F238E27FC236}">
                <a16:creationId xmlns:a16="http://schemas.microsoft.com/office/drawing/2014/main" id="{94412D87-4BEA-4934-B1E7-8C74206F1381}"/>
              </a:ext>
            </a:extLst>
          </xdr:cNvPr>
          <xdr:cNvSpPr/>
        </xdr:nvSpPr>
        <xdr:spPr>
          <a:xfrm>
            <a:off x="1412631" y="4347616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자료 추가</a:t>
            </a:r>
          </a:p>
        </xdr:txBody>
      </xdr:sp>
      <xdr:pic macro="[0]!Insert_Inventory">
        <xdr:nvPicPr>
          <xdr:cNvPr id="33" name="Graphic 9" descr="Document">
            <a:extLst>
              <a:ext uri="{FF2B5EF4-FFF2-40B4-BE49-F238E27FC236}">
                <a16:creationId xmlns:a16="http://schemas.microsoft.com/office/drawing/2014/main" id="{F5143DD0-2999-4751-8061-B47A36D512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6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559739</xdr:colOff>
      <xdr:row>0</xdr:row>
      <xdr:rowOff>98452</xdr:rowOff>
    </xdr:from>
    <xdr:to>
      <xdr:col>6</xdr:col>
      <xdr:colOff>722849</xdr:colOff>
      <xdr:row>1</xdr:row>
      <xdr:rowOff>149614</xdr:rowOff>
    </xdr:to>
    <xdr:grpSp>
      <xdr:nvGrpSpPr>
        <xdr:cNvPr id="34" name="Group 89">
          <a:extLst>
            <a:ext uri="{FF2B5EF4-FFF2-40B4-BE49-F238E27FC236}">
              <a16:creationId xmlns:a16="http://schemas.microsoft.com/office/drawing/2014/main" id="{7317D1CA-4F49-4CD5-BBC4-E6B5D0D8C0A4}"/>
            </a:ext>
          </a:extLst>
        </xdr:cNvPr>
        <xdr:cNvGrpSpPr/>
      </xdr:nvGrpSpPr>
      <xdr:grpSpPr>
        <a:xfrm>
          <a:off x="4122089" y="98452"/>
          <a:ext cx="915585" cy="279762"/>
          <a:chOff x="5379271" y="83099"/>
          <a:chExt cx="922738" cy="287382"/>
        </a:xfrm>
      </xdr:grpSpPr>
      <xdr:sp macro="[0]!OpenfrmInventorySearch" textlink="">
        <xdr:nvSpPr>
          <xdr:cNvPr id="35" name="Rectangle 57">
            <a:extLst>
              <a:ext uri="{FF2B5EF4-FFF2-40B4-BE49-F238E27FC236}">
                <a16:creationId xmlns:a16="http://schemas.microsoft.com/office/drawing/2014/main" id="{D689A912-AE3D-462F-8929-4E39901ACC73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36" name="Rectangle 59">
            <a:extLst>
              <a:ext uri="{FF2B5EF4-FFF2-40B4-BE49-F238E27FC236}">
                <a16:creationId xmlns:a16="http://schemas.microsoft.com/office/drawing/2014/main" id="{36759876-3326-4FFC-A185-CA977A5E0F78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39" name="Graphic 73" descr="Eraser">
            <a:extLst>
              <a:ext uri="{FF2B5EF4-FFF2-40B4-BE49-F238E27FC236}">
                <a16:creationId xmlns:a16="http://schemas.microsoft.com/office/drawing/2014/main" id="{C3D38097-E65D-4299-A46B-D57D4646539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7</xdr:col>
      <xdr:colOff>98810</xdr:colOff>
      <xdr:row>0</xdr:row>
      <xdr:rowOff>98452</xdr:rowOff>
    </xdr:from>
    <xdr:to>
      <xdr:col>8</xdr:col>
      <xdr:colOff>551663</xdr:colOff>
      <xdr:row>1</xdr:row>
      <xdr:rowOff>149614</xdr:rowOff>
    </xdr:to>
    <xdr:grpSp>
      <xdr:nvGrpSpPr>
        <xdr:cNvPr id="40" name="그룹 39">
          <a:extLst>
            <a:ext uri="{FF2B5EF4-FFF2-40B4-BE49-F238E27FC236}">
              <a16:creationId xmlns:a16="http://schemas.microsoft.com/office/drawing/2014/main" id="{17DDD6D8-5BED-40F0-9464-4F1A4F304F11}"/>
            </a:ext>
          </a:extLst>
        </xdr:cNvPr>
        <xdr:cNvGrpSpPr/>
      </xdr:nvGrpSpPr>
      <xdr:grpSpPr>
        <a:xfrm>
          <a:off x="5166110" y="98452"/>
          <a:ext cx="919578" cy="279762"/>
          <a:chOff x="4109954" y="94747"/>
          <a:chExt cx="911399" cy="285001"/>
        </a:xfrm>
      </xdr:grpSpPr>
      <xdr:grpSp>
        <xdr:nvGrpSpPr>
          <xdr:cNvPr id="41" name="Group 88">
            <a:extLst>
              <a:ext uri="{FF2B5EF4-FFF2-40B4-BE49-F238E27FC236}">
                <a16:creationId xmlns:a16="http://schemas.microsoft.com/office/drawing/2014/main" id="{E34EDF91-141C-484C-A2B5-3F17173EF353}"/>
              </a:ext>
            </a:extLst>
          </xdr:cNvPr>
          <xdr:cNvGrpSpPr/>
        </xdr:nvGrpSpPr>
        <xdr:grpSpPr>
          <a:xfrm>
            <a:off x="4109954" y="94747"/>
            <a:ext cx="911399" cy="285001"/>
            <a:chOff x="6424299" y="83099"/>
            <a:chExt cx="922738" cy="287382"/>
          </a:xfrm>
        </xdr:grpSpPr>
        <xdr:sp macro="[0]!ClearInventoryData" textlink="">
          <xdr:nvSpPr>
            <xdr:cNvPr id="43" name="Rectangle 62">
              <a:extLst>
                <a:ext uri="{FF2B5EF4-FFF2-40B4-BE49-F238E27FC236}">
                  <a16:creationId xmlns:a16="http://schemas.microsoft.com/office/drawing/2014/main" id="{B069C7B8-2BBE-44D9-8B73-FF5A3C0648FB}"/>
                </a:ext>
              </a:extLst>
            </xdr:cNvPr>
            <xdr:cNvSpPr/>
          </xdr:nvSpPr>
          <xdr:spPr>
            <a:xfrm>
              <a:off x="6424299" y="83116"/>
              <a:ext cx="628274" cy="287350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초기화</a:t>
              </a:r>
            </a:p>
          </xdr:txBody>
        </xdr:sp>
        <xdr:sp macro="[0]!ClearInventoryData" textlink="">
          <xdr:nvSpPr>
            <xdr:cNvPr id="44" name="Rectangle 64">
              <a:extLst>
                <a:ext uri="{FF2B5EF4-FFF2-40B4-BE49-F238E27FC236}">
                  <a16:creationId xmlns:a16="http://schemas.microsoft.com/office/drawing/2014/main" id="{FFDE8B91-8F3B-4017-83B8-87826CF597C4}"/>
                </a:ext>
              </a:extLst>
            </xdr:cNvPr>
            <xdr:cNvSpPr/>
          </xdr:nvSpPr>
          <xdr:spPr>
            <a:xfrm>
              <a:off x="7039309" y="83099"/>
              <a:ext cx="307728" cy="287382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ClearInventoryData">
        <xdr:nvPicPr>
          <xdr:cNvPr id="42" name="그래픽 41" descr="마법 지팡이 자동 단색으로 채워진">
            <a:extLst>
              <a:ext uri="{FF2B5EF4-FFF2-40B4-BE49-F238E27FC236}">
                <a16:creationId xmlns:a16="http://schemas.microsoft.com/office/drawing/2014/main" id="{69DF3107-4E9B-42E5-8CE9-3407C3125F6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8"/>
              </a:ext>
            </a:extLst>
          </a:blip>
          <a:stretch>
            <a:fillRect/>
          </a:stretch>
        </xdr:blipFill>
        <xdr:spPr>
          <a:xfrm>
            <a:off x="4738689" y="107158"/>
            <a:ext cx="267889" cy="267889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285998</xdr:colOff>
      <xdr:row>0</xdr:row>
      <xdr:rowOff>98452</xdr:rowOff>
    </xdr:from>
    <xdr:to>
      <xdr:col>5</xdr:col>
      <xdr:colOff>422441</xdr:colOff>
      <xdr:row>1</xdr:row>
      <xdr:rowOff>149614</xdr:rowOff>
    </xdr:to>
    <xdr:grpSp>
      <xdr:nvGrpSpPr>
        <xdr:cNvPr id="83" name="그룹 82">
          <a:extLst>
            <a:ext uri="{FF2B5EF4-FFF2-40B4-BE49-F238E27FC236}">
              <a16:creationId xmlns:a16="http://schemas.microsoft.com/office/drawing/2014/main" id="{8A9823C8-3EA8-47BF-85E1-04004FFEB36F}"/>
            </a:ext>
          </a:extLst>
        </xdr:cNvPr>
        <xdr:cNvGrpSpPr/>
      </xdr:nvGrpSpPr>
      <xdr:grpSpPr>
        <a:xfrm>
          <a:off x="3095873" y="98452"/>
          <a:ext cx="888918" cy="279762"/>
          <a:chOff x="3080757" y="90832"/>
          <a:chExt cx="904389" cy="286453"/>
        </a:xfrm>
      </xdr:grpSpPr>
      <xdr:sp macro="[0]!GetCurrentBalance" textlink="">
        <xdr:nvSpPr>
          <xdr:cNvPr id="87" name="Rectangle 57">
            <a:extLst>
              <a:ext uri="{FF2B5EF4-FFF2-40B4-BE49-F238E27FC236}">
                <a16:creationId xmlns:a16="http://schemas.microsoft.com/office/drawing/2014/main" id="{CB60F8EF-7611-41D7-B5B5-86721B2A7041}"/>
              </a:ext>
            </a:extLst>
          </xdr:cNvPr>
          <xdr:cNvSpPr/>
        </xdr:nvSpPr>
        <xdr:spPr>
          <a:xfrm>
            <a:off x="3080757" y="90849"/>
            <a:ext cx="615781" cy="286421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현재고조회</a:t>
            </a:r>
          </a:p>
        </xdr:txBody>
      </xdr:sp>
      <xdr:sp macro="[0]!GetCurrentBalance" textlink="">
        <xdr:nvSpPr>
          <xdr:cNvPr id="88" name="Rectangle 59">
            <a:extLst>
              <a:ext uri="{FF2B5EF4-FFF2-40B4-BE49-F238E27FC236}">
                <a16:creationId xmlns:a16="http://schemas.microsoft.com/office/drawing/2014/main" id="{5290D81F-003D-4E93-9529-8074343C6CB2}"/>
              </a:ext>
            </a:extLst>
          </xdr:cNvPr>
          <xdr:cNvSpPr/>
        </xdr:nvSpPr>
        <xdr:spPr>
          <a:xfrm>
            <a:off x="3683537" y="90832"/>
            <a:ext cx="301609" cy="286453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GetCurrentBalance">
        <xdr:nvPicPr>
          <xdr:cNvPr id="82" name="그래픽 81" descr="재고 검색 단색으로 채워진">
            <a:extLst>
              <a:ext uri="{FF2B5EF4-FFF2-40B4-BE49-F238E27FC236}">
                <a16:creationId xmlns:a16="http://schemas.microsoft.com/office/drawing/2014/main" id="{E0C8F54E-5FA3-41CD-8F1D-0CA4262BE3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0"/>
              </a:ext>
            </a:extLst>
          </a:blip>
          <a:stretch>
            <a:fillRect/>
          </a:stretch>
        </xdr:blipFill>
        <xdr:spPr>
          <a:xfrm>
            <a:off x="3712428" y="106867"/>
            <a:ext cx="255549" cy="255549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47625</xdr:colOff>
      <xdr:row>0</xdr:row>
      <xdr:rowOff>47625</xdr:rowOff>
    </xdr:from>
    <xdr:to>
      <xdr:col>1</xdr:col>
      <xdr:colOff>751812</xdr:colOff>
      <xdr:row>1</xdr:row>
      <xdr:rowOff>144438</xdr:rowOff>
    </xdr:to>
    <xdr:grpSp>
      <xdr:nvGrpSpPr>
        <xdr:cNvPr id="5" name="그룹 4">
          <a:extLst>
            <a:ext uri="{FF2B5EF4-FFF2-40B4-BE49-F238E27FC236}">
              <a16:creationId xmlns:a16="http://schemas.microsoft.com/office/drawing/2014/main" id="{3B3DE0FA-BFEA-43A3-8DF9-80D54185F886}"/>
            </a:ext>
          </a:extLst>
        </xdr:cNvPr>
        <xdr:cNvGrpSpPr/>
      </xdr:nvGrpSpPr>
      <xdr:grpSpPr>
        <a:xfrm>
          <a:off x="47625" y="47625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60B2D765-0671-0110-A0E2-320D0568979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9" name="TextBox 8">
            <a:extLst>
              <a:ext uri="{FF2B5EF4-FFF2-40B4-BE49-F238E27FC236}">
                <a16:creationId xmlns:a16="http://schemas.microsoft.com/office/drawing/2014/main" id="{856625EE-ECED-B70E-10C5-742C8D4D4B0C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352424</xdr:colOff>
      <xdr:row>1</xdr:row>
      <xdr:rowOff>333443</xdr:rowOff>
    </xdr:from>
    <xdr:to>
      <xdr:col>4</xdr:col>
      <xdr:colOff>657224</xdr:colOff>
      <xdr:row>3</xdr:row>
      <xdr:rowOff>312501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1D1B0E5D-C889-78CF-A6A1-CD110D323E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38399" y="685868"/>
          <a:ext cx="1000125" cy="683908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2013 - 2022 테마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..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User/AppData/Roaming/Microsoft/&#48120;&#47476;&#50724;&#53664;_250319_142233.xlsx" TargetMode="Externa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5.jpeg"/><Relationship Id="rId1" Type="http://schemas.openxmlformats.org/officeDocument/2006/relationships/drawing" Target="../drawings/drawing4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2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D4A73F-06D4-4F7E-BAF4-64163DCE1D78}">
  <sheetPr codeName="shtHome"/>
  <dimension ref="C2:S56"/>
  <sheetViews>
    <sheetView tabSelected="1" topLeftCell="C4" workbookViewId="0">
      <selection activeCell="C22" sqref="A22:XFD22"/>
    </sheetView>
  </sheetViews>
  <sheetFormatPr defaultColWidth="0" defaultRowHeight="16.5" zeroHeight="1" x14ac:dyDescent="0.3"/>
  <cols>
    <col min="1" max="2" width="9" style="95" hidden="1" customWidth="1"/>
    <col min="3" max="18" width="9" style="95" customWidth="1"/>
    <col min="19" max="19" width="9" style="95" hidden="1" customWidth="1"/>
    <col min="20" max="16384" width="9" style="95" hidden="1"/>
  </cols>
  <sheetData>
    <row r="2" spans="14:17" hidden="1" x14ac:dyDescent="0.3">
      <c r="N2" s="95" t="s">
        <v>2370</v>
      </c>
    </row>
    <row r="4" spans="14:17" x14ac:dyDescent="0.3">
      <c r="Q4" s="95" t="s">
        <v>3084</v>
      </c>
    </row>
    <row r="5" spans="14:17" x14ac:dyDescent="0.3"/>
    <row r="6" spans="14:17" x14ac:dyDescent="0.3"/>
    <row r="7" spans="14:17" x14ac:dyDescent="0.3"/>
    <row r="8" spans="14:17" x14ac:dyDescent="0.3"/>
    <row r="9" spans="14:17" x14ac:dyDescent="0.3"/>
    <row r="10" spans="14:17" x14ac:dyDescent="0.3"/>
    <row r="11" spans="14:17" x14ac:dyDescent="0.3"/>
    <row r="12" spans="14:17" x14ac:dyDescent="0.3"/>
    <row r="13" spans="14:17" x14ac:dyDescent="0.3"/>
    <row r="14" spans="14:17" x14ac:dyDescent="0.3"/>
    <row r="15" spans="14:17" x14ac:dyDescent="0.3"/>
    <row r="16" spans="14:17" x14ac:dyDescent="0.3"/>
    <row r="17" spans="3:19" x14ac:dyDescent="0.3"/>
    <row r="18" spans="3:19" x14ac:dyDescent="0.3"/>
    <row r="19" spans="3:19" x14ac:dyDescent="0.3"/>
    <row r="20" spans="3:19" x14ac:dyDescent="0.3"/>
    <row r="21" spans="3:19" x14ac:dyDescent="0.3">
      <c r="J21" s="95" t="s">
        <v>2370</v>
      </c>
      <c r="Q21" s="227"/>
    </row>
    <row r="22" spans="3:19" x14ac:dyDescent="0.3">
      <c r="C22" s="95" t="s">
        <v>3594</v>
      </c>
    </row>
    <row r="23" spans="3:19" x14ac:dyDescent="0.3"/>
    <row r="24" spans="3:19" x14ac:dyDescent="0.3"/>
    <row r="25" spans="3:19" x14ac:dyDescent="0.3"/>
    <row r="26" spans="3:19" x14ac:dyDescent="0.3"/>
    <row r="27" spans="3:19" x14ac:dyDescent="0.3"/>
    <row r="28" spans="3:19" x14ac:dyDescent="0.3">
      <c r="S28" s="95" t="s">
        <v>2370</v>
      </c>
    </row>
    <row r="29" spans="3:19" x14ac:dyDescent="0.3"/>
    <row r="30" spans="3:19" x14ac:dyDescent="0.3"/>
    <row r="31" spans="3:19" x14ac:dyDescent="0.3"/>
    <row r="32" spans="3:19" x14ac:dyDescent="0.3">
      <c r="R32" s="95">
        <v>8809375984692</v>
      </c>
    </row>
    <row r="33" s="95" customFormat="1" hidden="1" x14ac:dyDescent="0.3"/>
    <row r="34" s="95" customFormat="1" hidden="1" x14ac:dyDescent="0.3"/>
    <row r="35" s="95" customFormat="1" hidden="1" x14ac:dyDescent="0.3"/>
    <row r="36" s="95" customFormat="1" hidden="1" x14ac:dyDescent="0.3"/>
    <row r="37" s="95" customFormat="1" hidden="1" x14ac:dyDescent="0.3"/>
    <row r="38" s="95" customFormat="1" hidden="1" x14ac:dyDescent="0.3"/>
    <row r="39" s="95" customFormat="1" hidden="1" x14ac:dyDescent="0.3"/>
    <row r="40" s="95" customFormat="1" hidden="1" x14ac:dyDescent="0.3"/>
    <row r="41" s="95" customFormat="1" hidden="1" x14ac:dyDescent="0.3"/>
    <row r="42" s="95" customFormat="1" hidden="1" x14ac:dyDescent="0.3"/>
    <row r="43" s="95" customFormat="1" hidden="1" x14ac:dyDescent="0.3"/>
    <row r="44" s="95" customFormat="1" hidden="1" x14ac:dyDescent="0.3"/>
    <row r="45" s="95" customFormat="1" hidden="1" x14ac:dyDescent="0.3"/>
    <row r="46" s="95" customFormat="1" hidden="1" x14ac:dyDescent="0.3"/>
    <row r="47" s="95" customFormat="1" hidden="1" x14ac:dyDescent="0.3"/>
    <row r="48" s="95" customFormat="1" hidden="1" x14ac:dyDescent="0.3"/>
    <row r="49" s="95" customFormat="1" hidden="1" x14ac:dyDescent="0.3"/>
    <row r="50" s="95" customFormat="1" hidden="1" x14ac:dyDescent="0.3"/>
    <row r="51" s="95" customFormat="1" hidden="1" x14ac:dyDescent="0.3"/>
    <row r="52" s="95" customFormat="1" hidden="1" x14ac:dyDescent="0.3"/>
    <row r="53" s="95" customFormat="1" hidden="1" x14ac:dyDescent="0.3"/>
    <row r="54" s="95" customFormat="1" hidden="1" x14ac:dyDescent="0.3"/>
    <row r="55" s="95" customFormat="1" hidden="1" x14ac:dyDescent="0.3"/>
    <row r="56" s="95" customFormat="1" hidden="1" x14ac:dyDescent="0.3"/>
  </sheetData>
  <phoneticPr fontId="2" type="noConversion"/>
  <pageMargins left="0.7" right="0.7" top="0.75" bottom="0.75" header="0.3" footer="0.3"/>
  <pageSetup paperSize="256" orientation="portrait" horizontalDpi="203" verticalDpi="203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58D172-5C30-4803-ADB6-E10ED6712AA7}">
  <sheetPr codeName="shtpost"/>
  <dimension ref="A1:G125"/>
  <sheetViews>
    <sheetView topLeftCell="A70" workbookViewId="0">
      <selection activeCell="B88" sqref="B88"/>
    </sheetView>
  </sheetViews>
  <sheetFormatPr defaultRowHeight="16.5" x14ac:dyDescent="0.3"/>
  <cols>
    <col min="1" max="1" width="4.5" bestFit="1" customWidth="1"/>
    <col min="2" max="2" width="12.75" customWidth="1"/>
    <col min="3" max="3" width="16" customWidth="1"/>
    <col min="4" max="4" width="7.125" bestFit="1" customWidth="1"/>
    <col min="5" max="5" width="16" customWidth="1"/>
    <col min="6" max="6" width="20.625" bestFit="1" customWidth="1"/>
  </cols>
  <sheetData>
    <row r="1" spans="1:7" x14ac:dyDescent="0.3">
      <c r="A1" s="180" t="s">
        <v>2</v>
      </c>
      <c r="B1" s="180" t="s">
        <v>14</v>
      </c>
      <c r="C1" s="180" t="s">
        <v>1624</v>
      </c>
      <c r="D1" s="180" t="s">
        <v>36</v>
      </c>
      <c r="E1" s="180" t="s">
        <v>1625</v>
      </c>
      <c r="F1" s="180" t="s">
        <v>4</v>
      </c>
      <c r="G1" s="96">
        <v>125</v>
      </c>
    </row>
    <row r="2" spans="1:7" x14ac:dyDescent="0.3">
      <c r="A2">
        <v>1</v>
      </c>
      <c r="B2" s="13">
        <v>45748</v>
      </c>
      <c r="C2" t="s">
        <v>2006</v>
      </c>
      <c r="D2" t="s">
        <v>2000</v>
      </c>
      <c r="E2" s="226">
        <v>21000</v>
      </c>
    </row>
    <row r="3" spans="1:7" x14ac:dyDescent="0.3">
      <c r="A3">
        <v>2</v>
      </c>
      <c r="B3" s="13">
        <v>45747</v>
      </c>
      <c r="C3" t="s">
        <v>2007</v>
      </c>
      <c r="D3" t="s">
        <v>2004</v>
      </c>
      <c r="E3" s="226">
        <v>48210</v>
      </c>
    </row>
    <row r="4" spans="1:7" x14ac:dyDescent="0.3">
      <c r="A4">
        <v>3</v>
      </c>
      <c r="B4" s="13">
        <v>45749</v>
      </c>
      <c r="C4" t="s">
        <v>2003</v>
      </c>
      <c r="D4" t="s">
        <v>2003</v>
      </c>
      <c r="E4" s="226">
        <v>16600</v>
      </c>
      <c r="F4" t="s">
        <v>2008</v>
      </c>
    </row>
    <row r="5" spans="1:7" x14ac:dyDescent="0.3">
      <c r="A5">
        <v>4</v>
      </c>
      <c r="B5" s="13">
        <v>45749</v>
      </c>
      <c r="C5" t="s">
        <v>1638</v>
      </c>
      <c r="D5" t="s">
        <v>2001</v>
      </c>
      <c r="E5">
        <v>19500</v>
      </c>
    </row>
    <row r="6" spans="1:7" x14ac:dyDescent="0.3">
      <c r="A6">
        <v>5</v>
      </c>
      <c r="B6" s="13">
        <v>45749</v>
      </c>
      <c r="C6" t="s">
        <v>2003</v>
      </c>
      <c r="D6" t="s">
        <v>1635</v>
      </c>
      <c r="E6">
        <v>8000</v>
      </c>
      <c r="F6" t="s">
        <v>2009</v>
      </c>
    </row>
    <row r="7" spans="1:7" x14ac:dyDescent="0.3">
      <c r="A7">
        <v>6</v>
      </c>
      <c r="B7" s="13">
        <v>45750</v>
      </c>
      <c r="C7" t="s">
        <v>1638</v>
      </c>
      <c r="D7" t="s">
        <v>2001</v>
      </c>
      <c r="E7">
        <v>22000</v>
      </c>
    </row>
    <row r="8" spans="1:7" x14ac:dyDescent="0.3">
      <c r="A8">
        <v>7</v>
      </c>
      <c r="B8" s="13">
        <v>45751</v>
      </c>
      <c r="C8" t="s">
        <v>1694</v>
      </c>
      <c r="D8" t="s">
        <v>2001</v>
      </c>
      <c r="E8">
        <v>7900</v>
      </c>
    </row>
    <row r="9" spans="1:7" x14ac:dyDescent="0.3">
      <c r="A9">
        <v>8</v>
      </c>
      <c r="B9" s="13">
        <v>45751</v>
      </c>
      <c r="C9" t="s">
        <v>1710</v>
      </c>
      <c r="D9" t="s">
        <v>2001</v>
      </c>
      <c r="E9">
        <v>5400</v>
      </c>
      <c r="F9" t="s">
        <v>1711</v>
      </c>
    </row>
    <row r="10" spans="1:7" x14ac:dyDescent="0.3">
      <c r="A10">
        <v>9</v>
      </c>
      <c r="B10" s="13">
        <v>45754</v>
      </c>
      <c r="C10" t="s">
        <v>1519</v>
      </c>
      <c r="D10" t="s">
        <v>2003</v>
      </c>
      <c r="E10">
        <v>8000</v>
      </c>
      <c r="F10" t="s">
        <v>1751</v>
      </c>
    </row>
    <row r="11" spans="1:7" x14ac:dyDescent="0.3">
      <c r="A11">
        <v>10</v>
      </c>
      <c r="B11" s="13">
        <v>45754</v>
      </c>
      <c r="C11" t="s">
        <v>1638</v>
      </c>
      <c r="D11" t="s">
        <v>2001</v>
      </c>
      <c r="E11">
        <v>11000</v>
      </c>
    </row>
    <row r="12" spans="1:7" x14ac:dyDescent="0.3">
      <c r="A12">
        <v>11</v>
      </c>
      <c r="B12" s="13">
        <v>45754</v>
      </c>
      <c r="C12" t="s">
        <v>1623</v>
      </c>
      <c r="D12" t="s">
        <v>2005</v>
      </c>
      <c r="E12">
        <v>47970</v>
      </c>
    </row>
    <row r="13" spans="1:7" x14ac:dyDescent="0.3">
      <c r="A13">
        <v>12</v>
      </c>
      <c r="B13" s="13">
        <v>45755</v>
      </c>
      <c r="C13" t="s">
        <v>1710</v>
      </c>
      <c r="D13" t="s">
        <v>2001</v>
      </c>
      <c r="E13">
        <v>5400</v>
      </c>
      <c r="F13" t="s">
        <v>1801</v>
      </c>
    </row>
    <row r="14" spans="1:7" x14ac:dyDescent="0.3">
      <c r="A14">
        <v>13</v>
      </c>
      <c r="B14" s="13">
        <v>45756</v>
      </c>
      <c r="C14" t="s">
        <v>1825</v>
      </c>
      <c r="D14" t="s">
        <v>2002</v>
      </c>
      <c r="E14">
        <v>44600</v>
      </c>
    </row>
    <row r="15" spans="1:7" x14ac:dyDescent="0.3">
      <c r="A15">
        <v>14</v>
      </c>
      <c r="B15" s="13">
        <v>45756</v>
      </c>
      <c r="C15" t="s">
        <v>1638</v>
      </c>
      <c r="D15" t="s">
        <v>2001</v>
      </c>
      <c r="E15">
        <v>11000</v>
      </c>
    </row>
    <row r="16" spans="1:7" x14ac:dyDescent="0.3">
      <c r="A16">
        <v>15</v>
      </c>
      <c r="B16" s="13">
        <v>45758</v>
      </c>
      <c r="C16" t="s">
        <v>1694</v>
      </c>
      <c r="D16" t="s">
        <v>2001</v>
      </c>
      <c r="E16">
        <v>7900</v>
      </c>
    </row>
    <row r="17" spans="1:6" x14ac:dyDescent="0.3">
      <c r="A17">
        <v>16</v>
      </c>
      <c r="B17" s="13">
        <v>45762</v>
      </c>
      <c r="C17" t="s">
        <v>1623</v>
      </c>
      <c r="D17" t="s">
        <v>2005</v>
      </c>
      <c r="E17">
        <v>47550</v>
      </c>
    </row>
    <row r="18" spans="1:6" x14ac:dyDescent="0.3">
      <c r="A18">
        <v>17</v>
      </c>
      <c r="B18" s="13">
        <v>45762</v>
      </c>
      <c r="C18" t="s">
        <v>1623</v>
      </c>
      <c r="D18" t="s">
        <v>2005</v>
      </c>
      <c r="E18">
        <v>5000</v>
      </c>
      <c r="F18" t="s">
        <v>1881</v>
      </c>
    </row>
    <row r="19" spans="1:6" x14ac:dyDescent="0.3">
      <c r="A19">
        <v>18</v>
      </c>
      <c r="B19" s="13">
        <v>45762</v>
      </c>
      <c r="C19" t="s">
        <v>1882</v>
      </c>
      <c r="D19" t="s">
        <v>2001</v>
      </c>
      <c r="E19">
        <v>40600</v>
      </c>
    </row>
    <row r="20" spans="1:6" x14ac:dyDescent="0.3">
      <c r="A20">
        <v>19</v>
      </c>
      <c r="B20" s="13">
        <v>45771</v>
      </c>
      <c r="C20" t="s">
        <v>1623</v>
      </c>
      <c r="D20" t="s">
        <v>2005</v>
      </c>
      <c r="E20">
        <v>47550</v>
      </c>
    </row>
    <row r="21" spans="1:6" x14ac:dyDescent="0.3">
      <c r="A21">
        <v>20</v>
      </c>
      <c r="B21" s="13">
        <v>45771</v>
      </c>
      <c r="C21" t="s">
        <v>1971</v>
      </c>
      <c r="D21" t="s">
        <v>2005</v>
      </c>
      <c r="E21">
        <v>5000</v>
      </c>
      <c r="F21" t="s">
        <v>1881</v>
      </c>
    </row>
    <row r="22" spans="1:6" x14ac:dyDescent="0.3">
      <c r="A22">
        <v>21</v>
      </c>
      <c r="B22" s="13">
        <v>45772</v>
      </c>
      <c r="C22" t="s">
        <v>1519</v>
      </c>
      <c r="D22" t="s">
        <v>2003</v>
      </c>
      <c r="E22">
        <v>7000</v>
      </c>
      <c r="F22" t="s">
        <v>1988</v>
      </c>
    </row>
    <row r="23" spans="1:6" x14ac:dyDescent="0.3">
      <c r="A23">
        <v>22</v>
      </c>
      <c r="B23" s="13">
        <v>45775</v>
      </c>
      <c r="C23" t="s">
        <v>1996</v>
      </c>
      <c r="D23" t="s">
        <v>2001</v>
      </c>
      <c r="E23">
        <v>8000</v>
      </c>
    </row>
    <row r="24" spans="1:6" x14ac:dyDescent="0.3">
      <c r="A24">
        <v>23</v>
      </c>
      <c r="B24" s="13">
        <v>45775</v>
      </c>
      <c r="C24" t="s">
        <v>1519</v>
      </c>
      <c r="D24" t="s">
        <v>2003</v>
      </c>
      <c r="E24">
        <v>5000</v>
      </c>
      <c r="F24" t="s">
        <v>1147</v>
      </c>
    </row>
    <row r="25" spans="1:6" x14ac:dyDescent="0.3">
      <c r="A25">
        <v>24</v>
      </c>
      <c r="B25" s="13">
        <v>45778</v>
      </c>
      <c r="C25" t="s">
        <v>2057</v>
      </c>
      <c r="D25" t="s">
        <v>1783</v>
      </c>
      <c r="E25">
        <v>2000</v>
      </c>
      <c r="F25" t="s">
        <v>2058</v>
      </c>
    </row>
    <row r="26" spans="1:6" x14ac:dyDescent="0.3">
      <c r="A26">
        <v>25</v>
      </c>
      <c r="B26" s="13">
        <v>45778</v>
      </c>
      <c r="C26" t="s">
        <v>2057</v>
      </c>
      <c r="D26" t="s">
        <v>1783</v>
      </c>
      <c r="E26">
        <v>2000</v>
      </c>
      <c r="F26" t="s">
        <v>2058</v>
      </c>
    </row>
    <row r="27" spans="1:6" x14ac:dyDescent="0.3">
      <c r="A27">
        <v>26</v>
      </c>
      <c r="B27" s="13">
        <v>45777</v>
      </c>
      <c r="C27" t="s">
        <v>2059</v>
      </c>
      <c r="D27" t="s">
        <v>2000</v>
      </c>
      <c r="E27">
        <v>32000</v>
      </c>
    </row>
    <row r="28" spans="1:6" x14ac:dyDescent="0.3">
      <c r="A28">
        <v>27</v>
      </c>
      <c r="B28" s="13">
        <v>45778</v>
      </c>
      <c r="C28" t="s">
        <v>1996</v>
      </c>
      <c r="D28" t="s">
        <v>2000</v>
      </c>
      <c r="E28" s="226">
        <v>8000</v>
      </c>
    </row>
    <row r="29" spans="1:6" x14ac:dyDescent="0.3">
      <c r="A29">
        <v>28</v>
      </c>
      <c r="B29" s="13">
        <v>45779</v>
      </c>
      <c r="C29" t="s">
        <v>2057</v>
      </c>
      <c r="D29" t="s">
        <v>1783</v>
      </c>
      <c r="E29">
        <v>6000</v>
      </c>
      <c r="F29" t="s">
        <v>2062</v>
      </c>
    </row>
    <row r="30" spans="1:6" x14ac:dyDescent="0.3">
      <c r="A30">
        <v>29</v>
      </c>
      <c r="B30" s="13">
        <v>45779</v>
      </c>
      <c r="C30" t="s">
        <v>2073</v>
      </c>
      <c r="D30" t="s">
        <v>1999</v>
      </c>
      <c r="E30">
        <v>74100</v>
      </c>
      <c r="F30" t="s">
        <v>2074</v>
      </c>
    </row>
    <row r="31" spans="1:6" x14ac:dyDescent="0.3">
      <c r="A31">
        <v>30</v>
      </c>
      <c r="B31" s="13">
        <v>45780</v>
      </c>
      <c r="C31" t="s">
        <v>2071</v>
      </c>
      <c r="D31" t="s">
        <v>1999</v>
      </c>
      <c r="E31">
        <v>7000</v>
      </c>
      <c r="F31" t="s">
        <v>2072</v>
      </c>
    </row>
    <row r="32" spans="1:6" x14ac:dyDescent="0.3">
      <c r="A32">
        <v>31</v>
      </c>
      <c r="B32" s="13">
        <v>45780</v>
      </c>
      <c r="C32" t="s">
        <v>2057</v>
      </c>
      <c r="D32" t="s">
        <v>1783</v>
      </c>
      <c r="E32">
        <v>7000</v>
      </c>
      <c r="F32" t="s">
        <v>1889</v>
      </c>
    </row>
    <row r="33" spans="1:6" x14ac:dyDescent="0.3">
      <c r="A33">
        <v>32</v>
      </c>
      <c r="B33" s="13">
        <v>45784</v>
      </c>
      <c r="C33" t="s">
        <v>1638</v>
      </c>
      <c r="D33" t="s">
        <v>2000</v>
      </c>
      <c r="E33">
        <v>9500</v>
      </c>
    </row>
    <row r="34" spans="1:6" x14ac:dyDescent="0.3">
      <c r="A34">
        <v>33</v>
      </c>
      <c r="B34" s="13">
        <v>45785</v>
      </c>
      <c r="C34" t="s">
        <v>2116</v>
      </c>
      <c r="D34" t="s">
        <v>2000</v>
      </c>
      <c r="E34">
        <v>14000</v>
      </c>
    </row>
    <row r="35" spans="1:6" x14ac:dyDescent="0.3">
      <c r="A35">
        <v>34</v>
      </c>
      <c r="B35" s="13">
        <v>45786</v>
      </c>
      <c r="C35" t="s">
        <v>2116</v>
      </c>
      <c r="D35" t="s">
        <v>2000</v>
      </c>
      <c r="E35">
        <v>14000</v>
      </c>
    </row>
    <row r="36" spans="1:6" x14ac:dyDescent="0.3">
      <c r="A36">
        <v>35</v>
      </c>
      <c r="B36" s="13">
        <v>45789</v>
      </c>
      <c r="C36" t="s">
        <v>2057</v>
      </c>
      <c r="D36" t="s">
        <v>1783</v>
      </c>
      <c r="E36">
        <v>2000</v>
      </c>
      <c r="F36" t="s">
        <v>2118</v>
      </c>
    </row>
    <row r="37" spans="1:6" x14ac:dyDescent="0.3">
      <c r="A37">
        <v>36</v>
      </c>
      <c r="B37" s="13">
        <v>45789</v>
      </c>
      <c r="C37" t="s">
        <v>2057</v>
      </c>
      <c r="D37" t="s">
        <v>1783</v>
      </c>
      <c r="E37">
        <v>4500</v>
      </c>
    </row>
    <row r="38" spans="1:6" x14ac:dyDescent="0.3">
      <c r="A38">
        <v>37</v>
      </c>
      <c r="B38" s="13">
        <v>45790</v>
      </c>
    </row>
    <row r="39" spans="1:6" x14ac:dyDescent="0.3">
      <c r="A39">
        <v>38</v>
      </c>
      <c r="B39" s="13">
        <v>45790</v>
      </c>
      <c r="C39" t="s">
        <v>2116</v>
      </c>
      <c r="D39" t="s">
        <v>2000</v>
      </c>
      <c r="E39">
        <v>14000</v>
      </c>
    </row>
    <row r="40" spans="1:6" x14ac:dyDescent="0.3">
      <c r="A40">
        <v>39</v>
      </c>
      <c r="B40" s="13">
        <v>45790</v>
      </c>
      <c r="C40" t="s">
        <v>1710</v>
      </c>
      <c r="D40" t="s">
        <v>2000</v>
      </c>
      <c r="E40">
        <v>9600</v>
      </c>
    </row>
    <row r="41" spans="1:6" x14ac:dyDescent="0.3">
      <c r="A41">
        <v>40</v>
      </c>
      <c r="B41" s="13">
        <v>45790</v>
      </c>
      <c r="C41" t="s">
        <v>2169</v>
      </c>
      <c r="D41" t="s">
        <v>2003</v>
      </c>
      <c r="E41">
        <v>7000</v>
      </c>
      <c r="F41" t="s">
        <v>2170</v>
      </c>
    </row>
    <row r="42" spans="1:6" x14ac:dyDescent="0.3">
      <c r="A42">
        <v>41</v>
      </c>
      <c r="B42" s="13">
        <v>45790</v>
      </c>
      <c r="C42" t="s">
        <v>2167</v>
      </c>
      <c r="D42" t="s">
        <v>1783</v>
      </c>
      <c r="E42">
        <v>14000</v>
      </c>
      <c r="F42" t="s">
        <v>2168</v>
      </c>
    </row>
    <row r="43" spans="1:6" x14ac:dyDescent="0.3">
      <c r="A43">
        <v>42</v>
      </c>
      <c r="B43" s="13">
        <v>45791</v>
      </c>
      <c r="C43" t="s">
        <v>2057</v>
      </c>
      <c r="D43" t="s">
        <v>1783</v>
      </c>
      <c r="E43">
        <v>6000</v>
      </c>
      <c r="F43" t="s">
        <v>2171</v>
      </c>
    </row>
    <row r="44" spans="1:6" x14ac:dyDescent="0.3">
      <c r="A44">
        <v>43</v>
      </c>
      <c r="B44" s="13">
        <v>45791</v>
      </c>
      <c r="C44" t="s">
        <v>2057</v>
      </c>
      <c r="D44" t="s">
        <v>1783</v>
      </c>
      <c r="E44">
        <v>6000</v>
      </c>
      <c r="F44" t="s">
        <v>2172</v>
      </c>
    </row>
    <row r="45" spans="1:6" x14ac:dyDescent="0.3">
      <c r="A45">
        <v>44</v>
      </c>
      <c r="B45" s="13">
        <v>45791</v>
      </c>
      <c r="C45" t="s">
        <v>2175</v>
      </c>
      <c r="D45" t="s">
        <v>2004</v>
      </c>
      <c r="E45">
        <v>46590</v>
      </c>
    </row>
    <row r="46" spans="1:6" x14ac:dyDescent="0.3">
      <c r="A46">
        <v>45</v>
      </c>
      <c r="B46" s="13">
        <v>45791</v>
      </c>
      <c r="C46" t="s">
        <v>1519</v>
      </c>
      <c r="D46" t="s">
        <v>1635</v>
      </c>
      <c r="E46">
        <v>7000</v>
      </c>
      <c r="F46" t="s">
        <v>2166</v>
      </c>
    </row>
    <row r="47" spans="1:6" x14ac:dyDescent="0.3">
      <c r="A47">
        <v>46</v>
      </c>
      <c r="B47" s="13">
        <v>45791</v>
      </c>
      <c r="C47" t="s">
        <v>2057</v>
      </c>
      <c r="D47" t="s">
        <v>1783</v>
      </c>
      <c r="E47">
        <v>4100</v>
      </c>
      <c r="F47" t="s">
        <v>2171</v>
      </c>
    </row>
    <row r="48" spans="1:6" x14ac:dyDescent="0.3">
      <c r="A48">
        <v>47</v>
      </c>
      <c r="B48" s="13">
        <v>45792</v>
      </c>
      <c r="C48" t="s">
        <v>2057</v>
      </c>
      <c r="D48" t="s">
        <v>1783</v>
      </c>
      <c r="E48">
        <v>6000</v>
      </c>
      <c r="F48" t="s">
        <v>2207</v>
      </c>
    </row>
    <row r="49" spans="1:6" x14ac:dyDescent="0.3">
      <c r="A49">
        <v>48</v>
      </c>
      <c r="B49" s="13">
        <v>45793</v>
      </c>
      <c r="C49" t="s">
        <v>1710</v>
      </c>
      <c r="D49" t="s">
        <v>2000</v>
      </c>
      <c r="E49">
        <v>5400</v>
      </c>
    </row>
    <row r="50" spans="1:6" x14ac:dyDescent="0.3">
      <c r="A50">
        <v>49</v>
      </c>
      <c r="B50" s="13">
        <v>45794</v>
      </c>
      <c r="C50" t="s">
        <v>2234</v>
      </c>
      <c r="D50" t="s">
        <v>1783</v>
      </c>
      <c r="E50">
        <v>8000</v>
      </c>
      <c r="F50" t="s">
        <v>2235</v>
      </c>
    </row>
    <row r="51" spans="1:6" x14ac:dyDescent="0.3">
      <c r="A51">
        <v>50</v>
      </c>
      <c r="B51" s="13">
        <v>45796</v>
      </c>
      <c r="C51" t="s">
        <v>1996</v>
      </c>
      <c r="D51" t="s">
        <v>2000</v>
      </c>
      <c r="E51">
        <v>8000</v>
      </c>
    </row>
    <row r="52" spans="1:6" x14ac:dyDescent="0.3">
      <c r="A52">
        <v>51</v>
      </c>
      <c r="B52" s="13">
        <v>45796</v>
      </c>
      <c r="C52" t="s">
        <v>2175</v>
      </c>
      <c r="D52" t="s">
        <v>2004</v>
      </c>
      <c r="E52">
        <v>46300</v>
      </c>
    </row>
    <row r="53" spans="1:6" x14ac:dyDescent="0.3">
      <c r="A53">
        <v>52</v>
      </c>
      <c r="B53" s="13">
        <v>45796</v>
      </c>
      <c r="C53" t="s">
        <v>2248</v>
      </c>
      <c r="D53" t="s">
        <v>2000</v>
      </c>
      <c r="E53">
        <v>1800</v>
      </c>
    </row>
    <row r="54" spans="1:6" x14ac:dyDescent="0.3">
      <c r="A54">
        <v>53</v>
      </c>
      <c r="B54" s="13">
        <v>45797</v>
      </c>
      <c r="C54" t="s">
        <v>1996</v>
      </c>
      <c r="D54" t="s">
        <v>2000</v>
      </c>
      <c r="E54" s="226">
        <v>8000</v>
      </c>
    </row>
    <row r="55" spans="1:6" x14ac:dyDescent="0.3">
      <c r="A55">
        <v>54</v>
      </c>
      <c r="B55" s="13">
        <v>45798</v>
      </c>
      <c r="C55" t="s">
        <v>1996</v>
      </c>
      <c r="D55" t="s">
        <v>2000</v>
      </c>
      <c r="E55">
        <v>8000</v>
      </c>
    </row>
    <row r="56" spans="1:6" x14ac:dyDescent="0.3">
      <c r="A56">
        <v>55</v>
      </c>
      <c r="B56" s="13">
        <v>45798</v>
      </c>
      <c r="C56" t="s">
        <v>2057</v>
      </c>
      <c r="D56" t="s">
        <v>1783</v>
      </c>
      <c r="E56">
        <v>6500</v>
      </c>
    </row>
    <row r="57" spans="1:6" x14ac:dyDescent="0.3">
      <c r="A57">
        <v>56</v>
      </c>
      <c r="B57" s="13">
        <v>45799</v>
      </c>
      <c r="C57" t="s">
        <v>2303</v>
      </c>
      <c r="D57" t="s">
        <v>2001</v>
      </c>
      <c r="E57">
        <v>9500</v>
      </c>
    </row>
    <row r="58" spans="1:6" x14ac:dyDescent="0.3">
      <c r="A58">
        <v>57</v>
      </c>
      <c r="B58" s="13">
        <v>45800</v>
      </c>
      <c r="C58" t="s">
        <v>1996</v>
      </c>
      <c r="D58" t="s">
        <v>2000</v>
      </c>
      <c r="E58">
        <v>8000</v>
      </c>
    </row>
    <row r="59" spans="1:6" x14ac:dyDescent="0.3">
      <c r="A59">
        <v>58</v>
      </c>
      <c r="B59" s="13">
        <v>45803</v>
      </c>
      <c r="C59" t="s">
        <v>2304</v>
      </c>
      <c r="D59" t="s">
        <v>2000</v>
      </c>
      <c r="E59">
        <v>7500</v>
      </c>
    </row>
    <row r="60" spans="1:6" x14ac:dyDescent="0.3">
      <c r="A60">
        <v>59</v>
      </c>
      <c r="B60" s="13">
        <v>45804</v>
      </c>
      <c r="C60" t="s">
        <v>1638</v>
      </c>
      <c r="D60" t="s">
        <v>2000</v>
      </c>
      <c r="E60">
        <v>10000</v>
      </c>
    </row>
    <row r="61" spans="1:6" x14ac:dyDescent="0.3">
      <c r="A61">
        <v>60</v>
      </c>
      <c r="B61" s="13">
        <v>45805</v>
      </c>
      <c r="C61" t="s">
        <v>1996</v>
      </c>
      <c r="D61" t="s">
        <v>2000</v>
      </c>
      <c r="E61">
        <v>8000</v>
      </c>
    </row>
    <row r="62" spans="1:6" x14ac:dyDescent="0.3">
      <c r="A62">
        <v>61</v>
      </c>
      <c r="B62" s="13">
        <v>45806</v>
      </c>
      <c r="C62" t="s">
        <v>2057</v>
      </c>
      <c r="D62" t="s">
        <v>1783</v>
      </c>
      <c r="E62">
        <v>11000</v>
      </c>
    </row>
    <row r="63" spans="1:6" x14ac:dyDescent="0.3">
      <c r="A63">
        <v>62</v>
      </c>
      <c r="B63" s="13">
        <v>45806</v>
      </c>
      <c r="C63" t="s">
        <v>1996</v>
      </c>
      <c r="D63" t="s">
        <v>2000</v>
      </c>
      <c r="E63">
        <v>8000</v>
      </c>
    </row>
    <row r="64" spans="1:6" x14ac:dyDescent="0.3">
      <c r="A64">
        <v>63</v>
      </c>
      <c r="B64" s="13">
        <v>45807</v>
      </c>
      <c r="C64" t="s">
        <v>1623</v>
      </c>
      <c r="D64" t="s">
        <v>2004</v>
      </c>
      <c r="E64">
        <v>46950</v>
      </c>
    </row>
    <row r="65" spans="1:6" x14ac:dyDescent="0.3">
      <c r="A65">
        <v>64</v>
      </c>
      <c r="B65" s="13">
        <v>45807</v>
      </c>
      <c r="C65" t="s">
        <v>2331</v>
      </c>
      <c r="D65" t="s">
        <v>1783</v>
      </c>
      <c r="E65">
        <v>6000</v>
      </c>
      <c r="F65" t="s">
        <v>2172</v>
      </c>
    </row>
    <row r="66" spans="1:6" x14ac:dyDescent="0.3">
      <c r="A66">
        <v>65</v>
      </c>
      <c r="B66" s="13">
        <v>45807</v>
      </c>
      <c r="C66" t="s">
        <v>2057</v>
      </c>
      <c r="D66" t="s">
        <v>1783</v>
      </c>
      <c r="E66">
        <v>6000</v>
      </c>
      <c r="F66" t="s">
        <v>1955</v>
      </c>
    </row>
    <row r="67" spans="1:6" x14ac:dyDescent="0.3">
      <c r="A67">
        <v>66</v>
      </c>
      <c r="B67" s="13">
        <v>45812</v>
      </c>
      <c r="C67" t="s">
        <v>2057</v>
      </c>
      <c r="D67" t="s">
        <v>1783</v>
      </c>
      <c r="E67">
        <v>6000</v>
      </c>
    </row>
    <row r="68" spans="1:6" x14ac:dyDescent="0.3">
      <c r="A68">
        <v>67</v>
      </c>
      <c r="B68" s="13">
        <v>45811</v>
      </c>
      <c r="C68" t="s">
        <v>1996</v>
      </c>
      <c r="D68" t="s">
        <v>2000</v>
      </c>
      <c r="E68">
        <v>8000</v>
      </c>
    </row>
    <row r="69" spans="1:6" x14ac:dyDescent="0.3">
      <c r="A69">
        <v>68</v>
      </c>
      <c r="B69" s="13">
        <v>45817</v>
      </c>
      <c r="C69" t="s">
        <v>2057</v>
      </c>
      <c r="D69" t="s">
        <v>1783</v>
      </c>
      <c r="E69">
        <v>6000</v>
      </c>
      <c r="F69" t="s">
        <v>2409</v>
      </c>
    </row>
    <row r="70" spans="1:6" x14ac:dyDescent="0.3">
      <c r="A70">
        <v>69</v>
      </c>
      <c r="B70" s="13">
        <v>45815</v>
      </c>
      <c r="C70" t="s">
        <v>2057</v>
      </c>
      <c r="D70" t="s">
        <v>1783</v>
      </c>
      <c r="E70">
        <v>6000</v>
      </c>
      <c r="F70" t="s">
        <v>2409</v>
      </c>
    </row>
    <row r="71" spans="1:6" x14ac:dyDescent="0.3">
      <c r="A71">
        <v>70</v>
      </c>
      <c r="B71" s="13">
        <v>45813</v>
      </c>
      <c r="C71" t="s">
        <v>2057</v>
      </c>
      <c r="D71" t="s">
        <v>1783</v>
      </c>
      <c r="E71">
        <v>4000</v>
      </c>
      <c r="F71" t="s">
        <v>2172</v>
      </c>
    </row>
    <row r="72" spans="1:6" x14ac:dyDescent="0.3">
      <c r="A72">
        <v>71</v>
      </c>
      <c r="B72" s="13">
        <v>45817</v>
      </c>
      <c r="C72" t="s">
        <v>2057</v>
      </c>
      <c r="D72" t="s">
        <v>1783</v>
      </c>
      <c r="E72">
        <v>4600</v>
      </c>
      <c r="F72" t="s">
        <v>2446</v>
      </c>
    </row>
    <row r="73" spans="1:6" x14ac:dyDescent="0.3">
      <c r="A73">
        <v>72</v>
      </c>
      <c r="B73" s="13">
        <v>45817</v>
      </c>
      <c r="C73" t="s">
        <v>2057</v>
      </c>
      <c r="D73" t="s">
        <v>1783</v>
      </c>
      <c r="E73">
        <v>9600</v>
      </c>
      <c r="F73" t="s">
        <v>2447</v>
      </c>
    </row>
    <row r="74" spans="1:6" x14ac:dyDescent="0.3">
      <c r="A74">
        <v>73</v>
      </c>
      <c r="B74" s="13">
        <v>45818</v>
      </c>
      <c r="C74" t="s">
        <v>2057</v>
      </c>
      <c r="D74" t="s">
        <v>1783</v>
      </c>
      <c r="E74">
        <v>6000</v>
      </c>
      <c r="F74" t="s">
        <v>2448</v>
      </c>
    </row>
    <row r="75" spans="1:6" x14ac:dyDescent="0.3">
      <c r="A75">
        <v>74</v>
      </c>
      <c r="B75" s="13">
        <v>45818</v>
      </c>
      <c r="C75" t="s">
        <v>2248</v>
      </c>
      <c r="D75" t="s">
        <v>2000</v>
      </c>
      <c r="E75">
        <v>2200</v>
      </c>
    </row>
    <row r="76" spans="1:6" x14ac:dyDescent="0.3">
      <c r="A76">
        <v>75</v>
      </c>
      <c r="B76" s="13">
        <v>45818</v>
      </c>
      <c r="C76" t="s">
        <v>2234</v>
      </c>
      <c r="D76" t="s">
        <v>1635</v>
      </c>
      <c r="E76">
        <v>10000</v>
      </c>
      <c r="F76" t="s">
        <v>2449</v>
      </c>
    </row>
    <row r="77" spans="1:6" x14ac:dyDescent="0.3">
      <c r="A77">
        <v>76</v>
      </c>
      <c r="B77" s="13">
        <v>45818</v>
      </c>
      <c r="C77" t="s">
        <v>2057</v>
      </c>
      <c r="D77" t="s">
        <v>1783</v>
      </c>
      <c r="E77" s="226">
        <v>6000</v>
      </c>
      <c r="F77" t="s">
        <v>987</v>
      </c>
    </row>
    <row r="78" spans="1:6" x14ac:dyDescent="0.3">
      <c r="A78">
        <v>77</v>
      </c>
      <c r="B78" s="13">
        <v>45819</v>
      </c>
      <c r="C78" t="s">
        <v>2167</v>
      </c>
      <c r="D78" t="s">
        <v>1783</v>
      </c>
      <c r="E78">
        <v>6000</v>
      </c>
      <c r="F78" t="s">
        <v>2478</v>
      </c>
    </row>
    <row r="79" spans="1:6" x14ac:dyDescent="0.3">
      <c r="A79">
        <v>78</v>
      </c>
      <c r="B79" s="13">
        <v>45820</v>
      </c>
      <c r="C79" t="s">
        <v>2057</v>
      </c>
      <c r="D79" t="s">
        <v>1783</v>
      </c>
      <c r="E79" s="226">
        <v>6000</v>
      </c>
      <c r="F79" t="s">
        <v>1821</v>
      </c>
    </row>
    <row r="80" spans="1:6" x14ac:dyDescent="0.3">
      <c r="A80">
        <v>79</v>
      </c>
      <c r="B80" s="13">
        <v>45820</v>
      </c>
      <c r="C80" t="s">
        <v>2057</v>
      </c>
      <c r="D80" t="s">
        <v>1783</v>
      </c>
      <c r="E80">
        <v>7600</v>
      </c>
      <c r="F80" t="s">
        <v>2410</v>
      </c>
    </row>
    <row r="81" spans="1:6" x14ac:dyDescent="0.3">
      <c r="A81">
        <v>80</v>
      </c>
      <c r="B81" s="13">
        <v>45824</v>
      </c>
      <c r="C81" t="s">
        <v>2175</v>
      </c>
      <c r="D81" t="s">
        <v>2004</v>
      </c>
      <c r="E81">
        <v>47970</v>
      </c>
    </row>
    <row r="82" spans="1:6" x14ac:dyDescent="0.3">
      <c r="A82">
        <v>81</v>
      </c>
      <c r="B82" s="13">
        <v>45824</v>
      </c>
      <c r="C82" t="s">
        <v>1996</v>
      </c>
      <c r="D82" t="s">
        <v>2000</v>
      </c>
      <c r="E82">
        <v>8000</v>
      </c>
    </row>
    <row r="83" spans="1:6" x14ac:dyDescent="0.3">
      <c r="A83">
        <v>82</v>
      </c>
      <c r="B83" s="13">
        <v>45824</v>
      </c>
      <c r="C83" t="s">
        <v>2057</v>
      </c>
      <c r="D83" t="s">
        <v>1783</v>
      </c>
      <c r="E83">
        <v>4600</v>
      </c>
      <c r="F83" t="s">
        <v>2510</v>
      </c>
    </row>
    <row r="84" spans="1:6" x14ac:dyDescent="0.3">
      <c r="A84">
        <v>83</v>
      </c>
      <c r="B84" s="13">
        <v>45825</v>
      </c>
      <c r="C84" t="s">
        <v>1378</v>
      </c>
      <c r="D84" t="s">
        <v>1783</v>
      </c>
      <c r="E84">
        <v>7000</v>
      </c>
      <c r="F84" t="s">
        <v>2517</v>
      </c>
    </row>
    <row r="85" spans="1:6" x14ac:dyDescent="0.3">
      <c r="A85">
        <v>84</v>
      </c>
      <c r="B85" s="13">
        <v>45825</v>
      </c>
      <c r="C85" t="s">
        <v>2234</v>
      </c>
      <c r="D85" t="s">
        <v>1635</v>
      </c>
      <c r="E85">
        <v>9000</v>
      </c>
      <c r="F85" t="s">
        <v>2517</v>
      </c>
    </row>
    <row r="86" spans="1:6" x14ac:dyDescent="0.3">
      <c r="A86">
        <v>85</v>
      </c>
      <c r="B86" s="13">
        <v>45825</v>
      </c>
      <c r="C86" t="s">
        <v>1694</v>
      </c>
      <c r="D86" t="s">
        <v>2000</v>
      </c>
      <c r="E86">
        <v>7000</v>
      </c>
    </row>
    <row r="87" spans="1:6" x14ac:dyDescent="0.3">
      <c r="A87">
        <v>86</v>
      </c>
      <c r="B87" s="13">
        <v>45826</v>
      </c>
      <c r="C87" t="s">
        <v>2057</v>
      </c>
      <c r="D87" t="s">
        <v>1783</v>
      </c>
      <c r="E87">
        <v>2000</v>
      </c>
      <c r="F87" t="s">
        <v>2410</v>
      </c>
    </row>
    <row r="88" spans="1:6" x14ac:dyDescent="0.3">
      <c r="A88">
        <v>87</v>
      </c>
      <c r="B88" s="13">
        <v>45826</v>
      </c>
      <c r="C88" t="s">
        <v>2057</v>
      </c>
      <c r="D88" t="s">
        <v>1783</v>
      </c>
      <c r="E88">
        <v>2000</v>
      </c>
      <c r="F88" t="s">
        <v>2410</v>
      </c>
    </row>
    <row r="89" spans="1:6" x14ac:dyDescent="0.3">
      <c r="A89">
        <v>88</v>
      </c>
      <c r="B89" s="13">
        <v>45826</v>
      </c>
      <c r="C89" t="s">
        <v>2057</v>
      </c>
      <c r="D89" t="s">
        <v>1783</v>
      </c>
      <c r="E89">
        <v>7500</v>
      </c>
      <c r="F89" t="s">
        <v>2563</v>
      </c>
    </row>
    <row r="90" spans="1:6" x14ac:dyDescent="0.3">
      <c r="A90">
        <v>89</v>
      </c>
      <c r="B90" s="13">
        <v>45826</v>
      </c>
      <c r="C90" t="s">
        <v>1638</v>
      </c>
      <c r="D90" t="s">
        <v>2000</v>
      </c>
      <c r="E90">
        <v>9500</v>
      </c>
    </row>
    <row r="91" spans="1:6" x14ac:dyDescent="0.3">
      <c r="A91">
        <v>90</v>
      </c>
      <c r="B91" s="13">
        <v>45827</v>
      </c>
      <c r="C91" t="s">
        <v>2057</v>
      </c>
      <c r="D91" t="s">
        <v>1783</v>
      </c>
      <c r="E91">
        <v>6000</v>
      </c>
      <c r="F91" t="s">
        <v>2448</v>
      </c>
    </row>
    <row r="92" spans="1:6" x14ac:dyDescent="0.3">
      <c r="A92">
        <v>91</v>
      </c>
      <c r="B92" s="13">
        <v>45827</v>
      </c>
      <c r="C92" t="s">
        <v>2057</v>
      </c>
      <c r="D92" t="s">
        <v>1783</v>
      </c>
      <c r="E92">
        <v>2000</v>
      </c>
      <c r="F92" t="s">
        <v>2573</v>
      </c>
    </row>
    <row r="93" spans="1:6" x14ac:dyDescent="0.3">
      <c r="A93">
        <v>92</v>
      </c>
      <c r="B93" s="13">
        <v>45827</v>
      </c>
      <c r="C93" t="s">
        <v>2057</v>
      </c>
      <c r="D93" t="s">
        <v>1783</v>
      </c>
      <c r="E93">
        <v>4600</v>
      </c>
      <c r="F93" t="s">
        <v>2591</v>
      </c>
    </row>
    <row r="94" spans="1:6" x14ac:dyDescent="0.3">
      <c r="A94">
        <v>93</v>
      </c>
      <c r="B94" s="13">
        <v>45828</v>
      </c>
      <c r="C94" t="s">
        <v>2057</v>
      </c>
      <c r="D94" t="s">
        <v>1783</v>
      </c>
      <c r="E94">
        <v>4500</v>
      </c>
      <c r="F94" t="s">
        <v>2609</v>
      </c>
    </row>
    <row r="95" spans="1:6" x14ac:dyDescent="0.3">
      <c r="A95">
        <v>94</v>
      </c>
      <c r="B95" s="13">
        <v>45829</v>
      </c>
      <c r="C95" t="s">
        <v>2175</v>
      </c>
      <c r="D95" t="s">
        <v>2004</v>
      </c>
      <c r="E95">
        <v>48750</v>
      </c>
    </row>
    <row r="96" spans="1:6" x14ac:dyDescent="0.3">
      <c r="A96">
        <v>95</v>
      </c>
      <c r="B96" s="13">
        <v>45829</v>
      </c>
      <c r="C96" t="s">
        <v>2057</v>
      </c>
      <c r="D96" t="s">
        <v>1783</v>
      </c>
      <c r="E96">
        <v>7600</v>
      </c>
      <c r="F96" t="s">
        <v>2502</v>
      </c>
    </row>
    <row r="97" spans="1:6" x14ac:dyDescent="0.3">
      <c r="A97">
        <v>96</v>
      </c>
      <c r="B97" s="13">
        <v>45829</v>
      </c>
      <c r="C97" t="s">
        <v>2057</v>
      </c>
      <c r="D97" t="s">
        <v>1783</v>
      </c>
      <c r="E97">
        <v>6100</v>
      </c>
      <c r="F97" t="s">
        <v>2502</v>
      </c>
    </row>
    <row r="98" spans="1:6" x14ac:dyDescent="0.3">
      <c r="A98">
        <v>97</v>
      </c>
      <c r="B98" s="13">
        <v>45831</v>
      </c>
      <c r="C98" t="s">
        <v>1519</v>
      </c>
      <c r="D98" t="s">
        <v>1635</v>
      </c>
      <c r="E98">
        <v>12000</v>
      </c>
      <c r="F98" t="s">
        <v>1015</v>
      </c>
    </row>
    <row r="99" spans="1:6" x14ac:dyDescent="0.3">
      <c r="A99">
        <v>98</v>
      </c>
      <c r="B99" s="13">
        <v>45832</v>
      </c>
      <c r="C99" t="s">
        <v>2071</v>
      </c>
      <c r="D99" t="s">
        <v>1999</v>
      </c>
      <c r="E99">
        <v>2200</v>
      </c>
      <c r="F99" t="s">
        <v>2628</v>
      </c>
    </row>
    <row r="100" spans="1:6" x14ac:dyDescent="0.3">
      <c r="A100">
        <v>99</v>
      </c>
      <c r="B100" s="13">
        <v>45832</v>
      </c>
      <c r="C100" t="s">
        <v>2057</v>
      </c>
      <c r="D100" t="s">
        <v>1783</v>
      </c>
      <c r="E100">
        <v>7700</v>
      </c>
      <c r="F100" t="s">
        <v>1015</v>
      </c>
    </row>
    <row r="101" spans="1:6" x14ac:dyDescent="0.3">
      <c r="A101">
        <v>100</v>
      </c>
      <c r="B101" s="13">
        <v>45833</v>
      </c>
      <c r="C101" t="s">
        <v>2057</v>
      </c>
      <c r="D101" t="s">
        <v>1783</v>
      </c>
      <c r="E101">
        <v>6600</v>
      </c>
      <c r="F101" t="s">
        <v>1821</v>
      </c>
    </row>
    <row r="102" spans="1:6" x14ac:dyDescent="0.3">
      <c r="A102">
        <v>101</v>
      </c>
      <c r="B102" s="13">
        <v>45833</v>
      </c>
      <c r="C102" t="s">
        <v>2057</v>
      </c>
      <c r="D102" t="s">
        <v>1783</v>
      </c>
      <c r="E102">
        <v>2200</v>
      </c>
      <c r="F102" t="s">
        <v>2643</v>
      </c>
    </row>
    <row r="103" spans="1:6" x14ac:dyDescent="0.3">
      <c r="A103">
        <v>102</v>
      </c>
      <c r="B103" s="13">
        <v>45833</v>
      </c>
      <c r="C103" t="s">
        <v>2057</v>
      </c>
      <c r="D103" t="s">
        <v>1783</v>
      </c>
      <c r="E103">
        <v>2200</v>
      </c>
      <c r="F103" t="s">
        <v>979</v>
      </c>
    </row>
    <row r="104" spans="1:6" x14ac:dyDescent="0.3">
      <c r="A104">
        <v>103</v>
      </c>
      <c r="B104" s="13">
        <v>45833</v>
      </c>
      <c r="C104" t="s">
        <v>2057</v>
      </c>
      <c r="D104" t="s">
        <v>1783</v>
      </c>
      <c r="E104">
        <v>4400</v>
      </c>
      <c r="F104" t="s">
        <v>2647</v>
      </c>
    </row>
    <row r="105" spans="1:6" x14ac:dyDescent="0.3">
      <c r="A105">
        <v>104</v>
      </c>
      <c r="B105" s="13">
        <v>45833</v>
      </c>
      <c r="C105" t="s">
        <v>2057</v>
      </c>
      <c r="D105" t="s">
        <v>1783</v>
      </c>
      <c r="E105">
        <v>4400</v>
      </c>
      <c r="F105" t="s">
        <v>2647</v>
      </c>
    </row>
    <row r="106" spans="1:6" x14ac:dyDescent="0.3">
      <c r="A106">
        <v>105</v>
      </c>
      <c r="B106" s="13">
        <v>45833</v>
      </c>
      <c r="C106" t="s">
        <v>2658</v>
      </c>
      <c r="D106" t="s">
        <v>2659</v>
      </c>
      <c r="E106">
        <v>24800</v>
      </c>
      <c r="F106" t="s">
        <v>2660</v>
      </c>
    </row>
    <row r="107" spans="1:6" x14ac:dyDescent="0.3">
      <c r="A107">
        <v>106</v>
      </c>
      <c r="B107" s="13">
        <v>45833</v>
      </c>
      <c r="C107" t="s">
        <v>1638</v>
      </c>
      <c r="D107" t="s">
        <v>2000</v>
      </c>
      <c r="E107">
        <v>10000</v>
      </c>
    </row>
    <row r="108" spans="1:6" x14ac:dyDescent="0.3">
      <c r="A108">
        <v>107</v>
      </c>
      <c r="B108" s="13">
        <v>45835</v>
      </c>
      <c r="C108" t="s">
        <v>2691</v>
      </c>
      <c r="D108" t="s">
        <v>2000</v>
      </c>
      <c r="E108">
        <v>22000</v>
      </c>
    </row>
    <row r="109" spans="1:6" x14ac:dyDescent="0.3">
      <c r="A109">
        <v>108</v>
      </c>
      <c r="B109" s="13">
        <v>45839</v>
      </c>
      <c r="C109" t="s">
        <v>2057</v>
      </c>
      <c r="D109" t="s">
        <v>1783</v>
      </c>
      <c r="E109">
        <v>2200</v>
      </c>
      <c r="F109" t="s">
        <v>2728</v>
      </c>
    </row>
    <row r="110" spans="1:6" x14ac:dyDescent="0.3">
      <c r="A110">
        <v>109</v>
      </c>
      <c r="B110" s="13">
        <v>45840</v>
      </c>
      <c r="C110" t="s">
        <v>2057</v>
      </c>
      <c r="D110" t="s">
        <v>1783</v>
      </c>
      <c r="E110">
        <v>6600</v>
      </c>
      <c r="F110" t="s">
        <v>2738</v>
      </c>
    </row>
    <row r="111" spans="1:6" x14ac:dyDescent="0.3">
      <c r="A111">
        <v>110</v>
      </c>
      <c r="B111" s="13">
        <v>45840</v>
      </c>
      <c r="C111" t="s">
        <v>2057</v>
      </c>
      <c r="D111" t="s">
        <v>1783</v>
      </c>
      <c r="E111">
        <v>2200</v>
      </c>
      <c r="F111" t="s">
        <v>1053</v>
      </c>
    </row>
    <row r="112" spans="1:6" x14ac:dyDescent="0.3">
      <c r="A112">
        <v>111</v>
      </c>
      <c r="B112" s="13">
        <v>45840</v>
      </c>
      <c r="C112" t="s">
        <v>2057</v>
      </c>
      <c r="D112" t="s">
        <v>1783</v>
      </c>
      <c r="E112">
        <v>7150</v>
      </c>
      <c r="F112" t="s">
        <v>2739</v>
      </c>
    </row>
    <row r="113" spans="1:6" x14ac:dyDescent="0.3">
      <c r="A113">
        <v>112</v>
      </c>
      <c r="B113" s="13">
        <v>45840</v>
      </c>
      <c r="C113" t="s">
        <v>2057</v>
      </c>
      <c r="D113" t="s">
        <v>1783</v>
      </c>
      <c r="E113">
        <v>2200</v>
      </c>
      <c r="F113" t="s">
        <v>1378</v>
      </c>
    </row>
    <row r="114" spans="1:6" x14ac:dyDescent="0.3">
      <c r="A114">
        <v>113</v>
      </c>
      <c r="B114" s="13">
        <v>45842</v>
      </c>
      <c r="C114" t="s">
        <v>2116</v>
      </c>
      <c r="D114" t="s">
        <v>2000</v>
      </c>
      <c r="E114">
        <v>24000</v>
      </c>
    </row>
    <row r="115" spans="1:6" x14ac:dyDescent="0.3">
      <c r="A115">
        <v>114</v>
      </c>
      <c r="B115" s="13">
        <v>45845</v>
      </c>
      <c r="C115" t="s">
        <v>1623</v>
      </c>
      <c r="D115" t="s">
        <v>2004</v>
      </c>
      <c r="E115">
        <v>47800</v>
      </c>
    </row>
    <row r="116" spans="1:6" x14ac:dyDescent="0.3">
      <c r="A116">
        <v>115</v>
      </c>
      <c r="B116" s="13">
        <v>45846</v>
      </c>
      <c r="C116" t="s">
        <v>2057</v>
      </c>
      <c r="D116" t="s">
        <v>1783</v>
      </c>
      <c r="E116">
        <v>6000</v>
      </c>
      <c r="F116" t="s">
        <v>1586</v>
      </c>
    </row>
    <row r="117" spans="1:6" x14ac:dyDescent="0.3">
      <c r="A117">
        <v>116</v>
      </c>
      <c r="B117" s="13">
        <v>45846</v>
      </c>
      <c r="C117" t="s">
        <v>2057</v>
      </c>
      <c r="D117" t="s">
        <v>1783</v>
      </c>
      <c r="E117">
        <v>6500</v>
      </c>
      <c r="F117" t="s">
        <v>1821</v>
      </c>
    </row>
    <row r="118" spans="1:6" x14ac:dyDescent="0.3">
      <c r="A118">
        <v>117</v>
      </c>
      <c r="B118" s="13">
        <v>45846</v>
      </c>
      <c r="C118" t="s">
        <v>2057</v>
      </c>
      <c r="D118" t="s">
        <v>1783</v>
      </c>
      <c r="E118">
        <v>6000</v>
      </c>
      <c r="F118" t="s">
        <v>2448</v>
      </c>
    </row>
    <row r="119" spans="1:6" x14ac:dyDescent="0.3">
      <c r="A119">
        <v>118</v>
      </c>
      <c r="B119" s="13">
        <v>45846</v>
      </c>
      <c r="C119" t="s">
        <v>2057</v>
      </c>
      <c r="D119" t="s">
        <v>1783</v>
      </c>
      <c r="E119">
        <v>2000</v>
      </c>
      <c r="F119" t="s">
        <v>2802</v>
      </c>
    </row>
    <row r="120" spans="1:6" x14ac:dyDescent="0.3">
      <c r="A120">
        <v>119</v>
      </c>
      <c r="B120" s="13">
        <v>45847</v>
      </c>
      <c r="C120" t="s">
        <v>2057</v>
      </c>
      <c r="D120" t="s">
        <v>1783</v>
      </c>
      <c r="E120">
        <v>2000</v>
      </c>
      <c r="F120" t="s">
        <v>1747</v>
      </c>
    </row>
    <row r="121" spans="1:6" x14ac:dyDescent="0.3">
      <c r="A121">
        <v>120</v>
      </c>
      <c r="B121" s="13">
        <v>45847</v>
      </c>
      <c r="C121" t="s">
        <v>2057</v>
      </c>
      <c r="D121" t="s">
        <v>1783</v>
      </c>
      <c r="E121">
        <v>6000</v>
      </c>
      <c r="F121" t="s">
        <v>2820</v>
      </c>
    </row>
    <row r="122" spans="1:6" x14ac:dyDescent="0.3">
      <c r="A122">
        <v>121</v>
      </c>
      <c r="B122" s="13">
        <v>45847</v>
      </c>
      <c r="C122" t="s">
        <v>1519</v>
      </c>
      <c r="D122" t="s">
        <v>1783</v>
      </c>
      <c r="E122">
        <v>8000</v>
      </c>
      <c r="F122" t="s">
        <v>1747</v>
      </c>
    </row>
    <row r="123" spans="1:6" x14ac:dyDescent="0.3">
      <c r="A123">
        <v>122</v>
      </c>
      <c r="B123" s="13">
        <v>45849</v>
      </c>
      <c r="C123" t="s">
        <v>2057</v>
      </c>
      <c r="D123" t="s">
        <v>1783</v>
      </c>
      <c r="E123">
        <v>6000</v>
      </c>
      <c r="F123" t="s">
        <v>1586</v>
      </c>
    </row>
    <row r="124" spans="1:6" x14ac:dyDescent="0.3">
      <c r="A124">
        <v>123</v>
      </c>
      <c r="B124" s="13">
        <v>45852</v>
      </c>
      <c r="C124" t="s">
        <v>1519</v>
      </c>
      <c r="D124" t="s">
        <v>1783</v>
      </c>
      <c r="E124">
        <v>12000</v>
      </c>
      <c r="F124" t="s">
        <v>2868</v>
      </c>
    </row>
    <row r="125" spans="1:6" x14ac:dyDescent="0.3">
      <c r="A125">
        <v>124</v>
      </c>
      <c r="B125" s="13">
        <v>45852</v>
      </c>
      <c r="C125" t="s">
        <v>1694</v>
      </c>
      <c r="D125" t="s">
        <v>2000</v>
      </c>
      <c r="E125">
        <v>7900</v>
      </c>
    </row>
  </sheetData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12B1B0-C519-465A-83F3-338C9830FB66}">
  <sheetPr codeName="shtOrder_print1"/>
  <dimension ref="A1:U44"/>
  <sheetViews>
    <sheetView zoomScaleNormal="100" workbookViewId="0">
      <selection activeCell="X11" sqref="X11"/>
    </sheetView>
  </sheetViews>
  <sheetFormatPr defaultRowHeight="16.5" x14ac:dyDescent="0.3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 x14ac:dyDescent="0.3">
      <c r="A1" s="327"/>
      <c r="B1" s="328"/>
      <c r="C1" s="328"/>
      <c r="D1" s="328"/>
      <c r="E1" s="328"/>
      <c r="F1" s="328"/>
      <c r="G1" s="328"/>
      <c r="H1" s="98" t="s">
        <v>71</v>
      </c>
      <c r="I1" s="98"/>
      <c r="J1" s="98"/>
      <c r="K1" s="98"/>
      <c r="L1" s="98"/>
      <c r="M1" s="98"/>
      <c r="N1" s="98"/>
      <c r="O1" s="98"/>
      <c r="P1" s="98"/>
      <c r="Q1" s="329" t="s">
        <v>1197</v>
      </c>
      <c r="R1" s="329"/>
      <c r="S1" s="439" t="s">
        <v>3977</v>
      </c>
      <c r="T1" s="439"/>
      <c r="U1" s="440"/>
    </row>
    <row r="2" spans="1:21" x14ac:dyDescent="0.3">
      <c r="A2" s="307" t="s">
        <v>65</v>
      </c>
      <c r="B2" s="308"/>
      <c r="C2" s="309" t="s">
        <v>3976</v>
      </c>
      <c r="D2" s="310"/>
      <c r="E2" s="310"/>
      <c r="F2" s="310"/>
      <c r="G2" s="311"/>
      <c r="H2" s="309" t="s">
        <v>77</v>
      </c>
      <c r="I2" s="310"/>
      <c r="J2" s="310"/>
      <c r="K2" s="310"/>
      <c r="L2" s="310"/>
      <c r="M2" s="310"/>
      <c r="N2" s="310"/>
      <c r="O2" s="311"/>
      <c r="P2" s="312" t="s">
        <v>63</v>
      </c>
      <c r="Q2" s="313"/>
      <c r="R2" s="313"/>
      <c r="S2" s="308"/>
      <c r="T2" s="314">
        <v>45948</v>
      </c>
      <c r="U2" s="315"/>
    </row>
    <row r="3" spans="1:21" ht="24.95" customHeight="1" x14ac:dyDescent="0.3">
      <c r="A3" s="382" t="s">
        <v>1167</v>
      </c>
      <c r="B3" s="37" t="s">
        <v>59</v>
      </c>
      <c r="C3" s="385" t="s">
        <v>1276</v>
      </c>
      <c r="D3" s="386"/>
      <c r="E3" s="386"/>
      <c r="F3" s="386"/>
      <c r="G3" s="386"/>
      <c r="H3" s="386"/>
      <c r="I3" s="386"/>
      <c r="J3" s="387"/>
      <c r="K3" s="388" t="s">
        <v>1168</v>
      </c>
      <c r="L3" s="37" t="s">
        <v>59</v>
      </c>
      <c r="M3" s="391" t="s">
        <v>964</v>
      </c>
      <c r="N3" s="392"/>
      <c r="O3" s="392"/>
      <c r="P3" s="392"/>
      <c r="Q3" s="392"/>
      <c r="R3" s="392"/>
      <c r="S3" s="392"/>
      <c r="T3" s="392"/>
      <c r="U3" s="393"/>
    </row>
    <row r="4" spans="1:21" ht="24.95" customHeight="1" x14ac:dyDescent="0.3">
      <c r="A4" s="383"/>
      <c r="B4" s="37" t="s">
        <v>61</v>
      </c>
      <c r="C4" s="436"/>
      <c r="D4" s="437"/>
      <c r="E4" s="437"/>
      <c r="F4" s="437"/>
      <c r="G4" s="437"/>
      <c r="H4" s="437"/>
      <c r="I4" s="437"/>
      <c r="J4" s="438"/>
      <c r="K4" s="389"/>
      <c r="L4" s="37" t="s">
        <v>61</v>
      </c>
      <c r="M4" s="397" t="s">
        <v>962</v>
      </c>
      <c r="N4" s="398"/>
      <c r="O4" s="398"/>
      <c r="P4" s="398"/>
      <c r="Q4" s="398"/>
      <c r="R4" s="399"/>
      <c r="S4" s="38" t="s">
        <v>62</v>
      </c>
      <c r="T4" s="397" t="s">
        <v>73</v>
      </c>
      <c r="U4" s="400"/>
    </row>
    <row r="5" spans="1:21" ht="24.95" customHeight="1" x14ac:dyDescent="0.3">
      <c r="A5" s="383"/>
      <c r="B5" s="38" t="s">
        <v>10</v>
      </c>
      <c r="C5" s="397" t="s">
        <v>2596</v>
      </c>
      <c r="D5" s="398"/>
      <c r="E5" s="398"/>
      <c r="F5" s="398"/>
      <c r="G5" s="398"/>
      <c r="H5" s="398"/>
      <c r="I5" s="398"/>
      <c r="J5" s="399"/>
      <c r="K5" s="389"/>
      <c r="L5" s="38" t="s">
        <v>10</v>
      </c>
      <c r="M5" s="397" t="s">
        <v>74</v>
      </c>
      <c r="N5" s="398"/>
      <c r="O5" s="398"/>
      <c r="P5" s="398"/>
      <c r="Q5" s="398"/>
      <c r="R5" s="398"/>
      <c r="S5" s="398"/>
      <c r="T5" s="398"/>
      <c r="U5" s="400"/>
    </row>
    <row r="6" spans="1:21" ht="24.95" customHeight="1" x14ac:dyDescent="0.3">
      <c r="A6" s="384"/>
      <c r="B6" s="38" t="s">
        <v>75</v>
      </c>
      <c r="C6" s="397" t="s">
        <v>2595</v>
      </c>
      <c r="D6" s="398"/>
      <c r="E6" s="398"/>
      <c r="F6" s="398"/>
      <c r="G6" s="398"/>
      <c r="H6" s="398"/>
      <c r="I6" s="398"/>
      <c r="J6" s="399"/>
      <c r="K6" s="390"/>
      <c r="L6" s="38" t="s">
        <v>75</v>
      </c>
      <c r="M6" s="397" t="s">
        <v>66</v>
      </c>
      <c r="N6" s="398"/>
      <c r="O6" s="398"/>
      <c r="P6" s="398"/>
      <c r="Q6" s="398"/>
      <c r="R6" s="399"/>
      <c r="S6" s="38" t="s">
        <v>22</v>
      </c>
      <c r="T6" s="397" t="s">
        <v>33</v>
      </c>
      <c r="U6" s="400"/>
    </row>
    <row r="7" spans="1:21" ht="15.75" customHeight="1" x14ac:dyDescent="0.3">
      <c r="A7" s="316" t="s">
        <v>70</v>
      </c>
      <c r="B7" s="317"/>
      <c r="C7" s="317"/>
      <c r="D7" s="317"/>
      <c r="E7" s="379"/>
      <c r="F7" s="380" t="s">
        <v>44</v>
      </c>
      <c r="G7" s="317"/>
      <c r="H7" s="317"/>
      <c r="I7" s="379"/>
      <c r="J7" s="380" t="s">
        <v>42</v>
      </c>
      <c r="K7" s="317"/>
      <c r="L7" s="317"/>
      <c r="M7" s="317"/>
      <c r="N7" s="379"/>
      <c r="O7" s="317" t="s">
        <v>50</v>
      </c>
      <c r="P7" s="379"/>
      <c r="Q7" s="380" t="s">
        <v>69</v>
      </c>
      <c r="R7" s="317"/>
      <c r="S7" s="379"/>
      <c r="T7" s="380" t="s">
        <v>68</v>
      </c>
      <c r="U7" s="381"/>
    </row>
    <row r="8" spans="1:21" ht="15.6" customHeight="1" x14ac:dyDescent="0.3">
      <c r="A8" s="423" t="s">
        <v>1219</v>
      </c>
      <c r="B8" s="424"/>
      <c r="C8" s="424"/>
      <c r="D8" s="424"/>
      <c r="E8" s="425"/>
      <c r="F8" s="426" t="s">
        <v>2162</v>
      </c>
      <c r="G8" s="427"/>
      <c r="H8" s="427"/>
      <c r="I8" s="428"/>
      <c r="J8" s="434">
        <v>1200000</v>
      </c>
      <c r="K8" s="434"/>
      <c r="L8" s="434"/>
      <c r="M8" s="434"/>
      <c r="N8" s="434"/>
      <c r="O8" s="435">
        <v>1</v>
      </c>
      <c r="P8" s="435"/>
      <c r="Q8" s="429">
        <v>120000</v>
      </c>
      <c r="R8" s="430"/>
      <c r="S8" s="431"/>
      <c r="T8" s="432">
        <v>1320000</v>
      </c>
      <c r="U8" s="433"/>
    </row>
    <row r="9" spans="1:21" ht="15.6" customHeight="1" x14ac:dyDescent="0.3">
      <c r="A9" s="412"/>
      <c r="B9" s="413"/>
      <c r="C9" s="413"/>
      <c r="D9" s="413"/>
      <c r="E9" s="414"/>
      <c r="F9" s="415"/>
      <c r="G9" s="413"/>
      <c r="H9" s="413"/>
      <c r="I9" s="414"/>
      <c r="J9" s="421"/>
      <c r="K9" s="421"/>
      <c r="L9" s="421"/>
      <c r="M9" s="421"/>
      <c r="N9" s="421"/>
      <c r="O9" s="422"/>
      <c r="P9" s="422"/>
      <c r="Q9" s="416"/>
      <c r="R9" s="417"/>
      <c r="S9" s="418"/>
      <c r="T9" s="419"/>
      <c r="U9" s="420"/>
    </row>
    <row r="10" spans="1:21" ht="15.6" customHeight="1" x14ac:dyDescent="0.3">
      <c r="A10" s="412"/>
      <c r="B10" s="413"/>
      <c r="C10" s="413"/>
      <c r="D10" s="413"/>
      <c r="E10" s="414"/>
      <c r="F10" s="415"/>
      <c r="G10" s="413"/>
      <c r="H10" s="413"/>
      <c r="I10" s="414"/>
      <c r="J10" s="421"/>
      <c r="K10" s="421"/>
      <c r="L10" s="421"/>
      <c r="M10" s="421"/>
      <c r="N10" s="421"/>
      <c r="O10" s="422"/>
      <c r="P10" s="422"/>
      <c r="Q10" s="416"/>
      <c r="R10" s="417"/>
      <c r="S10" s="418"/>
      <c r="T10" s="419"/>
      <c r="U10" s="420"/>
    </row>
    <row r="11" spans="1:21" ht="15.6" customHeight="1" x14ac:dyDescent="0.3">
      <c r="A11" s="412"/>
      <c r="B11" s="413"/>
      <c r="C11" s="413"/>
      <c r="D11" s="413"/>
      <c r="E11" s="414"/>
      <c r="F11" s="415"/>
      <c r="G11" s="413"/>
      <c r="H11" s="413"/>
      <c r="I11" s="414"/>
      <c r="J11" s="421"/>
      <c r="K11" s="421"/>
      <c r="L11" s="421"/>
      <c r="M11" s="421"/>
      <c r="N11" s="421"/>
      <c r="O11" s="422"/>
      <c r="P11" s="422"/>
      <c r="Q11" s="416"/>
      <c r="R11" s="417"/>
      <c r="S11" s="418"/>
      <c r="T11" s="419"/>
      <c r="U11" s="420"/>
    </row>
    <row r="12" spans="1:21" ht="15.6" customHeight="1" x14ac:dyDescent="0.3">
      <c r="A12" s="412"/>
      <c r="B12" s="413"/>
      <c r="C12" s="413"/>
      <c r="D12" s="413"/>
      <c r="E12" s="414"/>
      <c r="F12" s="415"/>
      <c r="G12" s="413"/>
      <c r="H12" s="413"/>
      <c r="I12" s="414"/>
      <c r="J12" s="421"/>
      <c r="K12" s="421"/>
      <c r="L12" s="421"/>
      <c r="M12" s="421"/>
      <c r="N12" s="421"/>
      <c r="O12" s="422"/>
      <c r="P12" s="422"/>
      <c r="Q12" s="416"/>
      <c r="R12" s="417"/>
      <c r="S12" s="418"/>
      <c r="T12" s="419"/>
      <c r="U12" s="420"/>
    </row>
    <row r="13" spans="1:21" ht="15.6" customHeight="1" x14ac:dyDescent="0.3">
      <c r="A13" s="412"/>
      <c r="B13" s="413"/>
      <c r="C13" s="413"/>
      <c r="D13" s="413"/>
      <c r="E13" s="414"/>
      <c r="F13" s="415"/>
      <c r="G13" s="413"/>
      <c r="H13" s="413"/>
      <c r="I13" s="414"/>
      <c r="J13" s="421"/>
      <c r="K13" s="421"/>
      <c r="L13" s="421"/>
      <c r="M13" s="421"/>
      <c r="N13" s="421"/>
      <c r="O13" s="422"/>
      <c r="P13" s="422"/>
      <c r="Q13" s="416"/>
      <c r="R13" s="417"/>
      <c r="S13" s="418"/>
      <c r="T13" s="419"/>
      <c r="U13" s="420"/>
    </row>
    <row r="14" spans="1:21" ht="15.6" customHeight="1" x14ac:dyDescent="0.3">
      <c r="A14" s="412"/>
      <c r="B14" s="413"/>
      <c r="C14" s="413"/>
      <c r="D14" s="413"/>
      <c r="E14" s="414"/>
      <c r="F14" s="415"/>
      <c r="G14" s="413"/>
      <c r="H14" s="413"/>
      <c r="I14" s="414"/>
      <c r="J14" s="421"/>
      <c r="K14" s="421"/>
      <c r="L14" s="421"/>
      <c r="M14" s="421"/>
      <c r="N14" s="421"/>
      <c r="O14" s="422"/>
      <c r="P14" s="422"/>
      <c r="Q14" s="416"/>
      <c r="R14" s="417"/>
      <c r="S14" s="418"/>
      <c r="T14" s="419"/>
      <c r="U14" s="420"/>
    </row>
    <row r="15" spans="1:21" ht="15.6" customHeight="1" thickBot="1" x14ac:dyDescent="0.35">
      <c r="A15" s="401"/>
      <c r="B15" s="402"/>
      <c r="C15" s="402"/>
      <c r="D15" s="402"/>
      <c r="E15" s="403"/>
      <c r="F15" s="404"/>
      <c r="G15" s="402"/>
      <c r="H15" s="402"/>
      <c r="I15" s="403"/>
      <c r="J15" s="410"/>
      <c r="K15" s="410"/>
      <c r="L15" s="410"/>
      <c r="M15" s="410"/>
      <c r="N15" s="410"/>
      <c r="O15" s="411"/>
      <c r="P15" s="411"/>
      <c r="Q15" s="405"/>
      <c r="R15" s="406"/>
      <c r="S15" s="407"/>
      <c r="T15" s="408"/>
      <c r="U15" s="409"/>
    </row>
    <row r="16" spans="1:21" ht="15" customHeight="1" thickTop="1" x14ac:dyDescent="0.3">
      <c r="A16" s="332" t="s">
        <v>2317</v>
      </c>
      <c r="B16" s="333"/>
      <c r="C16" s="333"/>
      <c r="D16" s="333"/>
      <c r="E16" s="334"/>
      <c r="F16" s="341"/>
      <c r="G16" s="342"/>
      <c r="H16" s="342"/>
      <c r="I16" s="342"/>
      <c r="J16" s="342"/>
      <c r="K16" s="342"/>
      <c r="L16" s="342"/>
      <c r="M16" s="342"/>
      <c r="N16" s="342"/>
      <c r="O16" s="342"/>
      <c r="P16" s="342"/>
      <c r="Q16" s="342"/>
      <c r="R16" s="342"/>
      <c r="S16" s="342"/>
      <c r="T16" s="342"/>
      <c r="U16" s="343"/>
    </row>
    <row r="17" spans="1:21" ht="15" customHeight="1" x14ac:dyDescent="0.3">
      <c r="A17" s="335"/>
      <c r="B17" s="336"/>
      <c r="C17" s="336"/>
      <c r="D17" s="336"/>
      <c r="E17" s="337"/>
      <c r="F17" s="344"/>
      <c r="G17" s="345"/>
      <c r="H17" s="345"/>
      <c r="I17" s="345"/>
      <c r="J17" s="345"/>
      <c r="K17" s="345"/>
      <c r="L17" s="345"/>
      <c r="M17" s="345"/>
      <c r="N17" s="345"/>
      <c r="O17" s="345"/>
      <c r="P17" s="345"/>
      <c r="Q17" s="345"/>
      <c r="R17" s="345"/>
      <c r="S17" s="345"/>
      <c r="T17" s="345"/>
      <c r="U17" s="346"/>
    </row>
    <row r="18" spans="1:21" ht="15" customHeight="1" x14ac:dyDescent="0.3">
      <c r="A18" s="335"/>
      <c r="B18" s="336"/>
      <c r="C18" s="336"/>
      <c r="D18" s="336"/>
      <c r="E18" s="337"/>
      <c r="F18" s="344"/>
      <c r="G18" s="345"/>
      <c r="H18" s="345"/>
      <c r="I18" s="345"/>
      <c r="J18" s="345"/>
      <c r="K18" s="345"/>
      <c r="L18" s="345"/>
      <c r="M18" s="345"/>
      <c r="N18" s="345"/>
      <c r="O18" s="345"/>
      <c r="P18" s="345"/>
      <c r="Q18" s="345"/>
      <c r="R18" s="345"/>
      <c r="S18" s="345"/>
      <c r="T18" s="345"/>
      <c r="U18" s="346"/>
    </row>
    <row r="19" spans="1:21" ht="15" customHeight="1" x14ac:dyDescent="0.3">
      <c r="A19" s="338"/>
      <c r="B19" s="339"/>
      <c r="C19" s="339"/>
      <c r="D19" s="339"/>
      <c r="E19" s="340"/>
      <c r="F19" s="347"/>
      <c r="G19" s="348"/>
      <c r="H19" s="348"/>
      <c r="I19" s="348"/>
      <c r="J19" s="348"/>
      <c r="K19" s="348"/>
      <c r="L19" s="348"/>
      <c r="M19" s="348"/>
      <c r="N19" s="348"/>
      <c r="O19" s="348"/>
      <c r="P19" s="348"/>
      <c r="Q19" s="348"/>
      <c r="R19" s="348"/>
      <c r="S19" s="348"/>
      <c r="T19" s="348"/>
      <c r="U19" s="349"/>
    </row>
    <row r="20" spans="1:21" ht="20.100000000000001" customHeight="1" x14ac:dyDescent="0.3">
      <c r="A20" s="316" t="s">
        <v>80</v>
      </c>
      <c r="B20" s="317"/>
      <c r="C20" s="317"/>
      <c r="D20" s="317"/>
      <c r="E20" s="317"/>
      <c r="F20" s="318">
        <v>0</v>
      </c>
      <c r="G20" s="318"/>
      <c r="H20" s="318"/>
      <c r="I20" s="319"/>
      <c r="J20" s="355">
        <f>SUM(J8:N19)</f>
        <v>1200000</v>
      </c>
      <c r="K20" s="356"/>
      <c r="L20" s="356"/>
      <c r="M20" s="356"/>
      <c r="N20" s="357"/>
      <c r="O20" s="320">
        <f>SUM(O8:P19)</f>
        <v>1</v>
      </c>
      <c r="P20" s="320"/>
      <c r="Q20" s="358">
        <f>SUM(Q8:S19)</f>
        <v>120000</v>
      </c>
      <c r="R20" s="318"/>
      <c r="S20" s="319"/>
      <c r="T20" s="318">
        <f>SUM(T8:U15)</f>
        <v>1320000</v>
      </c>
      <c r="U20" s="359"/>
    </row>
    <row r="21" spans="1:21" ht="20.100000000000001" customHeight="1" thickBot="1" x14ac:dyDescent="0.35">
      <c r="A21" s="321" t="s">
        <v>90</v>
      </c>
      <c r="B21" s="322"/>
      <c r="C21" s="322"/>
      <c r="D21" s="322"/>
      <c r="E21" s="322"/>
      <c r="F21" s="323">
        <f>F20+T20</f>
        <v>1320000</v>
      </c>
      <c r="G21" s="323"/>
      <c r="H21" s="323"/>
      <c r="I21" s="324"/>
      <c r="J21" s="325" t="s">
        <v>965</v>
      </c>
      <c r="K21" s="322"/>
      <c r="L21" s="326" t="str">
        <f>T4</f>
        <v>장효주</v>
      </c>
      <c r="M21" s="326"/>
      <c r="N21" s="326"/>
      <c r="O21" s="325" t="s">
        <v>64</v>
      </c>
      <c r="P21" s="322"/>
      <c r="Q21" s="326" t="str">
        <f>C3</f>
        <v>SJ모터스(부산)</v>
      </c>
      <c r="R21" s="326"/>
      <c r="S21" s="326"/>
      <c r="T21" s="326"/>
      <c r="U21" s="378"/>
    </row>
    <row r="22" spans="1:21" ht="20.100000000000001" customHeight="1" x14ac:dyDescent="0.3">
      <c r="A22" s="305" t="s">
        <v>3979</v>
      </c>
      <c r="B22" s="305"/>
      <c r="C22" s="305"/>
      <c r="D22" s="305"/>
      <c r="E22" s="305"/>
      <c r="F22" s="305"/>
      <c r="G22" s="305"/>
      <c r="H22" s="305"/>
      <c r="I22" s="305"/>
      <c r="J22" s="305"/>
      <c r="K22" s="305"/>
      <c r="L22" s="305"/>
      <c r="M22" s="305"/>
      <c r="N22" s="305"/>
      <c r="O22" s="305"/>
      <c r="P22" s="305"/>
      <c r="Q22" s="305"/>
      <c r="R22" s="305"/>
      <c r="S22" s="305"/>
      <c r="T22" s="305"/>
      <c r="U22" s="305"/>
    </row>
    <row r="23" spans="1:21" ht="20.100000000000001" customHeight="1" thickBot="1" x14ac:dyDescent="0.35">
      <c r="A23" s="306"/>
      <c r="B23" s="306"/>
      <c r="C23" s="306"/>
      <c r="D23" s="306"/>
      <c r="E23" s="306"/>
      <c r="F23" s="306"/>
      <c r="G23" s="306"/>
      <c r="H23" s="306"/>
      <c r="I23" s="306"/>
      <c r="J23" s="306"/>
      <c r="K23" s="306"/>
      <c r="L23" s="306"/>
      <c r="M23" s="306"/>
      <c r="N23" s="306"/>
      <c r="O23" s="306"/>
      <c r="P23" s="306"/>
      <c r="Q23" s="306"/>
      <c r="R23" s="306"/>
      <c r="S23" s="306"/>
      <c r="T23" s="306"/>
      <c r="U23" s="306"/>
    </row>
    <row r="24" spans="1:21" ht="24" customHeight="1" thickBot="1" x14ac:dyDescent="0.3">
      <c r="A24" s="327"/>
      <c r="B24" s="328"/>
      <c r="C24" s="328"/>
      <c r="D24" s="328"/>
      <c r="E24" s="328"/>
      <c r="F24" s="328"/>
      <c r="G24" s="328"/>
      <c r="H24" s="98" t="s">
        <v>71</v>
      </c>
      <c r="I24" s="98"/>
      <c r="J24" s="98"/>
      <c r="K24" s="98"/>
      <c r="L24" s="98"/>
      <c r="M24" s="98"/>
      <c r="N24" s="98"/>
      <c r="O24" s="98"/>
      <c r="P24" s="98"/>
      <c r="Q24" s="329" t="s">
        <v>1197</v>
      </c>
      <c r="R24" s="329"/>
      <c r="S24" s="330" t="str">
        <f>S1</f>
        <v>WDDZF0EB5KA691416</v>
      </c>
      <c r="T24" s="330"/>
      <c r="U24" s="331"/>
    </row>
    <row r="25" spans="1:21" x14ac:dyDescent="0.3">
      <c r="A25" s="307" t="s">
        <v>65</v>
      </c>
      <c r="B25" s="308"/>
      <c r="C25" s="309" t="str">
        <f>C2</f>
        <v>농협 3520106511413</v>
      </c>
      <c r="D25" s="310"/>
      <c r="E25" s="310"/>
      <c r="F25" s="310"/>
      <c r="G25" s="311"/>
      <c r="H25" s="309" t="s">
        <v>76</v>
      </c>
      <c r="I25" s="310"/>
      <c r="J25" s="310"/>
      <c r="K25" s="310"/>
      <c r="L25" s="310"/>
      <c r="M25" s="310"/>
      <c r="N25" s="310"/>
      <c r="O25" s="311"/>
      <c r="P25" s="312" t="s">
        <v>63</v>
      </c>
      <c r="Q25" s="313"/>
      <c r="R25" s="313"/>
      <c r="S25" s="308"/>
      <c r="T25" s="314">
        <f>T2</f>
        <v>45948</v>
      </c>
      <c r="U25" s="315"/>
    </row>
    <row r="26" spans="1:21" ht="24.95" customHeight="1" x14ac:dyDescent="0.3">
      <c r="A26" s="382" t="s">
        <v>1167</v>
      </c>
      <c r="B26" s="37" t="s">
        <v>59</v>
      </c>
      <c r="C26" s="385" t="str">
        <f>C3</f>
        <v>SJ모터스(부산)</v>
      </c>
      <c r="D26" s="386"/>
      <c r="E26" s="386"/>
      <c r="F26" s="386"/>
      <c r="G26" s="386"/>
      <c r="H26" s="386"/>
      <c r="I26" s="386"/>
      <c r="J26" s="387"/>
      <c r="K26" s="388" t="s">
        <v>1168</v>
      </c>
      <c r="L26" s="37" t="s">
        <v>59</v>
      </c>
      <c r="M26" s="391" t="s">
        <v>964</v>
      </c>
      <c r="N26" s="392"/>
      <c r="O26" s="392"/>
      <c r="P26" s="392"/>
      <c r="Q26" s="392"/>
      <c r="R26" s="392"/>
      <c r="S26" s="392"/>
      <c r="T26" s="392"/>
      <c r="U26" s="393"/>
    </row>
    <row r="27" spans="1:21" ht="24.95" customHeight="1" x14ac:dyDescent="0.3">
      <c r="A27" s="383"/>
      <c r="B27" s="37" t="s">
        <v>61</v>
      </c>
      <c r="C27" s="394">
        <f>C4</f>
        <v>0</v>
      </c>
      <c r="D27" s="395"/>
      <c r="E27" s="395"/>
      <c r="F27" s="395"/>
      <c r="G27" s="395"/>
      <c r="H27" s="395"/>
      <c r="I27" s="395"/>
      <c r="J27" s="396"/>
      <c r="K27" s="389"/>
      <c r="L27" s="37" t="s">
        <v>61</v>
      </c>
      <c r="M27" s="397" t="s">
        <v>962</v>
      </c>
      <c r="N27" s="398"/>
      <c r="O27" s="398"/>
      <c r="P27" s="398"/>
      <c r="Q27" s="398"/>
      <c r="R27" s="399"/>
      <c r="S27" s="38" t="s">
        <v>62</v>
      </c>
      <c r="T27" s="397" t="s">
        <v>73</v>
      </c>
      <c r="U27" s="400"/>
    </row>
    <row r="28" spans="1:21" ht="24.95" customHeight="1" x14ac:dyDescent="0.3">
      <c r="A28" s="383"/>
      <c r="B28" s="38" t="s">
        <v>10</v>
      </c>
      <c r="C28" s="397" t="str">
        <f>C5</f>
        <v>부산 금정구 범어천로 7-8</v>
      </c>
      <c r="D28" s="398"/>
      <c r="E28" s="398"/>
      <c r="F28" s="398"/>
      <c r="G28" s="398"/>
      <c r="H28" s="398"/>
      <c r="I28" s="398"/>
      <c r="J28" s="399"/>
      <c r="K28" s="389"/>
      <c r="L28" s="38" t="s">
        <v>10</v>
      </c>
      <c r="M28" s="397" t="s">
        <v>74</v>
      </c>
      <c r="N28" s="398"/>
      <c r="O28" s="398"/>
      <c r="P28" s="398"/>
      <c r="Q28" s="398"/>
      <c r="R28" s="398"/>
      <c r="S28" s="398"/>
      <c r="T28" s="398"/>
      <c r="U28" s="400"/>
    </row>
    <row r="29" spans="1:21" ht="24.95" customHeight="1" x14ac:dyDescent="0.3">
      <c r="A29" s="384"/>
      <c r="B29" s="38" t="s">
        <v>75</v>
      </c>
      <c r="C29" s="397" t="str">
        <f>C6</f>
        <v>010-5883-6482</v>
      </c>
      <c r="D29" s="398"/>
      <c r="E29" s="398"/>
      <c r="F29" s="398"/>
      <c r="G29" s="398"/>
      <c r="H29" s="398"/>
      <c r="I29" s="398"/>
      <c r="J29" s="399"/>
      <c r="K29" s="390"/>
      <c r="L29" s="38" t="s">
        <v>75</v>
      </c>
      <c r="M29" s="397" t="s">
        <v>66</v>
      </c>
      <c r="N29" s="398"/>
      <c r="O29" s="398"/>
      <c r="P29" s="398"/>
      <c r="Q29" s="398"/>
      <c r="R29" s="399"/>
      <c r="S29" s="38" t="s">
        <v>22</v>
      </c>
      <c r="T29" s="397" t="str">
        <f>T6</f>
        <v>경동(택배)</v>
      </c>
      <c r="U29" s="400"/>
    </row>
    <row r="30" spans="1:21" ht="15.6" customHeight="1" x14ac:dyDescent="0.3">
      <c r="A30" s="316" t="s">
        <v>70</v>
      </c>
      <c r="B30" s="317"/>
      <c r="C30" s="317"/>
      <c r="D30" s="317"/>
      <c r="E30" s="379"/>
      <c r="F30" s="380" t="s">
        <v>44</v>
      </c>
      <c r="G30" s="317"/>
      <c r="H30" s="317"/>
      <c r="I30" s="379"/>
      <c r="J30" s="380" t="s">
        <v>42</v>
      </c>
      <c r="K30" s="317"/>
      <c r="L30" s="317"/>
      <c r="M30" s="317"/>
      <c r="N30" s="379"/>
      <c r="O30" s="317" t="s">
        <v>50</v>
      </c>
      <c r="P30" s="379"/>
      <c r="Q30" s="380" t="s">
        <v>69</v>
      </c>
      <c r="R30" s="317"/>
      <c r="S30" s="379"/>
      <c r="T30" s="380" t="s">
        <v>68</v>
      </c>
      <c r="U30" s="381"/>
    </row>
    <row r="31" spans="1:21" ht="15.6" customHeight="1" x14ac:dyDescent="0.3">
      <c r="A31" s="372" t="str">
        <f>A8</f>
        <v>VGSNAG3</v>
      </c>
      <c r="B31" s="373"/>
      <c r="C31" s="373"/>
      <c r="D31" s="373"/>
      <c r="E31" s="373"/>
      <c r="F31" s="373" t="str">
        <f>F8</f>
        <v>A7252709011-1</v>
      </c>
      <c r="G31" s="373"/>
      <c r="H31" s="373"/>
      <c r="I31" s="373"/>
      <c r="J31" s="377">
        <f>J8</f>
        <v>1200000</v>
      </c>
      <c r="K31" s="377"/>
      <c r="L31" s="377"/>
      <c r="M31" s="377"/>
      <c r="N31" s="377"/>
      <c r="O31" s="377">
        <f>O8</f>
        <v>1</v>
      </c>
      <c r="P31" s="377"/>
      <c r="Q31" s="374">
        <f>Q8</f>
        <v>120000</v>
      </c>
      <c r="R31" s="374"/>
      <c r="S31" s="374"/>
      <c r="T31" s="375">
        <f>T8</f>
        <v>1320000</v>
      </c>
      <c r="U31" s="376"/>
    </row>
    <row r="32" spans="1:21" ht="15.6" customHeight="1" x14ac:dyDescent="0.3">
      <c r="A32" s="365">
        <f t="shared" ref="A32:A38" si="0">A9</f>
        <v>0</v>
      </c>
      <c r="B32" s="366"/>
      <c r="C32" s="366"/>
      <c r="D32" s="366"/>
      <c r="E32" s="366"/>
      <c r="F32" s="366">
        <f t="shared" ref="F32:F38" si="1">F9</f>
        <v>0</v>
      </c>
      <c r="G32" s="366"/>
      <c r="H32" s="366"/>
      <c r="I32" s="366"/>
      <c r="J32" s="370">
        <f t="shared" ref="J32:J38" si="2">J9</f>
        <v>0</v>
      </c>
      <c r="K32" s="370"/>
      <c r="L32" s="370"/>
      <c r="M32" s="370"/>
      <c r="N32" s="370"/>
      <c r="O32" s="370">
        <f t="shared" ref="O32:O38" si="3">O9</f>
        <v>0</v>
      </c>
      <c r="P32" s="370"/>
      <c r="Q32" s="367">
        <f t="shared" ref="Q32:Q38" si="4">Q9</f>
        <v>0</v>
      </c>
      <c r="R32" s="367"/>
      <c r="S32" s="367"/>
      <c r="T32" s="368">
        <f t="shared" ref="T32:T38" si="5">T9</f>
        <v>0</v>
      </c>
      <c r="U32" s="369"/>
    </row>
    <row r="33" spans="1:21" ht="15.6" customHeight="1" x14ac:dyDescent="0.3">
      <c r="A33" s="365">
        <f t="shared" si="0"/>
        <v>0</v>
      </c>
      <c r="B33" s="366"/>
      <c r="C33" s="366"/>
      <c r="D33" s="366"/>
      <c r="E33" s="366"/>
      <c r="F33" s="366">
        <f t="shared" si="1"/>
        <v>0</v>
      </c>
      <c r="G33" s="366"/>
      <c r="H33" s="366"/>
      <c r="I33" s="366"/>
      <c r="J33" s="370">
        <f t="shared" si="2"/>
        <v>0</v>
      </c>
      <c r="K33" s="370"/>
      <c r="L33" s="370"/>
      <c r="M33" s="370"/>
      <c r="N33" s="370"/>
      <c r="O33" s="370">
        <f t="shared" si="3"/>
        <v>0</v>
      </c>
      <c r="P33" s="370"/>
      <c r="Q33" s="367">
        <f t="shared" si="4"/>
        <v>0</v>
      </c>
      <c r="R33" s="367"/>
      <c r="S33" s="367"/>
      <c r="T33" s="368">
        <f t="shared" si="5"/>
        <v>0</v>
      </c>
      <c r="U33" s="369"/>
    </row>
    <row r="34" spans="1:21" ht="15.6" customHeight="1" x14ac:dyDescent="0.3">
      <c r="A34" s="365">
        <f t="shared" si="0"/>
        <v>0</v>
      </c>
      <c r="B34" s="366"/>
      <c r="C34" s="366"/>
      <c r="D34" s="366"/>
      <c r="E34" s="366"/>
      <c r="F34" s="366">
        <f t="shared" si="1"/>
        <v>0</v>
      </c>
      <c r="G34" s="366"/>
      <c r="H34" s="366"/>
      <c r="I34" s="366"/>
      <c r="J34" s="370">
        <f t="shared" si="2"/>
        <v>0</v>
      </c>
      <c r="K34" s="370"/>
      <c r="L34" s="370"/>
      <c r="M34" s="370"/>
      <c r="N34" s="370"/>
      <c r="O34" s="370">
        <f t="shared" si="3"/>
        <v>0</v>
      </c>
      <c r="P34" s="370"/>
      <c r="Q34" s="367">
        <f t="shared" si="4"/>
        <v>0</v>
      </c>
      <c r="R34" s="367"/>
      <c r="S34" s="367"/>
      <c r="T34" s="368">
        <f t="shared" si="5"/>
        <v>0</v>
      </c>
      <c r="U34" s="369"/>
    </row>
    <row r="35" spans="1:21" ht="15.6" customHeight="1" x14ac:dyDescent="0.3">
      <c r="A35" s="365">
        <f t="shared" si="0"/>
        <v>0</v>
      </c>
      <c r="B35" s="366"/>
      <c r="C35" s="366"/>
      <c r="D35" s="366"/>
      <c r="E35" s="366"/>
      <c r="F35" s="366">
        <f t="shared" si="1"/>
        <v>0</v>
      </c>
      <c r="G35" s="366"/>
      <c r="H35" s="366"/>
      <c r="I35" s="366"/>
      <c r="J35" s="370">
        <f t="shared" si="2"/>
        <v>0</v>
      </c>
      <c r="K35" s="370"/>
      <c r="L35" s="370"/>
      <c r="M35" s="370"/>
      <c r="N35" s="370"/>
      <c r="O35" s="370">
        <f t="shared" si="3"/>
        <v>0</v>
      </c>
      <c r="P35" s="370"/>
      <c r="Q35" s="367">
        <f t="shared" si="4"/>
        <v>0</v>
      </c>
      <c r="R35" s="367"/>
      <c r="S35" s="367"/>
      <c r="T35" s="368">
        <f t="shared" si="5"/>
        <v>0</v>
      </c>
      <c r="U35" s="369"/>
    </row>
    <row r="36" spans="1:21" ht="15.6" customHeight="1" x14ac:dyDescent="0.3">
      <c r="A36" s="365">
        <f t="shared" si="0"/>
        <v>0</v>
      </c>
      <c r="B36" s="366"/>
      <c r="C36" s="366"/>
      <c r="D36" s="366"/>
      <c r="E36" s="366"/>
      <c r="F36" s="366">
        <f t="shared" si="1"/>
        <v>0</v>
      </c>
      <c r="G36" s="366"/>
      <c r="H36" s="366"/>
      <c r="I36" s="366"/>
      <c r="J36" s="370">
        <f t="shared" si="2"/>
        <v>0</v>
      </c>
      <c r="K36" s="370"/>
      <c r="L36" s="370"/>
      <c r="M36" s="370"/>
      <c r="N36" s="370"/>
      <c r="O36" s="370">
        <f t="shared" si="3"/>
        <v>0</v>
      </c>
      <c r="P36" s="370"/>
      <c r="Q36" s="367">
        <f t="shared" si="4"/>
        <v>0</v>
      </c>
      <c r="R36" s="367"/>
      <c r="S36" s="367"/>
      <c r="T36" s="368">
        <f t="shared" si="5"/>
        <v>0</v>
      </c>
      <c r="U36" s="369"/>
    </row>
    <row r="37" spans="1:21" ht="15.6" customHeight="1" x14ac:dyDescent="0.3">
      <c r="A37" s="365">
        <f t="shared" si="0"/>
        <v>0</v>
      </c>
      <c r="B37" s="366"/>
      <c r="C37" s="366"/>
      <c r="D37" s="366"/>
      <c r="E37" s="366"/>
      <c r="F37" s="366">
        <f t="shared" si="1"/>
        <v>0</v>
      </c>
      <c r="G37" s="366"/>
      <c r="H37" s="366"/>
      <c r="I37" s="366"/>
      <c r="J37" s="370">
        <f t="shared" si="2"/>
        <v>0</v>
      </c>
      <c r="K37" s="370"/>
      <c r="L37" s="370"/>
      <c r="M37" s="370"/>
      <c r="N37" s="370"/>
      <c r="O37" s="370">
        <f t="shared" si="3"/>
        <v>0</v>
      </c>
      <c r="P37" s="370"/>
      <c r="Q37" s="367">
        <f t="shared" si="4"/>
        <v>0</v>
      </c>
      <c r="R37" s="367"/>
      <c r="S37" s="367"/>
      <c r="T37" s="368">
        <f t="shared" si="5"/>
        <v>0</v>
      </c>
      <c r="U37" s="369"/>
    </row>
    <row r="38" spans="1:21" ht="15.6" customHeight="1" thickBot="1" x14ac:dyDescent="0.35">
      <c r="A38" s="360">
        <f t="shared" si="0"/>
        <v>0</v>
      </c>
      <c r="B38" s="361"/>
      <c r="C38" s="361"/>
      <c r="D38" s="361"/>
      <c r="E38" s="361"/>
      <c r="F38" s="361">
        <f t="shared" si="1"/>
        <v>0</v>
      </c>
      <c r="G38" s="361"/>
      <c r="H38" s="361"/>
      <c r="I38" s="361"/>
      <c r="J38" s="371">
        <f t="shared" si="2"/>
        <v>0</v>
      </c>
      <c r="K38" s="371"/>
      <c r="L38" s="371"/>
      <c r="M38" s="371"/>
      <c r="N38" s="371"/>
      <c r="O38" s="371">
        <f t="shared" si="3"/>
        <v>0</v>
      </c>
      <c r="P38" s="371"/>
      <c r="Q38" s="362">
        <f t="shared" si="4"/>
        <v>0</v>
      </c>
      <c r="R38" s="362"/>
      <c r="S38" s="362"/>
      <c r="T38" s="363">
        <f t="shared" si="5"/>
        <v>0</v>
      </c>
      <c r="U38" s="364"/>
    </row>
    <row r="39" spans="1:21" ht="15" customHeight="1" thickTop="1" x14ac:dyDescent="0.3">
      <c r="A39" s="332" t="s">
        <v>2317</v>
      </c>
      <c r="B39" s="333"/>
      <c r="C39" s="333"/>
      <c r="D39" s="333"/>
      <c r="E39" s="334"/>
      <c r="F39" s="341">
        <f>F16</f>
        <v>0</v>
      </c>
      <c r="G39" s="342"/>
      <c r="H39" s="342"/>
      <c r="I39" s="342"/>
      <c r="J39" s="342"/>
      <c r="K39" s="342"/>
      <c r="L39" s="342"/>
      <c r="M39" s="342"/>
      <c r="N39" s="342"/>
      <c r="O39" s="342"/>
      <c r="P39" s="342"/>
      <c r="Q39" s="342"/>
      <c r="R39" s="342"/>
      <c r="S39" s="342"/>
      <c r="T39" s="342"/>
      <c r="U39" s="343"/>
    </row>
    <row r="40" spans="1:21" ht="15" customHeight="1" x14ac:dyDescent="0.3">
      <c r="A40" s="335"/>
      <c r="B40" s="336"/>
      <c r="C40" s="336"/>
      <c r="D40" s="336"/>
      <c r="E40" s="337"/>
      <c r="F40" s="344"/>
      <c r="G40" s="345"/>
      <c r="H40" s="345"/>
      <c r="I40" s="345"/>
      <c r="J40" s="345"/>
      <c r="K40" s="345"/>
      <c r="L40" s="345"/>
      <c r="M40" s="345"/>
      <c r="N40" s="345"/>
      <c r="O40" s="345"/>
      <c r="P40" s="345"/>
      <c r="Q40" s="345"/>
      <c r="R40" s="345"/>
      <c r="S40" s="345"/>
      <c r="T40" s="345"/>
      <c r="U40" s="346"/>
    </row>
    <row r="41" spans="1:21" ht="15" customHeight="1" x14ac:dyDescent="0.3">
      <c r="A41" s="335"/>
      <c r="B41" s="336"/>
      <c r="C41" s="336"/>
      <c r="D41" s="336"/>
      <c r="E41" s="337"/>
      <c r="F41" s="344"/>
      <c r="G41" s="345"/>
      <c r="H41" s="345"/>
      <c r="I41" s="345"/>
      <c r="J41" s="345"/>
      <c r="K41" s="345"/>
      <c r="L41" s="345"/>
      <c r="M41" s="345"/>
      <c r="N41" s="345"/>
      <c r="O41" s="345"/>
      <c r="P41" s="345"/>
      <c r="Q41" s="345"/>
      <c r="R41" s="345"/>
      <c r="S41" s="345"/>
      <c r="T41" s="345"/>
      <c r="U41" s="346"/>
    </row>
    <row r="42" spans="1:21" ht="15" customHeight="1" x14ac:dyDescent="0.3">
      <c r="A42" s="338"/>
      <c r="B42" s="339"/>
      <c r="C42" s="339"/>
      <c r="D42" s="339"/>
      <c r="E42" s="340"/>
      <c r="F42" s="347"/>
      <c r="G42" s="348"/>
      <c r="H42" s="348"/>
      <c r="I42" s="348"/>
      <c r="J42" s="348"/>
      <c r="K42" s="348"/>
      <c r="L42" s="348"/>
      <c r="M42" s="348"/>
      <c r="N42" s="348"/>
      <c r="O42" s="348"/>
      <c r="P42" s="348"/>
      <c r="Q42" s="348"/>
      <c r="R42" s="348"/>
      <c r="S42" s="348"/>
      <c r="T42" s="348"/>
      <c r="U42" s="349"/>
    </row>
    <row r="43" spans="1:21" ht="20.100000000000001" customHeight="1" x14ac:dyDescent="0.3">
      <c r="A43" s="316" t="s">
        <v>80</v>
      </c>
      <c r="B43" s="317"/>
      <c r="C43" s="317"/>
      <c r="D43" s="317"/>
      <c r="E43" s="317"/>
      <c r="F43" s="318">
        <f>F20</f>
        <v>0</v>
      </c>
      <c r="G43" s="318"/>
      <c r="H43" s="318"/>
      <c r="I43" s="319"/>
      <c r="J43" s="355">
        <f>J20</f>
        <v>1200000</v>
      </c>
      <c r="K43" s="356"/>
      <c r="L43" s="356"/>
      <c r="M43" s="356"/>
      <c r="N43" s="357"/>
      <c r="O43" s="320">
        <f>O20</f>
        <v>1</v>
      </c>
      <c r="P43" s="320"/>
      <c r="Q43" s="358">
        <f>Q20</f>
        <v>120000</v>
      </c>
      <c r="R43" s="318"/>
      <c r="S43" s="318"/>
      <c r="T43" s="318">
        <f>T20</f>
        <v>1320000</v>
      </c>
      <c r="U43" s="359"/>
    </row>
    <row r="44" spans="1:21" ht="20.100000000000001" customHeight="1" thickBot="1" x14ac:dyDescent="0.35">
      <c r="A44" s="321" t="s">
        <v>90</v>
      </c>
      <c r="B44" s="322"/>
      <c r="C44" s="322"/>
      <c r="D44" s="322"/>
      <c r="E44" s="322"/>
      <c r="F44" s="323">
        <f>F21</f>
        <v>1320000</v>
      </c>
      <c r="G44" s="323"/>
      <c r="H44" s="323"/>
      <c r="I44" s="324"/>
      <c r="J44" s="325" t="s">
        <v>965</v>
      </c>
      <c r="K44" s="322"/>
      <c r="L44" s="350" t="str">
        <f>T27</f>
        <v>장효주</v>
      </c>
      <c r="M44" s="350"/>
      <c r="N44" s="350"/>
      <c r="O44" s="325" t="s">
        <v>64</v>
      </c>
      <c r="P44" s="351"/>
      <c r="Q44" s="352" t="str">
        <f>Q21</f>
        <v>SJ모터스(부산)</v>
      </c>
      <c r="R44" s="353"/>
      <c r="S44" s="353"/>
      <c r="T44" s="353"/>
      <c r="U44" s="354"/>
    </row>
  </sheetData>
  <mergeCells count="178">
    <mergeCell ref="A1:G1"/>
    <mergeCell ref="Q1:R1"/>
    <mergeCell ref="S1:U1"/>
    <mergeCell ref="A2:B2"/>
    <mergeCell ref="C2:G2"/>
    <mergeCell ref="H2:O2"/>
    <mergeCell ref="P2:S2"/>
    <mergeCell ref="T2:U2"/>
    <mergeCell ref="M6:R6"/>
    <mergeCell ref="T6:U6"/>
    <mergeCell ref="A7:E7"/>
    <mergeCell ref="F7:I7"/>
    <mergeCell ref="Q7:S7"/>
    <mergeCell ref="T7:U7"/>
    <mergeCell ref="A3:A6"/>
    <mergeCell ref="C3:J3"/>
    <mergeCell ref="K3:K6"/>
    <mergeCell ref="M3:U3"/>
    <mergeCell ref="C4:J4"/>
    <mergeCell ref="M4:R4"/>
    <mergeCell ref="T4:U4"/>
    <mergeCell ref="C5:J5"/>
    <mergeCell ref="M5:U5"/>
    <mergeCell ref="C6:J6"/>
    <mergeCell ref="J7:N7"/>
    <mergeCell ref="O7:P7"/>
    <mergeCell ref="A9:E9"/>
    <mergeCell ref="F9:I9"/>
    <mergeCell ref="Q9:S9"/>
    <mergeCell ref="T9:U9"/>
    <mergeCell ref="A8:E8"/>
    <mergeCell ref="F8:I8"/>
    <mergeCell ref="Q8:S8"/>
    <mergeCell ref="T8:U8"/>
    <mergeCell ref="J8:N8"/>
    <mergeCell ref="O8:P8"/>
    <mergeCell ref="J9:N9"/>
    <mergeCell ref="O9:P9"/>
    <mergeCell ref="A11:E11"/>
    <mergeCell ref="F11:I11"/>
    <mergeCell ref="Q11:S11"/>
    <mergeCell ref="T11:U11"/>
    <mergeCell ref="O11:P11"/>
    <mergeCell ref="J11:N11"/>
    <mergeCell ref="A10:E10"/>
    <mergeCell ref="F10:I10"/>
    <mergeCell ref="Q10:S10"/>
    <mergeCell ref="T10:U10"/>
    <mergeCell ref="J10:N10"/>
    <mergeCell ref="O10:P10"/>
    <mergeCell ref="A13:E13"/>
    <mergeCell ref="F13:I13"/>
    <mergeCell ref="Q13:S13"/>
    <mergeCell ref="T13:U13"/>
    <mergeCell ref="J13:N13"/>
    <mergeCell ref="O13:P13"/>
    <mergeCell ref="A12:E12"/>
    <mergeCell ref="F12:I12"/>
    <mergeCell ref="Q12:S12"/>
    <mergeCell ref="T12:U12"/>
    <mergeCell ref="J12:N12"/>
    <mergeCell ref="O12:P12"/>
    <mergeCell ref="A15:E15"/>
    <mergeCell ref="F15:I15"/>
    <mergeCell ref="Q15:S15"/>
    <mergeCell ref="T15:U15"/>
    <mergeCell ref="J15:N15"/>
    <mergeCell ref="O15:P15"/>
    <mergeCell ref="A14:E14"/>
    <mergeCell ref="F14:I14"/>
    <mergeCell ref="Q14:S14"/>
    <mergeCell ref="T14:U14"/>
    <mergeCell ref="J14:N14"/>
    <mergeCell ref="O14:P14"/>
    <mergeCell ref="A16:E19"/>
    <mergeCell ref="F16:U19"/>
    <mergeCell ref="Q21:U21"/>
    <mergeCell ref="J20:N20"/>
    <mergeCell ref="Q20:S20"/>
    <mergeCell ref="T20:U20"/>
    <mergeCell ref="A30:E30"/>
    <mergeCell ref="F30:I30"/>
    <mergeCell ref="Q30:S30"/>
    <mergeCell ref="T30:U30"/>
    <mergeCell ref="A26:A29"/>
    <mergeCell ref="C26:J26"/>
    <mergeCell ref="K26:K29"/>
    <mergeCell ref="M26:U26"/>
    <mergeCell ref="C27:J27"/>
    <mergeCell ref="M27:R27"/>
    <mergeCell ref="T27:U27"/>
    <mergeCell ref="C28:J28"/>
    <mergeCell ref="M28:U28"/>
    <mergeCell ref="C29:J29"/>
    <mergeCell ref="M29:R29"/>
    <mergeCell ref="T29:U29"/>
    <mergeCell ref="J30:N30"/>
    <mergeCell ref="O30:P30"/>
    <mergeCell ref="A32:E32"/>
    <mergeCell ref="F32:I32"/>
    <mergeCell ref="Q32:S32"/>
    <mergeCell ref="T32:U32"/>
    <mergeCell ref="A31:E31"/>
    <mergeCell ref="F31:I31"/>
    <mergeCell ref="Q31:S31"/>
    <mergeCell ref="T31:U31"/>
    <mergeCell ref="J31:N31"/>
    <mergeCell ref="O31:P31"/>
    <mergeCell ref="J32:N32"/>
    <mergeCell ref="O32:P32"/>
    <mergeCell ref="A34:E34"/>
    <mergeCell ref="F34:I34"/>
    <mergeCell ref="Q34:S34"/>
    <mergeCell ref="T34:U34"/>
    <mergeCell ref="A33:E33"/>
    <mergeCell ref="F33:I33"/>
    <mergeCell ref="Q33:S33"/>
    <mergeCell ref="T33:U33"/>
    <mergeCell ref="J33:N33"/>
    <mergeCell ref="O33:P33"/>
    <mergeCell ref="J34:N34"/>
    <mergeCell ref="O34:P34"/>
    <mergeCell ref="A36:E36"/>
    <mergeCell ref="F36:I36"/>
    <mergeCell ref="Q36:S36"/>
    <mergeCell ref="T36:U36"/>
    <mergeCell ref="A35:E35"/>
    <mergeCell ref="F35:I35"/>
    <mergeCell ref="Q35:S35"/>
    <mergeCell ref="T35:U35"/>
    <mergeCell ref="J35:N35"/>
    <mergeCell ref="O35:P35"/>
    <mergeCell ref="J36:N36"/>
    <mergeCell ref="O36:P36"/>
    <mergeCell ref="A38:E38"/>
    <mergeCell ref="F38:I38"/>
    <mergeCell ref="Q38:S38"/>
    <mergeCell ref="T38:U38"/>
    <mergeCell ref="A37:E37"/>
    <mergeCell ref="F37:I37"/>
    <mergeCell ref="Q37:S37"/>
    <mergeCell ref="T37:U37"/>
    <mergeCell ref="J37:N37"/>
    <mergeCell ref="O37:P37"/>
    <mergeCell ref="J38:N38"/>
    <mergeCell ref="O38:P38"/>
    <mergeCell ref="A39:E42"/>
    <mergeCell ref="F39:U42"/>
    <mergeCell ref="A43:E43"/>
    <mergeCell ref="F43:I43"/>
    <mergeCell ref="A44:E44"/>
    <mergeCell ref="F44:I44"/>
    <mergeCell ref="J44:K44"/>
    <mergeCell ref="L44:N44"/>
    <mergeCell ref="O44:P44"/>
    <mergeCell ref="Q44:U44"/>
    <mergeCell ref="J43:N43"/>
    <mergeCell ref="O43:P43"/>
    <mergeCell ref="Q43:S43"/>
    <mergeCell ref="T43:U43"/>
    <mergeCell ref="A22:U22"/>
    <mergeCell ref="A23:U23"/>
    <mergeCell ref="A25:B25"/>
    <mergeCell ref="C25:G25"/>
    <mergeCell ref="H25:O25"/>
    <mergeCell ref="P25:S25"/>
    <mergeCell ref="T25:U25"/>
    <mergeCell ref="A20:E20"/>
    <mergeCell ref="F20:I20"/>
    <mergeCell ref="O20:P20"/>
    <mergeCell ref="A21:E21"/>
    <mergeCell ref="F21:I21"/>
    <mergeCell ref="J21:K21"/>
    <mergeCell ref="L21:N21"/>
    <mergeCell ref="O21:P21"/>
    <mergeCell ref="A24:G24"/>
    <mergeCell ref="Q24:R24"/>
    <mergeCell ref="S24:U24"/>
  </mergeCells>
  <phoneticPr fontId="2" type="noConversion"/>
  <pageMargins left="0.23622047244094491" right="0.23622047244094491" top="0" bottom="0" header="0" footer="0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19AB61-9C75-44D9-A9C9-677635BA7788}">
  <sheetPr codeName="shtOrderData"/>
  <dimension ref="A1:L6"/>
  <sheetViews>
    <sheetView workbookViewId="0">
      <selection activeCell="F10" sqref="F10"/>
    </sheetView>
  </sheetViews>
  <sheetFormatPr defaultRowHeight="16.5" x14ac:dyDescent="0.3"/>
  <cols>
    <col min="1" max="1" width="3.75" style="47" bestFit="1" customWidth="1"/>
    <col min="2" max="2" width="11.125" style="47" bestFit="1" customWidth="1"/>
    <col min="3" max="3" width="11.625" style="47" bestFit="1" customWidth="1"/>
    <col min="4" max="4" width="14.75" style="290" bestFit="1" customWidth="1"/>
    <col min="5" max="5" width="19.25" bestFit="1" customWidth="1"/>
    <col min="6" max="6" width="14.75" style="290" bestFit="1" customWidth="1"/>
    <col min="8" max="8" width="5.5" bestFit="1" customWidth="1"/>
    <col min="9" max="9" width="11.375" customWidth="1"/>
    <col min="10" max="10" width="12.875" customWidth="1"/>
    <col min="11" max="11" width="33.25" customWidth="1"/>
    <col min="12" max="12" width="10.5" bestFit="1" customWidth="1"/>
  </cols>
  <sheetData>
    <row r="1" spans="1:12" ht="15" customHeight="1" thickBot="1" x14ac:dyDescent="0.35">
      <c r="A1" s="106" t="s">
        <v>2</v>
      </c>
      <c r="B1" s="228" t="s">
        <v>2322</v>
      </c>
      <c r="C1" s="228" t="s">
        <v>49</v>
      </c>
      <c r="D1" s="291" t="s">
        <v>1</v>
      </c>
      <c r="E1" s="111" t="s">
        <v>0</v>
      </c>
      <c r="F1" s="289" t="s">
        <v>47</v>
      </c>
      <c r="G1" s="107">
        <f>SUM(G2:G2)</f>
        <v>1200000</v>
      </c>
      <c r="H1" s="107">
        <f>SUM(H2:H2)</f>
        <v>1</v>
      </c>
      <c r="I1" s="107">
        <f>SUM(I2:I2)</f>
        <v>120000</v>
      </c>
      <c r="J1" s="107">
        <f>SUM(J2:J2)</f>
        <v>1320000</v>
      </c>
      <c r="K1" s="108" t="s">
        <v>4</v>
      </c>
      <c r="L1" s="96">
        <v>2</v>
      </c>
    </row>
    <row r="2" spans="1:12" x14ac:dyDescent="0.3">
      <c r="A2" s="47">
        <v>1</v>
      </c>
      <c r="B2" s="47" t="s">
        <v>3974</v>
      </c>
      <c r="C2" s="47" t="s">
        <v>1977</v>
      </c>
      <c r="D2" s="290" t="s">
        <v>1752</v>
      </c>
      <c r="E2" t="s">
        <v>1203</v>
      </c>
      <c r="F2" s="290" t="s">
        <v>1752</v>
      </c>
      <c r="G2">
        <v>1200000</v>
      </c>
      <c r="H2">
        <v>1</v>
      </c>
      <c r="I2" s="226">
        <v>120000</v>
      </c>
      <c r="J2" s="226">
        <v>1320000</v>
      </c>
    </row>
    <row r="3" spans="1:12" x14ac:dyDescent="0.3">
      <c r="I3" s="226"/>
      <c r="J3" s="226"/>
    </row>
    <row r="4" spans="1:12" x14ac:dyDescent="0.3">
      <c r="I4" s="226"/>
      <c r="J4" s="226"/>
    </row>
    <row r="5" spans="1:12" x14ac:dyDescent="0.3">
      <c r="I5" s="226"/>
      <c r="J5" s="226"/>
    </row>
    <row r="6" spans="1:12" x14ac:dyDescent="0.3">
      <c r="I6" s="226"/>
      <c r="J6" s="226"/>
    </row>
  </sheetData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6B9C36-4301-491C-9F2F-31514C2A29A7}">
  <sheetPr codeName="shtOrder_list"/>
  <dimension ref="A1:R35"/>
  <sheetViews>
    <sheetView zoomScaleNormal="100" workbookViewId="0">
      <selection activeCell="D19" sqref="D19"/>
    </sheetView>
  </sheetViews>
  <sheetFormatPr defaultColWidth="0" defaultRowHeight="18" customHeight="1" zeroHeight="1" x14ac:dyDescent="0.3"/>
  <cols>
    <col min="1" max="1" width="3.25" style="136" customWidth="1"/>
    <col min="2" max="2" width="12.125" style="137" customWidth="1"/>
    <col min="3" max="3" width="31.75" style="138" customWidth="1"/>
    <col min="4" max="4" width="14.625" style="132" customWidth="1"/>
    <col min="5" max="5" width="18.5" style="202" customWidth="1"/>
    <col min="6" max="6" width="8.75" style="132" customWidth="1"/>
    <col min="7" max="7" width="13.25" style="202" customWidth="1"/>
    <col min="8" max="8" width="13.375" style="132" hidden="1" customWidth="1"/>
    <col min="9" max="9" width="14.125" style="132" customWidth="1"/>
    <col min="10" max="10" width="14.125" style="132" bestFit="1" customWidth="1"/>
    <col min="11" max="11" width="2" style="132" hidden="1" customWidth="1"/>
    <col min="12" max="14" width="9.75" style="132" hidden="1" customWidth="1"/>
    <col min="15" max="15" width="20.625" style="132" hidden="1" customWidth="1"/>
    <col min="16" max="16384" width="8.75" style="135" hidden="1"/>
  </cols>
  <sheetData>
    <row r="1" spans="1:18" ht="18" customHeight="1" x14ac:dyDescent="0.3">
      <c r="A1" s="129"/>
      <c r="B1" s="130"/>
      <c r="C1" s="131"/>
      <c r="E1" s="203"/>
      <c r="F1" s="133"/>
      <c r="G1" s="203"/>
      <c r="H1" s="133"/>
      <c r="I1" s="133"/>
      <c r="J1" s="133"/>
      <c r="K1" s="134"/>
      <c r="L1" s="134"/>
      <c r="M1" s="134"/>
      <c r="N1" s="134"/>
      <c r="O1" s="133"/>
      <c r="P1" s="132"/>
    </row>
    <row r="2" spans="1:18" ht="25.5" customHeight="1" x14ac:dyDescent="0.3">
      <c r="E2" s="203"/>
      <c r="F2" s="133"/>
      <c r="G2" s="203"/>
      <c r="H2" s="133"/>
      <c r="I2" s="133"/>
      <c r="J2" s="133"/>
      <c r="K2" s="134"/>
      <c r="L2" s="134"/>
      <c r="M2" s="134"/>
      <c r="N2" s="134"/>
      <c r="O2" s="133"/>
      <c r="P2" s="132"/>
    </row>
    <row r="3" spans="1:18" ht="30.6" customHeight="1" x14ac:dyDescent="0.3">
      <c r="B3" s="164"/>
      <c r="C3" s="165"/>
      <c r="D3" s="166"/>
      <c r="E3" s="204"/>
      <c r="F3" s="133"/>
      <c r="H3" s="135"/>
      <c r="I3" s="174"/>
      <c r="J3" s="174"/>
      <c r="K3" s="134"/>
      <c r="L3" s="134"/>
      <c r="M3" s="134"/>
      <c r="N3" s="134"/>
      <c r="O3" s="133"/>
      <c r="P3" s="132"/>
    </row>
    <row r="4" spans="1:18" ht="18" customHeight="1" x14ac:dyDescent="0.3">
      <c r="A4" s="150"/>
      <c r="B4" s="441" t="s">
        <v>49</v>
      </c>
      <c r="C4" s="442"/>
      <c r="D4" s="168" t="s">
        <v>53</v>
      </c>
      <c r="E4" s="205"/>
      <c r="F4" s="213"/>
      <c r="H4" s="173"/>
      <c r="I4" s="168" t="s">
        <v>55</v>
      </c>
      <c r="J4" s="220">
        <f>J28</f>
        <v>1000000</v>
      </c>
      <c r="K4" s="151"/>
      <c r="L4" s="135"/>
      <c r="M4" s="135"/>
      <c r="N4" s="135"/>
      <c r="O4" s="135"/>
    </row>
    <row r="5" spans="1:18" ht="18" customHeight="1" x14ac:dyDescent="0.3">
      <c r="A5" s="150"/>
      <c r="B5" s="169" t="s">
        <v>14</v>
      </c>
      <c r="C5" s="246">
        <v>0</v>
      </c>
      <c r="D5" s="169" t="s">
        <v>1</v>
      </c>
      <c r="E5" s="206"/>
      <c r="F5" s="213"/>
      <c r="H5" s="163"/>
      <c r="I5" s="176" t="s">
        <v>960</v>
      </c>
      <c r="J5" s="178">
        <v>2450000</v>
      </c>
      <c r="K5" s="151"/>
      <c r="L5" s="135"/>
      <c r="M5" s="135"/>
      <c r="N5" s="135"/>
      <c r="O5" s="135"/>
    </row>
    <row r="6" spans="1:18" ht="18" customHeight="1" x14ac:dyDescent="0.3">
      <c r="A6" s="150" t="s">
        <v>1975</v>
      </c>
      <c r="B6" s="169" t="s">
        <v>49</v>
      </c>
      <c r="C6" s="170" t="s">
        <v>1333</v>
      </c>
      <c r="D6" s="169" t="s">
        <v>0</v>
      </c>
      <c r="E6" s="207"/>
      <c r="F6" s="213"/>
      <c r="H6" s="163"/>
      <c r="I6" s="177" t="s">
        <v>961</v>
      </c>
      <c r="J6" s="179">
        <f>J4+J5</f>
        <v>3450000</v>
      </c>
      <c r="K6" s="151"/>
      <c r="L6" s="135"/>
      <c r="M6" s="135"/>
      <c r="N6" s="135"/>
      <c r="O6" s="135"/>
    </row>
    <row r="7" spans="1:18" ht="18" customHeight="1" x14ac:dyDescent="0.3">
      <c r="A7" s="161" t="s">
        <v>2315</v>
      </c>
      <c r="B7" s="169" t="s">
        <v>29</v>
      </c>
      <c r="C7" s="170"/>
      <c r="D7" s="169" t="s">
        <v>54</v>
      </c>
      <c r="E7" s="208"/>
      <c r="F7" s="213"/>
      <c r="H7" s="135"/>
      <c r="I7" s="175"/>
      <c r="J7" s="175"/>
      <c r="K7" s="135"/>
      <c r="L7" s="135"/>
      <c r="M7" s="135"/>
      <c r="N7" s="135"/>
      <c r="O7" s="135"/>
    </row>
    <row r="8" spans="1:18" ht="18" customHeight="1" x14ac:dyDescent="0.3">
      <c r="A8" s="150">
        <v>39</v>
      </c>
      <c r="B8" s="169" t="s">
        <v>10</v>
      </c>
      <c r="C8" s="171" t="s">
        <v>2312</v>
      </c>
      <c r="D8" s="169" t="s">
        <v>42</v>
      </c>
      <c r="E8" s="209"/>
      <c r="F8" s="213"/>
      <c r="H8" s="135"/>
      <c r="I8" s="135"/>
      <c r="J8" s="135"/>
      <c r="K8" s="135"/>
      <c r="L8" s="135"/>
      <c r="M8" s="135"/>
      <c r="N8" s="135"/>
      <c r="O8" s="135"/>
    </row>
    <row r="9" spans="1:18" ht="18" customHeight="1" x14ac:dyDescent="0.3">
      <c r="A9" s="162">
        <v>1</v>
      </c>
      <c r="B9" s="169" t="s">
        <v>88</v>
      </c>
      <c r="C9" s="171" t="s">
        <v>2313</v>
      </c>
      <c r="D9" s="169" t="s">
        <v>50</v>
      </c>
      <c r="E9" s="208"/>
      <c r="F9" s="213"/>
      <c r="H9" s="135"/>
      <c r="I9" s="135"/>
      <c r="J9" s="135"/>
      <c r="K9" s="135"/>
      <c r="L9" s="135"/>
      <c r="M9" s="135"/>
      <c r="N9" s="135"/>
      <c r="O9" s="135"/>
    </row>
    <row r="10" spans="1:18" ht="18" customHeight="1" x14ac:dyDescent="0.3">
      <c r="A10" s="150"/>
      <c r="B10" s="169" t="s">
        <v>22</v>
      </c>
      <c r="C10" s="171" t="s">
        <v>25</v>
      </c>
      <c r="D10" s="169" t="s">
        <v>1123</v>
      </c>
      <c r="E10" s="210"/>
      <c r="F10" s="213"/>
      <c r="H10" s="135"/>
      <c r="I10" s="135"/>
      <c r="J10" s="135"/>
      <c r="K10" s="135"/>
      <c r="L10" s="135"/>
      <c r="M10" s="135"/>
      <c r="N10" s="135"/>
      <c r="O10" s="135"/>
    </row>
    <row r="11" spans="1:18" ht="18" customHeight="1" x14ac:dyDescent="0.3">
      <c r="A11" s="150"/>
      <c r="B11" s="169" t="s">
        <v>1170</v>
      </c>
      <c r="C11" s="171"/>
      <c r="D11" s="169" t="s">
        <v>89</v>
      </c>
      <c r="E11" s="210"/>
      <c r="F11" s="213"/>
      <c r="H11" s="135"/>
      <c r="I11" s="135"/>
      <c r="J11" s="135"/>
      <c r="K11" s="135"/>
      <c r="L11" s="135"/>
      <c r="M11" s="135"/>
      <c r="N11" s="135"/>
      <c r="O11" s="135"/>
    </row>
    <row r="12" spans="1:18" ht="18" customHeight="1" x14ac:dyDescent="0.3">
      <c r="A12" s="150"/>
      <c r="B12" s="172" t="s">
        <v>1196</v>
      </c>
      <c r="C12" s="193"/>
      <c r="D12" s="169" t="s">
        <v>58</v>
      </c>
      <c r="E12" s="209">
        <f>(E8*E9)+E11</f>
        <v>0</v>
      </c>
      <c r="F12" s="213"/>
      <c r="H12" s="135"/>
      <c r="I12" s="135"/>
      <c r="J12" s="135"/>
      <c r="K12" s="135"/>
      <c r="L12" s="135"/>
      <c r="M12" s="135"/>
      <c r="N12" s="135"/>
      <c r="O12" s="135"/>
    </row>
    <row r="13" spans="1:18" ht="18" customHeight="1" x14ac:dyDescent="0.3">
      <c r="B13" s="175"/>
      <c r="C13" s="192"/>
      <c r="D13" s="172" t="s">
        <v>4</v>
      </c>
      <c r="E13" s="211"/>
      <c r="F13" s="213"/>
      <c r="H13" s="135"/>
      <c r="I13" s="135"/>
      <c r="J13" s="135"/>
      <c r="K13" s="135"/>
      <c r="L13" s="135"/>
      <c r="M13" s="135"/>
      <c r="N13" s="135"/>
      <c r="O13" s="135"/>
    </row>
    <row r="14" spans="1:18" s="139" customFormat="1" ht="18" customHeight="1" x14ac:dyDescent="0.3">
      <c r="A14" s="136"/>
      <c r="B14" s="152"/>
      <c r="C14" s="152"/>
      <c r="D14" s="167"/>
      <c r="E14" s="212"/>
      <c r="F14" s="214"/>
      <c r="G14" s="216"/>
      <c r="H14" s="152"/>
      <c r="I14" s="152"/>
      <c r="J14" s="152"/>
      <c r="K14" s="135"/>
      <c r="L14" s="135"/>
      <c r="M14" s="135"/>
      <c r="N14" s="135"/>
      <c r="O14" s="135"/>
    </row>
    <row r="15" spans="1:18" s="139" customFormat="1" ht="18" customHeight="1" x14ac:dyDescent="0.3">
      <c r="A15" s="148" t="s">
        <v>86</v>
      </c>
      <c r="B15" s="154" t="s">
        <v>83</v>
      </c>
      <c r="C15" s="155" t="s">
        <v>84</v>
      </c>
      <c r="D15" s="155" t="s">
        <v>85</v>
      </c>
      <c r="E15" s="155" t="s">
        <v>957</v>
      </c>
      <c r="F15" s="156" t="s">
        <v>50</v>
      </c>
      <c r="G15" s="156" t="s">
        <v>42</v>
      </c>
      <c r="H15" s="156" t="s">
        <v>1123</v>
      </c>
      <c r="I15" s="156" t="s">
        <v>81</v>
      </c>
      <c r="J15" s="157" t="s">
        <v>82</v>
      </c>
      <c r="K15" s="151"/>
      <c r="L15" s="135"/>
      <c r="M15" s="135"/>
      <c r="N15" s="135"/>
      <c r="O15" s="135"/>
    </row>
    <row r="16" spans="1:18" s="139" customFormat="1" ht="18" customHeight="1" x14ac:dyDescent="0.3">
      <c r="A16" s="149">
        <v>1</v>
      </c>
      <c r="B16" s="158">
        <v>45804</v>
      </c>
      <c r="C16" s="181"/>
      <c r="D16" s="197" t="s">
        <v>1131</v>
      </c>
      <c r="E16" s="195"/>
      <c r="F16" s="219">
        <v>1</v>
      </c>
      <c r="G16" s="144">
        <v>1000000</v>
      </c>
      <c r="H16" s="143"/>
      <c r="I16" s="142"/>
      <c r="J16" s="160">
        <v>1000000</v>
      </c>
      <c r="K16" s="151">
        <v>1000000</v>
      </c>
      <c r="L16" s="135"/>
      <c r="M16" s="135"/>
      <c r="N16" s="135"/>
      <c r="O16" s="135"/>
      <c r="P16" s="135"/>
      <c r="Q16" s="135"/>
      <c r="R16" s="135"/>
    </row>
    <row r="17" spans="1:18" s="139" customFormat="1" ht="18" customHeight="1" x14ac:dyDescent="0.3">
      <c r="A17" s="149"/>
      <c r="B17" s="158"/>
      <c r="C17" s="141"/>
      <c r="D17" s="197"/>
      <c r="E17" s="195"/>
      <c r="F17" s="143"/>
      <c r="G17" s="144"/>
      <c r="H17" s="143"/>
      <c r="I17" s="142"/>
      <c r="J17" s="144"/>
      <c r="K17" s="151"/>
      <c r="L17" s="135"/>
      <c r="M17" s="135"/>
      <c r="N17" s="135"/>
      <c r="O17" s="135"/>
      <c r="P17" s="135"/>
      <c r="Q17" s="135"/>
      <c r="R17" s="135"/>
    </row>
    <row r="18" spans="1:18" s="139" customFormat="1" ht="18" customHeight="1" x14ac:dyDescent="0.3">
      <c r="A18" s="149"/>
      <c r="B18" s="158"/>
      <c r="C18" s="140"/>
      <c r="D18" s="145"/>
      <c r="E18" s="196"/>
      <c r="F18" s="143"/>
      <c r="G18" s="217"/>
      <c r="H18" s="143"/>
      <c r="I18" s="142"/>
      <c r="J18" s="160"/>
      <c r="K18" s="151"/>
      <c r="L18" s="135"/>
      <c r="M18" s="135"/>
      <c r="N18" s="135"/>
      <c r="O18" s="135"/>
      <c r="P18" s="135"/>
      <c r="Q18" s="135"/>
      <c r="R18" s="135"/>
    </row>
    <row r="19" spans="1:18" s="139" customFormat="1" ht="18" customHeight="1" x14ac:dyDescent="0.3">
      <c r="A19" s="149"/>
      <c r="B19" s="158"/>
      <c r="C19" s="140"/>
      <c r="D19" s="145"/>
      <c r="E19" s="196"/>
      <c r="F19" s="143"/>
      <c r="G19" s="217"/>
      <c r="H19" s="143"/>
      <c r="I19" s="142"/>
      <c r="J19" s="160"/>
      <c r="K19" s="151"/>
      <c r="L19" s="135"/>
      <c r="M19" s="135"/>
      <c r="N19" s="135"/>
      <c r="O19" s="135"/>
      <c r="P19" s="135"/>
      <c r="Q19" s="135"/>
      <c r="R19" s="135"/>
    </row>
    <row r="20" spans="1:18" s="139" customFormat="1" ht="18" customHeight="1" x14ac:dyDescent="0.3">
      <c r="A20" s="149"/>
      <c r="B20" s="158"/>
      <c r="C20" s="140"/>
      <c r="D20" s="145"/>
      <c r="E20" s="196"/>
      <c r="F20" s="143"/>
      <c r="G20" s="217"/>
      <c r="H20" s="143"/>
      <c r="I20" s="142"/>
      <c r="J20" s="160"/>
      <c r="K20" s="151"/>
      <c r="L20" s="135"/>
      <c r="M20" s="135"/>
      <c r="N20" s="135"/>
      <c r="O20" s="135"/>
      <c r="P20" s="135"/>
      <c r="Q20" s="135"/>
      <c r="R20" s="135"/>
    </row>
    <row r="21" spans="1:18" s="139" customFormat="1" ht="18" customHeight="1" x14ac:dyDescent="0.3">
      <c r="A21" s="149"/>
      <c r="B21" s="158"/>
      <c r="C21" s="140"/>
      <c r="D21" s="145"/>
      <c r="E21" s="196"/>
      <c r="F21" s="143"/>
      <c r="G21" s="217"/>
      <c r="H21" s="143"/>
      <c r="I21" s="142"/>
      <c r="J21" s="160"/>
      <c r="K21" s="151"/>
      <c r="L21" s="135"/>
      <c r="M21" s="135"/>
      <c r="N21" s="135"/>
      <c r="O21" s="135"/>
      <c r="P21" s="135"/>
      <c r="Q21" s="135"/>
      <c r="R21" s="135"/>
    </row>
    <row r="22" spans="1:18" s="139" customFormat="1" ht="18" customHeight="1" x14ac:dyDescent="0.3">
      <c r="A22" s="149"/>
      <c r="B22" s="158"/>
      <c r="C22" s="140"/>
      <c r="D22" s="145"/>
      <c r="E22" s="196"/>
      <c r="F22" s="143"/>
      <c r="G22" s="217"/>
      <c r="H22" s="143"/>
      <c r="I22" s="142"/>
      <c r="J22" s="160"/>
      <c r="K22" s="151"/>
      <c r="L22" s="135"/>
      <c r="M22" s="135"/>
      <c r="N22" s="135"/>
      <c r="O22" s="135"/>
      <c r="P22" s="135"/>
      <c r="Q22" s="135"/>
      <c r="R22" s="135"/>
    </row>
    <row r="23" spans="1:18" s="139" customFormat="1" ht="18" customHeight="1" x14ac:dyDescent="0.3">
      <c r="A23" s="149"/>
      <c r="B23" s="158"/>
      <c r="C23" s="140"/>
      <c r="D23" s="140"/>
      <c r="E23" s="196"/>
      <c r="F23" s="143"/>
      <c r="G23" s="217"/>
      <c r="H23" s="143"/>
      <c r="I23" s="142"/>
      <c r="J23" s="159"/>
      <c r="K23" s="151"/>
      <c r="L23" s="135"/>
      <c r="M23" s="135"/>
      <c r="N23" s="135"/>
      <c r="O23" s="135"/>
      <c r="P23" s="135"/>
      <c r="Q23" s="135"/>
      <c r="R23" s="135"/>
    </row>
    <row r="24" spans="1:18" ht="18" customHeight="1" x14ac:dyDescent="0.3">
      <c r="A24" s="149"/>
      <c r="B24" s="158"/>
      <c r="C24" s="146"/>
      <c r="D24" s="141"/>
      <c r="E24" s="196"/>
      <c r="F24" s="143"/>
      <c r="G24" s="217"/>
      <c r="H24" s="144"/>
      <c r="I24" s="147"/>
      <c r="J24" s="160"/>
      <c r="K24" s="151"/>
      <c r="L24" s="135"/>
      <c r="M24" s="135"/>
      <c r="N24" s="135"/>
      <c r="O24" s="135"/>
    </row>
    <row r="25" spans="1:18" ht="18" customHeight="1" x14ac:dyDescent="0.3">
      <c r="A25" s="149"/>
      <c r="B25" s="158"/>
      <c r="C25" s="146"/>
      <c r="D25" s="141"/>
      <c r="E25" s="196"/>
      <c r="F25" s="143"/>
      <c r="G25" s="217"/>
      <c r="H25" s="144"/>
      <c r="I25" s="147"/>
      <c r="J25" s="160"/>
      <c r="K25" s="151"/>
      <c r="L25" s="135"/>
      <c r="M25" s="135"/>
      <c r="N25" s="135"/>
      <c r="O25" s="135"/>
    </row>
    <row r="26" spans="1:18" ht="18" customHeight="1" x14ac:dyDescent="0.3">
      <c r="A26" s="149"/>
      <c r="B26" s="158"/>
      <c r="C26" s="146"/>
      <c r="D26" s="141"/>
      <c r="E26" s="196"/>
      <c r="F26" s="143"/>
      <c r="G26" s="217"/>
      <c r="H26" s="144"/>
      <c r="I26" s="147"/>
      <c r="J26" s="160"/>
      <c r="K26" s="151"/>
      <c r="L26" s="135"/>
      <c r="M26" s="135"/>
      <c r="N26" s="135"/>
      <c r="O26" s="135"/>
    </row>
    <row r="27" spans="1:18" ht="18" customHeight="1" x14ac:dyDescent="0.3">
      <c r="A27" s="149"/>
      <c r="B27" s="182"/>
      <c r="C27" s="183"/>
      <c r="D27" s="184"/>
      <c r="E27" s="200"/>
      <c r="F27" s="215"/>
      <c r="G27" s="218"/>
      <c r="H27" s="186"/>
      <c r="I27" s="185"/>
      <c r="J27" s="187"/>
      <c r="K27" s="151"/>
      <c r="L27" s="135"/>
      <c r="M27" s="135"/>
      <c r="N27" s="135"/>
      <c r="O27" s="135"/>
    </row>
    <row r="28" spans="1:18" ht="18" customHeight="1" x14ac:dyDescent="0.3">
      <c r="A28" s="150"/>
      <c r="B28" s="443" t="s">
        <v>87</v>
      </c>
      <c r="C28" s="444"/>
      <c r="D28" s="444"/>
      <c r="E28" s="445"/>
      <c r="F28" s="444"/>
      <c r="G28" s="444"/>
      <c r="H28" s="188">
        <f>SUM(H16:H27)</f>
        <v>0</v>
      </c>
      <c r="I28" s="188">
        <f>SUM(I16:I27)</f>
        <v>0</v>
      </c>
      <c r="J28" s="189">
        <f>SUM(J16:J27)</f>
        <v>1000000</v>
      </c>
      <c r="K28" s="151"/>
      <c r="L28" s="135"/>
      <c r="M28" s="135"/>
      <c r="N28" s="135"/>
      <c r="O28" s="135"/>
    </row>
    <row r="29" spans="1:18" ht="18" hidden="1" customHeight="1" x14ac:dyDescent="0.3">
      <c r="A29" s="137"/>
      <c r="B29" s="153"/>
      <c r="C29" s="153"/>
      <c r="D29" s="153"/>
      <c r="E29" s="201"/>
      <c r="F29" s="199"/>
      <c r="G29" s="201"/>
      <c r="H29" s="153"/>
      <c r="I29" s="153"/>
      <c r="J29" s="153"/>
      <c r="K29" s="135"/>
      <c r="L29" s="135"/>
      <c r="M29" s="135"/>
      <c r="N29" s="135"/>
      <c r="O29" s="135"/>
    </row>
    <row r="30" spans="1:18" ht="18" hidden="1" customHeight="1" x14ac:dyDescent="0.3">
      <c r="A30" s="137"/>
      <c r="C30" s="137"/>
      <c r="D30" s="137"/>
      <c r="H30" s="137"/>
      <c r="I30" s="137"/>
      <c r="J30" s="137"/>
      <c r="K30" s="135"/>
      <c r="L30" s="135"/>
      <c r="M30" s="135"/>
      <c r="N30" s="135"/>
      <c r="O30" s="135"/>
    </row>
    <row r="31" spans="1:18" ht="18" hidden="1" customHeight="1" x14ac:dyDescent="0.3">
      <c r="A31" s="137"/>
      <c r="C31" s="137"/>
      <c r="D31" s="137"/>
      <c r="H31" s="137"/>
      <c r="I31" s="137"/>
      <c r="J31" s="137"/>
    </row>
    <row r="32" spans="1:18" ht="18" hidden="1" customHeight="1" x14ac:dyDescent="0.3">
      <c r="A32" s="137"/>
      <c r="C32" s="137"/>
      <c r="D32" s="137"/>
      <c r="H32" s="137"/>
      <c r="I32" s="137"/>
      <c r="J32" s="137"/>
    </row>
    <row r="33" spans="1:10" ht="18" hidden="1" customHeight="1" x14ac:dyDescent="0.3">
      <c r="A33" s="137"/>
      <c r="C33" s="137"/>
      <c r="D33" s="137"/>
      <c r="H33" s="137"/>
      <c r="I33" s="137"/>
      <c r="J33" s="137"/>
    </row>
    <row r="34" spans="1:10" ht="18" hidden="1" customHeight="1" x14ac:dyDescent="0.3">
      <c r="A34" s="137"/>
      <c r="C34" s="137"/>
      <c r="D34" s="137"/>
      <c r="H34" s="137"/>
      <c r="I34" s="137"/>
      <c r="J34" s="137"/>
    </row>
    <row r="35" spans="1:10" ht="18" hidden="1" customHeight="1" x14ac:dyDescent="0.3">
      <c r="A35" s="137"/>
      <c r="C35" s="137"/>
      <c r="D35" s="137"/>
      <c r="H35" s="137"/>
      <c r="I35" s="137"/>
      <c r="J35" s="137"/>
    </row>
  </sheetData>
  <mergeCells count="2">
    <mergeCell ref="B4:C4"/>
    <mergeCell ref="B28:G28"/>
  </mergeCells>
  <phoneticPr fontId="2" type="noConversion"/>
  <hyperlinks>
    <hyperlink ref="A7" r:id="rId1" tooltip="주문내역서 위치" display="링크" xr:uid="{3F0A1669-44D8-4A2D-9887-78DE8C4C791A}"/>
  </hyperlinks>
  <pageMargins left="0.7" right="0.7" top="0.75" bottom="0.75" header="0.3" footer="0.3"/>
  <pageSetup paperSize="9" orientation="portrait" horizontalDpi="4294967293" r:id="rId2"/>
  <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023386-AA37-4487-A61E-80F00E228D6C}">
  <sheetPr codeName="shtLogin"/>
  <dimension ref="A1:O69"/>
  <sheetViews>
    <sheetView showGridLines="0" zoomScaleNormal="100" workbookViewId="0">
      <selection activeCell="G10" sqref="G10:J10"/>
    </sheetView>
  </sheetViews>
  <sheetFormatPr defaultColWidth="0" defaultRowHeight="16.5" zeroHeight="1" x14ac:dyDescent="0.3"/>
  <cols>
    <col min="1" max="14" width="9" customWidth="1"/>
    <col min="15" max="15" width="7.25" customWidth="1"/>
    <col min="16" max="16384" width="9" hidden="1"/>
  </cols>
  <sheetData>
    <row r="1" spans="5:11" x14ac:dyDescent="0.3"/>
    <row r="2" spans="5:11" x14ac:dyDescent="0.3"/>
    <row r="3" spans="5:11" x14ac:dyDescent="0.3"/>
    <row r="4" spans="5:11" x14ac:dyDescent="0.3"/>
    <row r="5" spans="5:11" x14ac:dyDescent="0.3"/>
    <row r="6" spans="5:11" ht="53.25" customHeight="1" x14ac:dyDescent="0.3">
      <c r="E6" s="449" t="s">
        <v>1558</v>
      </c>
      <c r="F6" s="449"/>
      <c r="G6" s="449"/>
      <c r="H6" s="449"/>
      <c r="I6" s="449"/>
      <c r="J6" s="449"/>
      <c r="K6" s="449"/>
    </row>
    <row r="7" spans="5:11" x14ac:dyDescent="0.3"/>
    <row r="8" spans="5:11" x14ac:dyDescent="0.3"/>
    <row r="9" spans="5:11" x14ac:dyDescent="0.3">
      <c r="G9" s="446"/>
      <c r="H9" s="446"/>
      <c r="I9" s="446"/>
      <c r="J9" s="446"/>
    </row>
    <row r="10" spans="5:11" ht="33" customHeight="1" x14ac:dyDescent="0.3">
      <c r="F10" s="117"/>
      <c r="G10" s="447"/>
      <c r="H10" s="448"/>
      <c r="I10" s="448"/>
      <c r="J10" s="448"/>
    </row>
    <row r="11" spans="5:11" x14ac:dyDescent="0.3"/>
    <row r="12" spans="5:11" ht="32.25" customHeight="1" x14ac:dyDescent="0.3">
      <c r="F12" s="118"/>
      <c r="G12" s="447" t="s">
        <v>1559</v>
      </c>
      <c r="H12" s="448"/>
      <c r="I12" s="448"/>
      <c r="J12" s="448"/>
    </row>
    <row r="13" spans="5:11" x14ac:dyDescent="0.3"/>
    <row r="14" spans="5:11" x14ac:dyDescent="0.3"/>
    <row r="15" spans="5:11" x14ac:dyDescent="0.3"/>
    <row r="16" spans="5:11" x14ac:dyDescent="0.3"/>
    <row r="17" customFormat="1" x14ac:dyDescent="0.3"/>
    <row r="18" customFormat="1" x14ac:dyDescent="0.3"/>
    <row r="19" customFormat="1" x14ac:dyDescent="0.3"/>
    <row r="20" customFormat="1" x14ac:dyDescent="0.3"/>
    <row r="21" customFormat="1" x14ac:dyDescent="0.3"/>
    <row r="22" customFormat="1" x14ac:dyDescent="0.3"/>
    <row r="23" customFormat="1" x14ac:dyDescent="0.3"/>
    <row r="24" customFormat="1" x14ac:dyDescent="0.3"/>
    <row r="25" customFormat="1" x14ac:dyDescent="0.3"/>
    <row r="26" customFormat="1" x14ac:dyDescent="0.3"/>
    <row r="27" customFormat="1" x14ac:dyDescent="0.3"/>
    <row r="28" customFormat="1" hidden="1" x14ac:dyDescent="0.3"/>
    <row r="29" customFormat="1" hidden="1" x14ac:dyDescent="0.3"/>
    <row r="30" customFormat="1" hidden="1" x14ac:dyDescent="0.3"/>
    <row r="31" customFormat="1" hidden="1" x14ac:dyDescent="0.3"/>
    <row r="32" customFormat="1" hidden="1" x14ac:dyDescent="0.3"/>
    <row r="33" customFormat="1" hidden="1" x14ac:dyDescent="0.3"/>
    <row r="34" customFormat="1" hidden="1" x14ac:dyDescent="0.3"/>
    <row r="35" customFormat="1" hidden="1" x14ac:dyDescent="0.3"/>
    <row r="36" customFormat="1" hidden="1" x14ac:dyDescent="0.3"/>
    <row r="37" customFormat="1" hidden="1" x14ac:dyDescent="0.3"/>
    <row r="38" customFormat="1" hidden="1" x14ac:dyDescent="0.3"/>
    <row r="39" customFormat="1" hidden="1" x14ac:dyDescent="0.3"/>
    <row r="40" customFormat="1" hidden="1" x14ac:dyDescent="0.3"/>
    <row r="41" customFormat="1" hidden="1" x14ac:dyDescent="0.3"/>
    <row r="42" customFormat="1" hidden="1" x14ac:dyDescent="0.3"/>
    <row r="43" customFormat="1" hidden="1" x14ac:dyDescent="0.3"/>
    <row r="44" customFormat="1" hidden="1" x14ac:dyDescent="0.3"/>
    <row r="45" customFormat="1" hidden="1" x14ac:dyDescent="0.3"/>
    <row r="46" customFormat="1" hidden="1" x14ac:dyDescent="0.3"/>
    <row r="47" customFormat="1" hidden="1" x14ac:dyDescent="0.3"/>
    <row r="48" customFormat="1" hidden="1" x14ac:dyDescent="0.3"/>
    <row r="49" customFormat="1" hidden="1" x14ac:dyDescent="0.3"/>
    <row r="50" customFormat="1" hidden="1" x14ac:dyDescent="0.3"/>
    <row r="51" customFormat="1" hidden="1" x14ac:dyDescent="0.3"/>
    <row r="52" customFormat="1" hidden="1" x14ac:dyDescent="0.3"/>
    <row r="53" customFormat="1" hidden="1" x14ac:dyDescent="0.3"/>
    <row r="54" customFormat="1" hidden="1" x14ac:dyDescent="0.3"/>
    <row r="55" customFormat="1" hidden="1" x14ac:dyDescent="0.3"/>
    <row r="56" customFormat="1" hidden="1" x14ac:dyDescent="0.3"/>
    <row r="57" customFormat="1" hidden="1" x14ac:dyDescent="0.3"/>
    <row r="58" customFormat="1" hidden="1" x14ac:dyDescent="0.3"/>
    <row r="59" customFormat="1" hidden="1" x14ac:dyDescent="0.3"/>
    <row r="60" customFormat="1" hidden="1" x14ac:dyDescent="0.3"/>
    <row r="61" customFormat="1" hidden="1" x14ac:dyDescent="0.3"/>
    <row r="62" customFormat="1" hidden="1" x14ac:dyDescent="0.3"/>
    <row r="63" customFormat="1" hidden="1" x14ac:dyDescent="0.3"/>
    <row r="64" customFormat="1" hidden="1" x14ac:dyDescent="0.3"/>
    <row r="65" customFormat="1" hidden="1" x14ac:dyDescent="0.3"/>
    <row r="66" customFormat="1" hidden="1" x14ac:dyDescent="0.3"/>
    <row r="67" customFormat="1" hidden="1" x14ac:dyDescent="0.3"/>
    <row r="68" customFormat="1" hidden="1" x14ac:dyDescent="0.3"/>
    <row r="69" customFormat="1" hidden="1" x14ac:dyDescent="0.3"/>
  </sheetData>
  <sheetProtection selectLockedCells="1"/>
  <mergeCells count="4">
    <mergeCell ref="G9:J9"/>
    <mergeCell ref="G10:J10"/>
    <mergeCell ref="G12:J12"/>
    <mergeCell ref="E6:K6"/>
  </mergeCells>
  <phoneticPr fontId="2" type="noConversion"/>
  <pageMargins left="0.7" right="0.7" top="0.75" bottom="0.75" header="0.3" footer="0.3"/>
  <drawing r:id="rId1"/>
  <picture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822D6F-A9DB-437B-9087-9A5E8AF0CADA}">
  <sheetPr codeName="shtOrder_table"/>
  <dimension ref="A1:P1949"/>
  <sheetViews>
    <sheetView workbookViewId="0">
      <pane xSplit="1" ySplit="1" topLeftCell="B1921" activePane="bottomRight" state="frozen"/>
      <selection activeCell="N26" sqref="N26"/>
      <selection pane="topRight" activeCell="N26" sqref="N26"/>
      <selection pane="bottomLeft" activeCell="N26" sqref="N26"/>
      <selection pane="bottomRight" activeCell="L1941" sqref="L1941"/>
    </sheetView>
  </sheetViews>
  <sheetFormatPr defaultColWidth="9" defaultRowHeight="16.5" x14ac:dyDescent="0.3"/>
  <cols>
    <col min="1" max="1" width="7.75" style="58" customWidth="1"/>
    <col min="2" max="2" width="12.25" style="264" customWidth="1"/>
    <col min="3" max="3" width="24.875" style="292" bestFit="1" customWidth="1"/>
    <col min="4" max="4" width="13.25" style="295" customWidth="1"/>
    <col min="5" max="5" width="26.375" style="292" bestFit="1" customWidth="1"/>
    <col min="6" max="6" width="15.25" style="269" customWidth="1"/>
    <col min="7" max="7" width="10" style="265" bestFit="1" customWidth="1"/>
    <col min="8" max="8" width="9.5" style="269" customWidth="1"/>
    <col min="9" max="9" width="13.25" style="266" hidden="1" customWidth="1"/>
    <col min="10" max="10" width="13.25" style="266" customWidth="1"/>
    <col min="11" max="11" width="13.25" style="265" customWidth="1"/>
    <col min="12" max="12" width="11.125" style="265" customWidth="1"/>
    <col min="13" max="13" width="32.125" style="292" customWidth="1"/>
    <col min="14" max="14" width="13.5" bestFit="1" customWidth="1"/>
    <col min="15" max="16" width="11.125" bestFit="1" customWidth="1"/>
    <col min="17" max="17" width="15.25" bestFit="1" customWidth="1"/>
  </cols>
  <sheetData>
    <row r="1" spans="1:15" s="59" customFormat="1" x14ac:dyDescent="0.3">
      <c r="A1" s="259" t="s">
        <v>2</v>
      </c>
      <c r="B1" s="260" t="s">
        <v>14</v>
      </c>
      <c r="C1" s="294" t="s">
        <v>8</v>
      </c>
      <c r="D1" s="294" t="s">
        <v>1</v>
      </c>
      <c r="E1" s="294" t="s">
        <v>0</v>
      </c>
      <c r="F1" s="259" t="s">
        <v>47</v>
      </c>
      <c r="G1" s="261" t="s">
        <v>42</v>
      </c>
      <c r="H1" s="259" t="s">
        <v>50</v>
      </c>
      <c r="I1" s="262" t="s">
        <v>1123</v>
      </c>
      <c r="J1" s="262" t="s">
        <v>81</v>
      </c>
      <c r="K1" s="261" t="s">
        <v>58</v>
      </c>
      <c r="L1" s="261" t="s">
        <v>1670</v>
      </c>
      <c r="M1" s="261" t="s">
        <v>4</v>
      </c>
      <c r="N1" s="97">
        <v>1950</v>
      </c>
    </row>
    <row r="2" spans="1:15" x14ac:dyDescent="0.3">
      <c r="A2" s="271">
        <v>1</v>
      </c>
      <c r="B2" s="264">
        <v>45723</v>
      </c>
      <c r="C2" s="292" t="s">
        <v>1302</v>
      </c>
      <c r="D2" s="295">
        <v>2821402</v>
      </c>
      <c r="E2" s="292" t="s">
        <v>2702</v>
      </c>
      <c r="F2" s="263">
        <v>2821402</v>
      </c>
      <c r="G2" s="265">
        <v>30000</v>
      </c>
      <c r="H2" s="263">
        <v>3</v>
      </c>
      <c r="J2" s="266">
        <v>90000</v>
      </c>
      <c r="K2" s="265">
        <v>90000</v>
      </c>
      <c r="M2" s="269"/>
    </row>
    <row r="3" spans="1:15" x14ac:dyDescent="0.3">
      <c r="A3" s="271">
        <v>2</v>
      </c>
      <c r="B3" s="264">
        <v>45723</v>
      </c>
      <c r="C3" s="292" t="s">
        <v>1437</v>
      </c>
      <c r="D3" s="295" t="s">
        <v>1361</v>
      </c>
      <c r="E3" s="292" t="s">
        <v>1203</v>
      </c>
      <c r="F3" s="263" t="s">
        <v>1361</v>
      </c>
      <c r="G3" s="265">
        <v>1300000</v>
      </c>
      <c r="H3" s="263">
        <v>1</v>
      </c>
      <c r="K3" s="265">
        <v>1300000</v>
      </c>
      <c r="M3" s="263"/>
      <c r="N3" s="49"/>
      <c r="O3" s="49"/>
    </row>
    <row r="4" spans="1:15" x14ac:dyDescent="0.3">
      <c r="A4" s="271">
        <v>3</v>
      </c>
      <c r="B4" s="264">
        <v>45723</v>
      </c>
      <c r="C4" s="292" t="s">
        <v>1437</v>
      </c>
      <c r="E4" s="292" t="s">
        <v>1145</v>
      </c>
      <c r="F4" s="263"/>
      <c r="G4" s="265">
        <v>800000</v>
      </c>
      <c r="H4" s="263">
        <v>1</v>
      </c>
      <c r="K4" s="265">
        <v>800000</v>
      </c>
      <c r="M4" s="263"/>
      <c r="N4" s="49"/>
      <c r="O4" s="49"/>
    </row>
    <row r="5" spans="1:15" x14ac:dyDescent="0.3">
      <c r="A5" s="271">
        <v>4</v>
      </c>
      <c r="B5" s="264">
        <v>45723</v>
      </c>
      <c r="C5" s="292" t="s">
        <v>1391</v>
      </c>
      <c r="E5" s="292" t="s">
        <v>1136</v>
      </c>
      <c r="F5" s="263"/>
      <c r="G5" s="265">
        <v>1000000</v>
      </c>
      <c r="H5" s="263">
        <v>1</v>
      </c>
      <c r="K5" s="265">
        <v>1000000</v>
      </c>
      <c r="M5" s="263"/>
      <c r="N5" s="49"/>
      <c r="O5" s="49"/>
    </row>
    <row r="6" spans="1:15" x14ac:dyDescent="0.3">
      <c r="A6" s="271">
        <v>5</v>
      </c>
      <c r="B6" s="264">
        <v>45722</v>
      </c>
      <c r="C6" s="292" t="s">
        <v>1399</v>
      </c>
      <c r="E6" s="292" t="s">
        <v>1137</v>
      </c>
      <c r="F6" s="263"/>
      <c r="G6" s="265">
        <v>198000</v>
      </c>
      <c r="H6" s="263">
        <v>1</v>
      </c>
      <c r="K6" s="265">
        <v>198000</v>
      </c>
      <c r="M6" s="263"/>
      <c r="N6" s="49"/>
      <c r="O6" s="49"/>
    </row>
    <row r="7" spans="1:15" x14ac:dyDescent="0.3">
      <c r="A7" s="271">
        <v>6</v>
      </c>
      <c r="B7" s="264">
        <v>45722</v>
      </c>
      <c r="C7" s="292" t="s">
        <v>1399</v>
      </c>
      <c r="E7" s="292" t="s">
        <v>1138</v>
      </c>
      <c r="F7" s="263"/>
      <c r="G7" s="265">
        <v>12000</v>
      </c>
      <c r="H7" s="263">
        <v>1</v>
      </c>
      <c r="K7" s="265">
        <v>12000</v>
      </c>
      <c r="M7" s="263"/>
      <c r="N7" s="49"/>
      <c r="O7" s="49"/>
    </row>
    <row r="8" spans="1:15" x14ac:dyDescent="0.3">
      <c r="A8" s="271">
        <v>7</v>
      </c>
      <c r="B8" s="264">
        <v>45722</v>
      </c>
      <c r="C8" s="292" t="s">
        <v>1399</v>
      </c>
      <c r="E8" s="292" t="s">
        <v>1144</v>
      </c>
      <c r="F8" s="263"/>
      <c r="G8" s="265">
        <v>25000</v>
      </c>
      <c r="H8" s="263">
        <v>1</v>
      </c>
      <c r="K8" s="265">
        <v>25000</v>
      </c>
      <c r="M8" s="263"/>
      <c r="N8" s="49"/>
      <c r="O8" s="49"/>
    </row>
    <row r="9" spans="1:15" x14ac:dyDescent="0.3">
      <c r="A9" s="271">
        <v>8</v>
      </c>
      <c r="B9" s="264">
        <v>45722</v>
      </c>
      <c r="C9" s="292" t="s">
        <v>1147</v>
      </c>
      <c r="E9" s="292" t="s">
        <v>1139</v>
      </c>
      <c r="F9" s="263"/>
      <c r="G9" s="265">
        <v>1100000</v>
      </c>
      <c r="H9" s="263">
        <v>1</v>
      </c>
      <c r="K9" s="265">
        <v>1100000</v>
      </c>
      <c r="M9" s="263"/>
      <c r="N9" s="49"/>
      <c r="O9" s="49"/>
    </row>
    <row r="10" spans="1:15" x14ac:dyDescent="0.3">
      <c r="A10" s="271">
        <v>9</v>
      </c>
      <c r="B10" s="264">
        <v>45722</v>
      </c>
      <c r="C10" s="292" t="s">
        <v>1442</v>
      </c>
      <c r="D10" s="295" t="s">
        <v>1361</v>
      </c>
      <c r="E10" s="292" t="s">
        <v>1203</v>
      </c>
      <c r="F10" s="263" t="s">
        <v>1361</v>
      </c>
      <c r="G10" s="265">
        <v>1200000</v>
      </c>
      <c r="H10" s="263">
        <v>1</v>
      </c>
      <c r="K10" s="265">
        <v>1200000</v>
      </c>
      <c r="M10" s="263"/>
      <c r="N10" s="49"/>
      <c r="O10" s="49"/>
    </row>
    <row r="11" spans="1:15" x14ac:dyDescent="0.3">
      <c r="A11" s="271">
        <v>10</v>
      </c>
      <c r="B11" s="264">
        <v>45721</v>
      </c>
      <c r="C11" s="292" t="s">
        <v>1444</v>
      </c>
      <c r="E11" s="292">
        <v>415054509</v>
      </c>
      <c r="F11" s="263"/>
      <c r="G11" s="265">
        <v>330000</v>
      </c>
      <c r="H11" s="263">
        <v>1</v>
      </c>
      <c r="K11" s="265">
        <v>330000</v>
      </c>
      <c r="M11" s="263"/>
      <c r="N11" s="49"/>
      <c r="O11" s="49"/>
    </row>
    <row r="12" spans="1:15" x14ac:dyDescent="0.3">
      <c r="A12" s="271">
        <v>11</v>
      </c>
      <c r="B12" s="264">
        <v>45720</v>
      </c>
      <c r="C12" s="292" t="s">
        <v>1399</v>
      </c>
      <c r="E12" s="292" t="s">
        <v>1140</v>
      </c>
      <c r="F12" s="263"/>
      <c r="G12" s="265">
        <v>1000000</v>
      </c>
      <c r="H12" s="263">
        <v>1</v>
      </c>
      <c r="K12" s="265">
        <v>1000000</v>
      </c>
      <c r="M12" s="263"/>
      <c r="N12" s="49"/>
      <c r="O12" s="49"/>
    </row>
    <row r="13" spans="1:15" x14ac:dyDescent="0.3">
      <c r="A13" s="271">
        <v>12</v>
      </c>
      <c r="B13" s="264">
        <v>45720</v>
      </c>
      <c r="C13" s="292" t="s">
        <v>1444</v>
      </c>
      <c r="E13" s="292">
        <v>602000700</v>
      </c>
      <c r="F13" s="263">
        <v>602000700</v>
      </c>
      <c r="G13" s="265">
        <v>350000</v>
      </c>
      <c r="H13" s="263">
        <v>1</v>
      </c>
      <c r="K13" s="265">
        <v>350000</v>
      </c>
      <c r="M13" s="263"/>
      <c r="N13" s="49"/>
      <c r="O13" s="49"/>
    </row>
    <row r="14" spans="1:15" x14ac:dyDescent="0.3">
      <c r="A14" s="271">
        <v>13</v>
      </c>
      <c r="B14" s="264">
        <v>45720</v>
      </c>
      <c r="C14" s="292" t="s">
        <v>1444</v>
      </c>
      <c r="D14" s="295" t="s">
        <v>1125</v>
      </c>
      <c r="E14" s="292" t="s">
        <v>1125</v>
      </c>
      <c r="F14" s="263"/>
      <c r="G14" s="265">
        <v>-300000</v>
      </c>
      <c r="H14" s="263">
        <v>1</v>
      </c>
      <c r="K14" s="265">
        <v>-300000</v>
      </c>
      <c r="M14" s="263"/>
      <c r="N14" s="49"/>
      <c r="O14" s="49"/>
    </row>
    <row r="15" spans="1:15" x14ac:dyDescent="0.3">
      <c r="A15" s="271">
        <v>14</v>
      </c>
      <c r="B15" s="264">
        <v>45720</v>
      </c>
      <c r="C15" s="292" t="s">
        <v>1147</v>
      </c>
      <c r="E15" s="292" t="s">
        <v>1149</v>
      </c>
      <c r="F15" s="263"/>
      <c r="G15" s="265">
        <v>610000</v>
      </c>
      <c r="H15" s="263">
        <v>1</v>
      </c>
      <c r="K15" s="265">
        <v>610000</v>
      </c>
      <c r="M15" s="263"/>
      <c r="N15" s="49"/>
      <c r="O15" s="49"/>
    </row>
    <row r="16" spans="1:15" x14ac:dyDescent="0.3">
      <c r="A16" s="271">
        <v>15</v>
      </c>
      <c r="B16" s="264">
        <v>45720</v>
      </c>
      <c r="C16" s="292" t="s">
        <v>1147</v>
      </c>
      <c r="D16" s="295">
        <v>2821402</v>
      </c>
      <c r="E16" s="292" t="s">
        <v>1135</v>
      </c>
      <c r="F16" s="263">
        <v>2821402</v>
      </c>
      <c r="G16" s="265">
        <v>55000</v>
      </c>
      <c r="H16" s="263">
        <v>1</v>
      </c>
      <c r="K16" s="265">
        <v>55000</v>
      </c>
      <c r="M16" s="263"/>
      <c r="N16" s="49"/>
      <c r="O16" s="49"/>
    </row>
    <row r="17" spans="1:15" x14ac:dyDescent="0.3">
      <c r="A17" s="271">
        <v>16</v>
      </c>
      <c r="B17" s="264">
        <v>45720</v>
      </c>
      <c r="C17" s="292" t="s">
        <v>1147</v>
      </c>
      <c r="E17" s="292" t="s">
        <v>1143</v>
      </c>
      <c r="F17" s="263"/>
      <c r="G17" s="265">
        <v>600000</v>
      </c>
      <c r="H17" s="263">
        <v>1</v>
      </c>
      <c r="K17" s="265">
        <v>600000</v>
      </c>
      <c r="M17" s="263"/>
      <c r="N17" s="49"/>
      <c r="O17" s="49"/>
    </row>
    <row r="18" spans="1:15" x14ac:dyDescent="0.3">
      <c r="A18" s="271">
        <v>17</v>
      </c>
      <c r="B18" s="264">
        <v>45720</v>
      </c>
      <c r="C18" s="292" t="s">
        <v>1449</v>
      </c>
      <c r="E18" s="292" t="s">
        <v>1150</v>
      </c>
      <c r="F18" s="263"/>
      <c r="G18" s="265">
        <v>1100000</v>
      </c>
      <c r="H18" s="263">
        <v>1</v>
      </c>
      <c r="K18" s="265">
        <v>1100000</v>
      </c>
      <c r="M18" s="263"/>
      <c r="N18" s="49"/>
      <c r="O18" s="49"/>
    </row>
    <row r="19" spans="1:15" x14ac:dyDescent="0.3">
      <c r="A19" s="271">
        <v>18</v>
      </c>
      <c r="B19" s="264">
        <v>45717</v>
      </c>
      <c r="C19" s="292" t="s">
        <v>1399</v>
      </c>
      <c r="E19" s="292" t="s">
        <v>1139</v>
      </c>
      <c r="F19" s="263"/>
      <c r="G19" s="265">
        <v>650000</v>
      </c>
      <c r="H19" s="263">
        <v>1</v>
      </c>
      <c r="K19" s="265">
        <v>650000</v>
      </c>
      <c r="M19" s="263"/>
    </row>
    <row r="20" spans="1:15" x14ac:dyDescent="0.3">
      <c r="A20" s="271">
        <v>19</v>
      </c>
      <c r="B20" s="264">
        <v>45717</v>
      </c>
      <c r="C20" s="292" t="s">
        <v>1452</v>
      </c>
      <c r="E20" s="292" t="s">
        <v>1151</v>
      </c>
      <c r="F20" s="263"/>
      <c r="G20" s="265">
        <v>1650000</v>
      </c>
      <c r="H20" s="263">
        <v>1</v>
      </c>
      <c r="K20" s="265">
        <v>1650000</v>
      </c>
      <c r="M20" s="263"/>
      <c r="N20" s="49"/>
    </row>
    <row r="21" spans="1:15" x14ac:dyDescent="0.3">
      <c r="A21" s="271">
        <v>20</v>
      </c>
      <c r="B21" s="267">
        <v>45723</v>
      </c>
      <c r="C21" s="296" t="s">
        <v>1454</v>
      </c>
      <c r="D21" s="297"/>
      <c r="E21" s="296" t="s">
        <v>1139</v>
      </c>
      <c r="F21" s="268"/>
      <c r="G21" s="265">
        <v>650000</v>
      </c>
      <c r="H21" s="268">
        <v>1</v>
      </c>
      <c r="I21" s="268"/>
      <c r="J21" s="268"/>
      <c r="K21" s="265">
        <v>650000</v>
      </c>
      <c r="M21" s="263"/>
      <c r="N21" s="49"/>
    </row>
    <row r="22" spans="1:15" x14ac:dyDescent="0.3">
      <c r="A22" s="271">
        <v>21</v>
      </c>
      <c r="B22" s="264">
        <v>45723</v>
      </c>
      <c r="C22" s="292" t="s">
        <v>1456</v>
      </c>
      <c r="E22" s="292" t="s">
        <v>1154</v>
      </c>
      <c r="F22" s="263"/>
      <c r="G22" s="265">
        <v>700000</v>
      </c>
      <c r="H22" s="263">
        <v>1</v>
      </c>
      <c r="K22" s="265">
        <v>700000</v>
      </c>
      <c r="M22" s="263"/>
      <c r="N22" s="49"/>
    </row>
    <row r="23" spans="1:15" x14ac:dyDescent="0.3">
      <c r="A23" s="271">
        <v>22</v>
      </c>
      <c r="B23" s="264">
        <v>45723</v>
      </c>
      <c r="C23" s="292" t="s">
        <v>1458</v>
      </c>
      <c r="E23" s="292" t="s">
        <v>1130</v>
      </c>
      <c r="F23" s="263"/>
      <c r="G23" s="265">
        <v>1500000</v>
      </c>
      <c r="H23" s="263">
        <v>1</v>
      </c>
      <c r="K23" s="265">
        <v>1500000</v>
      </c>
      <c r="M23" s="263"/>
      <c r="N23" s="49"/>
    </row>
    <row r="24" spans="1:15" x14ac:dyDescent="0.3">
      <c r="A24" s="271">
        <v>23</v>
      </c>
      <c r="B24" s="264">
        <v>45724</v>
      </c>
      <c r="C24" s="292" t="s">
        <v>1399</v>
      </c>
      <c r="D24" s="295" t="s">
        <v>1361</v>
      </c>
      <c r="E24" s="292" t="s">
        <v>1203</v>
      </c>
      <c r="F24" s="263" t="s">
        <v>1361</v>
      </c>
      <c r="G24" s="265">
        <v>1200000</v>
      </c>
      <c r="H24" s="263">
        <v>1</v>
      </c>
      <c r="K24" s="265">
        <v>1200000</v>
      </c>
      <c r="M24" s="263"/>
      <c r="N24" s="49"/>
    </row>
    <row r="25" spans="1:15" x14ac:dyDescent="0.3">
      <c r="A25" s="271">
        <v>24</v>
      </c>
      <c r="B25" s="264">
        <v>45724</v>
      </c>
      <c r="C25" s="292" t="s">
        <v>1399</v>
      </c>
      <c r="E25" s="292" t="s">
        <v>1137</v>
      </c>
      <c r="F25" s="263"/>
      <c r="G25" s="265">
        <v>198000</v>
      </c>
      <c r="H25" s="263">
        <v>1</v>
      </c>
      <c r="K25" s="265">
        <v>198000</v>
      </c>
      <c r="M25" s="263"/>
      <c r="N25" s="49"/>
    </row>
    <row r="26" spans="1:15" x14ac:dyDescent="0.3">
      <c r="A26" s="271">
        <v>25</v>
      </c>
      <c r="B26" s="264">
        <v>45726</v>
      </c>
      <c r="C26" s="292" t="s">
        <v>1444</v>
      </c>
      <c r="E26" s="292" t="s">
        <v>1132</v>
      </c>
      <c r="F26" s="263"/>
      <c r="G26" s="265">
        <v>300000</v>
      </c>
      <c r="H26" s="263">
        <v>1</v>
      </c>
      <c r="K26" s="265">
        <v>300000</v>
      </c>
      <c r="M26" s="263"/>
      <c r="N26" s="49"/>
    </row>
    <row r="27" spans="1:15" x14ac:dyDescent="0.3">
      <c r="A27" s="271">
        <v>26</v>
      </c>
      <c r="B27" s="264">
        <v>45726</v>
      </c>
      <c r="C27" s="292" t="s">
        <v>1053</v>
      </c>
      <c r="E27" s="292" t="s">
        <v>1131</v>
      </c>
      <c r="F27" s="263"/>
      <c r="G27" s="265">
        <v>1000000</v>
      </c>
      <c r="H27" s="263">
        <v>1</v>
      </c>
      <c r="K27" s="265">
        <v>1000000</v>
      </c>
      <c r="M27" s="263"/>
      <c r="N27" s="49"/>
    </row>
    <row r="28" spans="1:15" x14ac:dyDescent="0.3">
      <c r="A28" s="271">
        <v>27</v>
      </c>
      <c r="B28" s="264">
        <v>45727</v>
      </c>
      <c r="C28" s="292" t="s">
        <v>1082</v>
      </c>
      <c r="E28" s="292" t="s">
        <v>1130</v>
      </c>
      <c r="F28" s="263"/>
      <c r="G28" s="265">
        <v>1500000</v>
      </c>
      <c r="H28" s="263">
        <v>1</v>
      </c>
      <c r="K28" s="265">
        <v>1500000</v>
      </c>
      <c r="M28" s="263"/>
      <c r="N28" s="49"/>
    </row>
    <row r="29" spans="1:15" x14ac:dyDescent="0.3">
      <c r="A29" s="271">
        <v>28</v>
      </c>
      <c r="B29" s="264">
        <v>45727</v>
      </c>
      <c r="C29" s="292" t="s">
        <v>1399</v>
      </c>
      <c r="E29" s="292" t="s">
        <v>1139</v>
      </c>
      <c r="F29" s="263"/>
      <c r="G29" s="265">
        <v>650000</v>
      </c>
      <c r="H29" s="263">
        <v>1</v>
      </c>
      <c r="K29" s="265">
        <v>650000</v>
      </c>
      <c r="M29" s="263"/>
      <c r="N29" s="49"/>
    </row>
    <row r="30" spans="1:15" x14ac:dyDescent="0.3">
      <c r="A30" s="271">
        <v>29</v>
      </c>
      <c r="B30" s="264">
        <v>45727</v>
      </c>
      <c r="C30" s="292" t="s">
        <v>1399</v>
      </c>
      <c r="D30" s="295" t="s">
        <v>1213</v>
      </c>
      <c r="E30" s="292" t="s">
        <v>1129</v>
      </c>
      <c r="F30" s="269" t="s">
        <v>1464</v>
      </c>
      <c r="G30" s="265">
        <v>1500000</v>
      </c>
      <c r="H30" s="269">
        <v>1</v>
      </c>
      <c r="K30" s="265">
        <v>1500000</v>
      </c>
      <c r="M30" s="269"/>
    </row>
    <row r="31" spans="1:15" x14ac:dyDescent="0.3">
      <c r="A31" s="271">
        <v>30</v>
      </c>
      <c r="B31" s="264">
        <v>45727</v>
      </c>
      <c r="C31" s="292" t="s">
        <v>1156</v>
      </c>
      <c r="D31" s="295" t="s">
        <v>1361</v>
      </c>
      <c r="E31" s="292" t="s">
        <v>1203</v>
      </c>
      <c r="F31" s="269" t="s">
        <v>1361</v>
      </c>
      <c r="G31" s="265">
        <v>1200000</v>
      </c>
      <c r="H31" s="269">
        <v>1</v>
      </c>
      <c r="K31" s="265">
        <v>1200000</v>
      </c>
      <c r="M31" s="269"/>
    </row>
    <row r="32" spans="1:15" x14ac:dyDescent="0.3">
      <c r="A32" s="271">
        <v>31</v>
      </c>
      <c r="B32" s="264">
        <v>45727</v>
      </c>
      <c r="C32" s="292" t="s">
        <v>1467</v>
      </c>
      <c r="E32" s="292" t="s">
        <v>1163</v>
      </c>
      <c r="G32" s="265">
        <v>150000</v>
      </c>
      <c r="H32" s="269">
        <v>1</v>
      </c>
      <c r="K32" s="265">
        <v>150000</v>
      </c>
      <c r="M32" s="269"/>
    </row>
    <row r="33" spans="1:13" x14ac:dyDescent="0.3">
      <c r="A33" s="271">
        <v>32</v>
      </c>
      <c r="B33" s="264">
        <v>45727</v>
      </c>
      <c r="C33" s="292" t="s">
        <v>1467</v>
      </c>
      <c r="E33" s="292" t="s">
        <v>1163</v>
      </c>
      <c r="G33" s="265">
        <v>150000</v>
      </c>
      <c r="H33" s="269">
        <v>2</v>
      </c>
      <c r="K33" s="265">
        <v>300000</v>
      </c>
      <c r="M33" s="269"/>
    </row>
    <row r="34" spans="1:13" x14ac:dyDescent="0.3">
      <c r="A34" s="271">
        <v>33</v>
      </c>
      <c r="B34" s="264">
        <v>45727</v>
      </c>
      <c r="C34" s="292" t="s">
        <v>1467</v>
      </c>
      <c r="E34" s="292" t="s">
        <v>1164</v>
      </c>
      <c r="G34" s="265">
        <v>100000</v>
      </c>
      <c r="H34" s="269">
        <v>1</v>
      </c>
      <c r="K34" s="265">
        <v>100000</v>
      </c>
      <c r="M34" s="269"/>
    </row>
    <row r="35" spans="1:13" x14ac:dyDescent="0.3">
      <c r="A35" s="271">
        <v>34</v>
      </c>
      <c r="B35" s="264">
        <v>45727</v>
      </c>
      <c r="C35" s="292" t="s">
        <v>1467</v>
      </c>
      <c r="E35" s="292" t="s">
        <v>1165</v>
      </c>
      <c r="G35" s="265">
        <v>230000</v>
      </c>
      <c r="H35" s="269">
        <v>1</v>
      </c>
      <c r="K35" s="265">
        <v>230000</v>
      </c>
      <c r="M35" s="269"/>
    </row>
    <row r="36" spans="1:13" x14ac:dyDescent="0.3">
      <c r="A36" s="271">
        <v>35</v>
      </c>
      <c r="B36" s="264">
        <v>45729</v>
      </c>
      <c r="C36" s="292" t="s">
        <v>1469</v>
      </c>
      <c r="D36" s="295" t="s">
        <v>1259</v>
      </c>
      <c r="E36" s="292" t="s">
        <v>1260</v>
      </c>
      <c r="F36" s="269" t="s">
        <v>1259</v>
      </c>
      <c r="G36" s="265">
        <v>130000</v>
      </c>
      <c r="H36" s="269">
        <v>1</v>
      </c>
      <c r="K36" s="265">
        <v>130000</v>
      </c>
      <c r="M36" s="269"/>
    </row>
    <row r="37" spans="1:13" x14ac:dyDescent="0.3">
      <c r="A37" s="271">
        <v>36</v>
      </c>
      <c r="B37" s="264">
        <v>45729</v>
      </c>
      <c r="C37" s="292" t="s">
        <v>1469</v>
      </c>
      <c r="E37" s="292" t="s">
        <v>1470</v>
      </c>
      <c r="G37" s="265">
        <v>10000</v>
      </c>
      <c r="H37" s="269">
        <v>1</v>
      </c>
      <c r="K37" s="265">
        <v>10000</v>
      </c>
      <c r="M37" s="269"/>
    </row>
    <row r="38" spans="1:13" x14ac:dyDescent="0.3">
      <c r="A38" s="271">
        <v>37</v>
      </c>
      <c r="B38" s="264">
        <v>45729</v>
      </c>
      <c r="C38" s="292" t="s">
        <v>1007</v>
      </c>
      <c r="D38" s="295" t="s">
        <v>1265</v>
      </c>
      <c r="E38" s="292" t="s">
        <v>1266</v>
      </c>
      <c r="F38" s="269" t="s">
        <v>1265</v>
      </c>
      <c r="G38" s="265">
        <v>50000</v>
      </c>
      <c r="H38" s="269">
        <v>1</v>
      </c>
      <c r="K38" s="265">
        <v>50000</v>
      </c>
      <c r="M38" s="269"/>
    </row>
    <row r="39" spans="1:13" x14ac:dyDescent="0.3">
      <c r="A39" s="271">
        <v>38</v>
      </c>
      <c r="B39" s="264">
        <v>45730</v>
      </c>
      <c r="C39" s="292" t="s">
        <v>1473</v>
      </c>
      <c r="D39" s="295" t="s">
        <v>1361</v>
      </c>
      <c r="E39" s="292" t="s">
        <v>1203</v>
      </c>
      <c r="F39" s="269" t="s">
        <v>1361</v>
      </c>
      <c r="G39" s="265">
        <v>1100000</v>
      </c>
      <c r="H39" s="269">
        <v>1</v>
      </c>
      <c r="K39" s="265">
        <v>1100000</v>
      </c>
      <c r="M39" s="269"/>
    </row>
    <row r="40" spans="1:13" x14ac:dyDescent="0.3">
      <c r="A40" s="271">
        <v>39</v>
      </c>
      <c r="B40" s="264">
        <v>45730</v>
      </c>
      <c r="C40" s="292" t="s">
        <v>1399</v>
      </c>
      <c r="E40" s="292" t="s">
        <v>1475</v>
      </c>
      <c r="G40" s="265">
        <v>13000</v>
      </c>
      <c r="H40" s="269">
        <v>1</v>
      </c>
      <c r="K40" s="265">
        <v>13000</v>
      </c>
      <c r="M40" s="269"/>
    </row>
    <row r="41" spans="1:13" x14ac:dyDescent="0.3">
      <c r="A41" s="271">
        <v>40</v>
      </c>
      <c r="B41" s="264">
        <v>45730</v>
      </c>
      <c r="C41" s="292" t="s">
        <v>1399</v>
      </c>
      <c r="E41" s="292" t="s">
        <v>1476</v>
      </c>
      <c r="G41" s="265">
        <v>50000</v>
      </c>
      <c r="H41" s="269">
        <v>1</v>
      </c>
      <c r="K41" s="265">
        <v>50000</v>
      </c>
      <c r="M41" s="269"/>
    </row>
    <row r="42" spans="1:13" x14ac:dyDescent="0.3">
      <c r="A42" s="271">
        <v>41</v>
      </c>
      <c r="B42" s="264">
        <v>45731</v>
      </c>
      <c r="C42" s="292" t="s">
        <v>1173</v>
      </c>
      <c r="E42" s="292" t="s">
        <v>1139</v>
      </c>
      <c r="G42" s="265">
        <v>1100000</v>
      </c>
      <c r="H42" s="269">
        <v>1</v>
      </c>
      <c r="K42" s="265">
        <v>1100000</v>
      </c>
      <c r="M42" s="269"/>
    </row>
    <row r="43" spans="1:13" x14ac:dyDescent="0.3">
      <c r="A43" s="271">
        <v>42</v>
      </c>
      <c r="B43" s="264">
        <v>45731</v>
      </c>
      <c r="C43" s="292" t="s">
        <v>1479</v>
      </c>
      <c r="E43" s="292" t="s">
        <v>1480</v>
      </c>
      <c r="G43" s="265">
        <v>140000</v>
      </c>
      <c r="H43" s="269">
        <v>3</v>
      </c>
      <c r="K43" s="265">
        <v>420000</v>
      </c>
      <c r="M43" s="269"/>
    </row>
    <row r="44" spans="1:13" x14ac:dyDescent="0.3">
      <c r="A44" s="271">
        <v>43</v>
      </c>
      <c r="B44" s="264">
        <v>45731</v>
      </c>
      <c r="C44" s="292" t="s">
        <v>1026</v>
      </c>
      <c r="E44" s="292" t="s">
        <v>1482</v>
      </c>
      <c r="G44" s="265">
        <v>450000</v>
      </c>
      <c r="H44" s="269">
        <v>1</v>
      </c>
      <c r="K44" s="265">
        <v>450000</v>
      </c>
      <c r="M44" s="269"/>
    </row>
    <row r="45" spans="1:13" x14ac:dyDescent="0.3">
      <c r="A45" s="271">
        <v>44</v>
      </c>
      <c r="B45" s="264">
        <v>45733</v>
      </c>
      <c r="C45" s="292" t="s">
        <v>1147</v>
      </c>
      <c r="E45" s="292" t="s">
        <v>1482</v>
      </c>
      <c r="G45" s="265">
        <v>450000</v>
      </c>
      <c r="H45" s="269">
        <v>1</v>
      </c>
      <c r="K45" s="265">
        <v>450000</v>
      </c>
      <c r="M45" s="269"/>
    </row>
    <row r="46" spans="1:13" x14ac:dyDescent="0.3">
      <c r="A46" s="271">
        <v>45</v>
      </c>
      <c r="B46" s="264">
        <v>45733</v>
      </c>
      <c r="C46" s="292" t="s">
        <v>1485</v>
      </c>
      <c r="E46" s="292" t="s">
        <v>1486</v>
      </c>
      <c r="G46" s="265">
        <v>1600000</v>
      </c>
      <c r="H46" s="269">
        <v>1</v>
      </c>
      <c r="K46" s="265">
        <v>1600000</v>
      </c>
      <c r="M46" s="269"/>
    </row>
    <row r="47" spans="1:13" x14ac:dyDescent="0.3">
      <c r="A47" s="271">
        <v>46</v>
      </c>
      <c r="B47" s="264">
        <v>45733</v>
      </c>
      <c r="C47" s="292" t="s">
        <v>1046</v>
      </c>
      <c r="E47" s="292" t="s">
        <v>1490</v>
      </c>
      <c r="G47" s="265">
        <v>1600000</v>
      </c>
      <c r="H47" s="269">
        <v>1</v>
      </c>
      <c r="K47" s="265">
        <v>1600000</v>
      </c>
      <c r="M47" s="269"/>
    </row>
    <row r="48" spans="1:13" x14ac:dyDescent="0.3">
      <c r="A48" s="271">
        <v>47</v>
      </c>
      <c r="B48" s="264">
        <v>45733</v>
      </c>
      <c r="C48" s="292" t="s">
        <v>1469</v>
      </c>
      <c r="E48" s="292" t="s">
        <v>1492</v>
      </c>
      <c r="G48" s="265">
        <v>100000</v>
      </c>
      <c r="H48" s="269">
        <v>1</v>
      </c>
      <c r="K48" s="265">
        <v>100000</v>
      </c>
      <c r="M48" s="269"/>
    </row>
    <row r="49" spans="1:13" x14ac:dyDescent="0.3">
      <c r="A49" s="271">
        <v>48</v>
      </c>
      <c r="B49" s="264">
        <v>45733</v>
      </c>
      <c r="C49" s="292" t="s">
        <v>1494</v>
      </c>
      <c r="D49" s="295" t="s">
        <v>1361</v>
      </c>
      <c r="E49" s="292" t="s">
        <v>1495</v>
      </c>
      <c r="F49" s="269" t="s">
        <v>1361</v>
      </c>
      <c r="G49" s="265">
        <v>650000</v>
      </c>
      <c r="H49" s="269">
        <v>1</v>
      </c>
      <c r="K49" s="265">
        <v>650000</v>
      </c>
      <c r="M49" s="269"/>
    </row>
    <row r="50" spans="1:13" x14ac:dyDescent="0.3">
      <c r="A50" s="271">
        <v>49</v>
      </c>
      <c r="B50" s="264">
        <v>45733</v>
      </c>
      <c r="C50" s="292" t="s">
        <v>1494</v>
      </c>
      <c r="E50" s="292" t="s">
        <v>1496</v>
      </c>
      <c r="G50" s="265">
        <v>350000</v>
      </c>
      <c r="H50" s="269">
        <v>1</v>
      </c>
      <c r="K50" s="265">
        <v>350000</v>
      </c>
      <c r="M50" s="269"/>
    </row>
    <row r="51" spans="1:13" x14ac:dyDescent="0.3">
      <c r="A51" s="271">
        <v>50</v>
      </c>
      <c r="B51" s="264">
        <v>45734</v>
      </c>
      <c r="C51" s="292" t="s">
        <v>1498</v>
      </c>
      <c r="D51" s="295" t="s">
        <v>1361</v>
      </c>
      <c r="E51" s="292" t="s">
        <v>1203</v>
      </c>
      <c r="F51" s="269" t="s">
        <v>1361</v>
      </c>
      <c r="G51" s="265">
        <v>1200000</v>
      </c>
      <c r="H51" s="269">
        <v>1</v>
      </c>
      <c r="K51" s="265">
        <v>1200000</v>
      </c>
      <c r="M51" s="269"/>
    </row>
    <row r="52" spans="1:13" x14ac:dyDescent="0.3">
      <c r="A52" s="271">
        <v>51</v>
      </c>
      <c r="B52" s="264">
        <v>45735</v>
      </c>
      <c r="C52" s="292" t="s">
        <v>1399</v>
      </c>
      <c r="D52" s="295" t="s">
        <v>1216</v>
      </c>
      <c r="E52" s="292" t="s">
        <v>1217</v>
      </c>
      <c r="F52" s="269" t="s">
        <v>1216</v>
      </c>
      <c r="G52" s="265">
        <v>1500000</v>
      </c>
      <c r="H52" s="269">
        <v>1</v>
      </c>
      <c r="K52" s="265">
        <v>1500000</v>
      </c>
      <c r="M52" s="269"/>
    </row>
    <row r="53" spans="1:13" x14ac:dyDescent="0.3">
      <c r="A53" s="271">
        <v>52</v>
      </c>
      <c r="B53" s="264">
        <v>45735</v>
      </c>
      <c r="C53" s="292" t="s">
        <v>1399</v>
      </c>
      <c r="E53" s="292" t="s">
        <v>1501</v>
      </c>
      <c r="G53" s="265">
        <v>-500000</v>
      </c>
      <c r="H53" s="269">
        <v>1</v>
      </c>
      <c r="K53" s="265">
        <v>-500000</v>
      </c>
      <c r="M53" s="269"/>
    </row>
    <row r="54" spans="1:13" x14ac:dyDescent="0.3">
      <c r="A54" s="271">
        <v>53</v>
      </c>
      <c r="B54" s="264">
        <v>45735</v>
      </c>
      <c r="C54" s="292" t="s">
        <v>1053</v>
      </c>
      <c r="E54" s="292" t="s">
        <v>1503</v>
      </c>
      <c r="G54" s="265">
        <v>1600000</v>
      </c>
      <c r="H54" s="269">
        <v>1</v>
      </c>
      <c r="K54" s="265">
        <v>1600000</v>
      </c>
      <c r="M54" s="269"/>
    </row>
    <row r="55" spans="1:13" x14ac:dyDescent="0.3">
      <c r="A55" s="271">
        <v>54</v>
      </c>
      <c r="B55" s="264">
        <v>45735</v>
      </c>
      <c r="C55" s="292" t="s">
        <v>1378</v>
      </c>
      <c r="E55" s="292" t="s">
        <v>1505</v>
      </c>
      <c r="G55" s="265">
        <v>1000000</v>
      </c>
      <c r="H55" s="269">
        <v>1</v>
      </c>
      <c r="K55" s="265">
        <v>1000000</v>
      </c>
      <c r="M55" s="269"/>
    </row>
    <row r="56" spans="1:13" x14ac:dyDescent="0.3">
      <c r="A56" s="271">
        <v>55</v>
      </c>
      <c r="B56" s="264">
        <v>45735</v>
      </c>
      <c r="C56" s="292" t="s">
        <v>1378</v>
      </c>
      <c r="E56" s="292" t="s">
        <v>1506</v>
      </c>
      <c r="G56" s="265">
        <v>200000</v>
      </c>
      <c r="H56" s="269">
        <v>1</v>
      </c>
      <c r="K56" s="265">
        <v>200000</v>
      </c>
      <c r="M56" s="269"/>
    </row>
    <row r="57" spans="1:13" x14ac:dyDescent="0.3">
      <c r="A57" s="271">
        <v>56</v>
      </c>
      <c r="B57" s="264">
        <v>45736</v>
      </c>
      <c r="C57" s="292" t="s">
        <v>1444</v>
      </c>
      <c r="E57" s="292" t="s">
        <v>1508</v>
      </c>
      <c r="G57" s="265">
        <v>-1270000</v>
      </c>
      <c r="H57" s="269">
        <v>1</v>
      </c>
      <c r="K57" s="265">
        <v>-1270000</v>
      </c>
      <c r="M57" s="269"/>
    </row>
    <row r="58" spans="1:13" x14ac:dyDescent="0.3">
      <c r="A58" s="271">
        <v>57</v>
      </c>
      <c r="B58" s="264">
        <v>45736</v>
      </c>
      <c r="C58" s="292" t="s">
        <v>1444</v>
      </c>
      <c r="E58" s="292" t="s">
        <v>1509</v>
      </c>
      <c r="G58" s="265">
        <v>-300000</v>
      </c>
      <c r="H58" s="269">
        <v>1</v>
      </c>
      <c r="K58" s="265">
        <v>-300000</v>
      </c>
      <c r="M58" s="269"/>
    </row>
    <row r="59" spans="1:13" x14ac:dyDescent="0.3">
      <c r="A59" s="271">
        <v>58</v>
      </c>
      <c r="B59" s="264">
        <v>45736</v>
      </c>
      <c r="C59" s="292" t="s">
        <v>1444</v>
      </c>
      <c r="E59" s="292" t="s">
        <v>1510</v>
      </c>
      <c r="G59" s="265">
        <v>-200000</v>
      </c>
      <c r="H59" s="269">
        <v>1</v>
      </c>
      <c r="K59" s="265">
        <v>-200000</v>
      </c>
      <c r="M59" s="269"/>
    </row>
    <row r="60" spans="1:13" x14ac:dyDescent="0.3">
      <c r="A60" s="271">
        <v>59</v>
      </c>
      <c r="B60" s="264">
        <v>45736</v>
      </c>
      <c r="C60" s="292" t="s">
        <v>1238</v>
      </c>
      <c r="D60" s="295" t="s">
        <v>1204</v>
      </c>
      <c r="E60" s="292" t="s">
        <v>1205</v>
      </c>
      <c r="F60" s="269" t="s">
        <v>1204</v>
      </c>
      <c r="G60" s="265">
        <v>150000</v>
      </c>
      <c r="H60" s="269">
        <v>1</v>
      </c>
      <c r="K60" s="265">
        <v>150000</v>
      </c>
      <c r="M60" s="269"/>
    </row>
    <row r="61" spans="1:13" x14ac:dyDescent="0.3">
      <c r="A61" s="271">
        <v>60</v>
      </c>
      <c r="B61" s="264">
        <v>45736</v>
      </c>
      <c r="C61" s="292" t="s">
        <v>1469</v>
      </c>
      <c r="D61" s="295" t="s">
        <v>1361</v>
      </c>
      <c r="E61" s="292" t="s">
        <v>1203</v>
      </c>
      <c r="F61" s="269" t="s">
        <v>1361</v>
      </c>
      <c r="G61" s="265">
        <v>1300000</v>
      </c>
      <c r="H61" s="269">
        <v>1</v>
      </c>
      <c r="K61" s="265">
        <v>1300000</v>
      </c>
      <c r="M61" s="269"/>
    </row>
    <row r="62" spans="1:13" x14ac:dyDescent="0.3">
      <c r="A62" s="271">
        <v>61</v>
      </c>
      <c r="B62" s="264">
        <v>45736</v>
      </c>
      <c r="C62" s="292" t="s">
        <v>1228</v>
      </c>
      <c r="E62" s="292" t="s">
        <v>1503</v>
      </c>
      <c r="G62" s="265">
        <v>1600000</v>
      </c>
      <c r="H62" s="269">
        <v>1</v>
      </c>
      <c r="K62" s="265">
        <v>1600000</v>
      </c>
      <c r="M62" s="269"/>
    </row>
    <row r="63" spans="1:13" x14ac:dyDescent="0.3">
      <c r="A63" s="271">
        <v>62</v>
      </c>
      <c r="B63" s="264">
        <v>45736</v>
      </c>
      <c r="C63" s="292" t="s">
        <v>1515</v>
      </c>
      <c r="E63" s="292" t="s">
        <v>1139</v>
      </c>
      <c r="G63" s="265">
        <v>650000</v>
      </c>
      <c r="H63" s="269">
        <v>1</v>
      </c>
      <c r="K63" s="265">
        <v>650000</v>
      </c>
      <c r="M63" s="269"/>
    </row>
    <row r="64" spans="1:13" x14ac:dyDescent="0.3">
      <c r="A64" s="271">
        <v>63</v>
      </c>
      <c r="B64" s="264">
        <v>45741</v>
      </c>
      <c r="C64" s="292" t="s">
        <v>1517</v>
      </c>
      <c r="E64" s="292" t="s">
        <v>1518</v>
      </c>
      <c r="G64" s="265">
        <v>150000</v>
      </c>
      <c r="H64" s="269">
        <v>2</v>
      </c>
      <c r="K64" s="265">
        <v>300000</v>
      </c>
      <c r="M64" s="269"/>
    </row>
    <row r="65" spans="1:13" x14ac:dyDescent="0.3">
      <c r="A65" s="271">
        <v>64</v>
      </c>
      <c r="B65" s="264">
        <v>45741</v>
      </c>
      <c r="C65" s="292" t="s">
        <v>1517</v>
      </c>
      <c r="E65" s="292" t="s">
        <v>1519</v>
      </c>
      <c r="G65" s="265">
        <v>20000</v>
      </c>
      <c r="H65" s="269">
        <v>1</v>
      </c>
      <c r="K65" s="265">
        <v>20000</v>
      </c>
      <c r="M65" s="269"/>
    </row>
    <row r="66" spans="1:13" x14ac:dyDescent="0.3">
      <c r="A66" s="271">
        <v>65</v>
      </c>
      <c r="B66" s="264">
        <v>45737</v>
      </c>
      <c r="C66" s="292" t="s">
        <v>1521</v>
      </c>
      <c r="E66" s="292" t="s">
        <v>1524</v>
      </c>
      <c r="G66" s="265">
        <v>250000</v>
      </c>
      <c r="H66" s="269">
        <v>1</v>
      </c>
      <c r="K66" s="265">
        <v>250000</v>
      </c>
      <c r="M66" s="269"/>
    </row>
    <row r="67" spans="1:13" x14ac:dyDescent="0.3">
      <c r="A67" s="271">
        <v>66</v>
      </c>
      <c r="B67" s="264">
        <v>45737</v>
      </c>
      <c r="C67" s="292" t="s">
        <v>1444</v>
      </c>
      <c r="D67" s="295" t="s">
        <v>1207</v>
      </c>
      <c r="E67" s="292" t="s">
        <v>1208</v>
      </c>
      <c r="F67" s="269" t="s">
        <v>1207</v>
      </c>
      <c r="G67" s="265">
        <v>570000</v>
      </c>
      <c r="H67" s="269">
        <v>2</v>
      </c>
      <c r="K67" s="265">
        <v>1140000</v>
      </c>
      <c r="M67" s="269"/>
    </row>
    <row r="68" spans="1:13" x14ac:dyDescent="0.3">
      <c r="A68" s="271">
        <v>67</v>
      </c>
      <c r="B68" s="264">
        <v>45737</v>
      </c>
      <c r="C68" s="292" t="s">
        <v>1444</v>
      </c>
      <c r="E68" s="292" t="s">
        <v>1408</v>
      </c>
      <c r="H68" s="269">
        <v>2</v>
      </c>
      <c r="K68" s="265">
        <v>0</v>
      </c>
      <c r="M68" s="269"/>
    </row>
    <row r="69" spans="1:13" x14ac:dyDescent="0.3">
      <c r="A69" s="271">
        <v>68</v>
      </c>
      <c r="B69" s="264">
        <v>45740</v>
      </c>
      <c r="C69" s="292" t="s">
        <v>1306</v>
      </c>
      <c r="E69" s="292">
        <v>2703900</v>
      </c>
      <c r="G69" s="265">
        <v>1600000</v>
      </c>
      <c r="H69" s="269">
        <v>1</v>
      </c>
      <c r="K69" s="265">
        <v>1600000</v>
      </c>
      <c r="M69" s="269"/>
    </row>
    <row r="70" spans="1:13" x14ac:dyDescent="0.3">
      <c r="A70" s="271">
        <v>69</v>
      </c>
      <c r="B70" s="264">
        <v>45740</v>
      </c>
      <c r="C70" s="292" t="s">
        <v>1238</v>
      </c>
      <c r="D70" s="295" t="s">
        <v>1361</v>
      </c>
      <c r="E70" s="292" t="s">
        <v>1203</v>
      </c>
      <c r="F70" s="269" t="s">
        <v>1361</v>
      </c>
      <c r="G70" s="265">
        <v>1300000</v>
      </c>
      <c r="H70" s="269">
        <v>1</v>
      </c>
      <c r="K70" s="265">
        <v>1300000</v>
      </c>
      <c r="M70" s="269"/>
    </row>
    <row r="71" spans="1:13" x14ac:dyDescent="0.3">
      <c r="A71" s="271">
        <v>70</v>
      </c>
      <c r="B71" s="264">
        <v>45740</v>
      </c>
      <c r="C71" s="292" t="s">
        <v>1373</v>
      </c>
      <c r="E71" s="292" t="s">
        <v>1155</v>
      </c>
      <c r="G71" s="265">
        <v>1500000</v>
      </c>
      <c r="H71" s="269">
        <v>1</v>
      </c>
      <c r="K71" s="265">
        <v>1500000</v>
      </c>
      <c r="M71" s="269"/>
    </row>
    <row r="72" spans="1:13" x14ac:dyDescent="0.3">
      <c r="A72" s="271">
        <v>71</v>
      </c>
      <c r="B72" s="264">
        <v>45740</v>
      </c>
      <c r="C72" s="292" t="s">
        <v>1173</v>
      </c>
      <c r="D72" s="295" t="s">
        <v>1361</v>
      </c>
      <c r="E72" s="292" t="s">
        <v>1203</v>
      </c>
      <c r="F72" s="269" t="s">
        <v>1361</v>
      </c>
      <c r="G72" s="265">
        <v>1200000</v>
      </c>
      <c r="H72" s="269">
        <v>1</v>
      </c>
      <c r="K72" s="265">
        <v>1200000</v>
      </c>
      <c r="M72" s="269"/>
    </row>
    <row r="73" spans="1:13" x14ac:dyDescent="0.3">
      <c r="A73" s="271">
        <v>72</v>
      </c>
      <c r="B73" s="264">
        <v>45740</v>
      </c>
      <c r="C73" s="292" t="s">
        <v>1007</v>
      </c>
      <c r="E73" s="292" t="s">
        <v>1150</v>
      </c>
      <c r="G73" s="265">
        <v>1100000</v>
      </c>
      <c r="H73" s="269">
        <v>1</v>
      </c>
      <c r="K73" s="265">
        <v>1100000</v>
      </c>
      <c r="M73" s="269"/>
    </row>
    <row r="74" spans="1:13" x14ac:dyDescent="0.3">
      <c r="A74" s="271">
        <v>73</v>
      </c>
      <c r="B74" s="264">
        <v>45740</v>
      </c>
      <c r="C74" s="292" t="s">
        <v>1532</v>
      </c>
      <c r="D74" s="295" t="s">
        <v>1201</v>
      </c>
      <c r="E74" s="292" t="s">
        <v>1202</v>
      </c>
      <c r="F74" s="269" t="s">
        <v>1201</v>
      </c>
      <c r="G74" s="265">
        <v>1500000</v>
      </c>
      <c r="H74" s="269">
        <v>1</v>
      </c>
      <c r="K74" s="265">
        <v>1500000</v>
      </c>
      <c r="M74" s="269"/>
    </row>
    <row r="75" spans="1:13" x14ac:dyDescent="0.3">
      <c r="A75" s="271">
        <v>74</v>
      </c>
      <c r="B75" s="264">
        <v>45741</v>
      </c>
      <c r="C75" s="292" t="s">
        <v>1449</v>
      </c>
      <c r="E75" s="292" t="s">
        <v>1535</v>
      </c>
      <c r="G75" s="265">
        <v>450000</v>
      </c>
      <c r="H75" s="269">
        <v>1</v>
      </c>
      <c r="K75" s="265">
        <v>450000</v>
      </c>
      <c r="M75" s="269"/>
    </row>
    <row r="76" spans="1:13" x14ac:dyDescent="0.3">
      <c r="A76" s="271">
        <v>75</v>
      </c>
      <c r="B76" s="264">
        <v>45741</v>
      </c>
      <c r="C76" s="292" t="s">
        <v>1147</v>
      </c>
      <c r="D76" s="295" t="s">
        <v>1361</v>
      </c>
      <c r="E76" s="292" t="s">
        <v>1203</v>
      </c>
      <c r="F76" s="269" t="s">
        <v>1361</v>
      </c>
      <c r="G76" s="265">
        <v>1200000</v>
      </c>
      <c r="H76" s="269">
        <v>1</v>
      </c>
      <c r="K76" s="265">
        <v>1200000</v>
      </c>
      <c r="M76" s="269"/>
    </row>
    <row r="77" spans="1:13" x14ac:dyDescent="0.3">
      <c r="A77" s="271">
        <v>76</v>
      </c>
      <c r="B77" s="264">
        <v>45741</v>
      </c>
      <c r="C77" s="292" t="s">
        <v>1018</v>
      </c>
      <c r="E77" s="292" t="s">
        <v>1538</v>
      </c>
      <c r="G77" s="265">
        <v>2000000</v>
      </c>
      <c r="H77" s="269">
        <v>1</v>
      </c>
      <c r="K77" s="265">
        <v>2000000</v>
      </c>
      <c r="M77" s="269"/>
    </row>
    <row r="78" spans="1:13" x14ac:dyDescent="0.3">
      <c r="A78" s="271">
        <v>77</v>
      </c>
      <c r="B78" s="264">
        <v>45741</v>
      </c>
      <c r="C78" s="292" t="s">
        <v>1444</v>
      </c>
      <c r="E78" s="292" t="s">
        <v>1132</v>
      </c>
      <c r="G78" s="265">
        <v>350000</v>
      </c>
      <c r="H78" s="269">
        <v>2</v>
      </c>
      <c r="K78" s="265">
        <v>700000</v>
      </c>
      <c r="M78" s="269"/>
    </row>
    <row r="79" spans="1:13" x14ac:dyDescent="0.3">
      <c r="A79" s="271">
        <v>78</v>
      </c>
      <c r="B79" s="264">
        <v>45741</v>
      </c>
      <c r="C79" s="292" t="s">
        <v>1444</v>
      </c>
      <c r="E79" s="292" t="s">
        <v>1132</v>
      </c>
      <c r="G79" s="265">
        <v>300000</v>
      </c>
      <c r="H79" s="269">
        <v>2</v>
      </c>
      <c r="K79" s="265">
        <v>600000</v>
      </c>
      <c r="M79" s="269"/>
    </row>
    <row r="80" spans="1:13" x14ac:dyDescent="0.3">
      <c r="A80" s="271">
        <v>79</v>
      </c>
      <c r="B80" s="264">
        <v>45741</v>
      </c>
      <c r="C80" s="292" t="s">
        <v>1541</v>
      </c>
      <c r="E80" s="292" t="s">
        <v>1542</v>
      </c>
      <c r="G80" s="265">
        <v>129000</v>
      </c>
      <c r="H80" s="269">
        <v>1</v>
      </c>
      <c r="K80" s="265">
        <v>129000</v>
      </c>
      <c r="M80" s="269"/>
    </row>
    <row r="81" spans="1:13" x14ac:dyDescent="0.3">
      <c r="A81" s="271">
        <v>80</v>
      </c>
      <c r="B81" s="264">
        <v>45741</v>
      </c>
      <c r="C81" s="292" t="s">
        <v>1544</v>
      </c>
      <c r="D81" s="295" t="s">
        <v>1216</v>
      </c>
      <c r="E81" s="292" t="s">
        <v>1217</v>
      </c>
      <c r="F81" s="269" t="s">
        <v>1216</v>
      </c>
      <c r="G81" s="265">
        <v>1500000</v>
      </c>
      <c r="H81" s="269">
        <v>1</v>
      </c>
      <c r="K81" s="265">
        <v>1500000</v>
      </c>
      <c r="M81" s="269"/>
    </row>
    <row r="82" spans="1:13" x14ac:dyDescent="0.3">
      <c r="A82" s="271">
        <v>81</v>
      </c>
      <c r="B82" s="264">
        <v>45742</v>
      </c>
      <c r="C82" s="292" t="s">
        <v>1018</v>
      </c>
      <c r="D82" s="295" t="s">
        <v>1361</v>
      </c>
      <c r="E82" s="292" t="s">
        <v>1203</v>
      </c>
      <c r="F82" s="269" t="s">
        <v>1361</v>
      </c>
      <c r="G82" s="265">
        <v>1200000</v>
      </c>
      <c r="H82" s="269">
        <v>1</v>
      </c>
      <c r="K82" s="265">
        <v>1200000</v>
      </c>
      <c r="M82" s="269"/>
    </row>
    <row r="83" spans="1:13" x14ac:dyDescent="0.3">
      <c r="A83" s="271">
        <v>82</v>
      </c>
      <c r="B83" s="264">
        <v>45742</v>
      </c>
      <c r="C83" s="292" t="s">
        <v>1018</v>
      </c>
      <c r="E83" s="292" t="s">
        <v>1496</v>
      </c>
      <c r="G83" s="265">
        <v>350000</v>
      </c>
      <c r="H83" s="269">
        <v>1</v>
      </c>
      <c r="K83" s="265">
        <v>350000</v>
      </c>
      <c r="M83" s="269"/>
    </row>
    <row r="84" spans="1:13" x14ac:dyDescent="0.3">
      <c r="A84" s="271">
        <v>83</v>
      </c>
      <c r="B84" s="264">
        <v>45742</v>
      </c>
      <c r="C84" s="292" t="s">
        <v>1391</v>
      </c>
      <c r="D84" s="295" t="s">
        <v>1361</v>
      </c>
      <c r="E84" s="292" t="s">
        <v>1203</v>
      </c>
      <c r="F84" s="269" t="s">
        <v>1361</v>
      </c>
      <c r="G84" s="265">
        <v>1200000</v>
      </c>
      <c r="H84" s="269">
        <v>1</v>
      </c>
      <c r="K84" s="265">
        <v>1200000</v>
      </c>
      <c r="M84" s="269"/>
    </row>
    <row r="85" spans="1:13" x14ac:dyDescent="0.3">
      <c r="A85" s="271">
        <v>84</v>
      </c>
      <c r="B85" s="264">
        <v>45742</v>
      </c>
      <c r="C85" s="292" t="s">
        <v>1395</v>
      </c>
      <c r="E85" s="292" t="s">
        <v>1139</v>
      </c>
      <c r="G85" s="265">
        <v>650000</v>
      </c>
      <c r="H85" s="269">
        <v>1</v>
      </c>
      <c r="K85" s="265">
        <v>650000</v>
      </c>
      <c r="M85" s="269"/>
    </row>
    <row r="86" spans="1:13" x14ac:dyDescent="0.3">
      <c r="A86" s="271">
        <v>85</v>
      </c>
      <c r="B86" s="264">
        <v>45742</v>
      </c>
      <c r="C86" s="292" t="s">
        <v>1007</v>
      </c>
      <c r="E86" s="292" t="s">
        <v>1549</v>
      </c>
      <c r="G86" s="265">
        <v>50000</v>
      </c>
      <c r="H86" s="269">
        <v>1</v>
      </c>
      <c r="K86" s="265">
        <v>50000</v>
      </c>
      <c r="M86" s="269"/>
    </row>
    <row r="87" spans="1:13" x14ac:dyDescent="0.3">
      <c r="A87" s="271">
        <v>86</v>
      </c>
      <c r="B87" s="264">
        <v>45743</v>
      </c>
      <c r="C87" s="292" t="s">
        <v>1551</v>
      </c>
      <c r="D87" s="295" t="s">
        <v>1361</v>
      </c>
      <c r="E87" s="292" t="s">
        <v>1203</v>
      </c>
      <c r="F87" s="269" t="s">
        <v>1361</v>
      </c>
      <c r="G87" s="265">
        <v>1300000</v>
      </c>
      <c r="H87" s="269">
        <v>1</v>
      </c>
      <c r="K87" s="265">
        <v>1300000</v>
      </c>
      <c r="M87" s="269"/>
    </row>
    <row r="88" spans="1:13" x14ac:dyDescent="0.3">
      <c r="A88" s="271">
        <v>87</v>
      </c>
      <c r="B88" s="264">
        <v>45743</v>
      </c>
      <c r="C88" s="292" t="s">
        <v>1551</v>
      </c>
      <c r="E88" s="292" t="s">
        <v>1496</v>
      </c>
      <c r="G88" s="265">
        <v>350000</v>
      </c>
      <c r="H88" s="269">
        <v>1</v>
      </c>
      <c r="K88" s="265">
        <v>350000</v>
      </c>
      <c r="M88" s="269"/>
    </row>
    <row r="89" spans="1:13" x14ac:dyDescent="0.3">
      <c r="A89" s="271">
        <v>88</v>
      </c>
      <c r="B89" s="264">
        <v>45743</v>
      </c>
      <c r="C89" s="292" t="s">
        <v>1554</v>
      </c>
      <c r="E89" s="292" t="s">
        <v>1555</v>
      </c>
      <c r="G89" s="265">
        <v>350000</v>
      </c>
      <c r="H89" s="269">
        <v>1</v>
      </c>
      <c r="J89" s="266">
        <v>35000</v>
      </c>
      <c r="K89" s="265">
        <v>385000</v>
      </c>
      <c r="M89" s="269"/>
    </row>
    <row r="90" spans="1:13" x14ac:dyDescent="0.3">
      <c r="A90" s="271">
        <v>89</v>
      </c>
      <c r="B90" s="264">
        <v>45744</v>
      </c>
      <c r="C90" s="292" t="s">
        <v>1554</v>
      </c>
      <c r="D90" s="295" t="s">
        <v>1361</v>
      </c>
      <c r="E90" s="292" t="s">
        <v>1203</v>
      </c>
      <c r="F90" s="269" t="s">
        <v>1361</v>
      </c>
      <c r="G90" s="265">
        <v>1090909</v>
      </c>
      <c r="H90" s="269">
        <v>1</v>
      </c>
      <c r="J90" s="266">
        <v>109090.90000000001</v>
      </c>
      <c r="K90" s="265">
        <v>1199999.8999999999</v>
      </c>
      <c r="M90" s="269"/>
    </row>
    <row r="91" spans="1:13" x14ac:dyDescent="0.3">
      <c r="A91" s="271">
        <v>90</v>
      </c>
      <c r="B91" s="264">
        <v>45745</v>
      </c>
      <c r="C91" s="292" t="s">
        <v>978</v>
      </c>
      <c r="D91" s="295" t="s">
        <v>1223</v>
      </c>
      <c r="E91" s="292" t="s">
        <v>1561</v>
      </c>
      <c r="F91" s="269" t="s">
        <v>1223</v>
      </c>
      <c r="G91" s="265">
        <v>1600000</v>
      </c>
      <c r="H91" s="269">
        <v>1</v>
      </c>
      <c r="J91" s="266">
        <v>160000</v>
      </c>
      <c r="K91" s="265">
        <v>1760000</v>
      </c>
      <c r="M91" s="269"/>
    </row>
    <row r="92" spans="1:13" x14ac:dyDescent="0.3">
      <c r="A92" s="271">
        <v>91</v>
      </c>
      <c r="B92" s="264">
        <v>45747</v>
      </c>
      <c r="C92" s="292" t="s">
        <v>1541</v>
      </c>
      <c r="D92" s="295" t="s">
        <v>1361</v>
      </c>
      <c r="E92" s="292" t="s">
        <v>1203</v>
      </c>
      <c r="F92" s="269" t="s">
        <v>1361</v>
      </c>
      <c r="G92" s="265">
        <v>1200000</v>
      </c>
      <c r="H92" s="269">
        <v>1</v>
      </c>
      <c r="K92" s="265">
        <v>1200000</v>
      </c>
      <c r="M92" s="269"/>
    </row>
    <row r="93" spans="1:13" x14ac:dyDescent="0.3">
      <c r="A93" s="271">
        <v>92</v>
      </c>
      <c r="B93" s="264">
        <v>45747</v>
      </c>
      <c r="C93" s="292" t="s">
        <v>1541</v>
      </c>
      <c r="E93" s="292" t="s">
        <v>1137</v>
      </c>
      <c r="G93" s="265">
        <v>198000</v>
      </c>
      <c r="H93" s="269">
        <v>1</v>
      </c>
      <c r="K93" s="265">
        <v>198000</v>
      </c>
      <c r="M93" s="269"/>
    </row>
    <row r="94" spans="1:13" x14ac:dyDescent="0.3">
      <c r="A94" s="271">
        <v>93</v>
      </c>
      <c r="B94" s="264">
        <v>45747</v>
      </c>
      <c r="C94" s="292" t="s">
        <v>979</v>
      </c>
      <c r="D94" s="295" t="s">
        <v>1201</v>
      </c>
      <c r="E94" s="292" t="s">
        <v>1202</v>
      </c>
      <c r="F94" s="269" t="s">
        <v>1201</v>
      </c>
      <c r="G94" s="265">
        <v>1500000</v>
      </c>
      <c r="H94" s="269">
        <v>1</v>
      </c>
      <c r="J94" s="266">
        <v>150000</v>
      </c>
      <c r="K94" s="265">
        <v>1650000</v>
      </c>
      <c r="M94" s="269"/>
    </row>
    <row r="95" spans="1:13" x14ac:dyDescent="0.3">
      <c r="A95" s="271">
        <v>94</v>
      </c>
      <c r="B95" s="264">
        <v>45747</v>
      </c>
      <c r="C95" s="292" t="s">
        <v>979</v>
      </c>
      <c r="E95" s="292" t="s">
        <v>1575</v>
      </c>
      <c r="G95" s="265">
        <v>30000</v>
      </c>
      <c r="H95" s="269">
        <v>1</v>
      </c>
      <c r="J95" s="266">
        <v>3000</v>
      </c>
      <c r="K95" s="265">
        <v>33000</v>
      </c>
      <c r="M95" s="269"/>
    </row>
    <row r="96" spans="1:13" x14ac:dyDescent="0.3">
      <c r="A96" s="271">
        <v>95</v>
      </c>
      <c r="B96" s="264">
        <v>45734</v>
      </c>
      <c r="C96" s="292" t="s">
        <v>1577</v>
      </c>
      <c r="E96" s="292" t="s">
        <v>1578</v>
      </c>
      <c r="G96" s="265">
        <v>1100000</v>
      </c>
      <c r="H96" s="269">
        <v>1</v>
      </c>
      <c r="J96" s="266">
        <v>110000</v>
      </c>
      <c r="K96" s="265">
        <v>1210000</v>
      </c>
      <c r="M96" s="269"/>
    </row>
    <row r="97" spans="1:13" x14ac:dyDescent="0.3">
      <c r="A97" s="271">
        <v>96</v>
      </c>
      <c r="B97" s="264">
        <v>45734</v>
      </c>
      <c r="C97" s="292" t="s">
        <v>1577</v>
      </c>
      <c r="E97" s="292" t="s">
        <v>1519</v>
      </c>
      <c r="G97" s="265">
        <v>20000</v>
      </c>
      <c r="H97" s="269">
        <v>1</v>
      </c>
      <c r="K97" s="265">
        <v>20000</v>
      </c>
      <c r="M97" s="269"/>
    </row>
    <row r="98" spans="1:13" x14ac:dyDescent="0.3">
      <c r="A98" s="271">
        <v>97</v>
      </c>
      <c r="B98" s="264">
        <v>45723</v>
      </c>
      <c r="C98" s="292" t="s">
        <v>1580</v>
      </c>
      <c r="E98" s="292" t="s">
        <v>1581</v>
      </c>
      <c r="G98" s="265">
        <v>1100000</v>
      </c>
      <c r="H98" s="269">
        <v>1</v>
      </c>
      <c r="J98" s="266">
        <v>110000</v>
      </c>
      <c r="K98" s="265">
        <v>1210000</v>
      </c>
      <c r="M98" s="269"/>
    </row>
    <row r="99" spans="1:13" x14ac:dyDescent="0.3">
      <c r="A99" s="271">
        <v>98</v>
      </c>
      <c r="B99" s="264">
        <v>45723</v>
      </c>
      <c r="C99" s="292" t="s">
        <v>1580</v>
      </c>
      <c r="E99" s="292" t="s">
        <v>1650</v>
      </c>
      <c r="G99" s="265">
        <v>3500000</v>
      </c>
      <c r="H99" s="269">
        <v>1</v>
      </c>
      <c r="J99" s="266">
        <v>350000</v>
      </c>
      <c r="K99" s="265">
        <v>3850000</v>
      </c>
      <c r="M99" s="269"/>
    </row>
    <row r="100" spans="1:13" x14ac:dyDescent="0.3">
      <c r="A100" s="271">
        <v>99</v>
      </c>
      <c r="B100" s="264">
        <v>45723</v>
      </c>
      <c r="C100" s="292" t="s">
        <v>1580</v>
      </c>
      <c r="D100" s="295" t="s">
        <v>1265</v>
      </c>
      <c r="E100" s="292" t="s">
        <v>1266</v>
      </c>
      <c r="F100" s="269" t="s">
        <v>1265</v>
      </c>
      <c r="G100" s="265">
        <v>50000</v>
      </c>
      <c r="H100" s="269">
        <v>1</v>
      </c>
      <c r="J100" s="266">
        <v>5000</v>
      </c>
      <c r="K100" s="265">
        <v>55000</v>
      </c>
      <c r="M100" s="269"/>
    </row>
    <row r="101" spans="1:13" x14ac:dyDescent="0.3">
      <c r="A101" s="271">
        <v>100</v>
      </c>
      <c r="B101" s="264">
        <v>45718</v>
      </c>
      <c r="C101" s="292" t="s">
        <v>1015</v>
      </c>
      <c r="D101" s="295" t="s">
        <v>1361</v>
      </c>
      <c r="E101" s="292" t="s">
        <v>1203</v>
      </c>
      <c r="F101" s="269" t="s">
        <v>1361</v>
      </c>
      <c r="G101" s="265">
        <v>1200000</v>
      </c>
      <c r="H101" s="269">
        <v>1</v>
      </c>
      <c r="J101" s="266">
        <v>120000</v>
      </c>
      <c r="K101" s="265">
        <v>1320000</v>
      </c>
      <c r="M101" s="269"/>
    </row>
    <row r="102" spans="1:13" x14ac:dyDescent="0.3">
      <c r="A102" s="271">
        <v>101</v>
      </c>
      <c r="B102" s="264">
        <v>45729</v>
      </c>
      <c r="C102" s="292" t="s">
        <v>1586</v>
      </c>
      <c r="E102" s="292" t="s">
        <v>1587</v>
      </c>
      <c r="G102" s="265">
        <v>800000</v>
      </c>
      <c r="H102" s="269">
        <v>1</v>
      </c>
      <c r="J102" s="266">
        <v>80000</v>
      </c>
      <c r="K102" s="265">
        <v>880000</v>
      </c>
      <c r="M102" s="269"/>
    </row>
    <row r="103" spans="1:13" x14ac:dyDescent="0.3">
      <c r="A103" s="271">
        <v>102</v>
      </c>
      <c r="B103" s="264">
        <v>45729</v>
      </c>
      <c r="C103" s="292" t="s">
        <v>1586</v>
      </c>
      <c r="D103" s="295">
        <v>415054509</v>
      </c>
      <c r="E103" s="292" t="s">
        <v>2522</v>
      </c>
      <c r="F103" s="269">
        <v>415054509</v>
      </c>
      <c r="G103" s="265">
        <v>320000</v>
      </c>
      <c r="H103" s="269">
        <v>1</v>
      </c>
      <c r="J103" s="266">
        <v>32000</v>
      </c>
      <c r="K103" s="265">
        <v>352000</v>
      </c>
      <c r="M103" s="269"/>
    </row>
    <row r="104" spans="1:13" x14ac:dyDescent="0.3">
      <c r="A104" s="271">
        <v>103</v>
      </c>
      <c r="B104" s="264">
        <v>45729</v>
      </c>
      <c r="C104" s="292" t="s">
        <v>1586</v>
      </c>
      <c r="E104" s="292" t="s">
        <v>1588</v>
      </c>
      <c r="G104" s="265">
        <v>340000</v>
      </c>
      <c r="H104" s="269">
        <v>1</v>
      </c>
      <c r="J104" s="266">
        <v>34000</v>
      </c>
      <c r="K104" s="265">
        <v>374000</v>
      </c>
      <c r="M104" s="269"/>
    </row>
    <row r="105" spans="1:13" x14ac:dyDescent="0.3">
      <c r="A105" s="271">
        <v>104</v>
      </c>
      <c r="B105" s="264">
        <v>45729</v>
      </c>
      <c r="C105" s="292" t="s">
        <v>1586</v>
      </c>
      <c r="E105" s="292" t="s">
        <v>1589</v>
      </c>
      <c r="G105" s="265">
        <v>7727</v>
      </c>
      <c r="H105" s="269">
        <v>1</v>
      </c>
      <c r="J105" s="266">
        <v>772.7</v>
      </c>
      <c r="K105" s="265">
        <v>8499.7000000000007</v>
      </c>
      <c r="M105" s="269"/>
    </row>
    <row r="106" spans="1:13" x14ac:dyDescent="0.3">
      <c r="A106" s="271">
        <v>105</v>
      </c>
      <c r="B106" s="264">
        <v>45716</v>
      </c>
      <c r="C106" s="292" t="s">
        <v>1586</v>
      </c>
      <c r="D106" s="295" t="s">
        <v>1563</v>
      </c>
      <c r="E106" s="292" t="s">
        <v>1205</v>
      </c>
      <c r="F106" s="269" t="s">
        <v>1563</v>
      </c>
      <c r="G106" s="265">
        <v>1100000</v>
      </c>
      <c r="H106" s="269">
        <v>1</v>
      </c>
      <c r="J106" s="266">
        <v>110000</v>
      </c>
      <c r="K106" s="265">
        <v>1210000</v>
      </c>
      <c r="M106" s="269"/>
    </row>
    <row r="107" spans="1:13" x14ac:dyDescent="0.3">
      <c r="A107" s="271">
        <v>106</v>
      </c>
      <c r="B107" s="264">
        <v>45722</v>
      </c>
      <c r="C107" s="292" t="s">
        <v>1467</v>
      </c>
      <c r="E107" s="292" t="s">
        <v>1592</v>
      </c>
      <c r="G107" s="265">
        <v>572727</v>
      </c>
      <c r="H107" s="269">
        <v>1</v>
      </c>
      <c r="J107" s="266">
        <v>57272.700000000004</v>
      </c>
      <c r="K107" s="265">
        <v>629999.69999999995</v>
      </c>
      <c r="M107" s="269"/>
    </row>
    <row r="108" spans="1:13" x14ac:dyDescent="0.3">
      <c r="A108" s="271">
        <v>107</v>
      </c>
      <c r="B108" s="264">
        <v>45722</v>
      </c>
      <c r="C108" s="292" t="s">
        <v>987</v>
      </c>
      <c r="D108" s="295" t="s">
        <v>1361</v>
      </c>
      <c r="E108" s="292" t="s">
        <v>1203</v>
      </c>
      <c r="F108" s="269" t="s">
        <v>1361</v>
      </c>
      <c r="G108" s="265">
        <v>1000000</v>
      </c>
      <c r="H108" s="269">
        <v>1</v>
      </c>
      <c r="J108" s="266">
        <v>100000</v>
      </c>
      <c r="K108" s="265">
        <v>1100000</v>
      </c>
      <c r="M108" s="269"/>
    </row>
    <row r="109" spans="1:13" x14ac:dyDescent="0.3">
      <c r="A109" s="271">
        <v>108</v>
      </c>
      <c r="B109" s="264">
        <v>45722</v>
      </c>
      <c r="C109" s="292" t="s">
        <v>987</v>
      </c>
      <c r="E109" s="292" t="s">
        <v>1496</v>
      </c>
      <c r="G109" s="265">
        <v>350000</v>
      </c>
      <c r="H109" s="269">
        <v>1</v>
      </c>
      <c r="J109" s="266">
        <v>35000</v>
      </c>
      <c r="K109" s="265">
        <v>385000</v>
      </c>
      <c r="M109" s="269"/>
    </row>
    <row r="110" spans="1:13" x14ac:dyDescent="0.3">
      <c r="A110" s="271">
        <v>109</v>
      </c>
      <c r="B110" s="264">
        <v>45722</v>
      </c>
      <c r="C110" s="292" t="s">
        <v>987</v>
      </c>
      <c r="E110" s="292" t="s">
        <v>1108</v>
      </c>
      <c r="G110" s="265">
        <v>129000</v>
      </c>
      <c r="H110" s="269">
        <v>1</v>
      </c>
      <c r="J110" s="266">
        <v>12900</v>
      </c>
      <c r="K110" s="265">
        <v>141900</v>
      </c>
      <c r="M110" s="269"/>
    </row>
    <row r="111" spans="1:13" x14ac:dyDescent="0.3">
      <c r="A111" s="271">
        <v>110</v>
      </c>
      <c r="B111" s="264">
        <v>45726</v>
      </c>
      <c r="C111" s="292" t="s">
        <v>987</v>
      </c>
      <c r="E111" s="292" t="s">
        <v>1166</v>
      </c>
      <c r="G111" s="265">
        <v>600000</v>
      </c>
      <c r="H111" s="269">
        <v>1</v>
      </c>
      <c r="J111" s="266">
        <v>60000</v>
      </c>
      <c r="K111" s="265">
        <v>660000</v>
      </c>
      <c r="M111" s="269"/>
    </row>
    <row r="112" spans="1:13" x14ac:dyDescent="0.3">
      <c r="A112" s="271">
        <v>111</v>
      </c>
      <c r="B112" s="264">
        <v>45735</v>
      </c>
      <c r="C112" s="292" t="s">
        <v>1596</v>
      </c>
      <c r="D112" s="295" t="s">
        <v>1361</v>
      </c>
      <c r="E112" s="292" t="s">
        <v>1203</v>
      </c>
      <c r="F112" s="269" t="s">
        <v>1361</v>
      </c>
      <c r="G112" s="265">
        <v>1200000</v>
      </c>
      <c r="H112" s="269">
        <v>1</v>
      </c>
      <c r="J112" s="266">
        <v>120000</v>
      </c>
      <c r="K112" s="265">
        <v>1320000</v>
      </c>
      <c r="M112" s="269"/>
    </row>
    <row r="113" spans="1:13" x14ac:dyDescent="0.3">
      <c r="A113" s="271">
        <v>112</v>
      </c>
      <c r="B113" s="264">
        <v>45736</v>
      </c>
      <c r="C113" s="292" t="s">
        <v>1598</v>
      </c>
      <c r="E113" s="292" t="s">
        <v>1155</v>
      </c>
      <c r="G113" s="265">
        <v>1500000</v>
      </c>
      <c r="H113" s="269">
        <v>1</v>
      </c>
      <c r="J113" s="266">
        <v>150000</v>
      </c>
      <c r="K113" s="265">
        <v>1650000</v>
      </c>
      <c r="M113" s="269"/>
    </row>
    <row r="114" spans="1:13" x14ac:dyDescent="0.3">
      <c r="A114" s="271">
        <v>113</v>
      </c>
      <c r="B114" s="264">
        <v>45721</v>
      </c>
      <c r="C114" s="292" t="s">
        <v>1452</v>
      </c>
      <c r="E114" s="292" t="s">
        <v>1149</v>
      </c>
      <c r="G114" s="265">
        <v>610000</v>
      </c>
      <c r="H114" s="269">
        <v>1</v>
      </c>
      <c r="J114" s="266">
        <v>61000</v>
      </c>
      <c r="K114" s="265">
        <v>671000</v>
      </c>
      <c r="M114" s="269"/>
    </row>
    <row r="115" spans="1:13" x14ac:dyDescent="0.3">
      <c r="A115" s="271">
        <v>114</v>
      </c>
      <c r="B115" s="264">
        <v>45721</v>
      </c>
      <c r="C115" s="292" t="s">
        <v>1452</v>
      </c>
      <c r="D115" s="295" t="s">
        <v>1259</v>
      </c>
      <c r="E115" s="292" t="s">
        <v>1260</v>
      </c>
      <c r="F115" s="269" t="s">
        <v>1259</v>
      </c>
      <c r="G115" s="265">
        <v>130000</v>
      </c>
      <c r="H115" s="269">
        <v>1</v>
      </c>
      <c r="J115" s="266">
        <v>13000</v>
      </c>
      <c r="K115" s="265">
        <v>143000</v>
      </c>
      <c r="M115" s="269"/>
    </row>
    <row r="116" spans="1:13" x14ac:dyDescent="0.3">
      <c r="A116" s="271">
        <v>115</v>
      </c>
      <c r="B116" s="264">
        <v>45721</v>
      </c>
      <c r="C116" s="292" t="s">
        <v>1452</v>
      </c>
      <c r="D116" s="295">
        <v>2821402</v>
      </c>
      <c r="E116" s="292" t="s">
        <v>1135</v>
      </c>
      <c r="F116" s="269">
        <v>2821402</v>
      </c>
      <c r="G116" s="265">
        <v>35000</v>
      </c>
      <c r="H116" s="269">
        <v>1</v>
      </c>
      <c r="J116" s="266">
        <v>3500</v>
      </c>
      <c r="K116" s="265">
        <v>38500</v>
      </c>
      <c r="M116" s="269"/>
    </row>
    <row r="117" spans="1:13" x14ac:dyDescent="0.3">
      <c r="A117" s="271">
        <v>116</v>
      </c>
      <c r="B117" s="264">
        <v>45721</v>
      </c>
      <c r="C117" s="292" t="s">
        <v>1452</v>
      </c>
      <c r="E117" s="292" t="s">
        <v>1600</v>
      </c>
      <c r="G117" s="265">
        <v>20000</v>
      </c>
      <c r="H117" s="269">
        <v>1</v>
      </c>
      <c r="J117" s="266">
        <v>2000</v>
      </c>
      <c r="K117" s="265">
        <v>22000</v>
      </c>
      <c r="M117" s="269"/>
    </row>
    <row r="118" spans="1:13" x14ac:dyDescent="0.3">
      <c r="A118" s="271">
        <v>117</v>
      </c>
      <c r="B118" s="264">
        <v>45736</v>
      </c>
      <c r="C118" s="292" t="s">
        <v>1602</v>
      </c>
      <c r="E118" s="292" t="s">
        <v>1603</v>
      </c>
      <c r="G118" s="265">
        <v>2200000</v>
      </c>
      <c r="H118" s="269">
        <v>1</v>
      </c>
      <c r="J118" s="266">
        <v>220000</v>
      </c>
      <c r="K118" s="265">
        <v>2420000</v>
      </c>
      <c r="M118" s="269"/>
    </row>
    <row r="119" spans="1:13" x14ac:dyDescent="0.3">
      <c r="A119" s="271">
        <v>118</v>
      </c>
      <c r="B119" s="264">
        <v>45735</v>
      </c>
      <c r="E119" s="292" t="s">
        <v>1603</v>
      </c>
      <c r="G119" s="265">
        <v>2180000</v>
      </c>
      <c r="H119" s="269">
        <v>1</v>
      </c>
      <c r="J119" s="266">
        <v>218000</v>
      </c>
      <c r="K119" s="265">
        <v>2398000</v>
      </c>
      <c r="M119" s="269"/>
    </row>
    <row r="120" spans="1:13" x14ac:dyDescent="0.3">
      <c r="A120" s="271">
        <v>119</v>
      </c>
      <c r="B120" s="264">
        <v>45744</v>
      </c>
      <c r="E120" s="292" t="s">
        <v>1606</v>
      </c>
      <c r="G120" s="265">
        <v>2000000</v>
      </c>
      <c r="H120" s="269">
        <v>1</v>
      </c>
      <c r="J120" s="266">
        <v>200000</v>
      </c>
      <c r="K120" s="265">
        <v>2200000</v>
      </c>
      <c r="M120" s="269"/>
    </row>
    <row r="121" spans="1:13" x14ac:dyDescent="0.3">
      <c r="A121" s="271">
        <v>120</v>
      </c>
      <c r="B121" s="264">
        <v>45748</v>
      </c>
      <c r="C121" s="292" t="s">
        <v>1577</v>
      </c>
      <c r="D121" s="295">
        <v>415072909</v>
      </c>
      <c r="E121" s="292" t="s">
        <v>2522</v>
      </c>
      <c r="F121" s="269">
        <v>415072909</v>
      </c>
      <c r="G121" s="265">
        <v>381818</v>
      </c>
      <c r="H121" s="269">
        <v>1</v>
      </c>
      <c r="J121" s="266">
        <v>38181.800000000003</v>
      </c>
      <c r="K121" s="265">
        <v>419999.8</v>
      </c>
      <c r="M121" s="269"/>
    </row>
    <row r="122" spans="1:13" x14ac:dyDescent="0.3">
      <c r="A122" s="271">
        <v>121</v>
      </c>
      <c r="B122" s="264">
        <v>45748</v>
      </c>
      <c r="C122" s="292" t="s">
        <v>1577</v>
      </c>
      <c r="D122" s="295" t="s">
        <v>1626</v>
      </c>
      <c r="E122" s="292" t="s">
        <v>1627</v>
      </c>
      <c r="F122" s="269" t="s">
        <v>1626</v>
      </c>
      <c r="G122" s="265">
        <v>12000</v>
      </c>
      <c r="H122" s="269">
        <v>1</v>
      </c>
      <c r="J122" s="266">
        <v>1200</v>
      </c>
      <c r="K122" s="265">
        <v>13200</v>
      </c>
      <c r="M122" s="269"/>
    </row>
    <row r="123" spans="1:13" x14ac:dyDescent="0.3">
      <c r="A123" s="271">
        <v>122</v>
      </c>
      <c r="B123" s="264">
        <v>45748</v>
      </c>
      <c r="C123" s="292" t="s">
        <v>1577</v>
      </c>
      <c r="D123" s="295">
        <v>415072909</v>
      </c>
      <c r="E123" s="292" t="s">
        <v>2522</v>
      </c>
      <c r="F123" s="269">
        <v>415072909</v>
      </c>
      <c r="G123" s="265">
        <v>381818</v>
      </c>
      <c r="H123" s="269">
        <v>1</v>
      </c>
      <c r="J123" s="266">
        <v>38181.800000000003</v>
      </c>
      <c r="K123" s="265">
        <v>419999.8</v>
      </c>
      <c r="M123" s="269"/>
    </row>
    <row r="124" spans="1:13" x14ac:dyDescent="0.3">
      <c r="A124" s="271">
        <v>123</v>
      </c>
      <c r="B124" s="264">
        <v>45748</v>
      </c>
      <c r="C124" s="292" t="s">
        <v>1577</v>
      </c>
      <c r="D124" s="295" t="s">
        <v>1626</v>
      </c>
      <c r="E124" s="292" t="s">
        <v>1627</v>
      </c>
      <c r="F124" s="269" t="s">
        <v>1626</v>
      </c>
      <c r="G124" s="265">
        <v>12000</v>
      </c>
      <c r="H124" s="269">
        <v>1</v>
      </c>
      <c r="J124" s="266">
        <v>1200</v>
      </c>
      <c r="K124" s="265">
        <v>13200</v>
      </c>
      <c r="M124" s="269"/>
    </row>
    <row r="125" spans="1:13" x14ac:dyDescent="0.3">
      <c r="A125" s="271">
        <v>124</v>
      </c>
      <c r="B125" s="264">
        <v>45748</v>
      </c>
      <c r="C125" s="292" t="s">
        <v>1577</v>
      </c>
      <c r="E125" s="292" t="s">
        <v>1629</v>
      </c>
      <c r="G125" s="265">
        <v>27000</v>
      </c>
      <c r="H125" s="269">
        <v>1</v>
      </c>
      <c r="J125" s="266">
        <v>2700</v>
      </c>
      <c r="K125" s="265">
        <v>29700</v>
      </c>
      <c r="M125" s="269"/>
    </row>
    <row r="126" spans="1:13" x14ac:dyDescent="0.3">
      <c r="A126" s="271">
        <v>125</v>
      </c>
      <c r="B126" s="264">
        <v>45749</v>
      </c>
      <c r="C126" s="292" t="s">
        <v>1449</v>
      </c>
      <c r="E126" s="292" t="s">
        <v>1636</v>
      </c>
      <c r="G126" s="265">
        <v>850000</v>
      </c>
      <c r="H126" s="269">
        <v>1</v>
      </c>
      <c r="K126" s="265">
        <v>850000</v>
      </c>
      <c r="M126" s="269"/>
    </row>
    <row r="127" spans="1:13" x14ac:dyDescent="0.3">
      <c r="A127" s="271">
        <v>126</v>
      </c>
      <c r="B127" s="264">
        <v>45749</v>
      </c>
      <c r="C127" s="292" t="s">
        <v>1541</v>
      </c>
      <c r="D127" s="295" t="s">
        <v>1361</v>
      </c>
      <c r="E127" s="292" t="s">
        <v>1203</v>
      </c>
      <c r="F127" s="269" t="s">
        <v>1361</v>
      </c>
      <c r="G127" s="265">
        <v>1200000</v>
      </c>
      <c r="H127" s="269">
        <v>1</v>
      </c>
      <c r="K127" s="265">
        <v>1200000</v>
      </c>
      <c r="M127" s="269"/>
    </row>
    <row r="128" spans="1:13" x14ac:dyDescent="0.3">
      <c r="A128" s="271">
        <v>127</v>
      </c>
      <c r="B128" s="264">
        <v>45749</v>
      </c>
      <c r="C128" s="292" t="s">
        <v>1541</v>
      </c>
      <c r="E128" s="292" t="s">
        <v>1496</v>
      </c>
      <c r="G128" s="265">
        <v>350000</v>
      </c>
      <c r="H128" s="269">
        <v>1</v>
      </c>
      <c r="K128" s="265">
        <v>350000</v>
      </c>
      <c r="M128" s="269"/>
    </row>
    <row r="129" spans="1:13" x14ac:dyDescent="0.3">
      <c r="A129" s="271">
        <v>128</v>
      </c>
      <c r="B129" s="264">
        <v>45749</v>
      </c>
      <c r="C129" s="292" t="s">
        <v>1541</v>
      </c>
      <c r="E129" s="292" t="s">
        <v>1639</v>
      </c>
      <c r="G129" s="265">
        <v>50000</v>
      </c>
      <c r="H129" s="269">
        <v>1</v>
      </c>
      <c r="K129" s="265">
        <v>50000</v>
      </c>
      <c r="M129" s="269"/>
    </row>
    <row r="130" spans="1:13" x14ac:dyDescent="0.3">
      <c r="A130" s="271">
        <v>129</v>
      </c>
      <c r="B130" s="264">
        <v>45749</v>
      </c>
      <c r="C130" s="292" t="s">
        <v>1399</v>
      </c>
      <c r="D130" s="295" t="s">
        <v>1200</v>
      </c>
      <c r="E130" s="292" t="s">
        <v>1643</v>
      </c>
      <c r="F130" s="269" t="s">
        <v>1200</v>
      </c>
      <c r="G130" s="265">
        <v>1400000</v>
      </c>
      <c r="H130" s="269">
        <v>1</v>
      </c>
      <c r="K130" s="265">
        <v>1400000</v>
      </c>
      <c r="M130" s="269"/>
    </row>
    <row r="131" spans="1:13" x14ac:dyDescent="0.3">
      <c r="A131" s="271">
        <v>130</v>
      </c>
      <c r="B131" s="264">
        <v>45749</v>
      </c>
      <c r="C131" s="292" t="s">
        <v>1018</v>
      </c>
      <c r="D131" s="295" t="s">
        <v>1201</v>
      </c>
      <c r="E131" s="292" t="s">
        <v>1644</v>
      </c>
      <c r="F131" s="269" t="s">
        <v>1201</v>
      </c>
      <c r="G131" s="265">
        <v>1500000</v>
      </c>
      <c r="H131" s="269">
        <v>1</v>
      </c>
      <c r="K131" s="265">
        <v>1500000</v>
      </c>
      <c r="M131" s="269"/>
    </row>
    <row r="132" spans="1:13" x14ac:dyDescent="0.3">
      <c r="A132" s="271">
        <v>131</v>
      </c>
      <c r="B132" s="264">
        <v>45749</v>
      </c>
      <c r="C132" s="292" t="s">
        <v>1018</v>
      </c>
      <c r="E132" s="292" t="s">
        <v>1575</v>
      </c>
      <c r="G132" s="265">
        <v>30000</v>
      </c>
      <c r="H132" s="269">
        <v>1</v>
      </c>
      <c r="K132" s="265">
        <v>30000</v>
      </c>
      <c r="M132" s="269"/>
    </row>
    <row r="133" spans="1:13" x14ac:dyDescent="0.3">
      <c r="A133" s="271">
        <v>132</v>
      </c>
      <c r="B133" s="264">
        <v>45749</v>
      </c>
      <c r="C133" s="292" t="s">
        <v>1658</v>
      </c>
      <c r="E133" s="292" t="s">
        <v>1661</v>
      </c>
      <c r="G133" s="265">
        <v>250000</v>
      </c>
      <c r="H133" s="269">
        <v>1</v>
      </c>
      <c r="K133" s="265">
        <v>250000</v>
      </c>
      <c r="M133" s="269"/>
    </row>
    <row r="134" spans="1:13" x14ac:dyDescent="0.3">
      <c r="A134" s="271">
        <v>133</v>
      </c>
      <c r="B134" s="264">
        <v>45749</v>
      </c>
      <c r="C134" s="292" t="s">
        <v>1663</v>
      </c>
      <c r="E134" s="292" t="s">
        <v>1664</v>
      </c>
      <c r="G134" s="265">
        <v>2600000</v>
      </c>
      <c r="H134" s="269">
        <v>1</v>
      </c>
      <c r="K134" s="265">
        <v>2600000</v>
      </c>
      <c r="M134" s="269"/>
    </row>
    <row r="135" spans="1:13" x14ac:dyDescent="0.3">
      <c r="A135" s="271">
        <v>134</v>
      </c>
      <c r="B135" s="264">
        <v>45749</v>
      </c>
      <c r="C135" s="292" t="s">
        <v>1541</v>
      </c>
      <c r="E135" s="292" t="s">
        <v>1666</v>
      </c>
      <c r="G135" s="265">
        <v>600000</v>
      </c>
      <c r="H135" s="269">
        <v>1</v>
      </c>
      <c r="K135" s="265">
        <v>600000</v>
      </c>
      <c r="M135" s="269"/>
    </row>
    <row r="136" spans="1:13" x14ac:dyDescent="0.3">
      <c r="A136" s="271">
        <v>135</v>
      </c>
      <c r="B136" s="264">
        <v>45750</v>
      </c>
      <c r="C136" s="292" t="s">
        <v>1449</v>
      </c>
      <c r="E136" s="292" t="s">
        <v>1668</v>
      </c>
      <c r="G136" s="265">
        <v>1850000</v>
      </c>
      <c r="H136" s="269">
        <v>1</v>
      </c>
      <c r="K136" s="265">
        <v>1850000</v>
      </c>
      <c r="M136" s="269"/>
    </row>
    <row r="137" spans="1:13" x14ac:dyDescent="0.3">
      <c r="A137" s="271">
        <v>136</v>
      </c>
      <c r="B137" s="264">
        <v>45750</v>
      </c>
      <c r="C137" s="292" t="s">
        <v>1671</v>
      </c>
      <c r="E137" s="292" t="s">
        <v>1674</v>
      </c>
      <c r="G137" s="265">
        <v>1550000</v>
      </c>
      <c r="H137" s="269">
        <v>1</v>
      </c>
      <c r="J137" s="266">
        <v>155000</v>
      </c>
      <c r="K137" s="265">
        <v>1705000</v>
      </c>
      <c r="M137" s="269"/>
    </row>
    <row r="138" spans="1:13" x14ac:dyDescent="0.3">
      <c r="A138" s="271">
        <v>137</v>
      </c>
      <c r="B138" s="264">
        <v>45750</v>
      </c>
      <c r="C138" s="292" t="s">
        <v>1676</v>
      </c>
      <c r="E138" s="292" t="s">
        <v>1139</v>
      </c>
      <c r="G138" s="265">
        <v>650000</v>
      </c>
      <c r="H138" s="269">
        <v>1</v>
      </c>
      <c r="K138" s="265">
        <v>650000</v>
      </c>
      <c r="M138" s="269"/>
    </row>
    <row r="139" spans="1:13" x14ac:dyDescent="0.3">
      <c r="A139" s="271">
        <v>138</v>
      </c>
      <c r="B139" s="264">
        <v>45751</v>
      </c>
      <c r="C139" s="292" t="s">
        <v>1444</v>
      </c>
      <c r="L139" s="265">
        <v>-220000</v>
      </c>
      <c r="M139" s="269"/>
    </row>
    <row r="140" spans="1:13" x14ac:dyDescent="0.3">
      <c r="A140" s="271">
        <v>139</v>
      </c>
      <c r="B140" s="264">
        <v>45751</v>
      </c>
      <c r="C140" s="292" t="s">
        <v>1444</v>
      </c>
      <c r="E140" s="292" t="s">
        <v>1684</v>
      </c>
      <c r="L140" s="265">
        <v>-1600000</v>
      </c>
      <c r="M140" s="269"/>
    </row>
    <row r="141" spans="1:13" x14ac:dyDescent="0.3">
      <c r="A141" s="271">
        <v>140</v>
      </c>
      <c r="B141" s="264">
        <v>45750</v>
      </c>
      <c r="C141" s="292" t="s">
        <v>1444</v>
      </c>
      <c r="E141" s="292" t="s">
        <v>1685</v>
      </c>
      <c r="G141" s="265">
        <v>25000</v>
      </c>
      <c r="H141" s="269">
        <v>4</v>
      </c>
      <c r="I141" s="266">
        <v>13000</v>
      </c>
      <c r="K141" s="265">
        <v>100000</v>
      </c>
      <c r="M141" s="269"/>
    </row>
    <row r="142" spans="1:13" x14ac:dyDescent="0.3">
      <c r="A142" s="271">
        <v>141</v>
      </c>
      <c r="B142" s="264">
        <v>45751</v>
      </c>
      <c r="C142" s="292" t="s">
        <v>1444</v>
      </c>
      <c r="E142" s="292" t="s">
        <v>1688</v>
      </c>
      <c r="L142" s="265">
        <v>-100000</v>
      </c>
      <c r="M142" s="269"/>
    </row>
    <row r="143" spans="1:13" x14ac:dyDescent="0.3">
      <c r="A143" s="271">
        <v>142</v>
      </c>
      <c r="B143" s="264">
        <v>45751</v>
      </c>
      <c r="C143" s="292" t="s">
        <v>1444</v>
      </c>
      <c r="E143" s="292" t="s">
        <v>1689</v>
      </c>
      <c r="L143" s="265">
        <v>-300000</v>
      </c>
      <c r="M143" s="269"/>
    </row>
    <row r="144" spans="1:13" x14ac:dyDescent="0.3">
      <c r="A144" s="271">
        <v>143</v>
      </c>
      <c r="B144" s="264">
        <v>45751</v>
      </c>
      <c r="C144" s="292" t="s">
        <v>1444</v>
      </c>
      <c r="E144" s="292" t="s">
        <v>1690</v>
      </c>
      <c r="L144" s="265">
        <v>-200000</v>
      </c>
      <c r="M144" s="269"/>
    </row>
    <row r="145" spans="1:13" x14ac:dyDescent="0.3">
      <c r="A145" s="271">
        <v>144</v>
      </c>
      <c r="B145" s="264">
        <v>45757</v>
      </c>
      <c r="C145" s="292" t="s">
        <v>1333</v>
      </c>
      <c r="E145" s="292" t="s">
        <v>1827</v>
      </c>
      <c r="G145" s="265">
        <v>1550000</v>
      </c>
      <c r="H145" s="269">
        <v>1</v>
      </c>
      <c r="K145" s="265">
        <v>1550000</v>
      </c>
      <c r="M145" s="269"/>
    </row>
    <row r="146" spans="1:13" x14ac:dyDescent="0.3">
      <c r="A146" s="271">
        <v>145</v>
      </c>
      <c r="B146" s="264">
        <v>45751</v>
      </c>
      <c r="C146" s="292" t="s">
        <v>1469</v>
      </c>
      <c r="E146" s="292" t="s">
        <v>1695</v>
      </c>
      <c r="G146" s="265">
        <v>200000</v>
      </c>
      <c r="H146" s="269">
        <v>1</v>
      </c>
      <c r="K146" s="265">
        <v>200000</v>
      </c>
      <c r="M146" s="269"/>
    </row>
    <row r="147" spans="1:13" x14ac:dyDescent="0.3">
      <c r="A147" s="271">
        <v>146</v>
      </c>
      <c r="B147" s="264">
        <v>45751</v>
      </c>
      <c r="C147" s="292" t="s">
        <v>1722</v>
      </c>
      <c r="D147" s="295">
        <v>2800802</v>
      </c>
      <c r="E147" s="292" t="s">
        <v>1717</v>
      </c>
      <c r="F147" s="269">
        <v>2800802</v>
      </c>
      <c r="G147" s="265">
        <v>150000</v>
      </c>
      <c r="H147" s="269">
        <v>1</v>
      </c>
      <c r="I147" s="266">
        <v>85000</v>
      </c>
      <c r="K147" s="265">
        <v>150000</v>
      </c>
      <c r="M147" s="269"/>
    </row>
    <row r="148" spans="1:13" x14ac:dyDescent="0.3">
      <c r="A148" s="271">
        <v>147</v>
      </c>
      <c r="B148" s="264">
        <v>45751</v>
      </c>
      <c r="C148" s="292" t="s">
        <v>1722</v>
      </c>
      <c r="D148" s="295" t="s">
        <v>1715</v>
      </c>
      <c r="E148" s="292" t="s">
        <v>1716</v>
      </c>
      <c r="F148" s="269" t="s">
        <v>1715</v>
      </c>
      <c r="G148" s="265">
        <v>20000</v>
      </c>
      <c r="H148" s="269">
        <v>2</v>
      </c>
      <c r="I148" s="266">
        <v>9000</v>
      </c>
      <c r="K148" s="265">
        <v>40000</v>
      </c>
      <c r="M148" s="269"/>
    </row>
    <row r="149" spans="1:13" x14ac:dyDescent="0.3">
      <c r="A149" s="271">
        <v>148</v>
      </c>
      <c r="B149" s="264">
        <v>45751</v>
      </c>
      <c r="C149" s="292" t="s">
        <v>1722</v>
      </c>
      <c r="D149" s="295">
        <v>7252703114</v>
      </c>
      <c r="E149" s="292" t="s">
        <v>1703</v>
      </c>
      <c r="F149" s="269">
        <v>7252703114</v>
      </c>
      <c r="G149" s="265">
        <v>129000</v>
      </c>
      <c r="H149" s="269">
        <v>2</v>
      </c>
      <c r="I149" s="266">
        <v>70000</v>
      </c>
      <c r="K149" s="265">
        <v>258000</v>
      </c>
      <c r="M149" s="269"/>
    </row>
    <row r="150" spans="1:13" x14ac:dyDescent="0.3">
      <c r="A150" s="271">
        <v>149</v>
      </c>
      <c r="B150" s="264">
        <v>45751</v>
      </c>
      <c r="C150" s="292" t="s">
        <v>1722</v>
      </c>
      <c r="D150" s="295" t="s">
        <v>1704</v>
      </c>
      <c r="E150" s="292" t="s">
        <v>1705</v>
      </c>
      <c r="F150" s="269" t="s">
        <v>1704</v>
      </c>
      <c r="G150" s="265">
        <v>50000</v>
      </c>
      <c r="H150" s="269">
        <v>1</v>
      </c>
      <c r="K150" s="265">
        <v>50000</v>
      </c>
      <c r="M150" s="269"/>
    </row>
    <row r="151" spans="1:13" x14ac:dyDescent="0.3">
      <c r="A151" s="271">
        <v>150</v>
      </c>
      <c r="B151" s="264">
        <v>45751</v>
      </c>
      <c r="C151" s="292" t="s">
        <v>1722</v>
      </c>
      <c r="D151" s="295" t="s">
        <v>1265</v>
      </c>
      <c r="E151" s="292" t="s">
        <v>1266</v>
      </c>
      <c r="F151" s="269" t="s">
        <v>1265</v>
      </c>
      <c r="G151" s="265">
        <v>50000</v>
      </c>
      <c r="H151" s="269">
        <v>3</v>
      </c>
      <c r="K151" s="265">
        <v>150000</v>
      </c>
      <c r="M151" s="269"/>
    </row>
    <row r="152" spans="1:13" x14ac:dyDescent="0.3">
      <c r="A152" s="271">
        <v>151</v>
      </c>
      <c r="B152" s="264">
        <v>45752</v>
      </c>
      <c r="C152" s="292" t="s">
        <v>1541</v>
      </c>
      <c r="E152" s="292" t="s">
        <v>1744</v>
      </c>
      <c r="G152" s="265">
        <v>1550000</v>
      </c>
      <c r="H152" s="269">
        <v>1</v>
      </c>
      <c r="K152" s="265">
        <v>1550000</v>
      </c>
      <c r="M152" s="269"/>
    </row>
    <row r="153" spans="1:13" x14ac:dyDescent="0.3">
      <c r="A153" s="271">
        <v>152</v>
      </c>
      <c r="B153" s="264">
        <v>45752</v>
      </c>
      <c r="C153" s="292" t="s">
        <v>1580</v>
      </c>
      <c r="E153" s="292" t="s">
        <v>1746</v>
      </c>
      <c r="L153" s="265">
        <v>-4000000</v>
      </c>
      <c r="M153" s="269"/>
    </row>
    <row r="154" spans="1:13" x14ac:dyDescent="0.3">
      <c r="A154" s="271">
        <v>153</v>
      </c>
      <c r="B154" s="264">
        <v>45752</v>
      </c>
      <c r="C154" s="292" t="s">
        <v>1399</v>
      </c>
      <c r="D154" s="295" t="s">
        <v>1361</v>
      </c>
      <c r="E154" s="292" t="s">
        <v>1203</v>
      </c>
      <c r="F154" s="269" t="s">
        <v>1361</v>
      </c>
      <c r="G154" s="265">
        <v>1200000</v>
      </c>
      <c r="H154" s="269">
        <v>1</v>
      </c>
      <c r="K154" s="265">
        <v>1200000</v>
      </c>
      <c r="M154" s="269"/>
    </row>
    <row r="155" spans="1:13" x14ac:dyDescent="0.3">
      <c r="A155" s="271">
        <v>154</v>
      </c>
      <c r="B155" s="264">
        <v>45752</v>
      </c>
      <c r="C155" s="292" t="s">
        <v>1399</v>
      </c>
      <c r="E155" s="292" t="s">
        <v>1496</v>
      </c>
      <c r="G155" s="265">
        <v>350000</v>
      </c>
      <c r="H155" s="269">
        <v>1</v>
      </c>
      <c r="K155" s="265">
        <v>350000</v>
      </c>
      <c r="M155" s="269"/>
    </row>
    <row r="156" spans="1:13" x14ac:dyDescent="0.3">
      <c r="A156" s="271">
        <v>155</v>
      </c>
      <c r="B156" s="264">
        <v>45754</v>
      </c>
      <c r="C156" s="292" t="s">
        <v>1747</v>
      </c>
      <c r="E156" s="292" t="s">
        <v>1748</v>
      </c>
      <c r="G156" s="265">
        <v>650000</v>
      </c>
      <c r="H156" s="269">
        <v>1</v>
      </c>
      <c r="K156" s="265">
        <v>650000</v>
      </c>
      <c r="M156" s="269"/>
    </row>
    <row r="157" spans="1:13" x14ac:dyDescent="0.3">
      <c r="A157" s="271">
        <v>156</v>
      </c>
      <c r="B157" s="264">
        <v>45754</v>
      </c>
      <c r="C157" s="292" t="s">
        <v>1147</v>
      </c>
      <c r="D157" s="295" t="s">
        <v>1207</v>
      </c>
      <c r="E157" s="292" t="s">
        <v>1208</v>
      </c>
      <c r="F157" s="269" t="s">
        <v>1207</v>
      </c>
      <c r="G157" s="265">
        <v>549000</v>
      </c>
      <c r="H157" s="269">
        <v>1</v>
      </c>
      <c r="I157" s="266">
        <v>480000</v>
      </c>
      <c r="K157" s="265">
        <v>549000</v>
      </c>
      <c r="M157" s="269"/>
    </row>
    <row r="158" spans="1:13" x14ac:dyDescent="0.3">
      <c r="A158" s="271">
        <v>157</v>
      </c>
      <c r="B158" s="264">
        <v>45754</v>
      </c>
      <c r="C158" s="292" t="s">
        <v>1147</v>
      </c>
      <c r="D158" s="295">
        <v>50229</v>
      </c>
      <c r="E158" s="292" t="s">
        <v>1642</v>
      </c>
      <c r="F158" s="269">
        <v>50229</v>
      </c>
      <c r="G158" s="265">
        <v>75000</v>
      </c>
      <c r="H158" s="269">
        <v>1</v>
      </c>
      <c r="K158" s="265">
        <v>75000</v>
      </c>
      <c r="M158" s="269"/>
    </row>
    <row r="159" spans="1:13" x14ac:dyDescent="0.3">
      <c r="A159" s="271">
        <v>158</v>
      </c>
      <c r="B159" s="264">
        <v>45754</v>
      </c>
      <c r="C159" s="292" t="s">
        <v>1722</v>
      </c>
      <c r="D159" s="295">
        <v>415090409</v>
      </c>
      <c r="E159" s="292" t="s">
        <v>2522</v>
      </c>
      <c r="F159" s="269">
        <v>415090409</v>
      </c>
      <c r="G159" s="265">
        <v>510000</v>
      </c>
      <c r="H159" s="269">
        <v>1</v>
      </c>
      <c r="K159" s="265">
        <v>510000</v>
      </c>
      <c r="M159" s="269"/>
    </row>
    <row r="160" spans="1:13" x14ac:dyDescent="0.3">
      <c r="A160" s="271">
        <v>159</v>
      </c>
      <c r="B160" s="264">
        <v>45754</v>
      </c>
      <c r="C160" s="292" t="s">
        <v>1053</v>
      </c>
      <c r="D160" s="295" t="s">
        <v>1563</v>
      </c>
      <c r="E160" s="292" t="s">
        <v>1205</v>
      </c>
      <c r="F160" s="269" t="s">
        <v>1563</v>
      </c>
      <c r="G160" s="265">
        <v>1300000</v>
      </c>
      <c r="H160" s="269">
        <v>1</v>
      </c>
      <c r="K160" s="265">
        <v>1300000</v>
      </c>
      <c r="M160" s="269"/>
    </row>
    <row r="161" spans="1:13" x14ac:dyDescent="0.3">
      <c r="A161" s="271">
        <v>160</v>
      </c>
      <c r="B161" s="264">
        <v>45754</v>
      </c>
      <c r="C161" s="292" t="s">
        <v>1790</v>
      </c>
      <c r="E161" s="292" t="s">
        <v>1794</v>
      </c>
      <c r="F161" s="269" t="s">
        <v>1133</v>
      </c>
      <c r="G161" s="265">
        <v>600000</v>
      </c>
      <c r="H161" s="269">
        <v>1</v>
      </c>
      <c r="K161" s="265">
        <v>600000</v>
      </c>
      <c r="M161" s="269"/>
    </row>
    <row r="162" spans="1:13" x14ac:dyDescent="0.3">
      <c r="A162" s="271">
        <v>161</v>
      </c>
      <c r="B162" s="264">
        <v>45754</v>
      </c>
      <c r="C162" s="292" t="s">
        <v>1790</v>
      </c>
      <c r="D162" s="295" t="s">
        <v>1207</v>
      </c>
      <c r="E162" s="292" t="s">
        <v>1208</v>
      </c>
      <c r="F162" s="269" t="s">
        <v>1207</v>
      </c>
      <c r="G162" s="265">
        <v>549000</v>
      </c>
      <c r="H162" s="269">
        <v>1</v>
      </c>
      <c r="I162" s="266">
        <v>480000</v>
      </c>
      <c r="K162" s="265">
        <v>549000</v>
      </c>
      <c r="M162" s="269"/>
    </row>
    <row r="163" spans="1:13" x14ac:dyDescent="0.3">
      <c r="A163" s="271">
        <v>162</v>
      </c>
      <c r="B163" s="264">
        <v>45754</v>
      </c>
      <c r="C163" s="292" t="s">
        <v>1790</v>
      </c>
      <c r="D163" s="295" t="s">
        <v>1795</v>
      </c>
      <c r="E163" s="292" t="s">
        <v>1796</v>
      </c>
      <c r="F163" s="269" t="s">
        <v>1795</v>
      </c>
      <c r="G163" s="265">
        <v>50000</v>
      </c>
      <c r="H163" s="269">
        <v>1</v>
      </c>
      <c r="I163" s="266">
        <v>16000</v>
      </c>
      <c r="K163" s="265">
        <v>50000</v>
      </c>
      <c r="M163" s="269"/>
    </row>
    <row r="164" spans="1:13" x14ac:dyDescent="0.3">
      <c r="A164" s="271">
        <v>163</v>
      </c>
      <c r="B164" s="264">
        <v>45754</v>
      </c>
      <c r="C164" s="292" t="s">
        <v>1722</v>
      </c>
      <c r="D164" s="295" t="s">
        <v>1259</v>
      </c>
      <c r="E164" s="292" t="s">
        <v>1260</v>
      </c>
      <c r="F164" s="269" t="s">
        <v>1259</v>
      </c>
      <c r="G164" s="265">
        <v>130000</v>
      </c>
      <c r="H164" s="269">
        <v>1</v>
      </c>
      <c r="I164" s="266">
        <v>90000</v>
      </c>
      <c r="K164" s="265">
        <v>130000</v>
      </c>
      <c r="M164" s="269"/>
    </row>
    <row r="165" spans="1:13" x14ac:dyDescent="0.3">
      <c r="A165" s="271">
        <v>164</v>
      </c>
      <c r="B165" s="264">
        <v>45754</v>
      </c>
      <c r="C165" s="292" t="s">
        <v>1722</v>
      </c>
      <c r="D165" s="295">
        <v>415090409</v>
      </c>
      <c r="E165" s="292" t="s">
        <v>2522</v>
      </c>
      <c r="F165" s="269">
        <v>415090409</v>
      </c>
      <c r="G165" s="265">
        <v>510000</v>
      </c>
      <c r="H165" s="269">
        <v>1</v>
      </c>
      <c r="K165" s="265">
        <v>510000</v>
      </c>
      <c r="M165" s="269"/>
    </row>
    <row r="166" spans="1:13" x14ac:dyDescent="0.3">
      <c r="A166" s="271">
        <v>165</v>
      </c>
      <c r="B166" s="264">
        <v>45754</v>
      </c>
      <c r="C166" s="292" t="s">
        <v>1399</v>
      </c>
      <c r="D166" s="295" t="s">
        <v>1752</v>
      </c>
      <c r="E166" s="292" t="s">
        <v>1203</v>
      </c>
      <c r="F166" s="269" t="s">
        <v>1752</v>
      </c>
      <c r="G166" s="265">
        <v>1200000</v>
      </c>
      <c r="H166" s="269">
        <v>1</v>
      </c>
      <c r="K166" s="265">
        <v>1200000</v>
      </c>
      <c r="M166" s="269"/>
    </row>
    <row r="167" spans="1:13" x14ac:dyDescent="0.3">
      <c r="A167" s="271">
        <v>166</v>
      </c>
      <c r="B167" s="264">
        <v>45754</v>
      </c>
      <c r="C167" s="292" t="s">
        <v>1479</v>
      </c>
      <c r="E167" s="292" t="s">
        <v>1800</v>
      </c>
      <c r="L167" s="265">
        <v>-2000000</v>
      </c>
      <c r="M167" s="269"/>
    </row>
    <row r="168" spans="1:13" x14ac:dyDescent="0.3">
      <c r="A168" s="271">
        <v>167</v>
      </c>
      <c r="B168" s="264">
        <v>45755</v>
      </c>
      <c r="C168" s="292" t="s">
        <v>1449</v>
      </c>
      <c r="D168" s="295">
        <v>927156</v>
      </c>
      <c r="E168" s="292" t="s">
        <v>1802</v>
      </c>
      <c r="F168" s="269">
        <v>927156</v>
      </c>
      <c r="G168" s="265">
        <v>1500000</v>
      </c>
      <c r="H168" s="269">
        <v>1</v>
      </c>
      <c r="K168" s="265">
        <v>1500000</v>
      </c>
      <c r="M168" s="269"/>
    </row>
    <row r="169" spans="1:13" x14ac:dyDescent="0.3">
      <c r="A169" s="271">
        <v>168</v>
      </c>
      <c r="B169" s="264">
        <v>45755</v>
      </c>
      <c r="C169" s="292" t="s">
        <v>1449</v>
      </c>
      <c r="D169" s="295" t="s">
        <v>1803</v>
      </c>
      <c r="E169" s="292" t="s">
        <v>1575</v>
      </c>
      <c r="F169" s="269" t="s">
        <v>1803</v>
      </c>
      <c r="G169" s="265">
        <v>50000</v>
      </c>
      <c r="H169" s="269">
        <v>1</v>
      </c>
      <c r="I169" s="266">
        <v>33000</v>
      </c>
      <c r="K169" s="265">
        <v>50000</v>
      </c>
      <c r="M169" s="269"/>
    </row>
    <row r="170" spans="1:13" x14ac:dyDescent="0.3">
      <c r="A170" s="271">
        <v>169</v>
      </c>
      <c r="B170" s="264">
        <v>45755</v>
      </c>
      <c r="C170" s="292" t="s">
        <v>1805</v>
      </c>
      <c r="D170" s="295" t="s">
        <v>1200</v>
      </c>
      <c r="E170" s="292" t="s">
        <v>1643</v>
      </c>
      <c r="F170" s="269" t="s">
        <v>1200</v>
      </c>
      <c r="G170" s="265">
        <v>1400000</v>
      </c>
      <c r="H170" s="269">
        <v>1</v>
      </c>
      <c r="J170" s="266">
        <v>140000</v>
      </c>
      <c r="K170" s="265">
        <v>1540000</v>
      </c>
      <c r="M170" s="269"/>
    </row>
    <row r="171" spans="1:13" x14ac:dyDescent="0.3">
      <c r="A171" s="271">
        <v>170</v>
      </c>
      <c r="B171" s="264">
        <v>45755</v>
      </c>
      <c r="C171" s="292" t="s">
        <v>1018</v>
      </c>
      <c r="D171" s="295">
        <v>2800802</v>
      </c>
      <c r="E171" s="292" t="s">
        <v>1717</v>
      </c>
      <c r="F171" s="269">
        <v>2800802</v>
      </c>
      <c r="G171" s="265">
        <v>150000</v>
      </c>
      <c r="H171" s="269">
        <v>1</v>
      </c>
      <c r="I171" s="266">
        <v>85000</v>
      </c>
      <c r="K171" s="265">
        <v>150000</v>
      </c>
      <c r="M171" s="269"/>
    </row>
    <row r="172" spans="1:13" x14ac:dyDescent="0.3">
      <c r="A172" s="271">
        <v>171</v>
      </c>
      <c r="B172" s="264">
        <v>45755</v>
      </c>
      <c r="C172" s="292" t="s">
        <v>1809</v>
      </c>
      <c r="D172" s="295" t="s">
        <v>1766</v>
      </c>
      <c r="E172" s="292" t="s">
        <v>1764</v>
      </c>
      <c r="F172" s="269" t="s">
        <v>1766</v>
      </c>
      <c r="G172" s="265">
        <v>65000</v>
      </c>
      <c r="H172" s="269">
        <v>1</v>
      </c>
      <c r="I172" s="266">
        <v>45000</v>
      </c>
      <c r="K172" s="265">
        <v>65000</v>
      </c>
      <c r="M172" s="269"/>
    </row>
    <row r="173" spans="1:13" x14ac:dyDescent="0.3">
      <c r="A173" s="271">
        <v>172</v>
      </c>
      <c r="B173" s="264">
        <v>45755</v>
      </c>
      <c r="C173" s="292" t="s">
        <v>1809</v>
      </c>
      <c r="D173" s="295" t="s">
        <v>1763</v>
      </c>
      <c r="E173" s="292" t="s">
        <v>1764</v>
      </c>
      <c r="F173" s="269" t="s">
        <v>1763</v>
      </c>
      <c r="G173" s="265">
        <v>25000</v>
      </c>
      <c r="H173" s="269">
        <v>1</v>
      </c>
      <c r="I173" s="266">
        <v>11200</v>
      </c>
      <c r="K173" s="265">
        <v>25000</v>
      </c>
      <c r="M173" s="269"/>
    </row>
    <row r="174" spans="1:13" x14ac:dyDescent="0.3">
      <c r="A174" s="271">
        <v>173</v>
      </c>
      <c r="B174" s="264">
        <v>45755</v>
      </c>
      <c r="C174" s="292" t="s">
        <v>1580</v>
      </c>
      <c r="D174" s="295" t="s">
        <v>1207</v>
      </c>
      <c r="E174" s="292" t="s">
        <v>1208</v>
      </c>
      <c r="F174" s="269" t="s">
        <v>1207</v>
      </c>
      <c r="G174" s="265">
        <v>549000</v>
      </c>
      <c r="H174" s="269">
        <v>1</v>
      </c>
      <c r="I174" s="266">
        <v>480000</v>
      </c>
      <c r="K174" s="265">
        <v>549000</v>
      </c>
      <c r="M174" s="269"/>
    </row>
    <row r="175" spans="1:13" x14ac:dyDescent="0.3">
      <c r="A175" s="271">
        <v>174</v>
      </c>
      <c r="B175" s="264">
        <v>45755</v>
      </c>
      <c r="C175" s="292" t="s">
        <v>1812</v>
      </c>
      <c r="E175" s="292" t="s">
        <v>1743</v>
      </c>
      <c r="G175" s="265">
        <v>650000</v>
      </c>
      <c r="H175" s="269">
        <v>1</v>
      </c>
      <c r="J175" s="266">
        <v>65000</v>
      </c>
      <c r="K175" s="265">
        <v>715000</v>
      </c>
      <c r="M175" s="269"/>
    </row>
    <row r="176" spans="1:13" x14ac:dyDescent="0.3">
      <c r="A176" s="271">
        <v>175</v>
      </c>
      <c r="B176" s="264">
        <v>45756</v>
      </c>
      <c r="C176" s="292" t="s">
        <v>1722</v>
      </c>
      <c r="D176" s="295" t="s">
        <v>1259</v>
      </c>
      <c r="E176" s="292" t="s">
        <v>1260</v>
      </c>
      <c r="F176" s="269" t="s">
        <v>1259</v>
      </c>
      <c r="G176" s="265">
        <v>130000</v>
      </c>
      <c r="H176" s="269">
        <v>2</v>
      </c>
      <c r="I176" s="266">
        <v>90000</v>
      </c>
      <c r="K176" s="265">
        <v>260000</v>
      </c>
      <c r="M176" s="269"/>
    </row>
    <row r="177" spans="1:13" x14ac:dyDescent="0.3">
      <c r="A177" s="271">
        <v>176</v>
      </c>
      <c r="B177" s="264">
        <v>45756</v>
      </c>
      <c r="C177" s="292" t="s">
        <v>1722</v>
      </c>
      <c r="D177" s="295" t="s">
        <v>1822</v>
      </c>
      <c r="E177" s="292" t="s">
        <v>1823</v>
      </c>
      <c r="F177" s="269" t="s">
        <v>1822</v>
      </c>
      <c r="G177" s="265">
        <v>10000</v>
      </c>
      <c r="H177" s="269">
        <v>2</v>
      </c>
      <c r="I177" s="266">
        <v>8500</v>
      </c>
      <c r="K177" s="265">
        <v>20000</v>
      </c>
      <c r="M177" s="269"/>
    </row>
    <row r="178" spans="1:13" x14ac:dyDescent="0.3">
      <c r="A178" s="271">
        <v>177</v>
      </c>
      <c r="B178" s="264">
        <v>45756</v>
      </c>
      <c r="C178" s="292" t="s">
        <v>1722</v>
      </c>
      <c r="D178" s="295" t="s">
        <v>1795</v>
      </c>
      <c r="E178" s="292" t="s">
        <v>1796</v>
      </c>
      <c r="F178" s="269" t="s">
        <v>1795</v>
      </c>
      <c r="G178" s="265">
        <v>20000</v>
      </c>
      <c r="H178" s="269">
        <v>3</v>
      </c>
      <c r="I178" s="266">
        <v>16000</v>
      </c>
      <c r="K178" s="265">
        <v>60000</v>
      </c>
      <c r="M178" s="269"/>
    </row>
    <row r="179" spans="1:13" x14ac:dyDescent="0.3">
      <c r="A179" s="271">
        <v>178</v>
      </c>
      <c r="B179" s="264">
        <v>45757</v>
      </c>
      <c r="C179" s="292" t="s">
        <v>1541</v>
      </c>
      <c r="E179" s="292" t="s">
        <v>1744</v>
      </c>
      <c r="G179" s="265">
        <v>1550000</v>
      </c>
      <c r="H179" s="269">
        <v>1</v>
      </c>
      <c r="K179" s="265">
        <v>1550000</v>
      </c>
      <c r="M179" s="269"/>
    </row>
    <row r="180" spans="1:13" x14ac:dyDescent="0.3">
      <c r="A180" s="271">
        <v>179</v>
      </c>
      <c r="B180" s="264">
        <v>45757</v>
      </c>
      <c r="C180" s="292" t="s">
        <v>1458</v>
      </c>
      <c r="E180" s="292" t="s">
        <v>1744</v>
      </c>
      <c r="G180" s="265">
        <v>1550000</v>
      </c>
      <c r="H180" s="269">
        <v>1</v>
      </c>
      <c r="K180" s="265">
        <v>1550000</v>
      </c>
      <c r="M180" s="269"/>
    </row>
    <row r="181" spans="1:13" x14ac:dyDescent="0.3">
      <c r="A181" s="271">
        <v>180</v>
      </c>
      <c r="B181" s="264">
        <v>45757</v>
      </c>
      <c r="C181" s="292" t="s">
        <v>1805</v>
      </c>
      <c r="D181" s="295" t="s">
        <v>1207</v>
      </c>
      <c r="E181" s="292" t="s">
        <v>1208</v>
      </c>
      <c r="F181" s="269" t="s">
        <v>1207</v>
      </c>
      <c r="G181" s="265">
        <v>499091</v>
      </c>
      <c r="H181" s="269">
        <v>1</v>
      </c>
      <c r="I181" s="266">
        <v>480000</v>
      </c>
      <c r="J181" s="266">
        <v>49909.100000000006</v>
      </c>
      <c r="K181" s="265">
        <v>549000.1</v>
      </c>
      <c r="M181" s="269"/>
    </row>
    <row r="182" spans="1:13" x14ac:dyDescent="0.3">
      <c r="A182" s="271">
        <v>181</v>
      </c>
      <c r="B182" s="264">
        <v>45758</v>
      </c>
      <c r="C182" s="292" t="s">
        <v>1469</v>
      </c>
      <c r="E182" s="292" t="s">
        <v>1839</v>
      </c>
      <c r="G182" s="265">
        <v>150000</v>
      </c>
      <c r="H182" s="269">
        <v>1</v>
      </c>
      <c r="K182" s="265">
        <v>150000</v>
      </c>
      <c r="M182" s="269"/>
    </row>
    <row r="183" spans="1:13" x14ac:dyDescent="0.3">
      <c r="A183" s="271">
        <v>182</v>
      </c>
      <c r="B183" s="264">
        <v>45758</v>
      </c>
      <c r="C183" s="292" t="s">
        <v>1838</v>
      </c>
      <c r="E183" s="292" t="s">
        <v>1841</v>
      </c>
      <c r="G183" s="265">
        <v>150000</v>
      </c>
      <c r="H183" s="269">
        <v>1</v>
      </c>
      <c r="K183" s="265">
        <v>150000</v>
      </c>
      <c r="M183" s="269"/>
    </row>
    <row r="184" spans="1:13" x14ac:dyDescent="0.3">
      <c r="A184" s="271">
        <v>183</v>
      </c>
      <c r="B184" s="264">
        <v>45759</v>
      </c>
      <c r="C184" s="292" t="s">
        <v>1018</v>
      </c>
      <c r="D184" s="295" t="s">
        <v>1752</v>
      </c>
      <c r="E184" s="292" t="s">
        <v>1203</v>
      </c>
      <c r="F184" s="269" t="s">
        <v>1752</v>
      </c>
      <c r="G184" s="265">
        <v>1200000</v>
      </c>
      <c r="H184" s="269">
        <v>1</v>
      </c>
      <c r="K184" s="265">
        <v>1200000</v>
      </c>
      <c r="M184" s="269"/>
    </row>
    <row r="185" spans="1:13" x14ac:dyDescent="0.3">
      <c r="A185" s="271">
        <v>184</v>
      </c>
      <c r="B185" s="264">
        <v>45759</v>
      </c>
      <c r="C185" s="292" t="s">
        <v>1018</v>
      </c>
      <c r="E185" s="292" t="s">
        <v>1496</v>
      </c>
      <c r="G185" s="265">
        <v>350000</v>
      </c>
      <c r="H185" s="269">
        <v>1</v>
      </c>
      <c r="K185" s="265">
        <v>350000</v>
      </c>
      <c r="M185" s="269"/>
    </row>
    <row r="186" spans="1:13" x14ac:dyDescent="0.3">
      <c r="A186" s="271">
        <v>185</v>
      </c>
      <c r="B186" s="264">
        <v>45759</v>
      </c>
      <c r="C186" s="292" t="s">
        <v>1577</v>
      </c>
      <c r="D186" s="295" t="s">
        <v>1752</v>
      </c>
      <c r="E186" s="292" t="s">
        <v>1203</v>
      </c>
      <c r="F186" s="269" t="s">
        <v>1752</v>
      </c>
      <c r="G186" s="265">
        <v>1200000</v>
      </c>
      <c r="H186" s="269">
        <v>1</v>
      </c>
      <c r="K186" s="265">
        <v>1200000</v>
      </c>
      <c r="M186" s="269"/>
    </row>
    <row r="187" spans="1:13" x14ac:dyDescent="0.3">
      <c r="A187" s="271">
        <v>186</v>
      </c>
      <c r="B187" s="264">
        <v>45759</v>
      </c>
      <c r="C187" s="292" t="s">
        <v>1018</v>
      </c>
      <c r="D187" s="295" t="s">
        <v>1704</v>
      </c>
      <c r="E187" s="292" t="s">
        <v>1705</v>
      </c>
      <c r="F187" s="269" t="s">
        <v>1704</v>
      </c>
      <c r="G187" s="265">
        <v>50000</v>
      </c>
      <c r="H187" s="269">
        <v>1</v>
      </c>
      <c r="K187" s="265">
        <v>50000</v>
      </c>
      <c r="M187" s="269"/>
    </row>
    <row r="188" spans="1:13" x14ac:dyDescent="0.3">
      <c r="A188" s="271">
        <v>187</v>
      </c>
      <c r="B188" s="264">
        <v>45761</v>
      </c>
      <c r="C188" s="292" t="s">
        <v>1018</v>
      </c>
      <c r="D188" s="295">
        <v>2800802</v>
      </c>
      <c r="E188" s="292" t="s">
        <v>1717</v>
      </c>
      <c r="F188" s="269">
        <v>2800802</v>
      </c>
      <c r="G188" s="265">
        <v>150000</v>
      </c>
      <c r="H188" s="269">
        <v>1</v>
      </c>
      <c r="I188" s="266">
        <v>85000</v>
      </c>
      <c r="K188" s="265">
        <v>150000</v>
      </c>
      <c r="M188" s="269"/>
    </row>
    <row r="189" spans="1:13" x14ac:dyDescent="0.3">
      <c r="A189" s="271">
        <v>188</v>
      </c>
      <c r="B189" s="264">
        <v>45761</v>
      </c>
      <c r="C189" s="292" t="s">
        <v>1018</v>
      </c>
      <c r="D189" s="295" t="s">
        <v>1795</v>
      </c>
      <c r="E189" s="292" t="s">
        <v>1796</v>
      </c>
      <c r="F189" s="269" t="s">
        <v>1795</v>
      </c>
      <c r="G189" s="265">
        <v>30000</v>
      </c>
      <c r="H189" s="269">
        <v>1</v>
      </c>
      <c r="I189" s="266">
        <v>16000</v>
      </c>
      <c r="K189" s="265">
        <v>30000</v>
      </c>
      <c r="M189" s="269"/>
    </row>
    <row r="190" spans="1:13" x14ac:dyDescent="0.3">
      <c r="A190" s="271">
        <v>189</v>
      </c>
      <c r="B190" s="264">
        <v>45761</v>
      </c>
      <c r="C190" s="292" t="s">
        <v>1018</v>
      </c>
      <c r="D190" s="295" t="s">
        <v>1822</v>
      </c>
      <c r="E190" s="292" t="s">
        <v>1823</v>
      </c>
      <c r="F190" s="269" t="s">
        <v>1822</v>
      </c>
      <c r="G190" s="265">
        <v>10000</v>
      </c>
      <c r="H190" s="269">
        <v>1</v>
      </c>
      <c r="I190" s="266">
        <v>8500</v>
      </c>
      <c r="K190" s="265">
        <v>10000</v>
      </c>
      <c r="M190" s="269"/>
    </row>
    <row r="191" spans="1:13" x14ac:dyDescent="0.3">
      <c r="A191" s="271">
        <v>190</v>
      </c>
      <c r="B191" s="264">
        <v>45759</v>
      </c>
      <c r="C191" s="292" t="s">
        <v>1847</v>
      </c>
      <c r="D191" s="295" t="s">
        <v>1849</v>
      </c>
      <c r="E191" s="292" t="s">
        <v>1850</v>
      </c>
      <c r="F191" s="269" t="s">
        <v>1849</v>
      </c>
      <c r="G191" s="265">
        <v>210000</v>
      </c>
      <c r="H191" s="269">
        <v>1</v>
      </c>
      <c r="K191" s="265">
        <v>210000</v>
      </c>
      <c r="M191" s="269"/>
    </row>
    <row r="192" spans="1:13" x14ac:dyDescent="0.3">
      <c r="A192" s="271">
        <v>191</v>
      </c>
      <c r="B192" s="264">
        <v>45761</v>
      </c>
      <c r="C192" s="292" t="s">
        <v>1147</v>
      </c>
      <c r="D192" s="295">
        <v>2800801</v>
      </c>
      <c r="E192" s="292" t="s">
        <v>1855</v>
      </c>
      <c r="F192" s="269">
        <v>2800801</v>
      </c>
      <c r="G192" s="265">
        <v>150000</v>
      </c>
      <c r="H192" s="269">
        <v>1</v>
      </c>
      <c r="I192" s="266">
        <v>85000</v>
      </c>
      <c r="K192" s="265">
        <v>150000</v>
      </c>
      <c r="M192" s="269"/>
    </row>
    <row r="193" spans="1:16" x14ac:dyDescent="0.3">
      <c r="A193" s="271">
        <v>192</v>
      </c>
      <c r="B193" s="264">
        <v>45761</v>
      </c>
      <c r="C193" s="292" t="s">
        <v>1053</v>
      </c>
      <c r="D193" s="295" t="s">
        <v>1204</v>
      </c>
      <c r="E193" s="292" t="s">
        <v>1205</v>
      </c>
      <c r="F193" s="269" t="s">
        <v>1204</v>
      </c>
      <c r="G193" s="265">
        <v>1200000</v>
      </c>
      <c r="H193" s="269">
        <v>1</v>
      </c>
      <c r="K193" s="265">
        <v>1200000</v>
      </c>
      <c r="M193" s="269"/>
    </row>
    <row r="194" spans="1:16" x14ac:dyDescent="0.3">
      <c r="A194" s="271">
        <v>193</v>
      </c>
      <c r="B194" s="264">
        <v>45761</v>
      </c>
      <c r="C194" s="292" t="s">
        <v>1018</v>
      </c>
      <c r="D194" s="295">
        <v>415062109</v>
      </c>
      <c r="E194" s="292" t="s">
        <v>2522</v>
      </c>
      <c r="F194" s="269">
        <v>415062109</v>
      </c>
      <c r="G194" s="265">
        <v>680000</v>
      </c>
      <c r="H194" s="269">
        <v>1</v>
      </c>
      <c r="K194" s="265">
        <v>680000</v>
      </c>
      <c r="M194" s="269"/>
    </row>
    <row r="195" spans="1:16" x14ac:dyDescent="0.3">
      <c r="A195" s="271">
        <v>194</v>
      </c>
      <c r="B195" s="264">
        <v>45761</v>
      </c>
      <c r="C195" s="292" t="s">
        <v>1018</v>
      </c>
      <c r="D195" s="295">
        <v>50229</v>
      </c>
      <c r="E195" s="292" t="s">
        <v>1642</v>
      </c>
      <c r="F195" s="269">
        <v>50229</v>
      </c>
      <c r="G195" s="265">
        <v>75000</v>
      </c>
      <c r="H195" s="269">
        <v>1</v>
      </c>
      <c r="K195" s="265">
        <v>75000</v>
      </c>
      <c r="M195" s="269"/>
    </row>
    <row r="196" spans="1:16" x14ac:dyDescent="0.3">
      <c r="A196" s="271">
        <v>195</v>
      </c>
      <c r="B196" s="264">
        <v>45761</v>
      </c>
      <c r="C196" s="292" t="s">
        <v>1809</v>
      </c>
      <c r="D196" s="295" t="s">
        <v>3670</v>
      </c>
      <c r="E196" s="292" t="s">
        <v>1859</v>
      </c>
      <c r="F196" s="269" t="s">
        <v>3670</v>
      </c>
      <c r="G196" s="265">
        <v>1100000</v>
      </c>
      <c r="H196" s="269">
        <v>1</v>
      </c>
      <c r="K196" s="265">
        <v>1100000</v>
      </c>
      <c r="M196" s="269"/>
    </row>
    <row r="197" spans="1:16" x14ac:dyDescent="0.3">
      <c r="A197" s="271">
        <v>196</v>
      </c>
      <c r="B197" s="264">
        <v>45761</v>
      </c>
      <c r="C197" s="292" t="s">
        <v>1861</v>
      </c>
      <c r="E197" s="292" t="s">
        <v>1862</v>
      </c>
      <c r="G197" s="265">
        <v>3500000</v>
      </c>
      <c r="H197" s="269">
        <v>1</v>
      </c>
      <c r="K197" s="265">
        <v>3500000</v>
      </c>
      <c r="M197" s="269"/>
    </row>
    <row r="198" spans="1:16" x14ac:dyDescent="0.3">
      <c r="A198" s="271">
        <v>197</v>
      </c>
      <c r="B198" s="264">
        <v>45761</v>
      </c>
      <c r="C198" s="292" t="s">
        <v>1867</v>
      </c>
      <c r="E198" s="292" t="s">
        <v>1155</v>
      </c>
      <c r="G198" s="269">
        <v>1500000</v>
      </c>
      <c r="H198" s="265">
        <v>1</v>
      </c>
      <c r="K198" s="265">
        <v>1500000</v>
      </c>
      <c r="M198" s="269"/>
      <c r="P198" s="194"/>
    </row>
    <row r="199" spans="1:16" x14ac:dyDescent="0.3">
      <c r="A199" s="271">
        <v>198</v>
      </c>
      <c r="B199" s="264">
        <v>45761</v>
      </c>
      <c r="C199" s="292" t="s">
        <v>1867</v>
      </c>
      <c r="E199" s="292" t="s">
        <v>1869</v>
      </c>
      <c r="G199" s="269"/>
      <c r="H199" s="265"/>
      <c r="L199" s="265">
        <v>-1500000</v>
      </c>
      <c r="M199" s="269"/>
      <c r="P199" s="194"/>
    </row>
    <row r="200" spans="1:16" x14ac:dyDescent="0.3">
      <c r="A200" s="271">
        <v>199</v>
      </c>
      <c r="B200" s="264">
        <v>45761</v>
      </c>
      <c r="C200" s="292" t="s">
        <v>1870</v>
      </c>
      <c r="E200" s="292" t="s">
        <v>1155</v>
      </c>
      <c r="G200" s="269">
        <v>1500000</v>
      </c>
      <c r="H200" s="265">
        <v>1</v>
      </c>
      <c r="K200" s="265">
        <v>1500000</v>
      </c>
      <c r="M200" s="269"/>
      <c r="P200" s="194"/>
    </row>
    <row r="201" spans="1:16" x14ac:dyDescent="0.3">
      <c r="A201" s="271">
        <v>200</v>
      </c>
      <c r="B201" s="264">
        <v>45761</v>
      </c>
      <c r="C201" s="292" t="s">
        <v>1870</v>
      </c>
      <c r="E201" s="292" t="s">
        <v>1872</v>
      </c>
      <c r="G201" s="269"/>
      <c r="H201" s="265"/>
      <c r="L201" s="265">
        <v>-1500000</v>
      </c>
      <c r="M201" s="269"/>
      <c r="P201" s="194"/>
    </row>
    <row r="202" spans="1:16" x14ac:dyDescent="0.3">
      <c r="A202" s="271">
        <v>201</v>
      </c>
      <c r="B202" s="264">
        <v>45762</v>
      </c>
      <c r="C202" s="292" t="s">
        <v>1876</v>
      </c>
      <c r="E202" s="292" t="s">
        <v>1743</v>
      </c>
      <c r="G202" s="269">
        <v>650000</v>
      </c>
      <c r="H202" s="265">
        <v>1</v>
      </c>
      <c r="K202" s="265">
        <v>650000</v>
      </c>
      <c r="M202" s="269"/>
      <c r="P202" s="194"/>
    </row>
    <row r="203" spans="1:16" x14ac:dyDescent="0.3">
      <c r="A203" s="271">
        <v>202</v>
      </c>
      <c r="B203" s="264">
        <v>45762</v>
      </c>
      <c r="C203" s="292" t="s">
        <v>1722</v>
      </c>
      <c r="D203" s="295" t="s">
        <v>1873</v>
      </c>
      <c r="E203" s="292" t="s">
        <v>1874</v>
      </c>
      <c r="F203" s="269" t="s">
        <v>1873</v>
      </c>
      <c r="G203" s="265">
        <v>10000</v>
      </c>
      <c r="H203" s="265">
        <v>5</v>
      </c>
      <c r="I203" s="266">
        <v>0</v>
      </c>
      <c r="K203" s="265">
        <v>50000</v>
      </c>
      <c r="M203" s="269"/>
      <c r="P203" s="194"/>
    </row>
    <row r="204" spans="1:16" x14ac:dyDescent="0.3">
      <c r="A204" s="271">
        <v>203</v>
      </c>
      <c r="B204" s="264">
        <v>45762</v>
      </c>
      <c r="C204" s="292" t="s">
        <v>1671</v>
      </c>
      <c r="D204" s="295" t="s">
        <v>1201</v>
      </c>
      <c r="E204" s="292" t="s">
        <v>1644</v>
      </c>
      <c r="F204" s="269" t="s">
        <v>1201</v>
      </c>
      <c r="G204" s="269">
        <v>1500000</v>
      </c>
      <c r="H204" s="265">
        <v>1</v>
      </c>
      <c r="K204" s="265">
        <v>1500000</v>
      </c>
      <c r="M204" s="269"/>
      <c r="P204" s="194"/>
    </row>
    <row r="205" spans="1:16" x14ac:dyDescent="0.3">
      <c r="A205" s="271">
        <v>204</v>
      </c>
      <c r="B205" s="264">
        <v>45762</v>
      </c>
      <c r="C205" s="292" t="s">
        <v>1809</v>
      </c>
      <c r="D205" s="295" t="s">
        <v>1766</v>
      </c>
      <c r="E205" s="292" t="s">
        <v>1764</v>
      </c>
      <c r="F205" s="269" t="s">
        <v>1766</v>
      </c>
      <c r="G205" s="269">
        <v>65000</v>
      </c>
      <c r="H205" s="265">
        <v>1</v>
      </c>
      <c r="I205" s="266">
        <v>45000</v>
      </c>
      <c r="K205" s="265">
        <v>65000</v>
      </c>
      <c r="M205" s="269"/>
      <c r="P205" s="194"/>
    </row>
    <row r="206" spans="1:16" x14ac:dyDescent="0.3">
      <c r="A206" s="271">
        <v>205</v>
      </c>
      <c r="B206" s="264">
        <v>45762</v>
      </c>
      <c r="C206" s="292" t="s">
        <v>1809</v>
      </c>
      <c r="D206" s="295" t="s">
        <v>1763</v>
      </c>
      <c r="E206" s="292" t="s">
        <v>1764</v>
      </c>
      <c r="F206" s="269" t="s">
        <v>1763</v>
      </c>
      <c r="G206" s="269">
        <v>25000</v>
      </c>
      <c r="H206" s="265">
        <v>1</v>
      </c>
      <c r="I206" s="266">
        <v>11200</v>
      </c>
      <c r="K206" s="265">
        <v>25000</v>
      </c>
      <c r="M206" s="269"/>
      <c r="P206" s="194"/>
    </row>
    <row r="207" spans="1:16" x14ac:dyDescent="0.3">
      <c r="A207" s="271">
        <v>206</v>
      </c>
      <c r="B207" s="264">
        <v>45763</v>
      </c>
      <c r="C207" s="292" t="s">
        <v>1890</v>
      </c>
      <c r="E207" s="292" t="s">
        <v>1893</v>
      </c>
      <c r="G207" s="269">
        <v>250000</v>
      </c>
      <c r="H207" s="265">
        <v>1</v>
      </c>
      <c r="K207" s="265">
        <v>250000</v>
      </c>
      <c r="M207" s="269"/>
      <c r="P207" s="194"/>
    </row>
    <row r="208" spans="1:16" x14ac:dyDescent="0.3">
      <c r="A208" s="271">
        <v>207</v>
      </c>
      <c r="B208" s="264">
        <v>45763</v>
      </c>
      <c r="C208" s="292" t="s">
        <v>1894</v>
      </c>
      <c r="D208" s="295" t="s">
        <v>1752</v>
      </c>
      <c r="E208" s="292" t="s">
        <v>1203</v>
      </c>
      <c r="F208" s="269" t="s">
        <v>1752</v>
      </c>
      <c r="G208" s="269">
        <v>1200000</v>
      </c>
      <c r="H208" s="265">
        <v>1</v>
      </c>
      <c r="K208" s="265">
        <v>1200000</v>
      </c>
      <c r="M208" s="269"/>
      <c r="P208" s="194"/>
    </row>
    <row r="209" spans="1:16" x14ac:dyDescent="0.3">
      <c r="A209" s="271">
        <v>208</v>
      </c>
      <c r="B209" s="264">
        <v>45763</v>
      </c>
      <c r="C209" s="292" t="s">
        <v>978</v>
      </c>
      <c r="D209" s="295" t="s">
        <v>1752</v>
      </c>
      <c r="E209" s="292" t="s">
        <v>1203</v>
      </c>
      <c r="F209" s="269" t="s">
        <v>1752</v>
      </c>
      <c r="G209" s="269">
        <v>1300000</v>
      </c>
      <c r="H209" s="265">
        <v>1</v>
      </c>
      <c r="K209" s="265">
        <v>1300000</v>
      </c>
      <c r="M209" s="269"/>
      <c r="P209" s="194"/>
    </row>
    <row r="210" spans="1:16" x14ac:dyDescent="0.3">
      <c r="A210" s="271">
        <v>209</v>
      </c>
      <c r="B210" s="264">
        <v>45763</v>
      </c>
      <c r="C210" s="292" t="s">
        <v>978</v>
      </c>
      <c r="D210" s="295" t="s">
        <v>1752</v>
      </c>
      <c r="E210" s="292" t="s">
        <v>1203</v>
      </c>
      <c r="F210" s="269" t="s">
        <v>1752</v>
      </c>
      <c r="G210" s="269">
        <v>650000</v>
      </c>
      <c r="H210" s="265">
        <v>1</v>
      </c>
      <c r="K210" s="265">
        <v>650000</v>
      </c>
      <c r="M210" s="269"/>
      <c r="P210" s="194"/>
    </row>
    <row r="211" spans="1:16" x14ac:dyDescent="0.3">
      <c r="A211" s="271">
        <v>210</v>
      </c>
      <c r="B211" s="264">
        <v>45763</v>
      </c>
      <c r="C211" s="292" t="s">
        <v>1598</v>
      </c>
      <c r="D211" s="295" t="s">
        <v>1207</v>
      </c>
      <c r="E211" s="292" t="s">
        <v>1208</v>
      </c>
      <c r="F211" s="269" t="s">
        <v>1207</v>
      </c>
      <c r="G211" s="269">
        <v>499091</v>
      </c>
      <c r="H211" s="265">
        <v>1</v>
      </c>
      <c r="I211" s="266">
        <v>480000</v>
      </c>
      <c r="J211" s="266">
        <v>49909.100000000006</v>
      </c>
      <c r="K211" s="265">
        <v>549000.1</v>
      </c>
      <c r="M211" s="269"/>
      <c r="P211" s="194"/>
    </row>
    <row r="212" spans="1:16" x14ac:dyDescent="0.3">
      <c r="A212" s="271">
        <v>211</v>
      </c>
      <c r="B212" s="264">
        <v>45763</v>
      </c>
      <c r="C212" s="292" t="s">
        <v>1580</v>
      </c>
      <c r="D212" s="295" t="s">
        <v>1901</v>
      </c>
      <c r="E212" s="292" t="s">
        <v>1902</v>
      </c>
      <c r="F212" s="269" t="s">
        <v>1901</v>
      </c>
      <c r="G212" s="269">
        <v>20000</v>
      </c>
      <c r="H212" s="265">
        <v>1</v>
      </c>
      <c r="I212" s="266">
        <v>13000</v>
      </c>
      <c r="J212" s="266">
        <v>2000</v>
      </c>
      <c r="K212" s="265">
        <v>20000</v>
      </c>
      <c r="M212" s="269"/>
      <c r="P212" s="194"/>
    </row>
    <row r="213" spans="1:16" x14ac:dyDescent="0.3">
      <c r="A213" s="271">
        <v>212</v>
      </c>
      <c r="B213" s="264">
        <v>45764</v>
      </c>
      <c r="C213" s="292" t="s">
        <v>1399</v>
      </c>
      <c r="E213" s="292" t="s">
        <v>1916</v>
      </c>
      <c r="G213" s="269">
        <v>1000000</v>
      </c>
      <c r="H213" s="265">
        <v>1</v>
      </c>
      <c r="K213" s="265">
        <v>1000000</v>
      </c>
      <c r="M213" s="269"/>
      <c r="P213" s="194"/>
    </row>
    <row r="214" spans="1:16" x14ac:dyDescent="0.3">
      <c r="A214" s="271">
        <v>213</v>
      </c>
      <c r="B214" s="264">
        <v>45764</v>
      </c>
      <c r="C214" s="292" t="s">
        <v>1541</v>
      </c>
      <c r="E214" s="292" t="s">
        <v>1919</v>
      </c>
      <c r="G214" s="269">
        <v>2000000</v>
      </c>
      <c r="H214" s="265">
        <v>1</v>
      </c>
      <c r="K214" s="265">
        <v>2000000</v>
      </c>
      <c r="M214" s="269"/>
      <c r="P214" s="194"/>
    </row>
    <row r="215" spans="1:16" x14ac:dyDescent="0.3">
      <c r="A215" s="271">
        <v>214</v>
      </c>
      <c r="B215" s="264">
        <v>45764</v>
      </c>
      <c r="C215" s="292" t="s">
        <v>1442</v>
      </c>
      <c r="E215" s="292" t="s">
        <v>1140</v>
      </c>
      <c r="G215" s="269">
        <v>800000</v>
      </c>
      <c r="H215" s="265">
        <v>1</v>
      </c>
      <c r="K215" s="265">
        <v>800000</v>
      </c>
      <c r="M215" s="269"/>
      <c r="P215" s="194"/>
    </row>
    <row r="216" spans="1:16" x14ac:dyDescent="0.3">
      <c r="A216" s="271">
        <v>215</v>
      </c>
      <c r="B216" s="264">
        <v>45765</v>
      </c>
      <c r="C216" s="292" t="s">
        <v>1671</v>
      </c>
      <c r="D216" s="295" t="s">
        <v>1752</v>
      </c>
      <c r="E216" s="292" t="s">
        <v>1203</v>
      </c>
      <c r="F216" s="269" t="s">
        <v>1752</v>
      </c>
      <c r="G216" s="269">
        <v>1200000</v>
      </c>
      <c r="H216" s="265">
        <v>1</v>
      </c>
      <c r="J216" s="266">
        <v>120000</v>
      </c>
      <c r="K216" s="265">
        <v>1200000</v>
      </c>
      <c r="M216" s="269"/>
      <c r="P216" s="194"/>
    </row>
    <row r="217" spans="1:16" x14ac:dyDescent="0.3">
      <c r="A217" s="271">
        <v>216</v>
      </c>
      <c r="B217" s="264">
        <v>45765</v>
      </c>
      <c r="C217" s="292" t="s">
        <v>1671</v>
      </c>
      <c r="E217" s="292" t="s">
        <v>1496</v>
      </c>
      <c r="G217" s="269">
        <v>350000</v>
      </c>
      <c r="H217" s="265">
        <v>1</v>
      </c>
      <c r="J217" s="266">
        <v>35000</v>
      </c>
      <c r="K217" s="265">
        <v>350000</v>
      </c>
      <c r="M217" s="269"/>
      <c r="P217" s="194"/>
    </row>
    <row r="218" spans="1:16" x14ac:dyDescent="0.3">
      <c r="A218" s="271">
        <v>217</v>
      </c>
      <c r="B218" s="264">
        <v>45765</v>
      </c>
      <c r="C218" s="292" t="s">
        <v>1722</v>
      </c>
      <c r="E218" s="292" t="s">
        <v>1926</v>
      </c>
      <c r="G218" s="269">
        <v>1200000</v>
      </c>
      <c r="H218" s="265">
        <v>1</v>
      </c>
      <c r="K218" s="265">
        <v>1200000</v>
      </c>
      <c r="M218" s="269"/>
      <c r="P218" s="194"/>
    </row>
    <row r="219" spans="1:16" x14ac:dyDescent="0.3">
      <c r="A219" s="271">
        <v>218</v>
      </c>
      <c r="B219" s="264">
        <v>45765</v>
      </c>
      <c r="C219" s="292" t="s">
        <v>1722</v>
      </c>
      <c r="D219" s="295" t="s">
        <v>1265</v>
      </c>
      <c r="E219" s="292" t="s">
        <v>1266</v>
      </c>
      <c r="F219" s="269" t="s">
        <v>1265</v>
      </c>
      <c r="G219" s="269">
        <v>50000</v>
      </c>
      <c r="H219" s="265">
        <v>2</v>
      </c>
      <c r="K219" s="265">
        <v>100000</v>
      </c>
      <c r="M219" s="269"/>
      <c r="P219" s="194"/>
    </row>
    <row r="220" spans="1:16" x14ac:dyDescent="0.3">
      <c r="A220" s="271">
        <v>219</v>
      </c>
      <c r="B220" s="264">
        <v>45765</v>
      </c>
      <c r="C220" s="292" t="s">
        <v>1598</v>
      </c>
      <c r="D220" s="295" t="s">
        <v>1923</v>
      </c>
      <c r="E220" s="292" t="s">
        <v>1581</v>
      </c>
      <c r="F220" s="269" t="s">
        <v>1923</v>
      </c>
      <c r="G220" s="269">
        <v>1400000</v>
      </c>
      <c r="H220" s="265">
        <v>1</v>
      </c>
      <c r="K220" s="265">
        <v>1400000</v>
      </c>
      <c r="M220" s="269"/>
      <c r="P220" s="194"/>
    </row>
    <row r="221" spans="1:16" x14ac:dyDescent="0.3">
      <c r="A221" s="271">
        <v>220</v>
      </c>
      <c r="B221" s="264">
        <v>45768</v>
      </c>
      <c r="C221" s="292" t="s">
        <v>1931</v>
      </c>
      <c r="D221" s="295" t="s">
        <v>1795</v>
      </c>
      <c r="E221" s="292" t="s">
        <v>1796</v>
      </c>
      <c r="F221" s="269" t="s">
        <v>1795</v>
      </c>
      <c r="G221" s="269">
        <v>30000</v>
      </c>
      <c r="H221" s="265">
        <v>1</v>
      </c>
      <c r="I221" s="266">
        <v>16000</v>
      </c>
      <c r="K221" s="265">
        <v>30000</v>
      </c>
      <c r="M221" s="269"/>
      <c r="P221" s="194"/>
    </row>
    <row r="222" spans="1:16" x14ac:dyDescent="0.3">
      <c r="A222" s="271">
        <v>221</v>
      </c>
      <c r="B222" s="264">
        <v>45768</v>
      </c>
      <c r="C222" s="292" t="s">
        <v>1931</v>
      </c>
      <c r="D222" s="295" t="s">
        <v>1207</v>
      </c>
      <c r="E222" s="292" t="s">
        <v>1208</v>
      </c>
      <c r="F222" s="269" t="s">
        <v>1207</v>
      </c>
      <c r="G222" s="269">
        <v>600000</v>
      </c>
      <c r="H222" s="265">
        <v>1</v>
      </c>
      <c r="I222" s="266">
        <v>480000</v>
      </c>
      <c r="K222" s="265">
        <v>600000</v>
      </c>
      <c r="M222" s="269"/>
      <c r="P222" s="194"/>
    </row>
    <row r="223" spans="1:16" x14ac:dyDescent="0.3">
      <c r="A223" s="271">
        <v>222</v>
      </c>
      <c r="B223" s="264">
        <v>45768</v>
      </c>
      <c r="C223" s="292" t="s">
        <v>1931</v>
      </c>
      <c r="D223" s="295" t="s">
        <v>1901</v>
      </c>
      <c r="E223" s="292" t="s">
        <v>1902</v>
      </c>
      <c r="F223" s="269" t="s">
        <v>1901</v>
      </c>
      <c r="G223" s="269">
        <v>20000</v>
      </c>
      <c r="H223" s="265">
        <v>1</v>
      </c>
      <c r="I223" s="266">
        <v>13000</v>
      </c>
      <c r="K223" s="265">
        <v>20000</v>
      </c>
      <c r="M223" s="269"/>
      <c r="P223" s="194"/>
    </row>
    <row r="224" spans="1:16" x14ac:dyDescent="0.3">
      <c r="A224" s="271">
        <v>223</v>
      </c>
      <c r="B224" s="264">
        <v>45768</v>
      </c>
      <c r="C224" s="292" t="s">
        <v>1942</v>
      </c>
      <c r="D224" s="295" t="s">
        <v>1933</v>
      </c>
      <c r="E224" s="292" t="s">
        <v>1934</v>
      </c>
      <c r="F224" s="269" t="s">
        <v>1933</v>
      </c>
      <c r="G224" s="269">
        <v>1200000</v>
      </c>
      <c r="H224" s="265">
        <v>1</v>
      </c>
      <c r="K224" s="265">
        <v>1200000</v>
      </c>
      <c r="M224" s="269"/>
      <c r="P224" s="194"/>
    </row>
    <row r="225" spans="1:16" x14ac:dyDescent="0.3">
      <c r="A225" s="271">
        <v>224</v>
      </c>
      <c r="B225" s="264">
        <v>45768</v>
      </c>
      <c r="C225" s="292" t="s">
        <v>1942</v>
      </c>
      <c r="D225" s="295" t="s">
        <v>1936</v>
      </c>
      <c r="E225" s="292" t="s">
        <v>1935</v>
      </c>
      <c r="F225" s="269" t="s">
        <v>1936</v>
      </c>
      <c r="G225" s="269">
        <v>1000000</v>
      </c>
      <c r="H225" s="265">
        <v>1</v>
      </c>
      <c r="K225" s="265">
        <v>1000000</v>
      </c>
      <c r="M225" s="269"/>
      <c r="P225" s="194"/>
    </row>
    <row r="226" spans="1:16" x14ac:dyDescent="0.3">
      <c r="A226" s="271">
        <v>225</v>
      </c>
      <c r="B226" s="264">
        <v>45768</v>
      </c>
      <c r="C226" s="292" t="s">
        <v>1399</v>
      </c>
      <c r="E226" s="292" t="s">
        <v>1744</v>
      </c>
      <c r="G226" s="269">
        <v>1550000</v>
      </c>
      <c r="H226" s="265">
        <v>1</v>
      </c>
      <c r="K226" s="265">
        <v>1550000</v>
      </c>
      <c r="M226" s="269"/>
      <c r="P226" s="194"/>
    </row>
    <row r="227" spans="1:16" x14ac:dyDescent="0.3">
      <c r="A227" s="271">
        <v>226</v>
      </c>
      <c r="B227" s="264">
        <v>45768</v>
      </c>
      <c r="C227" s="292" t="s">
        <v>1399</v>
      </c>
      <c r="D227" s="295">
        <v>24152333903</v>
      </c>
      <c r="E227" s="292" t="s">
        <v>1549</v>
      </c>
      <c r="F227" s="269">
        <v>24152333903</v>
      </c>
      <c r="G227" s="269">
        <v>50000</v>
      </c>
      <c r="H227" s="265">
        <v>1</v>
      </c>
      <c r="K227" s="265">
        <v>50000</v>
      </c>
      <c r="M227" s="269"/>
      <c r="P227" s="194"/>
    </row>
    <row r="228" spans="1:16" x14ac:dyDescent="0.3">
      <c r="A228" s="271">
        <v>227</v>
      </c>
      <c r="B228" s="264">
        <v>45768</v>
      </c>
      <c r="C228" s="292" t="s">
        <v>1580</v>
      </c>
      <c r="D228" s="295" t="s">
        <v>1207</v>
      </c>
      <c r="E228" s="292" t="s">
        <v>1208</v>
      </c>
      <c r="F228" s="269" t="s">
        <v>1207</v>
      </c>
      <c r="G228" s="269">
        <v>499091</v>
      </c>
      <c r="H228" s="265">
        <v>1</v>
      </c>
      <c r="I228" s="266">
        <v>480000</v>
      </c>
      <c r="J228" s="266">
        <v>49909.100000000006</v>
      </c>
      <c r="K228" s="265">
        <v>549000.1</v>
      </c>
      <c r="M228" s="269"/>
      <c r="P228" s="194"/>
    </row>
    <row r="229" spans="1:16" x14ac:dyDescent="0.3">
      <c r="A229" s="271">
        <v>228</v>
      </c>
      <c r="B229" s="264">
        <v>45768</v>
      </c>
      <c r="C229" s="292" t="s">
        <v>1577</v>
      </c>
      <c r="D229" s="295">
        <v>415072909</v>
      </c>
      <c r="E229" s="292" t="s">
        <v>2522</v>
      </c>
      <c r="F229" s="269">
        <v>415072909</v>
      </c>
      <c r="G229" s="269">
        <v>380000</v>
      </c>
      <c r="H229" s="265">
        <v>1</v>
      </c>
      <c r="J229" s="266">
        <v>38000</v>
      </c>
      <c r="K229" s="265">
        <v>418000</v>
      </c>
      <c r="M229" s="269"/>
      <c r="P229" s="194"/>
    </row>
    <row r="230" spans="1:16" x14ac:dyDescent="0.3">
      <c r="A230" s="271">
        <v>229</v>
      </c>
      <c r="B230" s="264">
        <v>45768</v>
      </c>
      <c r="C230" s="292" t="s">
        <v>1577</v>
      </c>
      <c r="D230" s="295" t="s">
        <v>1201</v>
      </c>
      <c r="E230" s="292" t="s">
        <v>1644</v>
      </c>
      <c r="F230" s="269" t="s">
        <v>1201</v>
      </c>
      <c r="G230" s="269">
        <v>1500000</v>
      </c>
      <c r="H230" s="265">
        <v>1</v>
      </c>
      <c r="J230" s="266">
        <v>150000</v>
      </c>
      <c r="K230" s="265">
        <v>1650000</v>
      </c>
      <c r="M230" s="269"/>
      <c r="P230" s="194"/>
    </row>
    <row r="231" spans="1:16" x14ac:dyDescent="0.3">
      <c r="A231" s="271">
        <v>230</v>
      </c>
      <c r="B231" s="264">
        <v>45768</v>
      </c>
      <c r="C231" s="292" t="s">
        <v>1577</v>
      </c>
      <c r="D231" s="295" t="s">
        <v>1803</v>
      </c>
      <c r="E231" s="292" t="s">
        <v>1575</v>
      </c>
      <c r="F231" s="269" t="s">
        <v>1803</v>
      </c>
      <c r="G231" s="269">
        <v>50000</v>
      </c>
      <c r="H231" s="265">
        <v>1</v>
      </c>
      <c r="I231" s="266">
        <v>33000</v>
      </c>
      <c r="J231" s="266">
        <v>5000</v>
      </c>
      <c r="K231" s="265">
        <v>55000</v>
      </c>
      <c r="M231" s="269"/>
      <c r="P231" s="194"/>
    </row>
    <row r="232" spans="1:16" x14ac:dyDescent="0.3">
      <c r="A232" s="271">
        <v>231</v>
      </c>
      <c r="B232" s="264">
        <v>45768</v>
      </c>
      <c r="C232" s="292" t="s">
        <v>1722</v>
      </c>
      <c r="E232" s="292" t="s">
        <v>1953</v>
      </c>
      <c r="G232" s="269">
        <v>50000</v>
      </c>
      <c r="H232" s="265">
        <v>1</v>
      </c>
      <c r="K232" s="265">
        <v>50000</v>
      </c>
      <c r="M232" s="269"/>
    </row>
    <row r="233" spans="1:16" x14ac:dyDescent="0.3">
      <c r="A233" s="271">
        <v>232</v>
      </c>
      <c r="B233" s="264">
        <v>45769</v>
      </c>
      <c r="C233" s="292" t="s">
        <v>1449</v>
      </c>
      <c r="D233" s="295" t="s">
        <v>1956</v>
      </c>
      <c r="E233" s="292" t="s">
        <v>1957</v>
      </c>
      <c r="F233" s="269" t="s">
        <v>1956</v>
      </c>
      <c r="G233" s="269">
        <v>1800000</v>
      </c>
      <c r="H233" s="265">
        <v>1</v>
      </c>
      <c r="K233" s="265">
        <v>1800000</v>
      </c>
      <c r="M233" s="269"/>
    </row>
    <row r="234" spans="1:16" x14ac:dyDescent="0.3">
      <c r="A234" s="271">
        <v>233</v>
      </c>
      <c r="B234" s="264">
        <v>45769</v>
      </c>
      <c r="C234" s="292" t="s">
        <v>1449</v>
      </c>
      <c r="D234" s="295" t="s">
        <v>1803</v>
      </c>
      <c r="E234" s="292" t="s">
        <v>1575</v>
      </c>
      <c r="F234" s="269" t="s">
        <v>1803</v>
      </c>
      <c r="G234" s="269">
        <v>50000</v>
      </c>
      <c r="H234" s="265">
        <v>1</v>
      </c>
      <c r="I234" s="266">
        <v>33000</v>
      </c>
      <c r="K234" s="265">
        <v>50000</v>
      </c>
      <c r="M234" s="269"/>
    </row>
    <row r="235" spans="1:16" x14ac:dyDescent="0.3">
      <c r="A235" s="271">
        <v>234</v>
      </c>
      <c r="B235" s="264">
        <v>45770</v>
      </c>
      <c r="C235" s="292" t="s">
        <v>1598</v>
      </c>
      <c r="E235" s="292" t="s">
        <v>2577</v>
      </c>
      <c r="G235" s="269">
        <v>1600000</v>
      </c>
      <c r="H235" s="265">
        <v>1</v>
      </c>
      <c r="K235" s="265">
        <v>1600000</v>
      </c>
      <c r="M235" s="269"/>
    </row>
    <row r="236" spans="1:16" x14ac:dyDescent="0.3">
      <c r="A236" s="271">
        <v>235</v>
      </c>
      <c r="B236" s="264">
        <v>45770</v>
      </c>
      <c r="C236" s="292" t="s">
        <v>1961</v>
      </c>
      <c r="D236" s="295" t="s">
        <v>3670</v>
      </c>
      <c r="E236" s="292" t="s">
        <v>1859</v>
      </c>
      <c r="F236" s="269" t="s">
        <v>3670</v>
      </c>
      <c r="G236" s="269">
        <v>1200000</v>
      </c>
      <c r="H236" s="265">
        <v>1</v>
      </c>
      <c r="K236" s="265">
        <v>1200000</v>
      </c>
      <c r="M236" s="269"/>
    </row>
    <row r="237" spans="1:16" x14ac:dyDescent="0.3">
      <c r="A237" s="271">
        <v>236</v>
      </c>
      <c r="B237" s="264">
        <v>45770</v>
      </c>
      <c r="C237" s="292" t="s">
        <v>1961</v>
      </c>
      <c r="E237" s="292" t="s">
        <v>1965</v>
      </c>
      <c r="G237" s="269">
        <v>600000</v>
      </c>
      <c r="H237" s="265">
        <v>1</v>
      </c>
      <c r="K237" s="265">
        <v>600000</v>
      </c>
      <c r="M237" s="269"/>
    </row>
    <row r="238" spans="1:16" x14ac:dyDescent="0.3">
      <c r="A238" s="271">
        <v>237</v>
      </c>
      <c r="B238" s="264">
        <v>45770</v>
      </c>
      <c r="C238" s="292" t="s">
        <v>1961</v>
      </c>
      <c r="E238" s="292" t="s">
        <v>1966</v>
      </c>
      <c r="G238" s="269">
        <v>600000</v>
      </c>
      <c r="H238" s="265">
        <v>1</v>
      </c>
      <c r="K238" s="265">
        <v>600000</v>
      </c>
      <c r="M238" s="269"/>
    </row>
    <row r="239" spans="1:16" x14ac:dyDescent="0.3">
      <c r="A239" s="271">
        <v>238</v>
      </c>
      <c r="B239" s="264">
        <v>45770</v>
      </c>
      <c r="C239" s="292" t="s">
        <v>1961</v>
      </c>
      <c r="D239" s="295" t="s">
        <v>1207</v>
      </c>
      <c r="E239" s="292" t="s">
        <v>1208</v>
      </c>
      <c r="F239" s="269" t="s">
        <v>1207</v>
      </c>
      <c r="G239" s="269">
        <v>600000</v>
      </c>
      <c r="H239" s="265">
        <v>1</v>
      </c>
      <c r="I239" s="266">
        <v>480000</v>
      </c>
      <c r="K239" s="265">
        <v>600000</v>
      </c>
      <c r="M239" s="269"/>
    </row>
    <row r="240" spans="1:16" x14ac:dyDescent="0.3">
      <c r="A240" s="271">
        <v>239</v>
      </c>
      <c r="B240" s="264">
        <v>45770</v>
      </c>
      <c r="C240" s="292" t="s">
        <v>1961</v>
      </c>
      <c r="D240" s="295">
        <v>50229</v>
      </c>
      <c r="E240" s="292" t="s">
        <v>1642</v>
      </c>
      <c r="F240" s="269">
        <v>50229</v>
      </c>
      <c r="G240" s="269">
        <v>80000</v>
      </c>
      <c r="H240" s="265">
        <v>1</v>
      </c>
      <c r="K240" s="265">
        <v>80000</v>
      </c>
      <c r="M240" s="269"/>
    </row>
    <row r="241" spans="1:13" x14ac:dyDescent="0.3">
      <c r="A241" s="271">
        <v>240</v>
      </c>
      <c r="B241" s="264">
        <v>45770</v>
      </c>
      <c r="C241" s="292" t="s">
        <v>1961</v>
      </c>
      <c r="D241" s="295" t="s">
        <v>1795</v>
      </c>
      <c r="E241" s="292" t="s">
        <v>1796</v>
      </c>
      <c r="F241" s="269" t="s">
        <v>1795</v>
      </c>
      <c r="G241" s="269">
        <v>50000</v>
      </c>
      <c r="H241" s="265">
        <v>1</v>
      </c>
      <c r="I241" s="266">
        <v>16000</v>
      </c>
      <c r="K241" s="265">
        <v>50000</v>
      </c>
      <c r="M241" s="269"/>
    </row>
    <row r="242" spans="1:13" x14ac:dyDescent="0.3">
      <c r="A242" s="271">
        <v>241</v>
      </c>
      <c r="B242" s="264">
        <v>45771</v>
      </c>
      <c r="C242" s="292" t="s">
        <v>1554</v>
      </c>
      <c r="D242" s="295" t="s">
        <v>1704</v>
      </c>
      <c r="E242" s="292" t="s">
        <v>1705</v>
      </c>
      <c r="F242" s="269" t="s">
        <v>1704</v>
      </c>
      <c r="G242" s="265">
        <v>50000</v>
      </c>
      <c r="H242" s="269">
        <v>10</v>
      </c>
      <c r="J242" s="266">
        <v>50000</v>
      </c>
      <c r="K242" s="265">
        <v>550000</v>
      </c>
      <c r="M242" s="269"/>
    </row>
    <row r="243" spans="1:13" x14ac:dyDescent="0.3">
      <c r="A243" s="271">
        <v>242</v>
      </c>
      <c r="B243" s="264">
        <v>45771</v>
      </c>
      <c r="C243" s="292" t="s">
        <v>1444</v>
      </c>
      <c r="D243" s="295">
        <v>2800802</v>
      </c>
      <c r="E243" s="292" t="s">
        <v>1717</v>
      </c>
      <c r="F243" s="269">
        <v>2800802</v>
      </c>
      <c r="G243" s="265">
        <v>150000</v>
      </c>
      <c r="H243" s="269">
        <v>1</v>
      </c>
      <c r="I243" s="266">
        <v>85000</v>
      </c>
      <c r="K243" s="265">
        <v>150000</v>
      </c>
      <c r="M243" s="269"/>
    </row>
    <row r="244" spans="1:13" x14ac:dyDescent="0.3">
      <c r="A244" s="271">
        <v>243</v>
      </c>
      <c r="B244" s="264">
        <v>45771</v>
      </c>
      <c r="C244" s="292" t="s">
        <v>1444</v>
      </c>
      <c r="E244" s="292" t="s">
        <v>1973</v>
      </c>
      <c r="L244" s="265">
        <v>-300000</v>
      </c>
      <c r="M244" s="269"/>
    </row>
    <row r="245" spans="1:13" x14ac:dyDescent="0.3">
      <c r="A245" s="271">
        <v>244</v>
      </c>
      <c r="B245" s="264">
        <v>45771</v>
      </c>
      <c r="C245" s="292" t="s">
        <v>1444</v>
      </c>
      <c r="E245" s="292" t="s">
        <v>1974</v>
      </c>
      <c r="L245" s="265">
        <v>-200000</v>
      </c>
      <c r="M245" s="269"/>
    </row>
    <row r="246" spans="1:13" x14ac:dyDescent="0.3">
      <c r="A246" s="271">
        <v>245</v>
      </c>
      <c r="B246" s="264">
        <v>45772</v>
      </c>
      <c r="C246" s="292" t="s">
        <v>1391</v>
      </c>
      <c r="E246" s="292" t="s">
        <v>1535</v>
      </c>
      <c r="G246" s="265">
        <v>450000</v>
      </c>
      <c r="H246" s="269">
        <v>1</v>
      </c>
      <c r="K246" s="265">
        <v>450000</v>
      </c>
      <c r="M246" s="269"/>
    </row>
    <row r="247" spans="1:13" x14ac:dyDescent="0.3">
      <c r="A247" s="271">
        <v>246</v>
      </c>
      <c r="B247" s="264">
        <v>45772</v>
      </c>
      <c r="C247" s="292" t="s">
        <v>1977</v>
      </c>
      <c r="D247" s="295" t="s">
        <v>1198</v>
      </c>
      <c r="E247" s="292" t="s">
        <v>1978</v>
      </c>
      <c r="F247" s="269" t="s">
        <v>1198</v>
      </c>
      <c r="G247" s="265">
        <v>1000000</v>
      </c>
      <c r="H247" s="269">
        <v>1</v>
      </c>
      <c r="J247" s="266">
        <v>100000</v>
      </c>
      <c r="K247" s="265">
        <v>1100000</v>
      </c>
      <c r="M247" s="269"/>
    </row>
    <row r="248" spans="1:13" x14ac:dyDescent="0.3">
      <c r="A248" s="271">
        <v>247</v>
      </c>
      <c r="B248" s="264">
        <v>45772</v>
      </c>
      <c r="C248" s="292" t="s">
        <v>1980</v>
      </c>
      <c r="D248" s="295" t="s">
        <v>1822</v>
      </c>
      <c r="E248" s="292" t="s">
        <v>1823</v>
      </c>
      <c r="F248" s="269" t="s">
        <v>1822</v>
      </c>
      <c r="G248" s="265">
        <v>10000</v>
      </c>
      <c r="H248" s="269">
        <v>5</v>
      </c>
      <c r="I248" s="266">
        <v>8500</v>
      </c>
      <c r="K248" s="265">
        <v>50000</v>
      </c>
      <c r="M248" s="269"/>
    </row>
    <row r="249" spans="1:13" x14ac:dyDescent="0.3">
      <c r="A249" s="271">
        <v>248</v>
      </c>
      <c r="B249" s="264">
        <v>45772</v>
      </c>
      <c r="C249" s="292" t="s">
        <v>1980</v>
      </c>
      <c r="D249" s="295" t="s">
        <v>1259</v>
      </c>
      <c r="E249" s="292" t="s">
        <v>1260</v>
      </c>
      <c r="F249" s="269" t="s">
        <v>1259</v>
      </c>
      <c r="G249" s="265">
        <v>130000</v>
      </c>
      <c r="H249" s="269">
        <v>1</v>
      </c>
      <c r="I249" s="266">
        <v>90000</v>
      </c>
      <c r="K249" s="265">
        <v>130000</v>
      </c>
      <c r="M249" s="269"/>
    </row>
    <row r="250" spans="1:13" x14ac:dyDescent="0.3">
      <c r="A250" s="271">
        <v>249</v>
      </c>
      <c r="B250" s="264">
        <v>45772</v>
      </c>
      <c r="C250" s="292" t="s">
        <v>1980</v>
      </c>
      <c r="D250" s="295" t="s">
        <v>1207</v>
      </c>
      <c r="E250" s="292" t="s">
        <v>1208</v>
      </c>
      <c r="F250" s="269" t="s">
        <v>1207</v>
      </c>
      <c r="G250" s="265">
        <v>549000</v>
      </c>
      <c r="H250" s="269">
        <v>2</v>
      </c>
      <c r="I250" s="266">
        <v>480000</v>
      </c>
      <c r="K250" s="265">
        <v>1098000</v>
      </c>
      <c r="M250" s="269"/>
    </row>
    <row r="251" spans="1:13" x14ac:dyDescent="0.3">
      <c r="A251" s="271">
        <v>250</v>
      </c>
      <c r="B251" s="264">
        <v>45772</v>
      </c>
      <c r="C251" s="292" t="s">
        <v>1931</v>
      </c>
      <c r="E251" s="292" t="s">
        <v>1125</v>
      </c>
      <c r="L251" s="265">
        <v>-650000</v>
      </c>
      <c r="M251" s="269"/>
    </row>
    <row r="252" spans="1:13" x14ac:dyDescent="0.3">
      <c r="A252" s="271">
        <v>251</v>
      </c>
      <c r="B252" s="264">
        <v>45772</v>
      </c>
      <c r="C252" s="292" t="s">
        <v>1449</v>
      </c>
      <c r="E252" s="292" t="s">
        <v>1125</v>
      </c>
      <c r="L252" s="265">
        <v>-1850000</v>
      </c>
      <c r="M252" s="269"/>
    </row>
    <row r="253" spans="1:13" x14ac:dyDescent="0.3">
      <c r="A253" s="271">
        <v>252</v>
      </c>
      <c r="B253" s="264">
        <v>45772</v>
      </c>
      <c r="C253" s="292" t="s">
        <v>1790</v>
      </c>
      <c r="D253" s="295" t="s">
        <v>1207</v>
      </c>
      <c r="E253" s="292" t="s">
        <v>1208</v>
      </c>
      <c r="F253" s="269" t="s">
        <v>1207</v>
      </c>
      <c r="G253" s="265">
        <v>549000</v>
      </c>
      <c r="H253" s="269">
        <v>1</v>
      </c>
      <c r="I253" s="266">
        <v>480000</v>
      </c>
      <c r="K253" s="265">
        <v>549000</v>
      </c>
      <c r="M253" s="269"/>
    </row>
    <row r="254" spans="1:13" x14ac:dyDescent="0.3">
      <c r="A254" s="271">
        <v>253</v>
      </c>
      <c r="B254" s="264">
        <v>45772</v>
      </c>
      <c r="C254" s="292" t="s">
        <v>1444</v>
      </c>
      <c r="E254" s="292" t="s">
        <v>1985</v>
      </c>
      <c r="G254" s="265">
        <v>150000</v>
      </c>
      <c r="H254" s="269">
        <v>1</v>
      </c>
      <c r="K254" s="265">
        <v>150000</v>
      </c>
      <c r="M254" s="269"/>
    </row>
    <row r="255" spans="1:13" x14ac:dyDescent="0.3">
      <c r="A255" s="271">
        <v>254</v>
      </c>
      <c r="B255" s="264">
        <v>45772</v>
      </c>
      <c r="C255" s="292" t="s">
        <v>1809</v>
      </c>
      <c r="E255" s="292" t="s">
        <v>1496</v>
      </c>
      <c r="G255" s="265">
        <v>350000</v>
      </c>
      <c r="H255" s="269">
        <v>1</v>
      </c>
      <c r="K255" s="265">
        <v>350000</v>
      </c>
      <c r="M255" s="269"/>
    </row>
    <row r="256" spans="1:13" x14ac:dyDescent="0.3">
      <c r="A256" s="271">
        <v>255</v>
      </c>
      <c r="B256" s="264">
        <v>45775</v>
      </c>
      <c r="C256" s="292" t="s">
        <v>1303</v>
      </c>
      <c r="E256" s="292" t="s">
        <v>1125</v>
      </c>
      <c r="L256" s="265">
        <v>-450000</v>
      </c>
      <c r="M256" s="269"/>
    </row>
    <row r="257" spans="1:13" x14ac:dyDescent="0.3">
      <c r="A257" s="271">
        <v>256</v>
      </c>
      <c r="B257" s="264">
        <v>45773</v>
      </c>
      <c r="C257" s="292" t="s">
        <v>1346</v>
      </c>
      <c r="E257" s="292" t="s">
        <v>1670</v>
      </c>
      <c r="L257" s="265">
        <v>-1278000</v>
      </c>
      <c r="M257" s="269"/>
    </row>
    <row r="258" spans="1:13" x14ac:dyDescent="0.3">
      <c r="A258" s="271">
        <v>257</v>
      </c>
      <c r="B258" s="264">
        <v>45775</v>
      </c>
      <c r="C258" s="292" t="s">
        <v>1521</v>
      </c>
      <c r="E258" s="292" t="s">
        <v>1524</v>
      </c>
      <c r="G258" s="265">
        <v>450000</v>
      </c>
      <c r="H258" s="269">
        <v>1</v>
      </c>
      <c r="K258" s="265">
        <v>450000</v>
      </c>
      <c r="M258" s="269"/>
    </row>
    <row r="259" spans="1:13" x14ac:dyDescent="0.3">
      <c r="A259" s="271">
        <v>258</v>
      </c>
      <c r="B259" s="264">
        <v>45775</v>
      </c>
      <c r="C259" s="292" t="s">
        <v>1521</v>
      </c>
      <c r="E259" s="292" t="s">
        <v>1125</v>
      </c>
      <c r="L259" s="265">
        <v>-450000</v>
      </c>
      <c r="M259" s="269"/>
    </row>
    <row r="260" spans="1:13" x14ac:dyDescent="0.3">
      <c r="A260" s="271">
        <v>259</v>
      </c>
      <c r="B260" s="264">
        <v>45775</v>
      </c>
      <c r="C260" s="292" t="s">
        <v>1444</v>
      </c>
      <c r="E260" s="292" t="s">
        <v>1535</v>
      </c>
      <c r="G260" s="265">
        <v>500000</v>
      </c>
      <c r="H260" s="269">
        <v>1</v>
      </c>
      <c r="K260" s="265">
        <v>500000</v>
      </c>
      <c r="M260" s="269"/>
    </row>
    <row r="261" spans="1:13" x14ac:dyDescent="0.3">
      <c r="A261" s="271">
        <v>260</v>
      </c>
      <c r="B261" s="264">
        <v>45775</v>
      </c>
      <c r="C261" s="292" t="s">
        <v>1147</v>
      </c>
      <c r="D261" s="295">
        <v>2800802</v>
      </c>
      <c r="E261" s="292" t="s">
        <v>1717</v>
      </c>
      <c r="F261" s="269">
        <v>2800802</v>
      </c>
      <c r="G261" s="265">
        <v>150000</v>
      </c>
      <c r="H261" s="269">
        <v>1</v>
      </c>
      <c r="I261" s="266">
        <v>85000</v>
      </c>
      <c r="K261" s="265">
        <v>150000</v>
      </c>
      <c r="M261" s="269"/>
    </row>
    <row r="262" spans="1:13" x14ac:dyDescent="0.3">
      <c r="A262" s="271">
        <v>261</v>
      </c>
      <c r="B262" s="264">
        <v>45775</v>
      </c>
      <c r="C262" s="292" t="s">
        <v>1053</v>
      </c>
      <c r="D262" s="295" t="s">
        <v>1992</v>
      </c>
      <c r="E262" s="292" t="s">
        <v>1205</v>
      </c>
      <c r="F262" s="269" t="s">
        <v>1992</v>
      </c>
      <c r="G262" s="265">
        <v>1700000</v>
      </c>
      <c r="H262" s="269">
        <v>1</v>
      </c>
      <c r="K262" s="265">
        <v>1700000</v>
      </c>
      <c r="M262" s="269"/>
    </row>
    <row r="263" spans="1:13" x14ac:dyDescent="0.3">
      <c r="A263" s="271">
        <v>262</v>
      </c>
      <c r="B263" s="264">
        <v>45775</v>
      </c>
      <c r="C263" s="292" t="s">
        <v>1053</v>
      </c>
      <c r="E263" s="292" t="s">
        <v>1125</v>
      </c>
      <c r="L263" s="265">
        <v>-1700000</v>
      </c>
      <c r="M263" s="269"/>
    </row>
    <row r="264" spans="1:13" x14ac:dyDescent="0.3">
      <c r="A264" s="271">
        <v>263</v>
      </c>
      <c r="B264" s="264">
        <v>45775</v>
      </c>
      <c r="C264" s="292" t="s">
        <v>1532</v>
      </c>
      <c r="E264" s="292" t="s">
        <v>1743</v>
      </c>
      <c r="G264" s="265">
        <v>650000</v>
      </c>
      <c r="H264" s="269">
        <v>1</v>
      </c>
      <c r="K264" s="265">
        <v>650000</v>
      </c>
      <c r="M264" s="269"/>
    </row>
    <row r="265" spans="1:13" x14ac:dyDescent="0.3">
      <c r="A265" s="271">
        <v>264</v>
      </c>
      <c r="B265" s="264">
        <v>45775</v>
      </c>
      <c r="C265" s="292" t="s">
        <v>1444</v>
      </c>
      <c r="E265" s="292" t="s">
        <v>1998</v>
      </c>
      <c r="L265" s="265">
        <v>-300000</v>
      </c>
      <c r="M265" s="269"/>
    </row>
    <row r="266" spans="1:13" x14ac:dyDescent="0.3">
      <c r="A266" s="271">
        <v>265</v>
      </c>
      <c r="B266" s="264">
        <v>45776</v>
      </c>
      <c r="C266" s="292" t="s">
        <v>2015</v>
      </c>
      <c r="D266" s="295" t="s">
        <v>1795</v>
      </c>
      <c r="E266" s="292" t="s">
        <v>1796</v>
      </c>
      <c r="F266" s="269" t="s">
        <v>1795</v>
      </c>
      <c r="G266" s="265">
        <v>30000</v>
      </c>
      <c r="H266" s="269">
        <v>1</v>
      </c>
      <c r="I266" s="266">
        <v>16000</v>
      </c>
      <c r="K266" s="265">
        <v>30000</v>
      </c>
      <c r="M266" s="269"/>
    </row>
    <row r="267" spans="1:13" x14ac:dyDescent="0.3">
      <c r="A267" s="271">
        <v>266</v>
      </c>
      <c r="B267" s="264">
        <v>45776</v>
      </c>
      <c r="C267" s="292" t="s">
        <v>2015</v>
      </c>
      <c r="D267" s="295" t="s">
        <v>1822</v>
      </c>
      <c r="E267" s="292" t="s">
        <v>1823</v>
      </c>
      <c r="F267" s="269" t="s">
        <v>1822</v>
      </c>
      <c r="G267" s="265">
        <v>10000</v>
      </c>
      <c r="H267" s="269">
        <v>1</v>
      </c>
      <c r="I267" s="266">
        <v>8500</v>
      </c>
      <c r="K267" s="265">
        <v>10000</v>
      </c>
      <c r="M267" s="269"/>
    </row>
    <row r="268" spans="1:13" x14ac:dyDescent="0.3">
      <c r="A268" s="271">
        <v>267</v>
      </c>
      <c r="B268" s="264">
        <v>45776</v>
      </c>
      <c r="C268" s="292" t="s">
        <v>2015</v>
      </c>
      <c r="D268" s="295" t="s">
        <v>2012</v>
      </c>
      <c r="E268" s="292" t="s">
        <v>2013</v>
      </c>
      <c r="F268" s="269" t="s">
        <v>2012</v>
      </c>
      <c r="G268" s="265">
        <v>10000</v>
      </c>
      <c r="H268" s="269">
        <v>1</v>
      </c>
      <c r="I268" s="266">
        <v>5500</v>
      </c>
      <c r="K268" s="265">
        <v>10000</v>
      </c>
      <c r="M268" s="269"/>
    </row>
    <row r="269" spans="1:13" x14ac:dyDescent="0.3">
      <c r="A269" s="271">
        <v>268</v>
      </c>
      <c r="B269" s="264">
        <v>45776</v>
      </c>
      <c r="C269" s="292" t="s">
        <v>2015</v>
      </c>
      <c r="D269" s="295" t="s">
        <v>1207</v>
      </c>
      <c r="E269" s="292" t="s">
        <v>1208</v>
      </c>
      <c r="F269" s="269" t="s">
        <v>1207</v>
      </c>
      <c r="G269" s="265">
        <v>549000</v>
      </c>
      <c r="H269" s="269">
        <v>1</v>
      </c>
      <c r="I269" s="266">
        <v>480000</v>
      </c>
      <c r="K269" s="265">
        <v>549000</v>
      </c>
      <c r="M269" s="269"/>
    </row>
    <row r="270" spans="1:13" x14ac:dyDescent="0.3">
      <c r="A270" s="271">
        <v>269</v>
      </c>
      <c r="B270" s="264">
        <v>45776</v>
      </c>
      <c r="C270" s="292" t="s">
        <v>2015</v>
      </c>
      <c r="E270" s="292" t="s">
        <v>2014</v>
      </c>
      <c r="G270" s="265">
        <v>600000</v>
      </c>
      <c r="H270" s="269">
        <v>1</v>
      </c>
      <c r="K270" s="265">
        <v>600000</v>
      </c>
      <c r="M270" s="269"/>
    </row>
    <row r="271" spans="1:13" x14ac:dyDescent="0.3">
      <c r="A271" s="271">
        <v>270</v>
      </c>
      <c r="B271" s="264">
        <v>45776</v>
      </c>
      <c r="C271" s="292" t="s">
        <v>2015</v>
      </c>
      <c r="D271" s="295">
        <v>50229</v>
      </c>
      <c r="E271" s="292" t="s">
        <v>1642</v>
      </c>
      <c r="F271" s="269">
        <v>50229</v>
      </c>
      <c r="G271" s="265">
        <v>75000</v>
      </c>
      <c r="H271" s="269">
        <v>1</v>
      </c>
      <c r="K271" s="265">
        <v>75000</v>
      </c>
      <c r="M271" s="269"/>
    </row>
    <row r="272" spans="1:13" x14ac:dyDescent="0.3">
      <c r="A272" s="271">
        <v>271</v>
      </c>
      <c r="B272" s="264">
        <v>45776</v>
      </c>
      <c r="C272" s="292" t="s">
        <v>2015</v>
      </c>
      <c r="D272" s="295" t="s">
        <v>1901</v>
      </c>
      <c r="E272" s="292" t="s">
        <v>1902</v>
      </c>
      <c r="F272" s="269" t="s">
        <v>1901</v>
      </c>
      <c r="G272" s="265">
        <v>20000</v>
      </c>
      <c r="H272" s="269">
        <v>1</v>
      </c>
      <c r="I272" s="266">
        <v>13000</v>
      </c>
      <c r="K272" s="265">
        <v>20000</v>
      </c>
      <c r="M272" s="269"/>
    </row>
    <row r="273" spans="1:13" x14ac:dyDescent="0.3">
      <c r="A273" s="271">
        <v>272</v>
      </c>
      <c r="B273" s="264">
        <v>45776</v>
      </c>
      <c r="C273" s="292" t="s">
        <v>1809</v>
      </c>
      <c r="E273" s="292" t="s">
        <v>1125</v>
      </c>
      <c r="L273" s="265">
        <v>-350000</v>
      </c>
      <c r="M273" s="269"/>
    </row>
    <row r="274" spans="1:13" x14ac:dyDescent="0.3">
      <c r="A274" s="271">
        <v>273</v>
      </c>
      <c r="B274" s="264">
        <v>45776</v>
      </c>
      <c r="C274" s="292" t="s">
        <v>1722</v>
      </c>
      <c r="D274" s="295" t="s">
        <v>1752</v>
      </c>
      <c r="E274" s="292" t="s">
        <v>1203</v>
      </c>
      <c r="F274" s="269" t="s">
        <v>1752</v>
      </c>
      <c r="G274" s="265">
        <v>1200000</v>
      </c>
      <c r="H274" s="269">
        <v>1</v>
      </c>
      <c r="K274" s="265">
        <v>1200000</v>
      </c>
      <c r="M274" s="269"/>
    </row>
    <row r="275" spans="1:13" x14ac:dyDescent="0.3">
      <c r="A275" s="271">
        <v>274</v>
      </c>
      <c r="B275" s="264">
        <v>45776</v>
      </c>
      <c r="C275" s="292" t="s">
        <v>1722</v>
      </c>
      <c r="E275" s="292" t="s">
        <v>1496</v>
      </c>
      <c r="G275" s="265">
        <v>350000</v>
      </c>
      <c r="H275" s="269">
        <v>1</v>
      </c>
      <c r="K275" s="265">
        <v>350000</v>
      </c>
      <c r="M275" s="269"/>
    </row>
    <row r="276" spans="1:13" x14ac:dyDescent="0.3">
      <c r="A276" s="271">
        <v>275</v>
      </c>
      <c r="B276" s="264">
        <v>45776</v>
      </c>
      <c r="C276" s="292" t="s">
        <v>2024</v>
      </c>
      <c r="D276" s="295" t="s">
        <v>2022</v>
      </c>
      <c r="E276" s="292" t="s">
        <v>2023</v>
      </c>
      <c r="F276" s="269" t="s">
        <v>2022</v>
      </c>
      <c r="G276" s="265">
        <v>550000</v>
      </c>
      <c r="H276" s="269">
        <v>1</v>
      </c>
      <c r="K276" s="265">
        <v>550000</v>
      </c>
      <c r="M276" s="269"/>
    </row>
    <row r="277" spans="1:13" x14ac:dyDescent="0.3">
      <c r="A277" s="271">
        <v>276</v>
      </c>
      <c r="B277" s="264">
        <v>45776</v>
      </c>
      <c r="C277" s="292" t="s">
        <v>1980</v>
      </c>
      <c r="D277" s="295" t="s">
        <v>1200</v>
      </c>
      <c r="E277" s="292" t="s">
        <v>1643</v>
      </c>
      <c r="F277" s="269" t="s">
        <v>1200</v>
      </c>
      <c r="G277" s="265">
        <v>1000000</v>
      </c>
      <c r="H277" s="269">
        <v>1</v>
      </c>
      <c r="K277" s="265">
        <v>1000000</v>
      </c>
      <c r="M277" s="269"/>
    </row>
    <row r="278" spans="1:13" x14ac:dyDescent="0.3">
      <c r="A278" s="271">
        <v>277</v>
      </c>
      <c r="B278" s="264">
        <v>45776</v>
      </c>
      <c r="C278" s="292" t="s">
        <v>1747</v>
      </c>
      <c r="D278" s="295" t="s">
        <v>1216</v>
      </c>
      <c r="E278" s="292" t="s">
        <v>2027</v>
      </c>
      <c r="F278" s="269" t="s">
        <v>1216</v>
      </c>
      <c r="G278" s="265">
        <v>1200000</v>
      </c>
      <c r="H278" s="58">
        <v>1</v>
      </c>
      <c r="J278" s="266">
        <v>120000</v>
      </c>
      <c r="K278" s="265">
        <v>1320000</v>
      </c>
      <c r="M278" s="269"/>
    </row>
    <row r="279" spans="1:13" x14ac:dyDescent="0.3">
      <c r="A279" s="271">
        <v>278</v>
      </c>
      <c r="B279" s="264">
        <v>45776</v>
      </c>
      <c r="C279" s="292" t="s">
        <v>1980</v>
      </c>
      <c r="D279" s="295" t="s">
        <v>1265</v>
      </c>
      <c r="E279" s="292" t="s">
        <v>1266</v>
      </c>
      <c r="F279" s="269" t="s">
        <v>1265</v>
      </c>
      <c r="G279" s="265">
        <v>50000</v>
      </c>
      <c r="H279" s="269">
        <v>10</v>
      </c>
      <c r="K279" s="265">
        <v>500000</v>
      </c>
      <c r="M279" s="269"/>
    </row>
    <row r="280" spans="1:13" x14ac:dyDescent="0.3">
      <c r="A280" s="271">
        <v>279</v>
      </c>
      <c r="B280" s="264">
        <v>45776</v>
      </c>
      <c r="C280" s="292" t="s">
        <v>1980</v>
      </c>
      <c r="D280" s="295" t="s">
        <v>1704</v>
      </c>
      <c r="E280" s="292" t="s">
        <v>1705</v>
      </c>
      <c r="F280" s="269" t="s">
        <v>1704</v>
      </c>
      <c r="G280" s="265">
        <v>50000</v>
      </c>
      <c r="H280" s="269">
        <v>5</v>
      </c>
      <c r="K280" s="265">
        <v>250000</v>
      </c>
      <c r="M280" s="269"/>
    </row>
    <row r="281" spans="1:13" x14ac:dyDescent="0.3">
      <c r="A281" s="271">
        <v>280</v>
      </c>
      <c r="B281" s="264">
        <v>45776</v>
      </c>
      <c r="C281" s="292" t="s">
        <v>1980</v>
      </c>
      <c r="E281" s="292" t="s">
        <v>2029</v>
      </c>
      <c r="G281" s="265">
        <v>84000</v>
      </c>
      <c r="H281" s="269">
        <v>5</v>
      </c>
      <c r="K281" s="265">
        <v>420000</v>
      </c>
      <c r="M281" s="269"/>
    </row>
    <row r="282" spans="1:13" x14ac:dyDescent="0.3">
      <c r="A282" s="271">
        <v>281</v>
      </c>
      <c r="B282" s="264">
        <v>45776</v>
      </c>
      <c r="C282" s="292" t="s">
        <v>1980</v>
      </c>
      <c r="D282" s="295" t="s">
        <v>1795</v>
      </c>
      <c r="E282" s="292" t="s">
        <v>1796</v>
      </c>
      <c r="F282" s="269" t="s">
        <v>1795</v>
      </c>
      <c r="G282" s="265">
        <v>35000</v>
      </c>
      <c r="H282" s="269">
        <v>5</v>
      </c>
      <c r="I282" s="266">
        <v>16000</v>
      </c>
      <c r="K282" s="265">
        <v>175000</v>
      </c>
      <c r="M282" s="269"/>
    </row>
    <row r="283" spans="1:13" x14ac:dyDescent="0.3">
      <c r="A283" s="271">
        <v>282</v>
      </c>
      <c r="B283" s="264">
        <v>45777</v>
      </c>
      <c r="C283" s="292" t="s">
        <v>1007</v>
      </c>
      <c r="D283" s="295">
        <v>24152333903</v>
      </c>
      <c r="E283" s="292" t="s">
        <v>1549</v>
      </c>
      <c r="F283" s="269">
        <v>24152333903</v>
      </c>
      <c r="G283" s="265">
        <v>50000</v>
      </c>
      <c r="H283" s="269">
        <v>2</v>
      </c>
      <c r="K283" s="265">
        <v>100000</v>
      </c>
      <c r="M283" s="269"/>
    </row>
    <row r="284" spans="1:13" x14ac:dyDescent="0.3">
      <c r="A284" s="271">
        <v>283</v>
      </c>
      <c r="B284" s="264">
        <v>45777</v>
      </c>
      <c r="C284" s="292" t="s">
        <v>1444</v>
      </c>
      <c r="E284" s="292" t="s">
        <v>2032</v>
      </c>
      <c r="G284" s="265">
        <v>1000000</v>
      </c>
      <c r="H284" s="269">
        <v>1</v>
      </c>
      <c r="K284" s="265">
        <v>1000000</v>
      </c>
      <c r="M284" s="269"/>
    </row>
    <row r="285" spans="1:13" x14ac:dyDescent="0.3">
      <c r="A285" s="271">
        <v>284</v>
      </c>
      <c r="B285" s="264">
        <v>45777</v>
      </c>
      <c r="C285" s="292" t="s">
        <v>2034</v>
      </c>
      <c r="E285" s="292" t="s">
        <v>2037</v>
      </c>
      <c r="G285" s="265">
        <v>1200000</v>
      </c>
      <c r="H285" s="269">
        <v>1</v>
      </c>
      <c r="K285" s="265">
        <v>1200000</v>
      </c>
      <c r="M285" s="269"/>
    </row>
    <row r="286" spans="1:13" x14ac:dyDescent="0.3">
      <c r="A286" s="271">
        <v>285</v>
      </c>
      <c r="B286" s="264">
        <v>45777</v>
      </c>
      <c r="C286" s="292" t="s">
        <v>2039</v>
      </c>
      <c r="D286" s="295" t="s">
        <v>1201</v>
      </c>
      <c r="E286" s="292" t="s">
        <v>1644</v>
      </c>
      <c r="F286" s="269" t="s">
        <v>1201</v>
      </c>
      <c r="G286" s="265">
        <v>1500000</v>
      </c>
      <c r="H286" s="269">
        <v>1</v>
      </c>
      <c r="K286" s="265">
        <v>1500000</v>
      </c>
      <c r="M286" s="269"/>
    </row>
    <row r="287" spans="1:13" x14ac:dyDescent="0.3">
      <c r="A287" s="271">
        <v>286</v>
      </c>
      <c r="B287" s="264">
        <v>45777</v>
      </c>
      <c r="C287" s="292" t="s">
        <v>2039</v>
      </c>
      <c r="D287" s="295" t="s">
        <v>1803</v>
      </c>
      <c r="E287" s="292" t="s">
        <v>1575</v>
      </c>
      <c r="F287" s="269" t="s">
        <v>1803</v>
      </c>
      <c r="G287" s="265">
        <v>50000</v>
      </c>
      <c r="H287" s="269">
        <v>1</v>
      </c>
      <c r="I287" s="266">
        <v>33000</v>
      </c>
      <c r="K287" s="265">
        <v>50000</v>
      </c>
      <c r="M287" s="269"/>
    </row>
    <row r="288" spans="1:13" x14ac:dyDescent="0.3">
      <c r="A288" s="271">
        <v>287</v>
      </c>
      <c r="B288" s="264">
        <v>45777</v>
      </c>
      <c r="C288" s="292" t="s">
        <v>2039</v>
      </c>
      <c r="D288" s="295" t="s">
        <v>1720</v>
      </c>
      <c r="E288" s="292" t="s">
        <v>1721</v>
      </c>
      <c r="F288" s="269" t="s">
        <v>1720</v>
      </c>
      <c r="G288" s="265">
        <v>60000</v>
      </c>
      <c r="H288" s="269">
        <v>1</v>
      </c>
      <c r="I288" s="266">
        <v>40000</v>
      </c>
      <c r="K288" s="265">
        <v>60000</v>
      </c>
      <c r="M288" s="269"/>
    </row>
    <row r="289" spans="1:13" x14ac:dyDescent="0.3">
      <c r="A289" s="271">
        <v>288</v>
      </c>
      <c r="B289" s="264">
        <v>45777</v>
      </c>
      <c r="C289" s="292" t="s">
        <v>1046</v>
      </c>
      <c r="E289" s="292" t="s">
        <v>2043</v>
      </c>
      <c r="G289" s="265">
        <v>1000000</v>
      </c>
      <c r="H289" s="269">
        <v>1</v>
      </c>
      <c r="K289" s="265">
        <v>1000000</v>
      </c>
      <c r="M289" s="269"/>
    </row>
    <row r="290" spans="1:13" x14ac:dyDescent="0.3">
      <c r="A290" s="271">
        <v>289</v>
      </c>
      <c r="B290" s="264">
        <v>45777</v>
      </c>
      <c r="C290" s="292" t="s">
        <v>1577</v>
      </c>
      <c r="E290" s="292" t="s">
        <v>1743</v>
      </c>
      <c r="G290" s="265">
        <v>650000</v>
      </c>
      <c r="H290" s="269">
        <v>1</v>
      </c>
      <c r="J290" s="266">
        <v>65000</v>
      </c>
      <c r="K290" s="265">
        <v>715000</v>
      </c>
      <c r="M290" s="269"/>
    </row>
    <row r="291" spans="1:13" x14ac:dyDescent="0.3">
      <c r="A291" s="271">
        <v>290</v>
      </c>
      <c r="B291" s="264">
        <v>45777</v>
      </c>
      <c r="C291" s="292" t="s">
        <v>2046</v>
      </c>
      <c r="E291" s="292" t="s">
        <v>2049</v>
      </c>
      <c r="G291" s="265">
        <v>900000</v>
      </c>
      <c r="H291" s="269">
        <v>1</v>
      </c>
      <c r="J291" s="266">
        <v>90000</v>
      </c>
      <c r="K291" s="265">
        <v>990000</v>
      </c>
      <c r="M291" s="269"/>
    </row>
    <row r="292" spans="1:13" x14ac:dyDescent="0.3">
      <c r="A292" s="271">
        <v>291</v>
      </c>
      <c r="B292" s="264">
        <v>45777</v>
      </c>
      <c r="C292" s="292" t="s">
        <v>1554</v>
      </c>
      <c r="D292" s="295" t="s">
        <v>1213</v>
      </c>
      <c r="E292" s="292" t="s">
        <v>1214</v>
      </c>
      <c r="F292" s="269" t="s">
        <v>1213</v>
      </c>
      <c r="G292" s="265">
        <v>1600000</v>
      </c>
      <c r="H292" s="269">
        <v>1</v>
      </c>
      <c r="K292" s="265">
        <v>1600000</v>
      </c>
      <c r="M292" s="269"/>
    </row>
    <row r="293" spans="1:13" x14ac:dyDescent="0.3">
      <c r="A293" s="271">
        <v>292</v>
      </c>
      <c r="B293" s="264">
        <v>45747</v>
      </c>
      <c r="C293" s="292" t="s">
        <v>1035</v>
      </c>
      <c r="E293" s="292" t="s">
        <v>1670</v>
      </c>
      <c r="L293" s="265">
        <v>-1585000</v>
      </c>
      <c r="M293" s="269"/>
    </row>
    <row r="294" spans="1:13" x14ac:dyDescent="0.3">
      <c r="A294" s="271">
        <v>293</v>
      </c>
      <c r="B294" s="264">
        <v>45776</v>
      </c>
      <c r="C294" s="292" t="s">
        <v>2053</v>
      </c>
      <c r="E294" s="292" t="s">
        <v>1670</v>
      </c>
      <c r="L294" s="265">
        <v>-550000</v>
      </c>
      <c r="M294" s="269"/>
    </row>
    <row r="295" spans="1:13" x14ac:dyDescent="0.3">
      <c r="A295" s="271">
        <v>294</v>
      </c>
      <c r="B295" s="264">
        <v>45777</v>
      </c>
      <c r="C295" s="292" t="s">
        <v>1577</v>
      </c>
      <c r="E295" s="292" t="s">
        <v>1125</v>
      </c>
      <c r="L295" s="265">
        <v>-4620900</v>
      </c>
      <c r="M295" s="269"/>
    </row>
    <row r="296" spans="1:13" x14ac:dyDescent="0.3">
      <c r="A296" s="271">
        <v>295</v>
      </c>
      <c r="B296" s="264">
        <v>45777</v>
      </c>
      <c r="C296" s="292" t="s">
        <v>2039</v>
      </c>
      <c r="E296" s="292" t="s">
        <v>1125</v>
      </c>
      <c r="L296" s="265">
        <v>-1610000</v>
      </c>
      <c r="M296" s="269"/>
    </row>
    <row r="297" spans="1:13" x14ac:dyDescent="0.3">
      <c r="A297" s="271">
        <v>296</v>
      </c>
      <c r="B297" s="264">
        <v>45777</v>
      </c>
      <c r="C297" s="292" t="s">
        <v>1147</v>
      </c>
      <c r="E297" s="292" t="s">
        <v>1125</v>
      </c>
      <c r="L297" s="265">
        <v>-924000</v>
      </c>
      <c r="M297" s="269"/>
    </row>
    <row r="298" spans="1:13" x14ac:dyDescent="0.3">
      <c r="A298" s="271">
        <v>297</v>
      </c>
      <c r="B298" s="264">
        <v>45775</v>
      </c>
      <c r="C298" s="292" t="s">
        <v>1980</v>
      </c>
      <c r="D298" s="295" t="s">
        <v>1207</v>
      </c>
      <c r="E298" s="292" t="s">
        <v>1208</v>
      </c>
      <c r="F298" s="269" t="s">
        <v>1207</v>
      </c>
      <c r="G298" s="265">
        <v>549000</v>
      </c>
      <c r="H298" s="269">
        <v>2</v>
      </c>
      <c r="I298" s="266">
        <v>480000</v>
      </c>
      <c r="K298" s="265">
        <v>1098000</v>
      </c>
      <c r="M298" s="269"/>
    </row>
    <row r="299" spans="1:13" x14ac:dyDescent="0.3">
      <c r="A299" s="271">
        <v>298</v>
      </c>
      <c r="B299" s="264">
        <v>45777</v>
      </c>
      <c r="C299" s="292" t="s">
        <v>1980</v>
      </c>
      <c r="E299" s="292" t="s">
        <v>1125</v>
      </c>
      <c r="L299" s="265">
        <v>-3443000</v>
      </c>
      <c r="M299" s="269"/>
    </row>
    <row r="300" spans="1:13" x14ac:dyDescent="0.3">
      <c r="A300" s="271">
        <v>299</v>
      </c>
      <c r="B300" s="264">
        <v>45777</v>
      </c>
      <c r="C300" s="292" t="s">
        <v>1541</v>
      </c>
      <c r="E300" s="292" t="s">
        <v>1125</v>
      </c>
      <c r="L300" s="265">
        <v>-1700000</v>
      </c>
      <c r="M300" s="269"/>
    </row>
    <row r="301" spans="1:13" x14ac:dyDescent="0.3">
      <c r="A301" s="271">
        <v>300</v>
      </c>
      <c r="B301" s="264">
        <v>45778</v>
      </c>
      <c r="C301" s="292" t="s">
        <v>1188</v>
      </c>
      <c r="E301" s="292" t="s">
        <v>1670</v>
      </c>
      <c r="L301" s="265">
        <v>-990000</v>
      </c>
      <c r="M301" s="269"/>
    </row>
    <row r="302" spans="1:13" x14ac:dyDescent="0.3">
      <c r="A302" s="271">
        <v>301</v>
      </c>
      <c r="B302" s="264">
        <v>45772</v>
      </c>
      <c r="C302" s="292" t="s">
        <v>1977</v>
      </c>
      <c r="E302" s="292" t="s">
        <v>1125</v>
      </c>
      <c r="L302" s="265">
        <v>-1100000</v>
      </c>
      <c r="M302" s="269"/>
    </row>
    <row r="303" spans="1:13" x14ac:dyDescent="0.3">
      <c r="A303" s="271">
        <v>302</v>
      </c>
      <c r="B303" s="264">
        <v>45778</v>
      </c>
      <c r="C303" s="292" t="s">
        <v>1444</v>
      </c>
      <c r="E303" s="292" t="s">
        <v>1125</v>
      </c>
      <c r="L303" s="265">
        <v>-10000000</v>
      </c>
      <c r="M303" s="269"/>
    </row>
    <row r="304" spans="1:13" x14ac:dyDescent="0.3">
      <c r="A304" s="271">
        <v>303</v>
      </c>
      <c r="B304" s="264">
        <v>45778</v>
      </c>
      <c r="C304" s="292" t="s">
        <v>1467</v>
      </c>
      <c r="E304" s="292" t="s">
        <v>1125</v>
      </c>
      <c r="L304" s="265">
        <v>-1400000</v>
      </c>
      <c r="M304" s="269"/>
    </row>
    <row r="305" spans="1:13" x14ac:dyDescent="0.3">
      <c r="A305" s="271">
        <v>304</v>
      </c>
      <c r="B305" s="264">
        <v>45777</v>
      </c>
      <c r="C305" s="292" t="s">
        <v>2015</v>
      </c>
      <c r="E305" s="292" t="s">
        <v>1125</v>
      </c>
      <c r="L305" s="265">
        <v>-1294000</v>
      </c>
      <c r="M305" s="269"/>
    </row>
    <row r="306" spans="1:13" x14ac:dyDescent="0.3">
      <c r="A306" s="271">
        <v>305</v>
      </c>
      <c r="B306" s="264">
        <v>45778</v>
      </c>
      <c r="C306" s="292" t="s">
        <v>1399</v>
      </c>
      <c r="E306" s="292" t="s">
        <v>1125</v>
      </c>
      <c r="L306" s="265">
        <v>-7200000</v>
      </c>
      <c r="M306" s="269"/>
    </row>
    <row r="307" spans="1:13" x14ac:dyDescent="0.3">
      <c r="A307" s="271">
        <v>306</v>
      </c>
      <c r="B307" s="264">
        <v>45778</v>
      </c>
      <c r="C307" s="292" t="s">
        <v>1580</v>
      </c>
      <c r="D307" s="295" t="s">
        <v>1201</v>
      </c>
      <c r="E307" s="292" t="s">
        <v>1644</v>
      </c>
      <c r="F307" s="269" t="s">
        <v>1201</v>
      </c>
      <c r="G307" s="265">
        <v>1500000</v>
      </c>
      <c r="H307" s="269">
        <v>1</v>
      </c>
      <c r="J307" s="266">
        <v>150000</v>
      </c>
      <c r="K307" s="265">
        <v>1650000</v>
      </c>
      <c r="M307" s="269"/>
    </row>
    <row r="308" spans="1:13" x14ac:dyDescent="0.3">
      <c r="A308" s="271">
        <v>307</v>
      </c>
      <c r="B308" s="264">
        <v>45778</v>
      </c>
      <c r="C308" s="292" t="s">
        <v>1580</v>
      </c>
      <c r="D308" s="295" t="s">
        <v>1803</v>
      </c>
      <c r="E308" s="292" t="s">
        <v>1575</v>
      </c>
      <c r="F308" s="269" t="s">
        <v>1803</v>
      </c>
      <c r="G308" s="265">
        <v>50000</v>
      </c>
      <c r="H308" s="269">
        <v>1</v>
      </c>
      <c r="I308" s="266">
        <v>33000</v>
      </c>
      <c r="J308" s="266">
        <v>5000</v>
      </c>
      <c r="K308" s="265">
        <v>55000</v>
      </c>
      <c r="M308" s="269"/>
    </row>
    <row r="309" spans="1:13" x14ac:dyDescent="0.3">
      <c r="A309" s="271">
        <v>308</v>
      </c>
      <c r="B309" s="264">
        <v>45778</v>
      </c>
      <c r="C309" s="292" t="s">
        <v>1580</v>
      </c>
      <c r="E309" s="292" t="s">
        <v>2056</v>
      </c>
      <c r="L309" s="265">
        <v>-1000000</v>
      </c>
      <c r="M309" s="269"/>
    </row>
    <row r="310" spans="1:13" x14ac:dyDescent="0.3">
      <c r="A310" s="271">
        <v>309</v>
      </c>
      <c r="B310" s="264">
        <v>45779</v>
      </c>
      <c r="C310" s="292" t="s">
        <v>1554</v>
      </c>
      <c r="E310" s="292" t="s">
        <v>1125</v>
      </c>
      <c r="L310" s="265">
        <v>-550000</v>
      </c>
      <c r="M310" s="269"/>
    </row>
    <row r="311" spans="1:13" x14ac:dyDescent="0.3">
      <c r="A311" s="271">
        <v>310</v>
      </c>
      <c r="B311" s="264">
        <v>45779</v>
      </c>
      <c r="C311" s="292" t="s">
        <v>2034</v>
      </c>
      <c r="E311" s="292" t="s">
        <v>1125</v>
      </c>
      <c r="L311" s="265">
        <v>-1200000</v>
      </c>
      <c r="M311" s="269"/>
    </row>
    <row r="312" spans="1:13" x14ac:dyDescent="0.3">
      <c r="A312" s="271">
        <v>311</v>
      </c>
      <c r="B312" s="264">
        <v>45777</v>
      </c>
      <c r="C312" s="292" t="s">
        <v>1722</v>
      </c>
      <c r="D312" s="295">
        <v>2800802</v>
      </c>
      <c r="E312" s="292" t="s">
        <v>1717</v>
      </c>
      <c r="F312" s="269">
        <v>2800802</v>
      </c>
      <c r="G312" s="265">
        <v>150000</v>
      </c>
      <c r="H312" s="269">
        <v>1</v>
      </c>
      <c r="I312" s="266">
        <v>85000</v>
      </c>
      <c r="K312" s="265">
        <v>150000</v>
      </c>
      <c r="M312" s="269"/>
    </row>
    <row r="313" spans="1:13" x14ac:dyDescent="0.3">
      <c r="A313" s="271">
        <v>312</v>
      </c>
      <c r="B313" s="264">
        <v>45779</v>
      </c>
      <c r="C313" s="292" t="s">
        <v>1580</v>
      </c>
      <c r="D313" s="295" t="s">
        <v>1265</v>
      </c>
      <c r="E313" s="292" t="s">
        <v>1266</v>
      </c>
      <c r="F313" s="269" t="s">
        <v>1265</v>
      </c>
      <c r="G313" s="265">
        <v>50000</v>
      </c>
      <c r="H313" s="269">
        <v>2</v>
      </c>
      <c r="J313" s="266">
        <v>10000</v>
      </c>
      <c r="K313" s="265">
        <v>110000</v>
      </c>
      <c r="M313" s="269"/>
    </row>
    <row r="314" spans="1:13" x14ac:dyDescent="0.3">
      <c r="A314" s="271">
        <v>313</v>
      </c>
      <c r="B314" s="264">
        <v>45779</v>
      </c>
      <c r="C314" s="292" t="s">
        <v>1977</v>
      </c>
      <c r="D314" s="295" t="s">
        <v>1198</v>
      </c>
      <c r="E314" s="292" t="s">
        <v>1978</v>
      </c>
      <c r="F314" s="269" t="s">
        <v>1198</v>
      </c>
      <c r="G314" s="265">
        <v>1000000</v>
      </c>
      <c r="H314" s="269">
        <v>1</v>
      </c>
      <c r="K314" s="265">
        <v>1000000</v>
      </c>
      <c r="M314" s="269"/>
    </row>
    <row r="315" spans="1:13" x14ac:dyDescent="0.3">
      <c r="A315" s="271">
        <v>314</v>
      </c>
      <c r="B315" s="264">
        <v>45779</v>
      </c>
      <c r="C315" s="292" t="s">
        <v>1399</v>
      </c>
      <c r="D315" s="295">
        <v>415072909</v>
      </c>
      <c r="E315" s="298" t="s">
        <v>2522</v>
      </c>
      <c r="F315" s="269">
        <v>415072909</v>
      </c>
      <c r="G315" s="265">
        <v>378000</v>
      </c>
      <c r="H315" s="269">
        <v>1</v>
      </c>
      <c r="K315" s="265">
        <v>378000</v>
      </c>
      <c r="M315" s="269"/>
    </row>
    <row r="316" spans="1:13" x14ac:dyDescent="0.3">
      <c r="A316" s="271">
        <v>315</v>
      </c>
      <c r="B316" s="264">
        <v>45779</v>
      </c>
      <c r="C316" s="292" t="s">
        <v>1399</v>
      </c>
      <c r="E316" s="292" t="s">
        <v>1155</v>
      </c>
      <c r="G316" s="265">
        <v>1500000</v>
      </c>
      <c r="H316" s="269">
        <v>1</v>
      </c>
      <c r="K316" s="265">
        <v>1500000</v>
      </c>
      <c r="M316" s="269"/>
    </row>
    <row r="317" spans="1:13" x14ac:dyDescent="0.3">
      <c r="A317" s="271">
        <v>316</v>
      </c>
      <c r="B317" s="264">
        <v>45780</v>
      </c>
      <c r="C317" s="292" t="s">
        <v>1977</v>
      </c>
      <c r="E317" s="292" t="s">
        <v>1670</v>
      </c>
      <c r="L317" s="265">
        <v>-1000000</v>
      </c>
      <c r="M317" s="269"/>
    </row>
    <row r="318" spans="1:13" x14ac:dyDescent="0.3">
      <c r="A318" s="271">
        <v>317</v>
      </c>
      <c r="B318" s="264">
        <v>45780</v>
      </c>
      <c r="C318" s="292" t="s">
        <v>1580</v>
      </c>
      <c r="E318" s="292" t="s">
        <v>2077</v>
      </c>
      <c r="L318" s="265">
        <v>-1815000</v>
      </c>
      <c r="M318" s="269"/>
    </row>
    <row r="319" spans="1:13" x14ac:dyDescent="0.3">
      <c r="A319" s="271">
        <v>318</v>
      </c>
      <c r="B319" s="264">
        <v>45780</v>
      </c>
      <c r="C319" s="292" t="s">
        <v>1961</v>
      </c>
      <c r="E319" s="292" t="s">
        <v>2075</v>
      </c>
      <c r="G319" s="265">
        <v>1000000</v>
      </c>
      <c r="H319" s="269">
        <v>1</v>
      </c>
      <c r="K319" s="265">
        <v>1000000</v>
      </c>
      <c r="M319" s="269"/>
    </row>
    <row r="320" spans="1:13" x14ac:dyDescent="0.3">
      <c r="A320" s="271">
        <v>319</v>
      </c>
      <c r="B320" s="264">
        <v>45782</v>
      </c>
      <c r="C320" s="292" t="s">
        <v>2078</v>
      </c>
      <c r="D320" s="295" t="s">
        <v>1204</v>
      </c>
      <c r="E320" s="292" t="s">
        <v>1205</v>
      </c>
      <c r="F320" s="269" t="s">
        <v>1204</v>
      </c>
      <c r="G320" s="265">
        <v>1200000</v>
      </c>
      <c r="H320" s="269">
        <v>1</v>
      </c>
      <c r="K320" s="265">
        <v>1200000</v>
      </c>
      <c r="M320" s="269"/>
    </row>
    <row r="321" spans="1:13" x14ac:dyDescent="0.3">
      <c r="A321" s="271">
        <v>320</v>
      </c>
      <c r="B321" s="264">
        <v>45782</v>
      </c>
      <c r="C321" s="292" t="s">
        <v>1007</v>
      </c>
      <c r="D321" s="295">
        <v>2800802</v>
      </c>
      <c r="E321" s="292" t="s">
        <v>1717</v>
      </c>
      <c r="F321" s="269">
        <v>2800802</v>
      </c>
      <c r="G321" s="265">
        <v>140000</v>
      </c>
      <c r="H321" s="269">
        <v>1</v>
      </c>
      <c r="I321" s="266">
        <v>85000</v>
      </c>
      <c r="K321" s="265">
        <v>140000</v>
      </c>
      <c r="M321" s="269"/>
    </row>
    <row r="322" spans="1:13" x14ac:dyDescent="0.3">
      <c r="A322" s="271">
        <v>321</v>
      </c>
      <c r="B322" s="264">
        <v>45783</v>
      </c>
      <c r="C322" s="292" t="s">
        <v>1541</v>
      </c>
      <c r="D322" s="295">
        <v>501220522</v>
      </c>
      <c r="E322" s="292" t="s">
        <v>2023</v>
      </c>
      <c r="F322" s="269">
        <v>501220522</v>
      </c>
      <c r="G322" s="265">
        <v>450000</v>
      </c>
      <c r="H322" s="269">
        <v>1</v>
      </c>
      <c r="K322" s="265">
        <v>450000</v>
      </c>
      <c r="M322" s="269"/>
    </row>
    <row r="323" spans="1:13" x14ac:dyDescent="0.3">
      <c r="A323" s="271">
        <v>322</v>
      </c>
      <c r="B323" s="264">
        <v>45783</v>
      </c>
      <c r="C323" s="292" t="s">
        <v>1399</v>
      </c>
      <c r="D323" s="295" t="s">
        <v>1752</v>
      </c>
      <c r="E323" s="292" t="s">
        <v>1203</v>
      </c>
      <c r="F323" s="269" t="s">
        <v>1752</v>
      </c>
      <c r="G323" s="265">
        <v>1200000</v>
      </c>
      <c r="H323" s="269">
        <v>1</v>
      </c>
      <c r="K323" s="265">
        <v>1200000</v>
      </c>
      <c r="M323" s="269"/>
    </row>
    <row r="324" spans="1:13" x14ac:dyDescent="0.3">
      <c r="A324" s="271">
        <v>323</v>
      </c>
      <c r="B324" s="264">
        <v>45783</v>
      </c>
      <c r="C324" s="292" t="s">
        <v>1469</v>
      </c>
      <c r="E324" s="292" t="s">
        <v>1496</v>
      </c>
      <c r="G324" s="265">
        <v>350000</v>
      </c>
      <c r="H324" s="269">
        <v>1</v>
      </c>
      <c r="K324" s="265">
        <v>350000</v>
      </c>
      <c r="M324" s="269"/>
    </row>
    <row r="325" spans="1:13" x14ac:dyDescent="0.3">
      <c r="A325" s="271">
        <v>324</v>
      </c>
      <c r="B325" s="264">
        <v>45783</v>
      </c>
      <c r="C325" s="292" t="s">
        <v>1399</v>
      </c>
      <c r="D325" s="295" t="s">
        <v>1752</v>
      </c>
      <c r="E325" s="292" t="s">
        <v>2084</v>
      </c>
      <c r="F325" s="269" t="s">
        <v>1752</v>
      </c>
      <c r="G325" s="265">
        <v>650000</v>
      </c>
      <c r="H325" s="269">
        <v>1</v>
      </c>
      <c r="K325" s="265">
        <v>650000</v>
      </c>
      <c r="M325" s="269"/>
    </row>
    <row r="326" spans="1:13" x14ac:dyDescent="0.3">
      <c r="A326" s="271">
        <v>325</v>
      </c>
      <c r="B326" s="264">
        <v>45784</v>
      </c>
      <c r="C326" s="292" t="s">
        <v>1961</v>
      </c>
      <c r="E326" s="292" t="s">
        <v>1125</v>
      </c>
      <c r="L326" s="265">
        <v>-1000000</v>
      </c>
      <c r="M326" s="269"/>
    </row>
    <row r="327" spans="1:13" x14ac:dyDescent="0.3">
      <c r="A327" s="271">
        <v>326</v>
      </c>
      <c r="B327" s="264">
        <v>45784</v>
      </c>
      <c r="C327" s="292" t="s">
        <v>1306</v>
      </c>
      <c r="D327" s="295" t="s">
        <v>1200</v>
      </c>
      <c r="E327" s="292" t="s">
        <v>1643</v>
      </c>
      <c r="F327" s="269" t="s">
        <v>1200</v>
      </c>
      <c r="G327" s="265">
        <v>1400000</v>
      </c>
      <c r="H327" s="269">
        <v>1</v>
      </c>
      <c r="K327" s="265">
        <v>1400000</v>
      </c>
      <c r="M327" s="269"/>
    </row>
    <row r="328" spans="1:13" x14ac:dyDescent="0.3">
      <c r="A328" s="271">
        <v>327</v>
      </c>
      <c r="B328" s="264">
        <v>45784</v>
      </c>
      <c r="C328" s="292" t="s">
        <v>1306</v>
      </c>
      <c r="D328" s="295" t="s">
        <v>1207</v>
      </c>
      <c r="E328" s="292" t="s">
        <v>1208</v>
      </c>
      <c r="F328" s="269" t="s">
        <v>1207</v>
      </c>
      <c r="G328" s="265">
        <v>549000</v>
      </c>
      <c r="H328" s="269">
        <v>1</v>
      </c>
      <c r="I328" s="266">
        <v>480000</v>
      </c>
      <c r="K328" s="265">
        <v>549000</v>
      </c>
      <c r="M328" s="269"/>
    </row>
    <row r="329" spans="1:13" x14ac:dyDescent="0.3">
      <c r="A329" s="271">
        <v>328</v>
      </c>
      <c r="B329" s="264">
        <v>45784</v>
      </c>
      <c r="C329" s="292" t="s">
        <v>2089</v>
      </c>
      <c r="D329" s="295" t="s">
        <v>1201</v>
      </c>
      <c r="E329" s="292" t="s">
        <v>1644</v>
      </c>
      <c r="F329" s="269" t="s">
        <v>1201</v>
      </c>
      <c r="G329" s="265">
        <v>1500000</v>
      </c>
      <c r="H329" s="269">
        <v>1</v>
      </c>
      <c r="J329" s="266">
        <v>150000</v>
      </c>
      <c r="K329" s="265">
        <v>1650000</v>
      </c>
      <c r="M329" s="269"/>
    </row>
    <row r="330" spans="1:13" x14ac:dyDescent="0.3">
      <c r="A330" s="271">
        <v>329</v>
      </c>
      <c r="B330" s="264">
        <v>45784</v>
      </c>
      <c r="C330" s="292" t="s">
        <v>2089</v>
      </c>
      <c r="D330" s="295" t="s">
        <v>1803</v>
      </c>
      <c r="E330" s="292" t="s">
        <v>1575</v>
      </c>
      <c r="F330" s="269" t="s">
        <v>1803</v>
      </c>
      <c r="G330" s="265">
        <v>50000</v>
      </c>
      <c r="H330" s="269">
        <v>1</v>
      </c>
      <c r="I330" s="266">
        <v>33000</v>
      </c>
      <c r="J330" s="266">
        <v>5000</v>
      </c>
      <c r="K330" s="265">
        <v>55000</v>
      </c>
      <c r="M330" s="269"/>
    </row>
    <row r="331" spans="1:13" x14ac:dyDescent="0.3">
      <c r="A331" s="271">
        <v>330</v>
      </c>
      <c r="B331" s="264">
        <v>45784</v>
      </c>
      <c r="C331" s="292" t="s">
        <v>1306</v>
      </c>
      <c r="E331" s="292" t="s">
        <v>1125</v>
      </c>
      <c r="L331" s="265">
        <v>-1949000</v>
      </c>
      <c r="M331" s="269"/>
    </row>
    <row r="332" spans="1:13" x14ac:dyDescent="0.3">
      <c r="A332" s="271">
        <v>331</v>
      </c>
      <c r="B332" s="264">
        <v>45784</v>
      </c>
      <c r="C332" s="292" t="s">
        <v>1007</v>
      </c>
      <c r="E332" s="292" t="s">
        <v>1125</v>
      </c>
      <c r="L332" s="265">
        <v>-100000</v>
      </c>
      <c r="M332" s="269"/>
    </row>
    <row r="333" spans="1:13" x14ac:dyDescent="0.3">
      <c r="A333" s="271">
        <v>332</v>
      </c>
      <c r="B333" s="264">
        <v>45784</v>
      </c>
      <c r="C333" s="292" t="s">
        <v>1554</v>
      </c>
      <c r="E333" s="292" t="s">
        <v>1125</v>
      </c>
      <c r="L333" s="265">
        <v>-1600000</v>
      </c>
      <c r="M333" s="269"/>
    </row>
    <row r="334" spans="1:13" x14ac:dyDescent="0.3">
      <c r="A334" s="271">
        <v>333</v>
      </c>
      <c r="B334" s="264">
        <v>45784</v>
      </c>
      <c r="C334" s="292" t="s">
        <v>2089</v>
      </c>
      <c r="E334" s="292" t="s">
        <v>1125</v>
      </c>
      <c r="L334" s="265">
        <v>-1705000</v>
      </c>
      <c r="M334" s="269"/>
    </row>
    <row r="335" spans="1:13" x14ac:dyDescent="0.3">
      <c r="A335" s="271">
        <v>334</v>
      </c>
      <c r="B335" s="264">
        <v>45784</v>
      </c>
      <c r="C335" s="292" t="s">
        <v>1399</v>
      </c>
      <c r="D335" s="295">
        <v>1068298046</v>
      </c>
      <c r="E335" s="292" t="s">
        <v>2091</v>
      </c>
      <c r="F335" s="269">
        <v>1068298046</v>
      </c>
      <c r="G335" s="265">
        <v>450000</v>
      </c>
      <c r="H335" s="269">
        <v>1</v>
      </c>
      <c r="K335" s="265">
        <v>450000</v>
      </c>
      <c r="M335" s="269"/>
    </row>
    <row r="336" spans="1:13" x14ac:dyDescent="0.3">
      <c r="A336" s="271">
        <v>335</v>
      </c>
      <c r="B336" s="264">
        <v>45784</v>
      </c>
      <c r="C336" s="292" t="s">
        <v>1399</v>
      </c>
      <c r="D336" s="295">
        <v>24152333907</v>
      </c>
      <c r="E336" s="292" t="s">
        <v>1549</v>
      </c>
      <c r="F336" s="269">
        <v>24152333907</v>
      </c>
      <c r="G336" s="265">
        <v>50000</v>
      </c>
      <c r="H336" s="269">
        <v>1</v>
      </c>
      <c r="K336" s="265">
        <v>50000</v>
      </c>
      <c r="M336" s="269"/>
    </row>
    <row r="337" spans="1:13" x14ac:dyDescent="0.3">
      <c r="A337" s="271">
        <v>336</v>
      </c>
      <c r="B337" s="264">
        <v>45784</v>
      </c>
      <c r="C337" s="292" t="s">
        <v>2089</v>
      </c>
      <c r="D337" s="295" t="s">
        <v>1201</v>
      </c>
      <c r="E337" s="292" t="s">
        <v>1644</v>
      </c>
      <c r="F337" s="269" t="s">
        <v>1201</v>
      </c>
      <c r="G337" s="265">
        <v>1500000</v>
      </c>
      <c r="H337" s="269">
        <v>1</v>
      </c>
      <c r="J337" s="266">
        <v>150000</v>
      </c>
      <c r="K337" s="265">
        <v>1650000</v>
      </c>
      <c r="M337" s="269"/>
    </row>
    <row r="338" spans="1:13" x14ac:dyDescent="0.3">
      <c r="A338" s="271">
        <v>337</v>
      </c>
      <c r="B338" s="264">
        <v>45784</v>
      </c>
      <c r="C338" s="292" t="s">
        <v>2089</v>
      </c>
      <c r="D338" s="295" t="s">
        <v>1803</v>
      </c>
      <c r="E338" s="292" t="s">
        <v>1575</v>
      </c>
      <c r="F338" s="269" t="s">
        <v>1803</v>
      </c>
      <c r="G338" s="265">
        <v>50000</v>
      </c>
      <c r="H338" s="269">
        <v>1</v>
      </c>
      <c r="I338" s="266">
        <v>33000</v>
      </c>
      <c r="J338" s="266">
        <v>5000</v>
      </c>
      <c r="K338" s="265">
        <v>55000</v>
      </c>
      <c r="M338" s="269"/>
    </row>
    <row r="339" spans="1:13" x14ac:dyDescent="0.3">
      <c r="A339" s="271">
        <v>338</v>
      </c>
      <c r="B339" s="264">
        <v>45784</v>
      </c>
      <c r="C339" s="292" t="s">
        <v>2095</v>
      </c>
      <c r="D339" s="295" t="s">
        <v>1201</v>
      </c>
      <c r="E339" s="292" t="s">
        <v>1644</v>
      </c>
      <c r="F339" s="269" t="s">
        <v>1201</v>
      </c>
      <c r="G339" s="265">
        <v>1500000</v>
      </c>
      <c r="H339" s="269">
        <v>1</v>
      </c>
      <c r="K339" s="265">
        <v>1500000</v>
      </c>
      <c r="M339" s="269"/>
    </row>
    <row r="340" spans="1:13" x14ac:dyDescent="0.3">
      <c r="A340" s="271">
        <v>339</v>
      </c>
      <c r="B340" s="264">
        <v>45784</v>
      </c>
      <c r="C340" s="292" t="s">
        <v>2095</v>
      </c>
      <c r="D340" s="295" t="s">
        <v>1803</v>
      </c>
      <c r="E340" s="292" t="s">
        <v>1575</v>
      </c>
      <c r="F340" s="269" t="s">
        <v>1803</v>
      </c>
      <c r="G340" s="265">
        <v>50000</v>
      </c>
      <c r="H340" s="269">
        <v>1</v>
      </c>
      <c r="I340" s="266">
        <v>33000</v>
      </c>
      <c r="K340" s="265">
        <v>50000</v>
      </c>
      <c r="M340" s="269"/>
    </row>
    <row r="341" spans="1:13" x14ac:dyDescent="0.3">
      <c r="A341" s="271">
        <v>340</v>
      </c>
      <c r="B341" s="264">
        <v>45784</v>
      </c>
      <c r="C341" s="292" t="s">
        <v>2095</v>
      </c>
      <c r="D341" s="295" t="s">
        <v>1720</v>
      </c>
      <c r="E341" s="292" t="s">
        <v>1721</v>
      </c>
      <c r="F341" s="269" t="s">
        <v>1720</v>
      </c>
      <c r="G341" s="265">
        <v>60000</v>
      </c>
      <c r="H341" s="269">
        <v>1</v>
      </c>
      <c r="I341" s="266">
        <v>40000</v>
      </c>
      <c r="K341" s="265">
        <v>60000</v>
      </c>
      <c r="M341" s="269"/>
    </row>
    <row r="342" spans="1:13" x14ac:dyDescent="0.3">
      <c r="A342" s="271">
        <v>341</v>
      </c>
      <c r="B342" s="264">
        <v>45784</v>
      </c>
      <c r="C342" s="292" t="s">
        <v>2095</v>
      </c>
      <c r="E342" s="292" t="s">
        <v>1125</v>
      </c>
      <c r="L342" s="265">
        <v>-1610000</v>
      </c>
      <c r="M342" s="269"/>
    </row>
    <row r="343" spans="1:13" x14ac:dyDescent="0.3">
      <c r="A343" s="271">
        <v>342</v>
      </c>
      <c r="B343" s="264">
        <v>45785</v>
      </c>
      <c r="C343" s="292" t="s">
        <v>2089</v>
      </c>
      <c r="E343" s="292" t="s">
        <v>1125</v>
      </c>
      <c r="L343" s="265">
        <v>-1705000</v>
      </c>
      <c r="M343" s="269"/>
    </row>
    <row r="344" spans="1:13" x14ac:dyDescent="0.3">
      <c r="A344" s="271">
        <v>343</v>
      </c>
      <c r="B344" s="264">
        <v>45785</v>
      </c>
      <c r="C344" s="292" t="s">
        <v>1328</v>
      </c>
      <c r="E344" s="292" t="s">
        <v>2211</v>
      </c>
      <c r="G344" s="265">
        <v>1000000</v>
      </c>
      <c r="H344" s="269">
        <v>1</v>
      </c>
      <c r="K344" s="265">
        <v>1000000</v>
      </c>
      <c r="M344" s="269"/>
    </row>
    <row r="345" spans="1:13" x14ac:dyDescent="0.3">
      <c r="A345" s="271">
        <v>344</v>
      </c>
      <c r="B345" s="264">
        <v>45785</v>
      </c>
      <c r="C345" s="292" t="s">
        <v>1722</v>
      </c>
      <c r="D345" s="295" t="s">
        <v>1213</v>
      </c>
      <c r="E345" s="292" t="s">
        <v>1129</v>
      </c>
      <c r="F345" s="269" t="s">
        <v>1464</v>
      </c>
      <c r="G345" s="265">
        <v>1500000</v>
      </c>
      <c r="H345" s="269">
        <v>1</v>
      </c>
      <c r="K345" s="265">
        <v>1500000</v>
      </c>
      <c r="M345" s="269"/>
    </row>
    <row r="346" spans="1:13" x14ac:dyDescent="0.3">
      <c r="A346" s="271">
        <v>345</v>
      </c>
      <c r="B346" s="264">
        <v>45786</v>
      </c>
      <c r="C346" s="292" t="s">
        <v>2078</v>
      </c>
      <c r="E346" s="292" t="s">
        <v>1125</v>
      </c>
      <c r="L346" s="265">
        <v>-1200000</v>
      </c>
      <c r="M346" s="269"/>
    </row>
    <row r="347" spans="1:13" x14ac:dyDescent="0.3">
      <c r="A347" s="271">
        <v>346</v>
      </c>
      <c r="B347" s="264">
        <v>45786</v>
      </c>
      <c r="C347" s="292" t="s">
        <v>1469</v>
      </c>
      <c r="E347" s="292" t="s">
        <v>1125</v>
      </c>
      <c r="L347" s="265">
        <v>-350000</v>
      </c>
      <c r="M347" s="269"/>
    </row>
    <row r="348" spans="1:13" x14ac:dyDescent="0.3">
      <c r="A348" s="271">
        <v>347</v>
      </c>
      <c r="B348" s="264">
        <v>45786</v>
      </c>
      <c r="C348" s="292" t="s">
        <v>1722</v>
      </c>
      <c r="E348" s="292" t="s">
        <v>1125</v>
      </c>
      <c r="L348" s="265">
        <v>-5172700</v>
      </c>
      <c r="M348" s="269"/>
    </row>
    <row r="349" spans="1:13" x14ac:dyDescent="0.3">
      <c r="A349" s="271">
        <v>348</v>
      </c>
      <c r="B349" s="264">
        <v>45777</v>
      </c>
      <c r="C349" s="292" t="s">
        <v>1532</v>
      </c>
      <c r="E349" s="292" t="s">
        <v>1125</v>
      </c>
      <c r="L349" s="265">
        <v>-650000</v>
      </c>
      <c r="M349" s="269"/>
    </row>
    <row r="350" spans="1:13" x14ac:dyDescent="0.3">
      <c r="A350" s="271">
        <v>349</v>
      </c>
      <c r="B350" s="264">
        <v>45786</v>
      </c>
      <c r="C350" s="292" t="s">
        <v>1046</v>
      </c>
      <c r="E350" s="292" t="s">
        <v>1125</v>
      </c>
      <c r="L350" s="265">
        <v>-1000000</v>
      </c>
      <c r="M350" s="269"/>
    </row>
    <row r="351" spans="1:13" x14ac:dyDescent="0.3">
      <c r="A351" s="271">
        <v>350</v>
      </c>
      <c r="B351" s="264">
        <v>45786</v>
      </c>
      <c r="C351" s="292" t="s">
        <v>1306</v>
      </c>
      <c r="D351" s="295" t="s">
        <v>2109</v>
      </c>
      <c r="E351" s="292" t="s">
        <v>1965</v>
      </c>
      <c r="F351" s="269" t="s">
        <v>2109</v>
      </c>
      <c r="G351" s="265">
        <v>700000</v>
      </c>
      <c r="H351" s="269">
        <v>1</v>
      </c>
      <c r="K351" s="265">
        <v>700000</v>
      </c>
      <c r="M351" s="269"/>
    </row>
    <row r="352" spans="1:13" x14ac:dyDescent="0.3">
      <c r="A352" s="271">
        <v>351</v>
      </c>
      <c r="B352" s="264">
        <v>45786</v>
      </c>
      <c r="C352" s="292" t="s">
        <v>2015</v>
      </c>
      <c r="D352" s="295">
        <v>36050661</v>
      </c>
      <c r="E352" s="292" t="s">
        <v>2107</v>
      </c>
      <c r="F352" s="269">
        <v>36050661</v>
      </c>
      <c r="G352" s="265">
        <v>1200000</v>
      </c>
      <c r="H352" s="269">
        <v>1</v>
      </c>
      <c r="I352" s="266">
        <v>440000</v>
      </c>
      <c r="K352" s="265">
        <v>1200000</v>
      </c>
      <c r="M352" s="269"/>
    </row>
    <row r="353" spans="1:13" x14ac:dyDescent="0.3">
      <c r="A353" s="271">
        <v>352</v>
      </c>
      <c r="B353" s="264">
        <v>45786</v>
      </c>
      <c r="C353" s="292" t="s">
        <v>1281</v>
      </c>
      <c r="E353" s="292" t="s">
        <v>2341</v>
      </c>
      <c r="G353" s="265">
        <v>50000</v>
      </c>
      <c r="H353" s="269">
        <v>1</v>
      </c>
      <c r="I353" s="266">
        <v>35000</v>
      </c>
      <c r="K353" s="265">
        <v>50000</v>
      </c>
      <c r="M353" s="269"/>
    </row>
    <row r="354" spans="1:13" x14ac:dyDescent="0.3">
      <c r="A354" s="271">
        <v>353</v>
      </c>
      <c r="B354" s="264">
        <v>45786</v>
      </c>
      <c r="C354" s="292" t="s">
        <v>1281</v>
      </c>
      <c r="D354" s="295" t="s">
        <v>2342</v>
      </c>
      <c r="E354" s="292" t="s">
        <v>2087</v>
      </c>
      <c r="F354" s="269" t="s">
        <v>2342</v>
      </c>
      <c r="G354" s="265">
        <v>550000</v>
      </c>
      <c r="H354" s="269">
        <v>1</v>
      </c>
      <c r="K354" s="265">
        <v>550000</v>
      </c>
      <c r="M354" s="269"/>
    </row>
    <row r="355" spans="1:13" x14ac:dyDescent="0.3">
      <c r="A355" s="271">
        <v>354</v>
      </c>
      <c r="B355" s="264">
        <v>45787</v>
      </c>
      <c r="C355" s="292" t="s">
        <v>1790</v>
      </c>
      <c r="E355" s="292" t="s">
        <v>1125</v>
      </c>
      <c r="L355" s="265">
        <v>-1190000</v>
      </c>
      <c r="M355" s="269"/>
    </row>
    <row r="356" spans="1:13" x14ac:dyDescent="0.3">
      <c r="A356" s="271">
        <v>355</v>
      </c>
      <c r="B356" s="264">
        <v>45787</v>
      </c>
      <c r="C356" s="292" t="s">
        <v>1306</v>
      </c>
      <c r="E356" s="292" t="s">
        <v>1746</v>
      </c>
      <c r="L356" s="265">
        <v>-700000</v>
      </c>
      <c r="M356" s="269"/>
    </row>
    <row r="357" spans="1:13" x14ac:dyDescent="0.3">
      <c r="A357" s="271">
        <v>356</v>
      </c>
      <c r="B357" s="264">
        <v>45787</v>
      </c>
      <c r="C357" s="292" t="s">
        <v>2015</v>
      </c>
      <c r="E357" s="292" t="s">
        <v>1746</v>
      </c>
      <c r="L357" s="265">
        <v>-1200000</v>
      </c>
      <c r="M357" s="269"/>
    </row>
    <row r="358" spans="1:13" x14ac:dyDescent="0.3">
      <c r="A358" s="271">
        <v>357</v>
      </c>
      <c r="B358" s="264">
        <v>45787</v>
      </c>
      <c r="C358" s="292" t="s">
        <v>1790</v>
      </c>
      <c r="E358" s="292" t="s">
        <v>1746</v>
      </c>
      <c r="L358" s="265">
        <v>-558000</v>
      </c>
      <c r="M358" s="269"/>
    </row>
    <row r="359" spans="1:13" x14ac:dyDescent="0.3">
      <c r="A359" s="271">
        <v>358</v>
      </c>
      <c r="B359" s="264">
        <v>45789</v>
      </c>
      <c r="C359" s="292" t="s">
        <v>2306</v>
      </c>
      <c r="E359" s="292" t="s">
        <v>1495</v>
      </c>
      <c r="G359" s="265">
        <v>650000</v>
      </c>
      <c r="H359" s="269">
        <v>1</v>
      </c>
      <c r="J359" s="266">
        <v>65000</v>
      </c>
      <c r="K359" s="265">
        <v>715000</v>
      </c>
      <c r="M359" s="269"/>
    </row>
    <row r="360" spans="1:13" x14ac:dyDescent="0.3">
      <c r="A360" s="271">
        <v>359</v>
      </c>
      <c r="B360" s="264">
        <v>45789</v>
      </c>
      <c r="C360" s="292" t="s">
        <v>2306</v>
      </c>
      <c r="E360" s="292" t="s">
        <v>1125</v>
      </c>
      <c r="L360" s="265">
        <v>-715000</v>
      </c>
      <c r="M360" s="269"/>
    </row>
    <row r="361" spans="1:13" x14ac:dyDescent="0.3">
      <c r="A361" s="271">
        <v>360</v>
      </c>
      <c r="B361" s="264">
        <v>45789</v>
      </c>
      <c r="C361" s="292" t="s">
        <v>1444</v>
      </c>
      <c r="D361" s="295">
        <v>1068298046</v>
      </c>
      <c r="E361" s="292" t="s">
        <v>2091</v>
      </c>
      <c r="F361" s="269">
        <v>1068298046</v>
      </c>
      <c r="G361" s="265">
        <v>450000</v>
      </c>
      <c r="H361" s="269">
        <v>1</v>
      </c>
      <c r="K361" s="265">
        <v>450000</v>
      </c>
      <c r="M361" s="269"/>
    </row>
    <row r="362" spans="1:13" x14ac:dyDescent="0.3">
      <c r="A362" s="271">
        <v>361</v>
      </c>
      <c r="B362" s="264">
        <v>45789</v>
      </c>
      <c r="C362" s="292" t="s">
        <v>1977</v>
      </c>
      <c r="D362" s="295" t="s">
        <v>1752</v>
      </c>
      <c r="E362" s="292" t="s">
        <v>1203</v>
      </c>
      <c r="F362" s="269" t="s">
        <v>1752</v>
      </c>
      <c r="G362" s="265">
        <v>1300000</v>
      </c>
      <c r="H362" s="269">
        <v>1</v>
      </c>
      <c r="K362" s="265">
        <v>1300000</v>
      </c>
      <c r="M362" s="269"/>
    </row>
    <row r="363" spans="1:13" x14ac:dyDescent="0.3">
      <c r="A363" s="271">
        <v>362</v>
      </c>
      <c r="B363" s="264">
        <v>45789</v>
      </c>
      <c r="C363" s="292" t="s">
        <v>1598</v>
      </c>
      <c r="D363" s="295" t="s">
        <v>1207</v>
      </c>
      <c r="E363" s="292" t="s">
        <v>1208</v>
      </c>
      <c r="F363" s="269" t="s">
        <v>1207</v>
      </c>
      <c r="G363" s="265">
        <v>499091</v>
      </c>
      <c r="H363" s="269">
        <v>1</v>
      </c>
      <c r="I363" s="266">
        <v>480000</v>
      </c>
      <c r="J363" s="266">
        <v>49909</v>
      </c>
      <c r="K363" s="265">
        <v>549000</v>
      </c>
      <c r="M363" s="269"/>
    </row>
    <row r="364" spans="1:13" x14ac:dyDescent="0.3">
      <c r="A364" s="271">
        <v>363</v>
      </c>
      <c r="B364" s="264">
        <v>45789</v>
      </c>
      <c r="C364" s="292" t="s">
        <v>1454</v>
      </c>
      <c r="E364" s="292" t="s">
        <v>2126</v>
      </c>
      <c r="G364" s="265">
        <v>200000</v>
      </c>
      <c r="H364" s="269">
        <v>1</v>
      </c>
      <c r="K364" s="265">
        <v>200000</v>
      </c>
      <c r="M364" s="269"/>
    </row>
    <row r="365" spans="1:13" x14ac:dyDescent="0.3">
      <c r="A365" s="271">
        <v>364</v>
      </c>
      <c r="B365" s="264">
        <v>45789</v>
      </c>
      <c r="C365" s="292" t="s">
        <v>1454</v>
      </c>
      <c r="E365" s="292" t="s">
        <v>2127</v>
      </c>
      <c r="G365" s="265">
        <v>250000</v>
      </c>
      <c r="H365" s="269">
        <v>1</v>
      </c>
      <c r="K365" s="265">
        <v>250000</v>
      </c>
      <c r="M365" s="269"/>
    </row>
    <row r="366" spans="1:13" x14ac:dyDescent="0.3">
      <c r="A366" s="271">
        <v>365</v>
      </c>
      <c r="B366" s="264">
        <v>45789</v>
      </c>
      <c r="C366" s="292" t="s">
        <v>1147</v>
      </c>
      <c r="E366" s="292" t="s">
        <v>2129</v>
      </c>
      <c r="G366" s="265">
        <v>1100000</v>
      </c>
      <c r="H366" s="269">
        <v>1</v>
      </c>
      <c r="K366" s="265">
        <v>1100000</v>
      </c>
      <c r="M366" s="269"/>
    </row>
    <row r="367" spans="1:13" x14ac:dyDescent="0.3">
      <c r="A367" s="271">
        <v>366</v>
      </c>
      <c r="B367" s="264">
        <v>45789</v>
      </c>
      <c r="C367" s="292" t="s">
        <v>2133</v>
      </c>
      <c r="D367" s="295" t="s">
        <v>1201</v>
      </c>
      <c r="E367" s="292" t="s">
        <v>1644</v>
      </c>
      <c r="F367" s="269" t="s">
        <v>1201</v>
      </c>
      <c r="G367" s="265">
        <v>1500000</v>
      </c>
      <c r="H367" s="269">
        <v>1</v>
      </c>
      <c r="J367" s="266">
        <v>150000</v>
      </c>
      <c r="K367" s="265">
        <v>1650000</v>
      </c>
      <c r="M367" s="269"/>
    </row>
    <row r="368" spans="1:13" x14ac:dyDescent="0.3">
      <c r="A368" s="271">
        <v>367</v>
      </c>
      <c r="B368" s="264">
        <v>45789</v>
      </c>
      <c r="C368" s="292" t="s">
        <v>1399</v>
      </c>
      <c r="E368" s="292" t="s">
        <v>2137</v>
      </c>
      <c r="G368" s="265">
        <v>1650000</v>
      </c>
      <c r="H368" s="269">
        <v>1</v>
      </c>
      <c r="K368" s="265">
        <v>1650000</v>
      </c>
      <c r="M368" s="269"/>
    </row>
    <row r="369" spans="1:13" x14ac:dyDescent="0.3">
      <c r="A369" s="271">
        <v>368</v>
      </c>
      <c r="B369" s="264">
        <v>45790</v>
      </c>
      <c r="C369" s="292" t="s">
        <v>2133</v>
      </c>
      <c r="E369" s="292" t="s">
        <v>1125</v>
      </c>
      <c r="L369" s="265">
        <v>-1650000</v>
      </c>
      <c r="M369" s="269"/>
    </row>
    <row r="370" spans="1:13" x14ac:dyDescent="0.3">
      <c r="A370" s="271">
        <v>369</v>
      </c>
      <c r="B370" s="264">
        <v>45790</v>
      </c>
      <c r="C370" s="292" t="s">
        <v>1598</v>
      </c>
      <c r="E370" s="292" t="s">
        <v>1125</v>
      </c>
      <c r="L370" s="265">
        <v>-549000</v>
      </c>
      <c r="M370" s="269"/>
    </row>
    <row r="371" spans="1:13" x14ac:dyDescent="0.3">
      <c r="A371" s="271">
        <v>370</v>
      </c>
      <c r="B371" s="264">
        <v>45790</v>
      </c>
      <c r="C371" s="292" t="s">
        <v>1449</v>
      </c>
      <c r="E371" s="292" t="s">
        <v>1140</v>
      </c>
      <c r="G371" s="265">
        <v>1000000</v>
      </c>
      <c r="H371" s="269">
        <v>1</v>
      </c>
      <c r="K371" s="265">
        <v>1000000</v>
      </c>
      <c r="M371" s="269"/>
    </row>
    <row r="372" spans="1:13" x14ac:dyDescent="0.3">
      <c r="A372" s="271">
        <v>371</v>
      </c>
      <c r="B372" s="264">
        <v>45790</v>
      </c>
      <c r="C372" s="292" t="s">
        <v>1449</v>
      </c>
      <c r="D372" s="295">
        <v>1068298046</v>
      </c>
      <c r="E372" s="292" t="s">
        <v>2091</v>
      </c>
      <c r="F372" s="269">
        <v>1068298046</v>
      </c>
      <c r="G372" s="265">
        <v>450000</v>
      </c>
      <c r="H372" s="269">
        <v>1</v>
      </c>
      <c r="K372" s="265">
        <v>450000</v>
      </c>
      <c r="M372" s="269"/>
    </row>
    <row r="373" spans="1:13" x14ac:dyDescent="0.3">
      <c r="A373" s="271">
        <v>372</v>
      </c>
      <c r="B373" s="264">
        <v>45790</v>
      </c>
      <c r="C373" s="292" t="s">
        <v>1931</v>
      </c>
      <c r="D373" s="295">
        <v>1068298046</v>
      </c>
      <c r="E373" s="292" t="s">
        <v>2091</v>
      </c>
      <c r="F373" s="269">
        <v>1068298046</v>
      </c>
      <c r="G373" s="265">
        <v>500000</v>
      </c>
      <c r="H373" s="269">
        <v>1</v>
      </c>
      <c r="K373" s="265">
        <v>500000</v>
      </c>
      <c r="M373" s="269"/>
    </row>
    <row r="374" spans="1:13" x14ac:dyDescent="0.3">
      <c r="A374" s="271">
        <v>373</v>
      </c>
      <c r="B374" s="264">
        <v>45790</v>
      </c>
      <c r="C374" s="292" t="s">
        <v>1931</v>
      </c>
      <c r="D374" s="295">
        <v>24152333903</v>
      </c>
      <c r="E374" s="292" t="s">
        <v>1549</v>
      </c>
      <c r="F374" s="269">
        <v>24152333903</v>
      </c>
      <c r="G374" s="265">
        <v>50000</v>
      </c>
      <c r="H374" s="269">
        <v>1</v>
      </c>
      <c r="K374" s="265">
        <v>50000</v>
      </c>
      <c r="M374" s="269"/>
    </row>
    <row r="375" spans="1:13" x14ac:dyDescent="0.3">
      <c r="A375" s="271">
        <v>374</v>
      </c>
      <c r="B375" s="264">
        <v>45790</v>
      </c>
      <c r="C375" s="292" t="s">
        <v>1330</v>
      </c>
      <c r="D375" s="295" t="s">
        <v>2162</v>
      </c>
      <c r="E375" s="292" t="s">
        <v>2163</v>
      </c>
      <c r="F375" s="269" t="s">
        <v>2162</v>
      </c>
      <c r="G375" s="265">
        <v>200000</v>
      </c>
      <c r="H375" s="269">
        <v>1</v>
      </c>
      <c r="K375" s="265">
        <v>200000</v>
      </c>
      <c r="M375" s="269"/>
    </row>
    <row r="376" spans="1:13" x14ac:dyDescent="0.3">
      <c r="A376" s="271">
        <v>375</v>
      </c>
      <c r="B376" s="264">
        <v>45790</v>
      </c>
      <c r="C376" s="292" t="s">
        <v>1790</v>
      </c>
      <c r="D376" s="295" t="s">
        <v>1207</v>
      </c>
      <c r="E376" s="292" t="s">
        <v>1208</v>
      </c>
      <c r="F376" s="269" t="s">
        <v>1207</v>
      </c>
      <c r="G376" s="265">
        <v>549000</v>
      </c>
      <c r="H376" s="269">
        <v>1</v>
      </c>
      <c r="I376" s="266">
        <v>480000</v>
      </c>
      <c r="K376" s="265">
        <v>549000</v>
      </c>
      <c r="M376" s="269"/>
    </row>
    <row r="377" spans="1:13" x14ac:dyDescent="0.3">
      <c r="A377" s="271">
        <v>376</v>
      </c>
      <c r="B377" s="264">
        <v>45790</v>
      </c>
      <c r="C377" s="292" t="s">
        <v>2145</v>
      </c>
      <c r="D377" s="295">
        <v>7252703114</v>
      </c>
      <c r="E377" s="292" t="s">
        <v>1703</v>
      </c>
      <c r="F377" s="269">
        <v>7252703114</v>
      </c>
      <c r="G377" s="265">
        <v>129000</v>
      </c>
      <c r="H377" s="269">
        <v>1</v>
      </c>
      <c r="I377" s="266">
        <v>70000</v>
      </c>
      <c r="K377" s="265">
        <v>129000</v>
      </c>
      <c r="M377" s="269"/>
    </row>
    <row r="378" spans="1:13" x14ac:dyDescent="0.3">
      <c r="A378" s="271">
        <v>377</v>
      </c>
      <c r="B378" s="264">
        <v>45790</v>
      </c>
      <c r="C378" s="292" t="s">
        <v>2149</v>
      </c>
      <c r="D378" s="295">
        <v>2800802</v>
      </c>
      <c r="E378" s="292" t="s">
        <v>1717</v>
      </c>
      <c r="F378" s="269">
        <v>2800802</v>
      </c>
      <c r="G378" s="265">
        <v>150000</v>
      </c>
      <c r="H378" s="269">
        <v>3</v>
      </c>
      <c r="I378" s="266">
        <v>85000</v>
      </c>
      <c r="K378" s="265">
        <v>450000</v>
      </c>
      <c r="M378" s="269"/>
    </row>
    <row r="379" spans="1:13" x14ac:dyDescent="0.3">
      <c r="A379" s="271">
        <v>378</v>
      </c>
      <c r="B379" s="264">
        <v>45790</v>
      </c>
      <c r="C379" s="292" t="s">
        <v>1399</v>
      </c>
      <c r="E379" s="292" t="s">
        <v>2152</v>
      </c>
      <c r="G379" s="265">
        <v>1550000</v>
      </c>
      <c r="H379" s="269">
        <v>1</v>
      </c>
      <c r="K379" s="265">
        <v>1550000</v>
      </c>
      <c r="M379" s="269"/>
    </row>
    <row r="380" spans="1:13" x14ac:dyDescent="0.3">
      <c r="A380" s="271">
        <v>379</v>
      </c>
      <c r="B380" s="264">
        <v>45790</v>
      </c>
      <c r="C380" s="292" t="s">
        <v>1306</v>
      </c>
      <c r="E380" s="292" t="s">
        <v>2155</v>
      </c>
      <c r="G380" s="265">
        <v>990000</v>
      </c>
      <c r="H380" s="269">
        <v>1</v>
      </c>
      <c r="I380" s="266">
        <v>940000</v>
      </c>
      <c r="K380" s="265">
        <v>990000</v>
      </c>
      <c r="M380" s="269"/>
    </row>
    <row r="381" spans="1:13" x14ac:dyDescent="0.3">
      <c r="A381" s="271">
        <v>380</v>
      </c>
      <c r="B381" s="264">
        <v>45790</v>
      </c>
      <c r="C381" s="292" t="s">
        <v>2145</v>
      </c>
      <c r="E381" s="292" t="s">
        <v>1125</v>
      </c>
      <c r="L381" s="265">
        <v>-129000</v>
      </c>
      <c r="M381" s="269"/>
    </row>
    <row r="382" spans="1:13" x14ac:dyDescent="0.3">
      <c r="A382" s="271">
        <v>381</v>
      </c>
      <c r="B382" s="264">
        <v>45790</v>
      </c>
      <c r="C382" s="292" t="s">
        <v>1671</v>
      </c>
      <c r="E382" s="292" t="s">
        <v>2158</v>
      </c>
      <c r="G382" s="265">
        <v>1000000</v>
      </c>
      <c r="H382" s="269">
        <v>1</v>
      </c>
      <c r="J382" s="266">
        <v>100000</v>
      </c>
      <c r="K382" s="265">
        <v>1100000</v>
      </c>
      <c r="M382" s="269"/>
    </row>
    <row r="383" spans="1:13" x14ac:dyDescent="0.3">
      <c r="A383" s="271">
        <v>382</v>
      </c>
      <c r="B383" s="264">
        <v>45790</v>
      </c>
      <c r="C383" s="292" t="s">
        <v>1378</v>
      </c>
      <c r="E383" s="292" t="s">
        <v>2160</v>
      </c>
      <c r="G383" s="265">
        <v>1200000</v>
      </c>
      <c r="H383" s="269">
        <v>1</v>
      </c>
      <c r="K383" s="265">
        <v>1200000</v>
      </c>
      <c r="M383" s="269"/>
    </row>
    <row r="384" spans="1:13" x14ac:dyDescent="0.3">
      <c r="A384" s="271">
        <v>383</v>
      </c>
      <c r="B384" s="264">
        <v>45790</v>
      </c>
      <c r="C384" s="292" t="s">
        <v>1977</v>
      </c>
      <c r="E384" s="292" t="s">
        <v>1125</v>
      </c>
      <c r="L384" s="265">
        <v>-1300000</v>
      </c>
      <c r="M384" s="269"/>
    </row>
    <row r="385" spans="1:13" x14ac:dyDescent="0.3">
      <c r="A385" s="271">
        <v>384</v>
      </c>
      <c r="B385" s="264">
        <v>45791</v>
      </c>
      <c r="C385" s="292" t="s">
        <v>1378</v>
      </c>
      <c r="E385" s="292" t="s">
        <v>1125</v>
      </c>
      <c r="L385" s="265">
        <v>-1200000</v>
      </c>
      <c r="M385" s="269"/>
    </row>
    <row r="386" spans="1:13" x14ac:dyDescent="0.3">
      <c r="A386" s="271">
        <v>385</v>
      </c>
      <c r="B386" s="264">
        <v>45791</v>
      </c>
      <c r="C386" s="292" t="s">
        <v>1722</v>
      </c>
      <c r="E386" s="292" t="s">
        <v>2037</v>
      </c>
      <c r="G386" s="265">
        <v>1200000</v>
      </c>
      <c r="H386" s="269">
        <v>1</v>
      </c>
      <c r="K386" s="265">
        <v>1200000</v>
      </c>
      <c r="M386" s="269"/>
    </row>
    <row r="387" spans="1:13" x14ac:dyDescent="0.3">
      <c r="A387" s="271">
        <v>386</v>
      </c>
      <c r="B387" s="264">
        <v>45791</v>
      </c>
      <c r="C387" s="292" t="s">
        <v>1722</v>
      </c>
      <c r="E387" s="292" t="s">
        <v>2164</v>
      </c>
      <c r="G387" s="265">
        <v>150000</v>
      </c>
      <c r="H387" s="269">
        <v>1</v>
      </c>
      <c r="K387" s="265">
        <v>150000</v>
      </c>
      <c r="M387" s="269"/>
    </row>
    <row r="388" spans="1:13" x14ac:dyDescent="0.3">
      <c r="A388" s="271">
        <v>387</v>
      </c>
      <c r="B388" s="264">
        <v>45791</v>
      </c>
      <c r="C388" s="292" t="s">
        <v>1449</v>
      </c>
      <c r="E388" s="292" t="s">
        <v>1125</v>
      </c>
      <c r="L388" s="265">
        <v>-1450000</v>
      </c>
      <c r="M388" s="269"/>
    </row>
    <row r="389" spans="1:13" x14ac:dyDescent="0.3">
      <c r="A389" s="271">
        <v>388</v>
      </c>
      <c r="B389" s="264">
        <v>45791</v>
      </c>
      <c r="C389" s="292" t="s">
        <v>1306</v>
      </c>
      <c r="E389" s="292" t="s">
        <v>1125</v>
      </c>
      <c r="L389" s="265">
        <v>-990000</v>
      </c>
      <c r="M389" s="269"/>
    </row>
    <row r="390" spans="1:13" x14ac:dyDescent="0.3">
      <c r="A390" s="271">
        <v>389</v>
      </c>
      <c r="B390" s="264">
        <v>45791</v>
      </c>
      <c r="C390" s="292" t="s">
        <v>2171</v>
      </c>
      <c r="D390" s="295" t="s">
        <v>1213</v>
      </c>
      <c r="E390" s="292" t="s">
        <v>1129</v>
      </c>
      <c r="F390" s="269" t="s">
        <v>1464</v>
      </c>
      <c r="G390" s="265">
        <v>1500000</v>
      </c>
      <c r="H390" s="269">
        <v>1</v>
      </c>
      <c r="K390" s="265">
        <v>1500000</v>
      </c>
      <c r="M390" s="269"/>
    </row>
    <row r="391" spans="1:13" x14ac:dyDescent="0.3">
      <c r="A391" s="271">
        <v>390</v>
      </c>
      <c r="B391" s="264">
        <v>45791</v>
      </c>
      <c r="C391" s="292" t="s">
        <v>1018</v>
      </c>
      <c r="D391" s="295">
        <v>2295001282</v>
      </c>
      <c r="E391" s="292" t="s">
        <v>2522</v>
      </c>
      <c r="F391" s="269">
        <v>2295001282</v>
      </c>
      <c r="G391" s="265">
        <v>422000</v>
      </c>
      <c r="H391" s="269">
        <v>1</v>
      </c>
      <c r="K391" s="265">
        <v>422000</v>
      </c>
      <c r="M391" s="269"/>
    </row>
    <row r="392" spans="1:13" x14ac:dyDescent="0.3">
      <c r="A392" s="271">
        <v>391</v>
      </c>
      <c r="B392" s="264">
        <v>45791</v>
      </c>
      <c r="C392" s="292" t="s">
        <v>1790</v>
      </c>
      <c r="E392" s="292" t="s">
        <v>1743</v>
      </c>
      <c r="G392" s="265">
        <v>680000</v>
      </c>
      <c r="H392" s="269">
        <v>1</v>
      </c>
      <c r="K392" s="265">
        <v>680000</v>
      </c>
      <c r="M392" s="269"/>
    </row>
    <row r="393" spans="1:13" x14ac:dyDescent="0.3">
      <c r="A393" s="271">
        <v>392</v>
      </c>
      <c r="B393" s="264">
        <v>45791</v>
      </c>
      <c r="C393" s="292" t="s">
        <v>1598</v>
      </c>
      <c r="D393" s="295" t="s">
        <v>1361</v>
      </c>
      <c r="E393" s="292" t="s">
        <v>1203</v>
      </c>
      <c r="F393" s="269" t="s">
        <v>1361</v>
      </c>
      <c r="G393" s="265">
        <v>1000000</v>
      </c>
      <c r="H393" s="269">
        <v>1</v>
      </c>
      <c r="K393" s="265">
        <v>1000000</v>
      </c>
      <c r="M393" s="269"/>
    </row>
    <row r="394" spans="1:13" x14ac:dyDescent="0.3">
      <c r="A394" s="271">
        <v>393</v>
      </c>
      <c r="B394" s="264">
        <v>45792</v>
      </c>
      <c r="C394" s="292" t="s">
        <v>1598</v>
      </c>
      <c r="E394" s="292" t="s">
        <v>1125</v>
      </c>
      <c r="L394" s="265">
        <v>-1000000</v>
      </c>
      <c r="M394" s="269"/>
    </row>
    <row r="395" spans="1:13" x14ac:dyDescent="0.3">
      <c r="A395" s="271">
        <v>394</v>
      </c>
      <c r="B395" s="264">
        <v>45792</v>
      </c>
      <c r="C395" s="292" t="s">
        <v>1580</v>
      </c>
      <c r="D395" s="295" t="s">
        <v>1207</v>
      </c>
      <c r="E395" s="292" t="s">
        <v>2187</v>
      </c>
      <c r="F395" s="269" t="s">
        <v>1207</v>
      </c>
      <c r="G395" s="265">
        <v>499091</v>
      </c>
      <c r="H395" s="269">
        <v>1</v>
      </c>
      <c r="J395" s="266">
        <v>49909.100000000006</v>
      </c>
      <c r="K395" s="265">
        <v>549000.1</v>
      </c>
      <c r="M395" s="269"/>
    </row>
    <row r="396" spans="1:13" x14ac:dyDescent="0.3">
      <c r="A396" s="271">
        <v>395</v>
      </c>
      <c r="B396" s="264">
        <v>45792</v>
      </c>
      <c r="C396" s="292" t="s">
        <v>2089</v>
      </c>
      <c r="D396" s="295" t="s">
        <v>1201</v>
      </c>
      <c r="E396" s="292" t="s">
        <v>2180</v>
      </c>
      <c r="F396" s="269" t="s">
        <v>1201</v>
      </c>
      <c r="G396" s="265">
        <v>1500000</v>
      </c>
      <c r="H396" s="269">
        <v>1</v>
      </c>
      <c r="K396" s="265">
        <v>1500000</v>
      </c>
      <c r="M396" s="269"/>
    </row>
    <row r="397" spans="1:13" x14ac:dyDescent="0.3">
      <c r="A397" s="271">
        <v>396</v>
      </c>
      <c r="B397" s="264">
        <v>45792</v>
      </c>
      <c r="C397" s="292" t="s">
        <v>2089</v>
      </c>
      <c r="D397" s="295" t="s">
        <v>1803</v>
      </c>
      <c r="E397" s="292" t="s">
        <v>2181</v>
      </c>
      <c r="F397" s="269" t="s">
        <v>1803</v>
      </c>
      <c r="G397" s="265">
        <v>50000</v>
      </c>
      <c r="H397" s="269">
        <v>1</v>
      </c>
      <c r="I397" s="266">
        <v>33000</v>
      </c>
      <c r="K397" s="265">
        <v>50000</v>
      </c>
      <c r="M397" s="269"/>
    </row>
    <row r="398" spans="1:13" x14ac:dyDescent="0.3">
      <c r="A398" s="271">
        <v>397</v>
      </c>
      <c r="B398" s="264">
        <v>45792</v>
      </c>
      <c r="C398" s="292" t="s">
        <v>2089</v>
      </c>
      <c r="E398" s="292" t="s">
        <v>1125</v>
      </c>
      <c r="L398" s="265">
        <v>-1550000</v>
      </c>
      <c r="M398" s="269"/>
    </row>
    <row r="399" spans="1:13" x14ac:dyDescent="0.3">
      <c r="A399" s="271">
        <v>398</v>
      </c>
      <c r="B399" s="264">
        <v>45792</v>
      </c>
      <c r="C399" s="292" t="s">
        <v>1541</v>
      </c>
      <c r="E399" s="292" t="s">
        <v>2010</v>
      </c>
      <c r="G399" s="265">
        <v>2000000</v>
      </c>
      <c r="H399" s="269">
        <v>1</v>
      </c>
      <c r="K399" s="265">
        <v>2000000</v>
      </c>
      <c r="M399" s="269"/>
    </row>
    <row r="400" spans="1:13" x14ac:dyDescent="0.3">
      <c r="A400" s="271">
        <v>399</v>
      </c>
      <c r="B400" s="264">
        <v>45792</v>
      </c>
      <c r="C400" s="292" t="s">
        <v>2101</v>
      </c>
      <c r="E400" s="292" t="s">
        <v>1125</v>
      </c>
      <c r="L400" s="265">
        <v>-1000000</v>
      </c>
      <c r="M400" s="269"/>
    </row>
    <row r="401" spans="1:13" x14ac:dyDescent="0.3">
      <c r="A401" s="271">
        <v>400</v>
      </c>
      <c r="B401" s="264">
        <v>45792</v>
      </c>
      <c r="C401" s="292" t="s">
        <v>1747</v>
      </c>
      <c r="D401" s="295">
        <v>50229</v>
      </c>
      <c r="E401" s="292" t="s">
        <v>2190</v>
      </c>
      <c r="F401" s="269">
        <v>50229</v>
      </c>
      <c r="G401" s="265">
        <v>75000</v>
      </c>
      <c r="H401" s="58">
        <v>2</v>
      </c>
      <c r="J401" s="266">
        <v>15000</v>
      </c>
      <c r="K401" s="265">
        <v>165000</v>
      </c>
      <c r="M401" s="269"/>
    </row>
    <row r="402" spans="1:13" x14ac:dyDescent="0.3">
      <c r="A402" s="271">
        <v>401</v>
      </c>
      <c r="B402" s="264">
        <v>45792</v>
      </c>
      <c r="C402" s="292" t="s">
        <v>2215</v>
      </c>
      <c r="E402" s="292" t="s">
        <v>2213</v>
      </c>
      <c r="G402" s="265">
        <v>500000</v>
      </c>
      <c r="H402" s="269">
        <v>1</v>
      </c>
      <c r="J402" s="266">
        <v>50000</v>
      </c>
      <c r="K402" s="265">
        <v>550000</v>
      </c>
      <c r="M402" s="269"/>
    </row>
    <row r="403" spans="1:13" x14ac:dyDescent="0.3">
      <c r="A403" s="271">
        <v>402</v>
      </c>
      <c r="B403" s="264">
        <v>45792</v>
      </c>
      <c r="C403" s="292" t="s">
        <v>1870</v>
      </c>
      <c r="D403" s="295" t="s">
        <v>1201</v>
      </c>
      <c r="E403" s="292" t="s">
        <v>2180</v>
      </c>
      <c r="F403" s="269" t="s">
        <v>1201</v>
      </c>
      <c r="G403" s="265">
        <v>1500000</v>
      </c>
      <c r="H403" s="269">
        <v>1</v>
      </c>
      <c r="J403" s="266">
        <v>150000</v>
      </c>
      <c r="K403" s="265">
        <v>1650000</v>
      </c>
      <c r="M403" s="269"/>
    </row>
    <row r="404" spans="1:13" x14ac:dyDescent="0.3">
      <c r="A404" s="271">
        <v>403</v>
      </c>
      <c r="B404" s="264">
        <v>45792</v>
      </c>
      <c r="C404" s="292" t="s">
        <v>1870</v>
      </c>
      <c r="D404" s="295" t="s">
        <v>1803</v>
      </c>
      <c r="E404" s="292" t="s">
        <v>2181</v>
      </c>
      <c r="F404" s="269" t="s">
        <v>1803</v>
      </c>
      <c r="G404" s="265">
        <v>50000</v>
      </c>
      <c r="H404" s="269">
        <v>1</v>
      </c>
      <c r="I404" s="266">
        <v>33000</v>
      </c>
      <c r="J404" s="266">
        <v>5000</v>
      </c>
      <c r="K404" s="265">
        <v>55000</v>
      </c>
      <c r="M404" s="269"/>
    </row>
    <row r="405" spans="1:13" x14ac:dyDescent="0.3">
      <c r="A405" s="271">
        <v>404</v>
      </c>
      <c r="B405" s="264">
        <v>45792</v>
      </c>
      <c r="C405" s="292" t="s">
        <v>1870</v>
      </c>
      <c r="D405" s="295" t="s">
        <v>2217</v>
      </c>
      <c r="E405" s="292" t="s">
        <v>2182</v>
      </c>
      <c r="F405" s="269" t="s">
        <v>2217</v>
      </c>
      <c r="G405" s="265">
        <v>250000</v>
      </c>
      <c r="H405" s="269">
        <v>1</v>
      </c>
      <c r="I405" s="266">
        <v>45000</v>
      </c>
      <c r="J405" s="266">
        <v>25000</v>
      </c>
      <c r="K405" s="265">
        <v>275000</v>
      </c>
      <c r="M405" s="269"/>
    </row>
    <row r="406" spans="1:13" x14ac:dyDescent="0.3">
      <c r="A406" s="271">
        <v>405</v>
      </c>
      <c r="B406" s="264">
        <v>45793</v>
      </c>
      <c r="C406" s="292" t="s">
        <v>1870</v>
      </c>
      <c r="E406" s="292" t="s">
        <v>1125</v>
      </c>
      <c r="L406" s="265">
        <v>-1980000</v>
      </c>
      <c r="M406" s="269"/>
    </row>
    <row r="407" spans="1:13" x14ac:dyDescent="0.3">
      <c r="A407" s="271">
        <v>406</v>
      </c>
      <c r="B407" s="264">
        <v>45793</v>
      </c>
      <c r="C407" s="292" t="s">
        <v>2095</v>
      </c>
      <c r="D407" s="295" t="s">
        <v>2217</v>
      </c>
      <c r="E407" s="292" t="s">
        <v>2182</v>
      </c>
      <c r="F407" s="269" t="s">
        <v>2217</v>
      </c>
      <c r="G407" s="265">
        <v>250000</v>
      </c>
      <c r="H407" s="269">
        <v>1</v>
      </c>
      <c r="I407" s="266">
        <v>45000</v>
      </c>
      <c r="K407" s="265">
        <v>250000</v>
      </c>
      <c r="M407" s="269"/>
    </row>
    <row r="408" spans="1:13" x14ac:dyDescent="0.3">
      <c r="A408" s="271">
        <v>407</v>
      </c>
      <c r="B408" s="264">
        <v>45793</v>
      </c>
      <c r="C408" s="292" t="s">
        <v>1931</v>
      </c>
      <c r="E408" s="292" t="s">
        <v>1125</v>
      </c>
      <c r="L408" s="265">
        <v>-550000</v>
      </c>
      <c r="M408" s="269"/>
    </row>
    <row r="409" spans="1:13" x14ac:dyDescent="0.3">
      <c r="A409" s="271">
        <v>408</v>
      </c>
      <c r="B409" s="264">
        <v>45793</v>
      </c>
      <c r="C409" s="292" t="s">
        <v>1747</v>
      </c>
      <c r="D409" s="295">
        <v>50229</v>
      </c>
      <c r="E409" s="292" t="s">
        <v>2190</v>
      </c>
      <c r="F409" s="269">
        <v>50229</v>
      </c>
      <c r="G409" s="265">
        <v>75000</v>
      </c>
      <c r="H409" s="58">
        <v>2</v>
      </c>
      <c r="J409" s="266">
        <v>15000</v>
      </c>
      <c r="K409" s="265">
        <v>165000</v>
      </c>
      <c r="M409" s="269"/>
    </row>
    <row r="410" spans="1:13" x14ac:dyDescent="0.3">
      <c r="A410" s="271">
        <v>409</v>
      </c>
      <c r="B410" s="264">
        <v>45793</v>
      </c>
      <c r="C410" s="292" t="s">
        <v>1747</v>
      </c>
      <c r="D410" s="295" t="s">
        <v>1259</v>
      </c>
      <c r="E410" s="292" t="s">
        <v>2188</v>
      </c>
      <c r="F410" s="269" t="s">
        <v>1259</v>
      </c>
      <c r="G410" s="265">
        <v>130000</v>
      </c>
      <c r="H410" s="58">
        <v>1</v>
      </c>
      <c r="I410" s="266">
        <v>90000</v>
      </c>
      <c r="J410" s="266">
        <v>13000</v>
      </c>
      <c r="K410" s="265">
        <v>143000</v>
      </c>
      <c r="M410" s="269"/>
    </row>
    <row r="411" spans="1:13" x14ac:dyDescent="0.3">
      <c r="A411" s="271">
        <v>410</v>
      </c>
      <c r="B411" s="264">
        <v>45793</v>
      </c>
      <c r="C411" s="292" t="s">
        <v>1747</v>
      </c>
      <c r="D411" s="295" t="s">
        <v>1822</v>
      </c>
      <c r="E411" s="292" t="s">
        <v>2192</v>
      </c>
      <c r="F411" s="269" t="s">
        <v>1822</v>
      </c>
      <c r="G411" s="265">
        <v>10000</v>
      </c>
      <c r="H411" s="58">
        <v>2</v>
      </c>
      <c r="I411" s="266">
        <v>8500</v>
      </c>
      <c r="J411" s="266">
        <v>2000</v>
      </c>
      <c r="K411" s="265">
        <v>22000</v>
      </c>
      <c r="M411" s="269"/>
    </row>
    <row r="412" spans="1:13" x14ac:dyDescent="0.3">
      <c r="A412" s="271">
        <v>411</v>
      </c>
      <c r="B412" s="264">
        <v>45793</v>
      </c>
      <c r="C412" s="292" t="s">
        <v>1870</v>
      </c>
      <c r="E412" s="292" t="s">
        <v>2228</v>
      </c>
      <c r="G412" s="265">
        <v>150000</v>
      </c>
      <c r="H412" s="269">
        <v>1</v>
      </c>
      <c r="K412" s="265">
        <v>150000</v>
      </c>
      <c r="M412" s="269"/>
    </row>
    <row r="413" spans="1:13" x14ac:dyDescent="0.3">
      <c r="A413" s="271">
        <v>412</v>
      </c>
      <c r="B413" s="264">
        <v>45793</v>
      </c>
      <c r="C413" s="292" t="s">
        <v>1870</v>
      </c>
      <c r="E413" s="292" t="s">
        <v>1125</v>
      </c>
      <c r="L413" s="265">
        <v>-150000</v>
      </c>
      <c r="M413" s="269"/>
    </row>
    <row r="414" spans="1:13" x14ac:dyDescent="0.3">
      <c r="A414" s="271">
        <v>413</v>
      </c>
      <c r="B414" s="264">
        <v>45794</v>
      </c>
      <c r="C414" s="292" t="s">
        <v>1847</v>
      </c>
      <c r="E414" s="292" t="s">
        <v>2230</v>
      </c>
      <c r="G414" s="265">
        <v>150000</v>
      </c>
      <c r="H414" s="269">
        <v>1</v>
      </c>
      <c r="K414" s="265">
        <v>150000</v>
      </c>
      <c r="M414" s="269"/>
    </row>
    <row r="415" spans="1:13" x14ac:dyDescent="0.3">
      <c r="A415" s="271">
        <v>414</v>
      </c>
      <c r="B415" s="264">
        <v>45794</v>
      </c>
      <c r="C415" s="292" t="s">
        <v>1747</v>
      </c>
      <c r="E415" s="292" t="s">
        <v>1519</v>
      </c>
      <c r="G415" s="265">
        <v>20000</v>
      </c>
      <c r="H415" s="58">
        <v>1</v>
      </c>
      <c r="J415" s="266">
        <v>2000</v>
      </c>
      <c r="K415" s="265">
        <v>22000</v>
      </c>
      <c r="M415" s="269"/>
    </row>
    <row r="416" spans="1:13" x14ac:dyDescent="0.3">
      <c r="A416" s="271">
        <v>415</v>
      </c>
      <c r="B416" s="264">
        <v>45794</v>
      </c>
      <c r="C416" s="292" t="s">
        <v>1747</v>
      </c>
      <c r="E416" s="292" t="s">
        <v>1535</v>
      </c>
      <c r="G416" s="265">
        <v>450000</v>
      </c>
      <c r="H416" s="58">
        <v>1</v>
      </c>
      <c r="J416" s="266">
        <v>45000</v>
      </c>
      <c r="K416" s="265">
        <v>495000</v>
      </c>
      <c r="M416" s="269"/>
    </row>
    <row r="417" spans="1:13" x14ac:dyDescent="0.3">
      <c r="A417" s="271">
        <v>416</v>
      </c>
      <c r="B417" s="264">
        <v>45794</v>
      </c>
      <c r="C417" s="292" t="s">
        <v>1053</v>
      </c>
      <c r="E417" s="292" t="s">
        <v>1535</v>
      </c>
      <c r="G417" s="265">
        <v>450000</v>
      </c>
      <c r="H417" s="269">
        <v>1</v>
      </c>
      <c r="K417" s="265">
        <v>450000</v>
      </c>
      <c r="M417" s="269"/>
    </row>
    <row r="418" spans="1:13" x14ac:dyDescent="0.3">
      <c r="A418" s="271">
        <v>417</v>
      </c>
      <c r="B418" s="264">
        <v>45794</v>
      </c>
      <c r="C418" s="292" t="s">
        <v>1289</v>
      </c>
      <c r="D418" s="295">
        <v>1087298388</v>
      </c>
      <c r="E418" s="292" t="s">
        <v>2244</v>
      </c>
      <c r="F418" s="270">
        <v>1087298388</v>
      </c>
      <c r="G418" s="265">
        <v>550000</v>
      </c>
      <c r="H418" s="269">
        <v>1</v>
      </c>
      <c r="K418" s="265">
        <v>500000</v>
      </c>
      <c r="M418" s="269"/>
    </row>
    <row r="419" spans="1:13" x14ac:dyDescent="0.3">
      <c r="A419" s="271">
        <v>418</v>
      </c>
      <c r="B419" s="264">
        <v>45794</v>
      </c>
      <c r="C419" s="292" t="s">
        <v>1285</v>
      </c>
      <c r="D419" s="295" t="s">
        <v>2254</v>
      </c>
      <c r="E419" s="292" t="s">
        <v>2255</v>
      </c>
      <c r="F419" s="269" t="s">
        <v>2254</v>
      </c>
      <c r="G419" s="265">
        <v>1650000</v>
      </c>
      <c r="H419" s="269">
        <v>1</v>
      </c>
      <c r="J419" s="266">
        <v>165000</v>
      </c>
      <c r="K419" s="265">
        <v>1815000</v>
      </c>
      <c r="M419" s="269"/>
    </row>
    <row r="420" spans="1:13" x14ac:dyDescent="0.3">
      <c r="A420" s="271">
        <v>419</v>
      </c>
      <c r="B420" s="264">
        <v>45794</v>
      </c>
      <c r="C420" s="292" t="s">
        <v>1847</v>
      </c>
      <c r="E420" s="292" t="s">
        <v>1746</v>
      </c>
      <c r="L420" s="265">
        <v>-150000</v>
      </c>
      <c r="M420" s="269"/>
    </row>
    <row r="421" spans="1:13" x14ac:dyDescent="0.3">
      <c r="A421" s="271">
        <v>420</v>
      </c>
      <c r="B421" s="264">
        <v>45796</v>
      </c>
      <c r="C421" s="292" t="s">
        <v>1671</v>
      </c>
      <c r="E421" s="292" t="s">
        <v>1125</v>
      </c>
      <c r="L421" s="265">
        <v>-1100000</v>
      </c>
      <c r="M421" s="269"/>
    </row>
    <row r="422" spans="1:13" x14ac:dyDescent="0.3">
      <c r="A422" s="271">
        <v>421</v>
      </c>
      <c r="B422" s="264">
        <v>45796</v>
      </c>
      <c r="C422" s="292" t="s">
        <v>1469</v>
      </c>
      <c r="E422" s="292" t="s">
        <v>1125</v>
      </c>
      <c r="L422" s="265">
        <v>-200000</v>
      </c>
      <c r="M422" s="269"/>
    </row>
    <row r="423" spans="1:13" x14ac:dyDescent="0.3">
      <c r="A423" s="271">
        <v>422</v>
      </c>
      <c r="B423" s="264">
        <v>45796</v>
      </c>
      <c r="C423" s="292" t="s">
        <v>1722</v>
      </c>
      <c r="D423" s="295" t="s">
        <v>1201</v>
      </c>
      <c r="E423" s="292" t="s">
        <v>2180</v>
      </c>
      <c r="F423" s="269" t="s">
        <v>1201</v>
      </c>
      <c r="G423" s="265">
        <v>1500000</v>
      </c>
      <c r="H423" s="269">
        <v>1</v>
      </c>
      <c r="K423" s="265">
        <v>1500000</v>
      </c>
      <c r="M423" s="269"/>
    </row>
    <row r="424" spans="1:13" x14ac:dyDescent="0.3">
      <c r="A424" s="271">
        <v>423</v>
      </c>
      <c r="B424" s="264">
        <v>45796</v>
      </c>
      <c r="C424" s="292" t="s">
        <v>1722</v>
      </c>
      <c r="D424" s="295" t="s">
        <v>1803</v>
      </c>
      <c r="E424" s="292" t="s">
        <v>2181</v>
      </c>
      <c r="F424" s="269" t="s">
        <v>1803</v>
      </c>
      <c r="G424" s="265">
        <v>50000</v>
      </c>
      <c r="H424" s="269">
        <v>1</v>
      </c>
      <c r="I424" s="266">
        <v>33000</v>
      </c>
      <c r="K424" s="265">
        <v>50000</v>
      </c>
      <c r="M424" s="269"/>
    </row>
    <row r="425" spans="1:13" x14ac:dyDescent="0.3">
      <c r="A425" s="271">
        <v>424</v>
      </c>
      <c r="B425" s="264">
        <v>45796</v>
      </c>
      <c r="C425" s="292" t="s">
        <v>1722</v>
      </c>
      <c r="D425" s="295" t="s">
        <v>1720</v>
      </c>
      <c r="E425" s="292" t="s">
        <v>2183</v>
      </c>
      <c r="F425" s="269" t="s">
        <v>1720</v>
      </c>
      <c r="G425" s="265">
        <v>60000</v>
      </c>
      <c r="H425" s="269">
        <v>1</v>
      </c>
      <c r="I425" s="266">
        <v>40000</v>
      </c>
      <c r="K425" s="265">
        <v>60000</v>
      </c>
      <c r="M425" s="269"/>
    </row>
    <row r="426" spans="1:13" x14ac:dyDescent="0.3">
      <c r="A426" s="271">
        <v>425</v>
      </c>
      <c r="B426" s="264">
        <v>45796</v>
      </c>
      <c r="C426" s="292" t="s">
        <v>1722</v>
      </c>
      <c r="E426" s="292" t="s">
        <v>2241</v>
      </c>
      <c r="G426" s="265">
        <v>800000</v>
      </c>
      <c r="H426" s="269">
        <v>1</v>
      </c>
      <c r="K426" s="265">
        <v>800000</v>
      </c>
      <c r="M426" s="269"/>
    </row>
    <row r="427" spans="1:13" x14ac:dyDescent="0.3">
      <c r="A427" s="271">
        <v>426</v>
      </c>
      <c r="B427" s="264">
        <v>45796</v>
      </c>
      <c r="C427" s="292" t="s">
        <v>1391</v>
      </c>
      <c r="E427" s="292" t="s">
        <v>2037</v>
      </c>
      <c r="G427" s="265">
        <v>1100000</v>
      </c>
      <c r="H427" s="269">
        <v>1</v>
      </c>
      <c r="J427" s="266">
        <v>110000</v>
      </c>
      <c r="K427" s="265">
        <v>1210000</v>
      </c>
      <c r="M427" s="269"/>
    </row>
    <row r="428" spans="1:13" x14ac:dyDescent="0.3">
      <c r="A428" s="271">
        <v>427</v>
      </c>
      <c r="B428" s="264">
        <v>45796</v>
      </c>
      <c r="C428" s="292" t="s">
        <v>1444</v>
      </c>
      <c r="E428" s="292" t="s">
        <v>2245</v>
      </c>
      <c r="L428" s="265">
        <v>-600000</v>
      </c>
      <c r="M428" s="269"/>
    </row>
    <row r="429" spans="1:13" x14ac:dyDescent="0.3">
      <c r="A429" s="271">
        <v>428</v>
      </c>
      <c r="B429" s="264">
        <v>45796</v>
      </c>
      <c r="C429" s="292" t="s">
        <v>1147</v>
      </c>
      <c r="E429" s="292" t="s">
        <v>2246</v>
      </c>
      <c r="G429" s="265">
        <v>900000</v>
      </c>
      <c r="H429" s="269">
        <v>1</v>
      </c>
      <c r="K429" s="265">
        <v>900000</v>
      </c>
      <c r="M429" s="269"/>
    </row>
    <row r="430" spans="1:13" x14ac:dyDescent="0.3">
      <c r="A430" s="271">
        <v>429</v>
      </c>
      <c r="B430" s="264">
        <v>45796</v>
      </c>
      <c r="C430" s="292" t="s">
        <v>1053</v>
      </c>
      <c r="D430" s="295" t="s">
        <v>1752</v>
      </c>
      <c r="E430" s="292" t="s">
        <v>1203</v>
      </c>
      <c r="F430" s="269" t="s">
        <v>1752</v>
      </c>
      <c r="G430" s="265">
        <v>1200000</v>
      </c>
      <c r="H430" s="269">
        <v>1</v>
      </c>
      <c r="K430" s="265">
        <v>1200000</v>
      </c>
      <c r="M430" s="269"/>
    </row>
    <row r="431" spans="1:13" x14ac:dyDescent="0.3">
      <c r="A431" s="271">
        <v>430</v>
      </c>
      <c r="B431" s="264">
        <v>45796</v>
      </c>
      <c r="C431" s="292" t="s">
        <v>1053</v>
      </c>
      <c r="E431" s="292" t="s">
        <v>1125</v>
      </c>
      <c r="L431" s="265">
        <v>-1650000</v>
      </c>
      <c r="M431" s="269"/>
    </row>
    <row r="432" spans="1:13" x14ac:dyDescent="0.3">
      <c r="A432" s="271">
        <v>431</v>
      </c>
      <c r="B432" s="264">
        <v>45797</v>
      </c>
      <c r="C432" s="292" t="s">
        <v>1015</v>
      </c>
      <c r="D432" s="295" t="s">
        <v>1200</v>
      </c>
      <c r="E432" s="292" t="s">
        <v>2186</v>
      </c>
      <c r="F432" s="269" t="s">
        <v>1200</v>
      </c>
      <c r="G432" s="265">
        <v>800000</v>
      </c>
      <c r="H432" s="269">
        <v>1</v>
      </c>
      <c r="K432" s="265">
        <v>800000</v>
      </c>
      <c r="M432" s="269"/>
    </row>
    <row r="433" spans="1:13" x14ac:dyDescent="0.3">
      <c r="A433" s="271">
        <v>432</v>
      </c>
      <c r="B433" s="264">
        <v>45797</v>
      </c>
      <c r="C433" s="292" t="s">
        <v>1287</v>
      </c>
      <c r="D433" s="295" t="s">
        <v>2348</v>
      </c>
      <c r="E433" s="292" t="s">
        <v>1646</v>
      </c>
      <c r="F433" s="269" t="s">
        <v>2348</v>
      </c>
      <c r="G433" s="265">
        <v>1500000</v>
      </c>
      <c r="H433" s="269">
        <v>1</v>
      </c>
      <c r="J433" s="266">
        <v>150000</v>
      </c>
      <c r="K433" s="265">
        <v>1650000</v>
      </c>
      <c r="M433" s="269"/>
    </row>
    <row r="434" spans="1:13" x14ac:dyDescent="0.3">
      <c r="A434" s="271">
        <v>433</v>
      </c>
      <c r="B434" s="264">
        <v>45797</v>
      </c>
      <c r="C434" s="292" t="s">
        <v>1861</v>
      </c>
      <c r="D434" s="295" t="s">
        <v>1200</v>
      </c>
      <c r="E434" s="292" t="s">
        <v>2186</v>
      </c>
      <c r="F434" s="269" t="s">
        <v>1200</v>
      </c>
      <c r="G434" s="265">
        <v>900000</v>
      </c>
      <c r="H434" s="269">
        <v>1</v>
      </c>
      <c r="K434" s="265">
        <v>900000</v>
      </c>
      <c r="M434" s="269"/>
    </row>
    <row r="435" spans="1:13" x14ac:dyDescent="0.3">
      <c r="A435" s="271">
        <v>434</v>
      </c>
      <c r="B435" s="264">
        <v>45798</v>
      </c>
      <c r="C435" s="292" t="s">
        <v>2095</v>
      </c>
      <c r="E435" s="292" t="s">
        <v>1125</v>
      </c>
      <c r="L435" s="265">
        <v>-250000</v>
      </c>
      <c r="M435" s="269"/>
    </row>
    <row r="436" spans="1:13" x14ac:dyDescent="0.3">
      <c r="A436" s="271">
        <v>435</v>
      </c>
      <c r="B436" s="264">
        <v>45798</v>
      </c>
      <c r="C436" s="292" t="s">
        <v>2239</v>
      </c>
      <c r="E436" s="292" t="s">
        <v>1125</v>
      </c>
      <c r="L436" s="265">
        <v>-1815000</v>
      </c>
      <c r="M436" s="269"/>
    </row>
    <row r="437" spans="1:13" x14ac:dyDescent="0.3">
      <c r="A437" s="271">
        <v>436</v>
      </c>
      <c r="B437" s="264">
        <v>45798</v>
      </c>
      <c r="C437" s="292" t="s">
        <v>1391</v>
      </c>
      <c r="E437" s="292" t="s">
        <v>1125</v>
      </c>
      <c r="L437" s="265">
        <v>-1210000</v>
      </c>
      <c r="M437" s="269"/>
    </row>
    <row r="438" spans="1:13" x14ac:dyDescent="0.3">
      <c r="A438" s="271">
        <v>437</v>
      </c>
      <c r="B438" s="264">
        <v>45798</v>
      </c>
      <c r="C438" s="292" t="s">
        <v>1554</v>
      </c>
      <c r="E438" s="292" t="s">
        <v>2256</v>
      </c>
      <c r="G438" s="265">
        <v>900000</v>
      </c>
      <c r="H438" s="269">
        <v>1</v>
      </c>
      <c r="I438" s="266">
        <v>600000</v>
      </c>
      <c r="K438" s="265">
        <v>900000</v>
      </c>
      <c r="M438" s="269"/>
    </row>
    <row r="439" spans="1:13" x14ac:dyDescent="0.3">
      <c r="A439" s="271">
        <v>438</v>
      </c>
      <c r="B439" s="264">
        <v>45798</v>
      </c>
      <c r="C439" s="292" t="s">
        <v>2258</v>
      </c>
      <c r="D439" s="295" t="s">
        <v>1213</v>
      </c>
      <c r="E439" s="292" t="s">
        <v>2178</v>
      </c>
      <c r="F439" s="269" t="s">
        <v>1464</v>
      </c>
      <c r="G439" s="265">
        <v>1500000</v>
      </c>
      <c r="H439" s="269">
        <v>1</v>
      </c>
      <c r="K439" s="265">
        <v>1500000</v>
      </c>
      <c r="M439" s="269"/>
    </row>
    <row r="440" spans="1:13" x14ac:dyDescent="0.3">
      <c r="A440" s="271">
        <v>439</v>
      </c>
      <c r="B440" s="264">
        <v>45798</v>
      </c>
      <c r="C440" s="292" t="s">
        <v>1671</v>
      </c>
      <c r="D440" s="295" t="s">
        <v>1956</v>
      </c>
      <c r="E440" s="292" t="s">
        <v>2202</v>
      </c>
      <c r="F440" s="269" t="s">
        <v>1956</v>
      </c>
      <c r="G440" s="265">
        <v>1800000</v>
      </c>
      <c r="H440" s="269">
        <v>1</v>
      </c>
      <c r="J440" s="266">
        <v>180000</v>
      </c>
      <c r="K440" s="265">
        <v>1980000</v>
      </c>
      <c r="M440" s="269"/>
    </row>
    <row r="441" spans="1:13" x14ac:dyDescent="0.3">
      <c r="A441" s="271">
        <v>440</v>
      </c>
      <c r="B441" s="264">
        <v>45798</v>
      </c>
      <c r="C441" s="292" t="s">
        <v>1671</v>
      </c>
      <c r="D441" s="295" t="s">
        <v>1803</v>
      </c>
      <c r="E441" s="292" t="s">
        <v>2181</v>
      </c>
      <c r="F441" s="269" t="s">
        <v>1803</v>
      </c>
      <c r="G441" s="265">
        <v>50000</v>
      </c>
      <c r="H441" s="269">
        <v>1</v>
      </c>
      <c r="I441" s="266">
        <v>33000</v>
      </c>
      <c r="J441" s="266">
        <v>5000</v>
      </c>
      <c r="K441" s="265">
        <v>55000</v>
      </c>
      <c r="M441" s="269"/>
    </row>
    <row r="442" spans="1:13" x14ac:dyDescent="0.3">
      <c r="A442" s="271">
        <v>441</v>
      </c>
      <c r="B442" s="264">
        <v>45798</v>
      </c>
      <c r="C442" s="292" t="s">
        <v>1671</v>
      </c>
      <c r="E442" s="292" t="s">
        <v>2203</v>
      </c>
      <c r="G442" s="265">
        <v>150000</v>
      </c>
      <c r="H442" s="269">
        <v>1</v>
      </c>
      <c r="J442" s="266">
        <v>15000</v>
      </c>
      <c r="K442" s="265">
        <v>165000</v>
      </c>
      <c r="M442" s="269"/>
    </row>
    <row r="443" spans="1:13" x14ac:dyDescent="0.3">
      <c r="A443" s="271">
        <v>442</v>
      </c>
      <c r="B443" s="264">
        <v>45798</v>
      </c>
      <c r="C443" s="292" t="s">
        <v>2261</v>
      </c>
      <c r="D443" s="295" t="s">
        <v>1201</v>
      </c>
      <c r="E443" s="292" t="s">
        <v>2180</v>
      </c>
      <c r="F443" s="269" t="s">
        <v>1201</v>
      </c>
      <c r="G443" s="265">
        <v>1500000</v>
      </c>
      <c r="H443" s="269">
        <v>1</v>
      </c>
      <c r="K443" s="265">
        <v>1500000</v>
      </c>
      <c r="M443" s="269"/>
    </row>
    <row r="444" spans="1:13" x14ac:dyDescent="0.3">
      <c r="A444" s="271">
        <v>443</v>
      </c>
      <c r="B444" s="264">
        <v>45798</v>
      </c>
      <c r="C444" s="292" t="s">
        <v>2261</v>
      </c>
      <c r="D444" s="295" t="s">
        <v>1803</v>
      </c>
      <c r="E444" s="292" t="s">
        <v>2181</v>
      </c>
      <c r="F444" s="269" t="s">
        <v>1803</v>
      </c>
      <c r="G444" s="265">
        <v>50000</v>
      </c>
      <c r="H444" s="269">
        <v>1</v>
      </c>
      <c r="I444" s="266">
        <v>33000</v>
      </c>
      <c r="K444" s="265">
        <v>50000</v>
      </c>
      <c r="M444" s="269"/>
    </row>
    <row r="445" spans="1:13" x14ac:dyDescent="0.3">
      <c r="A445" s="271">
        <v>444</v>
      </c>
      <c r="B445" s="264">
        <v>45798</v>
      </c>
      <c r="C445" s="292" t="s">
        <v>1861</v>
      </c>
      <c r="D445" s="295" t="s">
        <v>1201</v>
      </c>
      <c r="E445" s="292" t="s">
        <v>2180</v>
      </c>
      <c r="F445" s="269" t="s">
        <v>1201</v>
      </c>
      <c r="G445" s="265">
        <v>1500000</v>
      </c>
      <c r="H445" s="269">
        <v>1</v>
      </c>
      <c r="K445" s="265">
        <v>1500000</v>
      </c>
      <c r="M445" s="269"/>
    </row>
    <row r="446" spans="1:13" x14ac:dyDescent="0.3">
      <c r="A446" s="271">
        <v>445</v>
      </c>
      <c r="B446" s="264">
        <v>45798</v>
      </c>
      <c r="C446" s="292" t="s">
        <v>1861</v>
      </c>
      <c r="D446" s="295" t="s">
        <v>1803</v>
      </c>
      <c r="E446" s="292" t="s">
        <v>2181</v>
      </c>
      <c r="F446" s="269" t="s">
        <v>1803</v>
      </c>
      <c r="G446" s="265">
        <v>50000</v>
      </c>
      <c r="H446" s="269">
        <v>1</v>
      </c>
      <c r="I446" s="266">
        <v>33000</v>
      </c>
      <c r="K446" s="265">
        <v>50000</v>
      </c>
      <c r="M446" s="269"/>
    </row>
    <row r="447" spans="1:13" x14ac:dyDescent="0.3">
      <c r="A447" s="271">
        <v>446</v>
      </c>
      <c r="B447" s="264">
        <v>45798</v>
      </c>
      <c r="C447" s="292" t="s">
        <v>2261</v>
      </c>
      <c r="E447" s="292" t="s">
        <v>1125</v>
      </c>
      <c r="L447" s="265">
        <v>-1550000</v>
      </c>
      <c r="M447" s="269"/>
    </row>
    <row r="448" spans="1:13" x14ac:dyDescent="0.3">
      <c r="A448" s="271">
        <v>447</v>
      </c>
      <c r="B448" s="264">
        <v>45798</v>
      </c>
      <c r="C448" s="292" t="s">
        <v>2258</v>
      </c>
      <c r="E448" s="292" t="s">
        <v>1125</v>
      </c>
      <c r="L448" s="265">
        <v>-1500000</v>
      </c>
      <c r="M448" s="269"/>
    </row>
    <row r="449" spans="1:13" x14ac:dyDescent="0.3">
      <c r="A449" s="271">
        <v>448</v>
      </c>
      <c r="B449" s="264">
        <v>45798</v>
      </c>
      <c r="C449" s="292" t="s">
        <v>1454</v>
      </c>
      <c r="E449" s="292" t="s">
        <v>1125</v>
      </c>
      <c r="L449" s="265">
        <v>-450000</v>
      </c>
      <c r="M449" s="269"/>
    </row>
    <row r="450" spans="1:13" x14ac:dyDescent="0.3">
      <c r="A450" s="271">
        <v>449</v>
      </c>
      <c r="B450" s="264">
        <v>45798</v>
      </c>
      <c r="C450" s="292" t="s">
        <v>1007</v>
      </c>
      <c r="E450" s="292" t="s">
        <v>1125</v>
      </c>
      <c r="L450" s="265">
        <v>-140000</v>
      </c>
      <c r="M450" s="269"/>
    </row>
    <row r="451" spans="1:13" x14ac:dyDescent="0.3">
      <c r="A451" s="271">
        <v>450</v>
      </c>
      <c r="B451" s="264">
        <v>45799</v>
      </c>
      <c r="C451" s="292" t="s">
        <v>1399</v>
      </c>
      <c r="D451" s="295">
        <v>7252703114</v>
      </c>
      <c r="E451" s="292" t="s">
        <v>1703</v>
      </c>
      <c r="F451" s="269">
        <v>7252703114</v>
      </c>
      <c r="G451" s="265">
        <v>129000</v>
      </c>
      <c r="H451" s="269">
        <v>1</v>
      </c>
      <c r="I451" s="266">
        <v>70000</v>
      </c>
      <c r="K451" s="265">
        <v>129000</v>
      </c>
      <c r="M451" s="269"/>
    </row>
    <row r="452" spans="1:13" x14ac:dyDescent="0.3">
      <c r="A452" s="271">
        <v>451</v>
      </c>
      <c r="B452" s="264">
        <v>45799</v>
      </c>
      <c r="C452" s="292" t="s">
        <v>1053</v>
      </c>
      <c r="E452" s="292" t="s">
        <v>1535</v>
      </c>
      <c r="G452" s="265">
        <v>450000</v>
      </c>
      <c r="H452" s="269">
        <v>1</v>
      </c>
      <c r="K452" s="265">
        <v>450000</v>
      </c>
      <c r="M452" s="269"/>
    </row>
    <row r="453" spans="1:13" x14ac:dyDescent="0.3">
      <c r="A453" s="271">
        <v>452</v>
      </c>
      <c r="B453" s="264">
        <v>45799</v>
      </c>
      <c r="C453" s="292" t="s">
        <v>1554</v>
      </c>
      <c r="D453" s="295" t="s">
        <v>1265</v>
      </c>
      <c r="E453" s="292" t="s">
        <v>1266</v>
      </c>
      <c r="F453" s="269" t="s">
        <v>1265</v>
      </c>
      <c r="G453" s="265">
        <v>50000</v>
      </c>
      <c r="H453" s="269">
        <v>5</v>
      </c>
      <c r="K453" s="265">
        <v>250000</v>
      </c>
      <c r="M453" s="269"/>
    </row>
    <row r="454" spans="1:13" x14ac:dyDescent="0.3">
      <c r="A454" s="271">
        <v>453</v>
      </c>
      <c r="B454" s="264">
        <v>45799</v>
      </c>
      <c r="C454" s="292" t="s">
        <v>1449</v>
      </c>
      <c r="D454" s="295" t="s">
        <v>1198</v>
      </c>
      <c r="E454" s="292" t="s">
        <v>2267</v>
      </c>
      <c r="F454" s="269" t="s">
        <v>1198</v>
      </c>
      <c r="G454" s="265">
        <v>100000</v>
      </c>
      <c r="H454" s="269">
        <v>1</v>
      </c>
      <c r="K454" s="265">
        <v>100000</v>
      </c>
      <c r="M454" s="269"/>
    </row>
    <row r="455" spans="1:13" x14ac:dyDescent="0.3">
      <c r="A455" s="271">
        <v>454</v>
      </c>
      <c r="B455" s="264">
        <v>45799</v>
      </c>
      <c r="C455" s="292" t="s">
        <v>1479</v>
      </c>
      <c r="E455" s="292" t="s">
        <v>1743</v>
      </c>
      <c r="G455" s="265">
        <v>1100000</v>
      </c>
      <c r="H455" s="269">
        <v>1</v>
      </c>
      <c r="K455" s="265">
        <v>1100000</v>
      </c>
      <c r="M455" s="269"/>
    </row>
    <row r="456" spans="1:13" x14ac:dyDescent="0.3">
      <c r="A456" s="271">
        <v>455</v>
      </c>
      <c r="B456" s="264">
        <v>45799</v>
      </c>
      <c r="C456" s="292" t="s">
        <v>1053</v>
      </c>
      <c r="E456" s="292" t="s">
        <v>1125</v>
      </c>
      <c r="L456" s="265">
        <v>-450000</v>
      </c>
      <c r="M456" s="269"/>
    </row>
    <row r="457" spans="1:13" x14ac:dyDescent="0.3">
      <c r="A457" s="271">
        <v>456</v>
      </c>
      <c r="B457" s="264">
        <v>45800</v>
      </c>
      <c r="C457" s="292" t="s">
        <v>1449</v>
      </c>
      <c r="E457" s="292" t="s">
        <v>1125</v>
      </c>
      <c r="L457" s="265">
        <v>-100000</v>
      </c>
      <c r="M457" s="269"/>
    </row>
    <row r="458" spans="1:13" x14ac:dyDescent="0.3">
      <c r="A458" s="271">
        <v>457</v>
      </c>
      <c r="B458" s="264">
        <v>45800</v>
      </c>
      <c r="C458" s="292" t="s">
        <v>1053</v>
      </c>
      <c r="D458" s="295" t="s">
        <v>1204</v>
      </c>
      <c r="E458" s="292" t="s">
        <v>1205</v>
      </c>
      <c r="F458" s="269" t="s">
        <v>1204</v>
      </c>
      <c r="G458" s="265">
        <v>1200000</v>
      </c>
      <c r="H458" s="269">
        <v>1</v>
      </c>
      <c r="K458" s="265">
        <v>1200000</v>
      </c>
      <c r="M458" s="269"/>
    </row>
    <row r="459" spans="1:13" x14ac:dyDescent="0.3">
      <c r="A459" s="271">
        <v>458</v>
      </c>
      <c r="B459" s="264">
        <v>45800</v>
      </c>
      <c r="C459" s="292" t="s">
        <v>2277</v>
      </c>
      <c r="E459" s="292" t="s">
        <v>1719</v>
      </c>
      <c r="G459" s="265">
        <v>250000</v>
      </c>
      <c r="H459" s="269">
        <v>1</v>
      </c>
      <c r="J459" s="266">
        <v>25000</v>
      </c>
      <c r="K459" s="265">
        <v>275000</v>
      </c>
      <c r="M459" s="269"/>
    </row>
    <row r="460" spans="1:13" x14ac:dyDescent="0.3">
      <c r="A460" s="271">
        <v>459</v>
      </c>
      <c r="B460" s="264">
        <v>45800</v>
      </c>
      <c r="C460" s="292" t="s">
        <v>1722</v>
      </c>
      <c r="D460" s="295">
        <v>4150862090</v>
      </c>
      <c r="E460" s="292" t="s">
        <v>2522</v>
      </c>
      <c r="F460" s="269">
        <v>4150862090</v>
      </c>
      <c r="G460" s="265">
        <v>445000</v>
      </c>
      <c r="H460" s="269">
        <v>1</v>
      </c>
      <c r="K460" s="265">
        <v>445000</v>
      </c>
      <c r="M460" s="269"/>
    </row>
    <row r="461" spans="1:13" x14ac:dyDescent="0.3">
      <c r="A461" s="271">
        <v>460</v>
      </c>
      <c r="B461" s="264">
        <v>45801</v>
      </c>
      <c r="C461" s="292" t="s">
        <v>1452</v>
      </c>
      <c r="E461" s="292" t="s">
        <v>1744</v>
      </c>
      <c r="G461" s="265">
        <v>1650000</v>
      </c>
      <c r="H461" s="269">
        <v>1</v>
      </c>
      <c r="J461" s="266">
        <v>165000</v>
      </c>
      <c r="K461" s="265">
        <v>1815000</v>
      </c>
      <c r="M461" s="269"/>
    </row>
    <row r="462" spans="1:13" x14ac:dyDescent="0.3">
      <c r="A462" s="271">
        <v>461</v>
      </c>
      <c r="B462" s="264">
        <v>45801</v>
      </c>
      <c r="C462" s="292" t="s">
        <v>1018</v>
      </c>
      <c r="D462" s="295">
        <v>4150862090</v>
      </c>
      <c r="E462" s="292" t="s">
        <v>2522</v>
      </c>
      <c r="F462" s="269">
        <v>4150862090</v>
      </c>
      <c r="G462" s="265">
        <v>450000</v>
      </c>
      <c r="H462" s="269">
        <v>1</v>
      </c>
      <c r="K462" s="265">
        <v>450000</v>
      </c>
      <c r="M462" s="269"/>
    </row>
    <row r="463" spans="1:13" x14ac:dyDescent="0.3">
      <c r="A463" s="271">
        <v>462</v>
      </c>
      <c r="B463" s="264">
        <v>45801</v>
      </c>
      <c r="C463" s="292" t="s">
        <v>1018</v>
      </c>
      <c r="D463" s="295">
        <v>50229</v>
      </c>
      <c r="E463" s="292" t="s">
        <v>2190</v>
      </c>
      <c r="F463" s="269">
        <v>50229</v>
      </c>
      <c r="G463" s="265">
        <v>75000</v>
      </c>
      <c r="H463" s="269">
        <v>1</v>
      </c>
      <c r="K463" s="265">
        <v>75000</v>
      </c>
      <c r="M463" s="269"/>
    </row>
    <row r="464" spans="1:13" x14ac:dyDescent="0.3">
      <c r="A464" s="271">
        <v>463</v>
      </c>
      <c r="B464" s="264">
        <v>45801</v>
      </c>
      <c r="C464" s="292" t="s">
        <v>1018</v>
      </c>
      <c r="E464" s="292" t="s">
        <v>2184</v>
      </c>
      <c r="G464" s="265">
        <v>35000</v>
      </c>
      <c r="H464" s="269">
        <v>1</v>
      </c>
      <c r="K464" s="265">
        <v>35000</v>
      </c>
      <c r="M464" s="269"/>
    </row>
    <row r="465" spans="1:13" x14ac:dyDescent="0.3">
      <c r="A465" s="271">
        <v>464</v>
      </c>
      <c r="B465" s="264">
        <v>45801</v>
      </c>
      <c r="C465" s="292" t="s">
        <v>1018</v>
      </c>
      <c r="D465" s="295" t="s">
        <v>1822</v>
      </c>
      <c r="E465" s="292" t="s">
        <v>2192</v>
      </c>
      <c r="F465" s="269" t="s">
        <v>1822</v>
      </c>
      <c r="G465" s="265">
        <v>10000</v>
      </c>
      <c r="H465" s="269">
        <v>2</v>
      </c>
      <c r="I465" s="266">
        <v>8500</v>
      </c>
      <c r="K465" s="265">
        <v>20000</v>
      </c>
      <c r="M465" s="269"/>
    </row>
    <row r="466" spans="1:13" x14ac:dyDescent="0.3">
      <c r="A466" s="271">
        <v>465</v>
      </c>
      <c r="B466" s="264">
        <v>45801</v>
      </c>
      <c r="C466" s="292" t="s">
        <v>1544</v>
      </c>
      <c r="E466" s="292" t="s">
        <v>2290</v>
      </c>
      <c r="G466" s="265">
        <v>1600000</v>
      </c>
      <c r="H466" s="269">
        <v>1</v>
      </c>
      <c r="K466" s="265">
        <v>1600000</v>
      </c>
      <c r="M466" s="269"/>
    </row>
    <row r="467" spans="1:13" x14ac:dyDescent="0.3">
      <c r="A467" s="271">
        <v>466</v>
      </c>
      <c r="B467" s="264">
        <v>45801</v>
      </c>
      <c r="C467" s="292" t="s">
        <v>1544</v>
      </c>
      <c r="E467" s="292" t="s">
        <v>1746</v>
      </c>
      <c r="L467" s="265">
        <v>-1600000</v>
      </c>
      <c r="M467" s="269"/>
    </row>
    <row r="468" spans="1:13" x14ac:dyDescent="0.3">
      <c r="A468" s="271">
        <v>467</v>
      </c>
      <c r="B468" s="264">
        <v>45803</v>
      </c>
      <c r="C468" s="292" t="s">
        <v>1554</v>
      </c>
      <c r="E468" s="292" t="s">
        <v>1125</v>
      </c>
      <c r="L468" s="265">
        <v>-900000</v>
      </c>
      <c r="M468" s="269"/>
    </row>
    <row r="469" spans="1:13" x14ac:dyDescent="0.3">
      <c r="A469" s="271">
        <v>468</v>
      </c>
      <c r="B469" s="264">
        <v>45803</v>
      </c>
      <c r="C469" s="292" t="s">
        <v>2292</v>
      </c>
      <c r="D469" s="295" t="s">
        <v>1198</v>
      </c>
      <c r="E469" s="292" t="s">
        <v>2197</v>
      </c>
      <c r="F469" s="269" t="s">
        <v>1198</v>
      </c>
      <c r="G469" s="265">
        <v>1000000</v>
      </c>
      <c r="H469" s="269">
        <v>1</v>
      </c>
      <c r="J469" s="266">
        <v>100000</v>
      </c>
      <c r="K469" s="265">
        <v>1100000</v>
      </c>
      <c r="M469" s="269"/>
    </row>
    <row r="470" spans="1:13" x14ac:dyDescent="0.3">
      <c r="A470" s="271">
        <v>469</v>
      </c>
      <c r="B470" s="264">
        <v>45803</v>
      </c>
      <c r="C470" s="292" t="s">
        <v>2292</v>
      </c>
      <c r="E470" s="292" t="s">
        <v>1125</v>
      </c>
      <c r="L470" s="265">
        <v>-1100000</v>
      </c>
      <c r="M470" s="269"/>
    </row>
    <row r="471" spans="1:13" x14ac:dyDescent="0.3">
      <c r="A471" s="271">
        <v>470</v>
      </c>
      <c r="B471" s="264">
        <v>45803</v>
      </c>
      <c r="C471" s="292" t="s">
        <v>1147</v>
      </c>
      <c r="E471" s="292" t="s">
        <v>1125</v>
      </c>
      <c r="L471" s="265">
        <v>-2000000</v>
      </c>
      <c r="M471" s="269"/>
    </row>
    <row r="472" spans="1:13" x14ac:dyDescent="0.3">
      <c r="A472" s="271">
        <v>471</v>
      </c>
      <c r="B472" s="264">
        <v>45803</v>
      </c>
      <c r="C472" s="292" t="s">
        <v>1399</v>
      </c>
      <c r="E472" s="292" t="s">
        <v>1743</v>
      </c>
      <c r="G472" s="265">
        <v>650000</v>
      </c>
      <c r="H472" s="269">
        <v>1</v>
      </c>
      <c r="K472" s="265">
        <v>650000</v>
      </c>
      <c r="M472" s="269"/>
    </row>
    <row r="473" spans="1:13" x14ac:dyDescent="0.3">
      <c r="A473" s="271">
        <v>472</v>
      </c>
      <c r="B473" s="264">
        <v>45803</v>
      </c>
      <c r="C473" s="292" t="s">
        <v>1554</v>
      </c>
      <c r="E473" s="292" t="s">
        <v>1125</v>
      </c>
      <c r="L473" s="265">
        <v>-250000</v>
      </c>
      <c r="M473" s="269"/>
    </row>
    <row r="474" spans="1:13" x14ac:dyDescent="0.3">
      <c r="A474" s="271">
        <v>473</v>
      </c>
      <c r="B474" s="264">
        <v>45803</v>
      </c>
      <c r="C474" s="292" t="s">
        <v>1671</v>
      </c>
      <c r="E474" s="292" t="s">
        <v>1125</v>
      </c>
      <c r="L474" s="265">
        <v>-2550000</v>
      </c>
      <c r="M474" s="269"/>
    </row>
    <row r="475" spans="1:13" x14ac:dyDescent="0.3">
      <c r="A475" s="271">
        <v>474</v>
      </c>
      <c r="B475" s="264">
        <v>45803</v>
      </c>
      <c r="C475" s="292" t="s">
        <v>1015</v>
      </c>
      <c r="E475" s="292" t="s">
        <v>1125</v>
      </c>
      <c r="L475" s="265">
        <v>-1350000</v>
      </c>
      <c r="M475" s="269"/>
    </row>
    <row r="476" spans="1:13" x14ac:dyDescent="0.3">
      <c r="A476" s="271">
        <v>475</v>
      </c>
      <c r="B476" s="264">
        <v>45803</v>
      </c>
      <c r="C476" s="292" t="s">
        <v>1577</v>
      </c>
      <c r="D476" s="295" t="s">
        <v>1207</v>
      </c>
      <c r="E476" s="292" t="s">
        <v>2187</v>
      </c>
      <c r="F476" s="269" t="s">
        <v>1207</v>
      </c>
      <c r="G476" s="265">
        <v>517273</v>
      </c>
      <c r="H476" s="269">
        <v>1</v>
      </c>
      <c r="I476" s="266">
        <v>480000</v>
      </c>
      <c r="J476" s="266">
        <v>51727</v>
      </c>
      <c r="K476" s="265">
        <v>569000</v>
      </c>
      <c r="M476" s="269"/>
    </row>
    <row r="477" spans="1:13" x14ac:dyDescent="0.3">
      <c r="A477" s="271">
        <v>476</v>
      </c>
      <c r="B477" s="264">
        <v>45803</v>
      </c>
      <c r="C477" s="292" t="s">
        <v>1577</v>
      </c>
      <c r="D477" s="295">
        <v>50229</v>
      </c>
      <c r="E477" s="292" t="s">
        <v>2190</v>
      </c>
      <c r="F477" s="269">
        <v>50229</v>
      </c>
      <c r="G477" s="265">
        <v>72728</v>
      </c>
      <c r="H477" s="269">
        <v>1</v>
      </c>
      <c r="J477" s="266">
        <v>7272.8</v>
      </c>
      <c r="K477" s="265">
        <v>80000</v>
      </c>
      <c r="M477" s="269"/>
    </row>
    <row r="478" spans="1:13" x14ac:dyDescent="0.3">
      <c r="A478" s="271">
        <v>477</v>
      </c>
      <c r="B478" s="264">
        <v>45803</v>
      </c>
      <c r="C478" s="292" t="s">
        <v>1577</v>
      </c>
      <c r="D478" s="295" t="s">
        <v>1795</v>
      </c>
      <c r="E478" s="292" t="s">
        <v>2191</v>
      </c>
      <c r="F478" s="269" t="s">
        <v>1795</v>
      </c>
      <c r="G478" s="265">
        <v>32000</v>
      </c>
      <c r="H478" s="269">
        <v>1</v>
      </c>
      <c r="I478" s="266">
        <v>16000</v>
      </c>
      <c r="J478" s="266">
        <v>3200</v>
      </c>
      <c r="K478" s="265">
        <v>35000</v>
      </c>
      <c r="M478" s="269"/>
    </row>
    <row r="479" spans="1:13" x14ac:dyDescent="0.3">
      <c r="A479" s="271">
        <v>478</v>
      </c>
      <c r="B479" s="264">
        <v>45803</v>
      </c>
      <c r="C479" s="292" t="s">
        <v>2306</v>
      </c>
      <c r="D479" s="295" t="s">
        <v>1752</v>
      </c>
      <c r="E479" s="292" t="s">
        <v>2299</v>
      </c>
      <c r="F479" s="269" t="s">
        <v>1752</v>
      </c>
      <c r="G479" s="265">
        <v>650000</v>
      </c>
      <c r="H479" s="269">
        <v>1</v>
      </c>
      <c r="J479" s="266">
        <v>65000</v>
      </c>
      <c r="K479" s="265">
        <v>715000</v>
      </c>
      <c r="M479" s="269"/>
    </row>
    <row r="480" spans="1:13" x14ac:dyDescent="0.3">
      <c r="A480" s="271">
        <v>479</v>
      </c>
      <c r="B480" s="264">
        <v>45803</v>
      </c>
      <c r="C480" s="292" t="s">
        <v>2306</v>
      </c>
      <c r="E480" s="292" t="s">
        <v>1496</v>
      </c>
      <c r="G480" s="265">
        <v>350000</v>
      </c>
      <c r="H480" s="269">
        <v>1</v>
      </c>
      <c r="J480" s="266">
        <v>35000</v>
      </c>
      <c r="K480" s="265">
        <v>385000</v>
      </c>
      <c r="M480" s="269"/>
    </row>
    <row r="481" spans="1:13" x14ac:dyDescent="0.3">
      <c r="A481" s="271">
        <v>480</v>
      </c>
      <c r="B481" s="264">
        <v>45803</v>
      </c>
      <c r="C481" s="292" t="s">
        <v>1018</v>
      </c>
      <c r="D481" s="295" t="s">
        <v>1259</v>
      </c>
      <c r="E481" s="292" t="s">
        <v>2188</v>
      </c>
      <c r="F481" s="269" t="s">
        <v>1259</v>
      </c>
      <c r="G481" s="265">
        <v>130000</v>
      </c>
      <c r="H481" s="269">
        <v>2</v>
      </c>
      <c r="I481" s="266">
        <v>90000</v>
      </c>
      <c r="K481" s="265">
        <v>260000</v>
      </c>
      <c r="M481" s="269"/>
    </row>
    <row r="482" spans="1:13" x14ac:dyDescent="0.3">
      <c r="A482" s="271">
        <v>481</v>
      </c>
      <c r="B482" s="264">
        <v>45803</v>
      </c>
      <c r="C482" s="292" t="s">
        <v>1671</v>
      </c>
      <c r="E482" s="292" t="s">
        <v>1496</v>
      </c>
      <c r="G482" s="265">
        <v>350000</v>
      </c>
      <c r="H482" s="269">
        <v>1</v>
      </c>
      <c r="J482" s="266">
        <v>35000</v>
      </c>
      <c r="K482" s="265">
        <v>385000</v>
      </c>
      <c r="M482" s="269"/>
    </row>
    <row r="483" spans="1:13" x14ac:dyDescent="0.3">
      <c r="A483" s="271">
        <v>482</v>
      </c>
      <c r="B483" s="264">
        <v>45804</v>
      </c>
      <c r="C483" s="292" t="s">
        <v>1861</v>
      </c>
      <c r="E483" s="292" t="s">
        <v>1125</v>
      </c>
      <c r="L483" s="265">
        <v>-2450000</v>
      </c>
      <c r="M483" s="269"/>
    </row>
    <row r="484" spans="1:13" x14ac:dyDescent="0.3">
      <c r="A484" s="271">
        <v>483</v>
      </c>
      <c r="B484" s="264">
        <v>45803</v>
      </c>
      <c r="C484" s="292" t="s">
        <v>1586</v>
      </c>
      <c r="D484" s="295" t="s">
        <v>1213</v>
      </c>
      <c r="E484" s="292" t="s">
        <v>2178</v>
      </c>
      <c r="F484" s="269" t="s">
        <v>1464</v>
      </c>
      <c r="G484" s="265">
        <v>1500000</v>
      </c>
      <c r="H484" s="269">
        <v>1</v>
      </c>
      <c r="J484" s="266">
        <v>150000</v>
      </c>
      <c r="K484" s="265">
        <v>1650000</v>
      </c>
      <c r="M484" s="269"/>
    </row>
    <row r="485" spans="1:13" x14ac:dyDescent="0.3">
      <c r="A485" s="271">
        <v>484</v>
      </c>
      <c r="B485" s="264">
        <v>45804</v>
      </c>
      <c r="C485" s="292" t="s">
        <v>2306</v>
      </c>
      <c r="E485" s="292" t="s">
        <v>1125</v>
      </c>
      <c r="L485" s="265">
        <v>-1100000</v>
      </c>
      <c r="M485" s="269"/>
    </row>
    <row r="486" spans="1:13" x14ac:dyDescent="0.3">
      <c r="A486" s="271">
        <v>485</v>
      </c>
      <c r="B486" s="264">
        <v>45804</v>
      </c>
      <c r="C486" s="292" t="s">
        <v>1671</v>
      </c>
      <c r="E486" s="292" t="s">
        <v>1125</v>
      </c>
      <c r="L486" s="265">
        <v>-35000</v>
      </c>
      <c r="M486" s="269"/>
    </row>
    <row r="487" spans="1:13" x14ac:dyDescent="0.3">
      <c r="A487" s="271">
        <v>486</v>
      </c>
      <c r="B487" s="264">
        <v>45804</v>
      </c>
      <c r="C487" s="292" t="s">
        <v>1479</v>
      </c>
      <c r="D487" s="295">
        <v>501220639</v>
      </c>
      <c r="E487" s="292" t="s">
        <v>1759</v>
      </c>
      <c r="F487" s="269">
        <v>501220639</v>
      </c>
      <c r="G487" s="265">
        <v>350000</v>
      </c>
      <c r="H487" s="269">
        <v>1</v>
      </c>
      <c r="I487" s="266">
        <v>250000</v>
      </c>
      <c r="K487" s="265">
        <v>350000</v>
      </c>
      <c r="M487" s="269"/>
    </row>
    <row r="488" spans="1:13" x14ac:dyDescent="0.3">
      <c r="A488" s="271">
        <v>487</v>
      </c>
      <c r="B488" s="264">
        <v>45796</v>
      </c>
      <c r="C488" s="292" t="s">
        <v>1580</v>
      </c>
      <c r="E488" s="292" t="s">
        <v>1125</v>
      </c>
      <c r="L488" s="265">
        <v>-549000</v>
      </c>
      <c r="M488" s="269"/>
    </row>
    <row r="489" spans="1:13" x14ac:dyDescent="0.3">
      <c r="A489" s="271">
        <v>488</v>
      </c>
      <c r="B489" s="264">
        <v>45804</v>
      </c>
      <c r="C489" s="292" t="s">
        <v>1722</v>
      </c>
      <c r="E489" s="292" t="s">
        <v>1744</v>
      </c>
      <c r="G489" s="265">
        <v>1550000</v>
      </c>
      <c r="H489" s="269">
        <v>1</v>
      </c>
      <c r="K489" s="265">
        <v>1550000</v>
      </c>
      <c r="M489" s="269"/>
    </row>
    <row r="490" spans="1:13" x14ac:dyDescent="0.3">
      <c r="A490" s="271">
        <v>489</v>
      </c>
      <c r="B490" s="264">
        <v>45804</v>
      </c>
      <c r="C490" s="292" t="s">
        <v>1577</v>
      </c>
      <c r="E490" s="292" t="s">
        <v>1535</v>
      </c>
      <c r="G490" s="265">
        <v>450000</v>
      </c>
      <c r="H490" s="269">
        <v>1</v>
      </c>
      <c r="J490" s="266">
        <v>45000</v>
      </c>
      <c r="K490" s="265">
        <v>495000</v>
      </c>
      <c r="M490" s="269"/>
    </row>
    <row r="491" spans="1:13" x14ac:dyDescent="0.3">
      <c r="A491" s="271">
        <v>490</v>
      </c>
      <c r="B491" s="264">
        <v>45804</v>
      </c>
      <c r="C491" s="292" t="s">
        <v>1790</v>
      </c>
      <c r="E491" s="292" t="s">
        <v>1125</v>
      </c>
      <c r="L491" s="265">
        <v>-1229000</v>
      </c>
      <c r="M491" s="269"/>
    </row>
    <row r="492" spans="1:13" x14ac:dyDescent="0.3">
      <c r="A492" s="271">
        <v>491</v>
      </c>
      <c r="B492" s="264">
        <v>45804</v>
      </c>
      <c r="C492" s="292" t="s">
        <v>1053</v>
      </c>
      <c r="E492" s="292" t="s">
        <v>1125</v>
      </c>
      <c r="L492" s="265">
        <v>-1200000</v>
      </c>
      <c r="M492" s="269"/>
    </row>
    <row r="493" spans="1:13" x14ac:dyDescent="0.3">
      <c r="A493" s="271">
        <v>492</v>
      </c>
      <c r="B493" s="264">
        <v>45804</v>
      </c>
      <c r="C493" s="292" t="s">
        <v>1373</v>
      </c>
      <c r="E493" s="292" t="s">
        <v>1743</v>
      </c>
      <c r="G493" s="265">
        <v>650000</v>
      </c>
      <c r="H493" s="269">
        <v>1</v>
      </c>
      <c r="K493" s="265">
        <v>650000</v>
      </c>
      <c r="M493" s="269"/>
    </row>
    <row r="494" spans="1:13" x14ac:dyDescent="0.3">
      <c r="A494" s="271">
        <v>493</v>
      </c>
      <c r="B494" s="264">
        <v>45804</v>
      </c>
      <c r="C494" s="292" t="s">
        <v>1541</v>
      </c>
      <c r="E494" s="292" t="s">
        <v>1131</v>
      </c>
      <c r="G494" s="265">
        <v>1000000</v>
      </c>
      <c r="H494" s="269">
        <v>1</v>
      </c>
      <c r="K494" s="265">
        <v>1000000</v>
      </c>
      <c r="M494" s="269"/>
    </row>
    <row r="495" spans="1:13" x14ac:dyDescent="0.3">
      <c r="A495" s="271">
        <v>494</v>
      </c>
      <c r="B495" s="264">
        <v>45804</v>
      </c>
      <c r="C495" s="292" t="s">
        <v>1541</v>
      </c>
      <c r="E495" s="292" t="s">
        <v>2316</v>
      </c>
      <c r="L495" s="265">
        <v>-50000</v>
      </c>
      <c r="M495" s="269"/>
    </row>
    <row r="496" spans="1:13" x14ac:dyDescent="0.3">
      <c r="A496" s="271">
        <v>495</v>
      </c>
      <c r="B496" s="264">
        <v>45805</v>
      </c>
      <c r="C496" s="292" t="s">
        <v>2148</v>
      </c>
      <c r="E496" s="292" t="s">
        <v>1855</v>
      </c>
      <c r="F496" s="269">
        <v>2800801</v>
      </c>
      <c r="G496" s="265">
        <v>150000</v>
      </c>
      <c r="H496" s="269">
        <v>3</v>
      </c>
      <c r="K496" s="266">
        <v>450000</v>
      </c>
      <c r="M496" s="269"/>
    </row>
    <row r="497" spans="1:13" x14ac:dyDescent="0.3">
      <c r="A497" s="271">
        <v>496</v>
      </c>
      <c r="B497" s="264">
        <v>45805</v>
      </c>
      <c r="C497" s="292" t="s">
        <v>1399</v>
      </c>
      <c r="E497" s="292" t="s">
        <v>2318</v>
      </c>
      <c r="G497" s="265">
        <v>1200000</v>
      </c>
      <c r="H497" s="269">
        <v>1</v>
      </c>
      <c r="K497" s="266">
        <v>1200000</v>
      </c>
      <c r="M497" s="269"/>
    </row>
    <row r="498" spans="1:13" x14ac:dyDescent="0.3">
      <c r="A498" s="271">
        <v>497</v>
      </c>
      <c r="B498" s="264">
        <v>45805</v>
      </c>
      <c r="C498" s="292" t="s">
        <v>1747</v>
      </c>
      <c r="E498" s="292" t="s">
        <v>1125</v>
      </c>
      <c r="H498" s="58"/>
      <c r="L498" s="265">
        <v>-2332000</v>
      </c>
      <c r="M498" s="269"/>
    </row>
    <row r="499" spans="1:13" x14ac:dyDescent="0.3">
      <c r="A499" s="271">
        <v>498</v>
      </c>
      <c r="B499" s="264">
        <v>45805</v>
      </c>
      <c r="C499" s="292" t="s">
        <v>1586</v>
      </c>
      <c r="E499" s="292" t="s">
        <v>1125</v>
      </c>
      <c r="L499" s="265">
        <v>-1650000</v>
      </c>
      <c r="M499" s="269"/>
    </row>
    <row r="500" spans="1:13" x14ac:dyDescent="0.3">
      <c r="A500" s="271">
        <v>499</v>
      </c>
      <c r="B500" s="264">
        <v>45805</v>
      </c>
      <c r="C500" s="292" t="s">
        <v>1894</v>
      </c>
      <c r="E500" s="292" t="s">
        <v>2320</v>
      </c>
      <c r="G500" s="265">
        <v>200000</v>
      </c>
      <c r="H500" s="269">
        <v>1</v>
      </c>
      <c r="K500" s="266">
        <v>200000</v>
      </c>
      <c r="M500" s="269"/>
    </row>
    <row r="501" spans="1:13" x14ac:dyDescent="0.3">
      <c r="A501" s="271">
        <v>500</v>
      </c>
      <c r="B501" s="264">
        <v>45805</v>
      </c>
      <c r="C501" s="292" t="s">
        <v>1053</v>
      </c>
      <c r="E501" s="292" t="s">
        <v>2043</v>
      </c>
      <c r="G501" s="265">
        <v>800000</v>
      </c>
      <c r="H501" s="269">
        <v>1</v>
      </c>
      <c r="K501" s="266">
        <v>800000</v>
      </c>
      <c r="M501" s="269"/>
    </row>
    <row r="502" spans="1:13" x14ac:dyDescent="0.3">
      <c r="A502" s="271">
        <v>501</v>
      </c>
      <c r="B502" s="264">
        <v>45805</v>
      </c>
      <c r="C502" s="292" t="s">
        <v>2319</v>
      </c>
      <c r="E502" s="292" t="s">
        <v>2197</v>
      </c>
      <c r="F502" s="269">
        <v>927769</v>
      </c>
      <c r="G502" s="265">
        <v>1000000</v>
      </c>
      <c r="H502" s="269">
        <v>1</v>
      </c>
      <c r="J502" s="266">
        <v>100000</v>
      </c>
      <c r="K502" s="266">
        <v>1100000</v>
      </c>
      <c r="M502" s="269"/>
    </row>
    <row r="503" spans="1:13" x14ac:dyDescent="0.3">
      <c r="A503" s="271">
        <v>502</v>
      </c>
      <c r="B503" s="264">
        <v>45805</v>
      </c>
      <c r="C503" s="292" t="s">
        <v>2319</v>
      </c>
      <c r="E503" s="292" t="s">
        <v>1125</v>
      </c>
      <c r="L503" s="265">
        <v>-1100000</v>
      </c>
      <c r="M503" s="269"/>
    </row>
    <row r="504" spans="1:13" x14ac:dyDescent="0.3">
      <c r="A504" s="271">
        <v>503</v>
      </c>
      <c r="B504" s="264">
        <v>45805</v>
      </c>
      <c r="C504" s="292" t="s">
        <v>2321</v>
      </c>
      <c r="E504" s="292" t="s">
        <v>1717</v>
      </c>
      <c r="F504" s="269">
        <v>2800802</v>
      </c>
      <c r="G504" s="265">
        <v>200000</v>
      </c>
      <c r="H504" s="269">
        <v>1</v>
      </c>
      <c r="K504" s="266">
        <v>200000</v>
      </c>
      <c r="M504" s="269"/>
    </row>
    <row r="505" spans="1:13" x14ac:dyDescent="0.3">
      <c r="A505" s="271">
        <v>504</v>
      </c>
      <c r="B505" s="264">
        <v>45805</v>
      </c>
      <c r="C505" s="292" t="s">
        <v>1894</v>
      </c>
      <c r="E505" s="292" t="s">
        <v>1125</v>
      </c>
      <c r="L505" s="265">
        <v>-200000</v>
      </c>
      <c r="M505" s="269"/>
    </row>
    <row r="506" spans="1:13" x14ac:dyDescent="0.3">
      <c r="A506" s="271">
        <v>505</v>
      </c>
      <c r="B506" s="264">
        <v>45805</v>
      </c>
      <c r="C506" s="292" t="s">
        <v>2276</v>
      </c>
      <c r="E506" s="292" t="s">
        <v>1125</v>
      </c>
      <c r="L506" s="265">
        <v>-275000</v>
      </c>
      <c r="M506" s="269"/>
    </row>
    <row r="507" spans="1:13" x14ac:dyDescent="0.3">
      <c r="A507" s="271">
        <v>506</v>
      </c>
      <c r="B507" s="264">
        <v>45805</v>
      </c>
      <c r="C507" s="292" t="s">
        <v>2321</v>
      </c>
      <c r="E507" s="292" t="s">
        <v>1125</v>
      </c>
      <c r="L507" s="265">
        <v>-200000</v>
      </c>
      <c r="M507" s="269"/>
    </row>
    <row r="508" spans="1:13" x14ac:dyDescent="0.3">
      <c r="A508" s="271">
        <v>507</v>
      </c>
      <c r="B508" s="264">
        <v>45800</v>
      </c>
      <c r="C508" s="292" t="s">
        <v>1747</v>
      </c>
      <c r="E508" s="292" t="s">
        <v>2299</v>
      </c>
      <c r="G508" s="265">
        <v>650000</v>
      </c>
      <c r="H508" s="58">
        <v>1</v>
      </c>
      <c r="J508" s="266">
        <v>65000</v>
      </c>
      <c r="K508" s="265">
        <v>715000</v>
      </c>
      <c r="M508" s="269"/>
    </row>
    <row r="509" spans="1:13" x14ac:dyDescent="0.3">
      <c r="A509" s="271">
        <v>508</v>
      </c>
      <c r="B509" s="264">
        <v>45800</v>
      </c>
      <c r="C509" s="292" t="s">
        <v>1747</v>
      </c>
      <c r="E509" s="292" t="s">
        <v>1496</v>
      </c>
      <c r="G509" s="269">
        <v>350000</v>
      </c>
      <c r="H509" s="58">
        <v>1</v>
      </c>
      <c r="J509" s="270">
        <v>35000</v>
      </c>
      <c r="K509" s="270">
        <v>385000</v>
      </c>
      <c r="M509" s="269"/>
    </row>
    <row r="510" spans="1:13" x14ac:dyDescent="0.3">
      <c r="A510" s="271">
        <v>509</v>
      </c>
      <c r="B510" s="264">
        <v>45800</v>
      </c>
      <c r="C510" s="292" t="s">
        <v>1747</v>
      </c>
      <c r="E510" s="292" t="s">
        <v>1519</v>
      </c>
      <c r="G510" s="269">
        <v>20000</v>
      </c>
      <c r="H510" s="58">
        <v>1</v>
      </c>
      <c r="J510" s="270">
        <v>2000</v>
      </c>
      <c r="K510" s="270">
        <v>22000</v>
      </c>
      <c r="M510" s="269"/>
    </row>
    <row r="511" spans="1:13" x14ac:dyDescent="0.3">
      <c r="A511" s="271">
        <v>510</v>
      </c>
      <c r="B511" s="264">
        <v>45806</v>
      </c>
      <c r="C511" s="292" t="s">
        <v>1391</v>
      </c>
      <c r="E511" s="292" t="s">
        <v>2522</v>
      </c>
      <c r="G511" s="265">
        <v>498000</v>
      </c>
      <c r="H511" s="269">
        <v>1</v>
      </c>
      <c r="K511" s="265">
        <v>498000</v>
      </c>
      <c r="M511" s="269"/>
    </row>
    <row r="512" spans="1:13" x14ac:dyDescent="0.3">
      <c r="A512" s="271">
        <v>511</v>
      </c>
      <c r="B512" s="264">
        <v>45806</v>
      </c>
      <c r="C512" s="292" t="s">
        <v>1399</v>
      </c>
      <c r="E512" s="292" t="s">
        <v>2027</v>
      </c>
      <c r="F512" s="269" t="s">
        <v>1216</v>
      </c>
      <c r="G512" s="265">
        <v>1500000</v>
      </c>
      <c r="H512" s="269">
        <v>1</v>
      </c>
      <c r="K512" s="265">
        <v>1500000</v>
      </c>
      <c r="M512" s="269"/>
    </row>
    <row r="513" spans="1:13" x14ac:dyDescent="0.3">
      <c r="A513" s="271">
        <v>512</v>
      </c>
      <c r="B513" s="264">
        <v>45807</v>
      </c>
      <c r="C513" s="292" t="s">
        <v>1541</v>
      </c>
      <c r="E513" s="292" t="s">
        <v>1125</v>
      </c>
      <c r="L513" s="265">
        <v>-3400000</v>
      </c>
      <c r="M513" s="269"/>
    </row>
    <row r="514" spans="1:13" x14ac:dyDescent="0.3">
      <c r="A514" s="271">
        <v>513</v>
      </c>
      <c r="B514" s="264">
        <v>45807</v>
      </c>
      <c r="C514" s="292" t="s">
        <v>2352</v>
      </c>
      <c r="E514" s="292" t="s">
        <v>1723</v>
      </c>
      <c r="F514" s="270">
        <v>2800802</v>
      </c>
      <c r="G514" s="265">
        <v>200000</v>
      </c>
      <c r="H514" s="269">
        <v>1</v>
      </c>
      <c r="J514" s="266">
        <v>20000</v>
      </c>
      <c r="K514" s="265">
        <v>220000</v>
      </c>
      <c r="M514" s="269"/>
    </row>
    <row r="515" spans="1:13" x14ac:dyDescent="0.3">
      <c r="A515" s="271">
        <v>514</v>
      </c>
      <c r="B515" s="264">
        <v>45807</v>
      </c>
      <c r="C515" s="292" t="s">
        <v>1053</v>
      </c>
      <c r="E515" s="292" t="s">
        <v>1203</v>
      </c>
      <c r="F515" s="269" t="s">
        <v>1752</v>
      </c>
      <c r="G515" s="265">
        <v>1200000</v>
      </c>
      <c r="H515" s="269">
        <v>1</v>
      </c>
      <c r="K515" s="265">
        <v>1200000</v>
      </c>
      <c r="M515" s="269"/>
    </row>
    <row r="516" spans="1:13" x14ac:dyDescent="0.3">
      <c r="A516" s="271">
        <v>515</v>
      </c>
      <c r="B516" s="264">
        <v>45807</v>
      </c>
      <c r="C516" s="292" t="s">
        <v>2215</v>
      </c>
      <c r="E516" s="292" t="s">
        <v>3070</v>
      </c>
      <c r="F516" s="269" t="s">
        <v>2327</v>
      </c>
      <c r="G516" s="265">
        <v>900000</v>
      </c>
      <c r="H516" s="269">
        <v>1</v>
      </c>
      <c r="J516" s="266">
        <v>90000</v>
      </c>
      <c r="K516" s="265">
        <v>990000</v>
      </c>
      <c r="M516" s="269"/>
    </row>
    <row r="517" spans="1:13" x14ac:dyDescent="0.3">
      <c r="A517" s="271">
        <v>516</v>
      </c>
      <c r="B517" s="264">
        <v>45807</v>
      </c>
      <c r="C517" s="292" t="s">
        <v>2101</v>
      </c>
      <c r="E517" s="292" t="s">
        <v>1203</v>
      </c>
      <c r="F517" s="269" t="s">
        <v>1752</v>
      </c>
      <c r="G517" s="265">
        <v>1200000</v>
      </c>
      <c r="H517" s="269">
        <v>1</v>
      </c>
      <c r="K517" s="265">
        <v>1200000</v>
      </c>
      <c r="M517" s="269"/>
    </row>
    <row r="518" spans="1:13" x14ac:dyDescent="0.3">
      <c r="A518" s="271">
        <v>517</v>
      </c>
      <c r="B518" s="264">
        <v>45807</v>
      </c>
      <c r="C518" s="292" t="s">
        <v>2101</v>
      </c>
      <c r="E518" s="292" t="s">
        <v>2338</v>
      </c>
      <c r="G518" s="265">
        <v>350000</v>
      </c>
      <c r="H518" s="269">
        <v>1</v>
      </c>
      <c r="K518" s="265">
        <v>350000</v>
      </c>
      <c r="M518" s="269"/>
    </row>
    <row r="519" spans="1:13" x14ac:dyDescent="0.3">
      <c r="A519" s="271">
        <v>518</v>
      </c>
      <c r="B519" s="264">
        <v>45807</v>
      </c>
      <c r="C519" s="292" t="s">
        <v>1747</v>
      </c>
      <c r="E519" s="292" t="s">
        <v>1125</v>
      </c>
      <c r="H519" s="58"/>
      <c r="L519" s="265">
        <v>-1122000</v>
      </c>
      <c r="M519" s="269"/>
    </row>
    <row r="520" spans="1:13" x14ac:dyDescent="0.3">
      <c r="A520" s="271">
        <v>519</v>
      </c>
      <c r="B520" s="264">
        <v>45808</v>
      </c>
      <c r="C520" s="292" t="s">
        <v>2113</v>
      </c>
      <c r="E520" s="292" t="s">
        <v>1125</v>
      </c>
      <c r="L520" s="265">
        <v>-660000</v>
      </c>
      <c r="M520" s="269"/>
    </row>
    <row r="521" spans="1:13" x14ac:dyDescent="0.3">
      <c r="A521" s="271">
        <v>520</v>
      </c>
      <c r="B521" s="264">
        <v>45808</v>
      </c>
      <c r="C521" s="292" t="s">
        <v>1238</v>
      </c>
      <c r="E521" s="292" t="s">
        <v>2343</v>
      </c>
      <c r="G521" s="265">
        <v>150000</v>
      </c>
      <c r="H521" s="269">
        <v>1</v>
      </c>
      <c r="K521" s="265">
        <v>150000</v>
      </c>
      <c r="M521" s="269"/>
    </row>
    <row r="522" spans="1:13" x14ac:dyDescent="0.3">
      <c r="A522" s="271">
        <v>521</v>
      </c>
      <c r="B522" s="264">
        <v>45808</v>
      </c>
      <c r="C522" s="292" t="s">
        <v>1306</v>
      </c>
      <c r="E522" s="292" t="s">
        <v>2178</v>
      </c>
      <c r="F522" s="269" t="s">
        <v>1464</v>
      </c>
      <c r="G522" s="265">
        <v>1500000</v>
      </c>
      <c r="H522" s="269">
        <v>1</v>
      </c>
      <c r="K522" s="265">
        <v>1500000</v>
      </c>
      <c r="M522" s="269"/>
    </row>
    <row r="523" spans="1:13" x14ac:dyDescent="0.3">
      <c r="A523" s="271">
        <v>522</v>
      </c>
      <c r="B523" s="264">
        <v>45808</v>
      </c>
      <c r="C523" s="292" t="s">
        <v>1580</v>
      </c>
      <c r="E523" s="292" t="s">
        <v>2056</v>
      </c>
      <c r="L523" s="265">
        <v>-2200000</v>
      </c>
      <c r="M523" s="269"/>
    </row>
    <row r="524" spans="1:13" x14ac:dyDescent="0.3">
      <c r="A524" s="271">
        <v>523</v>
      </c>
      <c r="B524" s="264">
        <v>45808</v>
      </c>
      <c r="C524" s="292" t="s">
        <v>1373</v>
      </c>
      <c r="E524" s="292" t="s">
        <v>1125</v>
      </c>
      <c r="L524" s="265">
        <v>-650000</v>
      </c>
      <c r="M524" s="269"/>
    </row>
    <row r="525" spans="1:13" x14ac:dyDescent="0.3">
      <c r="A525" s="271">
        <v>524</v>
      </c>
      <c r="B525" s="264">
        <v>45808</v>
      </c>
      <c r="C525" s="292" t="s">
        <v>1336</v>
      </c>
      <c r="E525" s="292" t="s">
        <v>1815</v>
      </c>
      <c r="F525" s="270">
        <v>1068298044</v>
      </c>
      <c r="G525" s="265">
        <v>400000</v>
      </c>
      <c r="H525" s="269">
        <v>1</v>
      </c>
      <c r="K525" s="265">
        <v>400000</v>
      </c>
      <c r="M525" s="269"/>
    </row>
    <row r="526" spans="1:13" x14ac:dyDescent="0.3">
      <c r="A526" s="271">
        <v>525</v>
      </c>
      <c r="B526" s="264">
        <v>45808</v>
      </c>
      <c r="C526" s="292" t="s">
        <v>1577</v>
      </c>
      <c r="E526" s="292" t="s">
        <v>1746</v>
      </c>
      <c r="L526" s="265">
        <v>-1179000</v>
      </c>
      <c r="M526" s="269"/>
    </row>
    <row r="527" spans="1:13" x14ac:dyDescent="0.3">
      <c r="A527" s="271">
        <v>526</v>
      </c>
      <c r="B527" s="264">
        <v>45808</v>
      </c>
      <c r="C527" s="292" t="s">
        <v>1452</v>
      </c>
      <c r="E527" s="292" t="s">
        <v>1746</v>
      </c>
      <c r="L527" s="265">
        <v>-1815000</v>
      </c>
      <c r="M527" s="269"/>
    </row>
    <row r="528" spans="1:13" x14ac:dyDescent="0.3">
      <c r="A528" s="271">
        <v>527</v>
      </c>
      <c r="B528" s="264">
        <v>45808</v>
      </c>
      <c r="C528" s="292" t="s">
        <v>2333</v>
      </c>
      <c r="E528" s="292" t="s">
        <v>1746</v>
      </c>
      <c r="L528" s="265">
        <v>-220000</v>
      </c>
      <c r="M528" s="269"/>
    </row>
    <row r="529" spans="1:13" x14ac:dyDescent="0.3">
      <c r="A529" s="271">
        <v>528</v>
      </c>
      <c r="B529" s="264">
        <v>45808</v>
      </c>
      <c r="C529" s="292" t="s">
        <v>1391</v>
      </c>
      <c r="E529" s="292" t="s">
        <v>1746</v>
      </c>
      <c r="L529" s="265">
        <v>-498000</v>
      </c>
      <c r="M529" s="269"/>
    </row>
    <row r="530" spans="1:13" x14ac:dyDescent="0.3">
      <c r="A530" s="271">
        <v>529</v>
      </c>
      <c r="B530" s="264">
        <v>45809</v>
      </c>
      <c r="C530" s="292" t="s">
        <v>1479</v>
      </c>
      <c r="E530" s="292" t="s">
        <v>1746</v>
      </c>
      <c r="L530" s="265">
        <v>-2000000</v>
      </c>
      <c r="M530" s="269"/>
    </row>
    <row r="531" spans="1:13" x14ac:dyDescent="0.3">
      <c r="A531" s="271">
        <v>530</v>
      </c>
      <c r="B531" s="264">
        <v>45810</v>
      </c>
      <c r="C531" s="292" t="s">
        <v>1306</v>
      </c>
      <c r="E531" s="292" t="s">
        <v>1125</v>
      </c>
      <c r="L531" s="265">
        <v>-1500000</v>
      </c>
      <c r="M531" s="269"/>
    </row>
    <row r="532" spans="1:13" x14ac:dyDescent="0.3">
      <c r="A532" s="271">
        <v>531</v>
      </c>
      <c r="B532" s="264">
        <v>45810</v>
      </c>
      <c r="C532" s="292" t="s">
        <v>2361</v>
      </c>
      <c r="E532" s="292" t="s">
        <v>1219</v>
      </c>
      <c r="F532" s="269" t="s">
        <v>2162</v>
      </c>
      <c r="G532" s="265">
        <v>1000000</v>
      </c>
      <c r="H532" s="269">
        <v>1</v>
      </c>
      <c r="K532" s="265">
        <v>1000000</v>
      </c>
      <c r="M532" s="269"/>
    </row>
    <row r="533" spans="1:13" x14ac:dyDescent="0.3">
      <c r="A533" s="271">
        <v>532</v>
      </c>
      <c r="B533" s="264">
        <v>45810</v>
      </c>
      <c r="C533" s="292" t="s">
        <v>1541</v>
      </c>
      <c r="E533" s="292" t="s">
        <v>1266</v>
      </c>
      <c r="F533" s="269" t="s">
        <v>1265</v>
      </c>
      <c r="G533" s="265">
        <v>50000</v>
      </c>
      <c r="H533" s="269">
        <v>2</v>
      </c>
      <c r="K533" s="265">
        <v>100000</v>
      </c>
      <c r="M533" s="269"/>
    </row>
    <row r="534" spans="1:13" x14ac:dyDescent="0.3">
      <c r="A534" s="271">
        <v>533</v>
      </c>
      <c r="B534" s="264">
        <v>45810</v>
      </c>
      <c r="C534" s="292" t="s">
        <v>2292</v>
      </c>
      <c r="E534" s="292" t="s">
        <v>2187</v>
      </c>
      <c r="F534" s="269" t="s">
        <v>1207</v>
      </c>
      <c r="G534" s="265">
        <v>517273</v>
      </c>
      <c r="H534" s="269">
        <v>1</v>
      </c>
      <c r="J534" s="266">
        <v>51727</v>
      </c>
      <c r="K534" s="265">
        <v>569000</v>
      </c>
      <c r="M534" s="269"/>
    </row>
    <row r="535" spans="1:13" x14ac:dyDescent="0.3">
      <c r="A535" s="271">
        <v>534</v>
      </c>
      <c r="B535" s="264">
        <v>45810</v>
      </c>
      <c r="C535" s="292" t="s">
        <v>2292</v>
      </c>
      <c r="E535" s="292" t="s">
        <v>2190</v>
      </c>
      <c r="F535" s="269">
        <v>50229</v>
      </c>
      <c r="G535" s="265">
        <v>70000</v>
      </c>
      <c r="H535" s="269">
        <v>1</v>
      </c>
      <c r="J535" s="266">
        <v>7000</v>
      </c>
      <c r="K535" s="265">
        <v>77000</v>
      </c>
      <c r="M535" s="269"/>
    </row>
    <row r="536" spans="1:13" x14ac:dyDescent="0.3">
      <c r="A536" s="271">
        <v>535</v>
      </c>
      <c r="B536" s="264">
        <v>45810</v>
      </c>
      <c r="C536" s="292" t="s">
        <v>2292</v>
      </c>
      <c r="E536" s="292" t="s">
        <v>1125</v>
      </c>
      <c r="L536" s="265">
        <v>-646000</v>
      </c>
      <c r="M536" s="269"/>
    </row>
    <row r="537" spans="1:13" x14ac:dyDescent="0.3">
      <c r="A537" s="271">
        <v>536</v>
      </c>
      <c r="B537" s="264">
        <v>45810</v>
      </c>
      <c r="C537" s="292" t="s">
        <v>1456</v>
      </c>
      <c r="E537" s="292" t="s">
        <v>1717</v>
      </c>
      <c r="F537" s="269">
        <v>2800802</v>
      </c>
      <c r="G537" s="265">
        <v>150000</v>
      </c>
      <c r="H537" s="269">
        <v>1</v>
      </c>
      <c r="K537" s="265">
        <v>150000</v>
      </c>
      <c r="M537" s="269"/>
    </row>
    <row r="538" spans="1:13" x14ac:dyDescent="0.3">
      <c r="A538" s="271">
        <v>537</v>
      </c>
      <c r="B538" s="264">
        <v>45810</v>
      </c>
      <c r="C538" s="292" t="s">
        <v>1399</v>
      </c>
      <c r="E538" s="292" t="s">
        <v>1125</v>
      </c>
      <c r="L538" s="265">
        <v>-10907000</v>
      </c>
      <c r="M538" s="269"/>
    </row>
    <row r="539" spans="1:13" x14ac:dyDescent="0.3">
      <c r="A539" s="271">
        <v>538</v>
      </c>
      <c r="B539" s="264">
        <v>45810</v>
      </c>
      <c r="C539" s="292" t="s">
        <v>1541</v>
      </c>
      <c r="E539" s="292" t="s">
        <v>1203</v>
      </c>
      <c r="F539" s="269" t="s">
        <v>1752</v>
      </c>
      <c r="G539" s="265">
        <v>1200000</v>
      </c>
      <c r="H539" s="269">
        <v>1</v>
      </c>
      <c r="K539" s="265">
        <v>1200000</v>
      </c>
      <c r="M539" s="269"/>
    </row>
    <row r="540" spans="1:13" x14ac:dyDescent="0.3">
      <c r="A540" s="271">
        <v>539</v>
      </c>
      <c r="B540" s="264">
        <v>45810</v>
      </c>
      <c r="C540" s="292" t="s">
        <v>1541</v>
      </c>
      <c r="E540" s="292" t="s">
        <v>1496</v>
      </c>
      <c r="G540" s="265">
        <v>350000</v>
      </c>
      <c r="H540" s="269">
        <v>1</v>
      </c>
      <c r="K540" s="265">
        <v>350000</v>
      </c>
      <c r="M540" s="269"/>
    </row>
    <row r="541" spans="1:13" x14ac:dyDescent="0.3">
      <c r="A541" s="271">
        <v>540</v>
      </c>
      <c r="B541" s="264">
        <v>45810</v>
      </c>
      <c r="C541" s="292" t="s">
        <v>1541</v>
      </c>
      <c r="E541" s="292" t="s">
        <v>1703</v>
      </c>
      <c r="F541" s="269">
        <v>7252703114</v>
      </c>
      <c r="G541" s="265">
        <v>129000</v>
      </c>
      <c r="H541" s="269">
        <v>1</v>
      </c>
      <c r="K541" s="265">
        <v>129000</v>
      </c>
      <c r="M541" s="269"/>
    </row>
    <row r="542" spans="1:13" x14ac:dyDescent="0.3">
      <c r="A542" s="271">
        <v>541</v>
      </c>
      <c r="B542" s="264">
        <v>45810</v>
      </c>
      <c r="C542" s="292" t="s">
        <v>2258</v>
      </c>
      <c r="E542" s="292" t="s">
        <v>2196</v>
      </c>
      <c r="G542" s="265">
        <v>1500000</v>
      </c>
      <c r="H542" s="269">
        <v>1</v>
      </c>
      <c r="K542" s="265">
        <v>1500000</v>
      </c>
      <c r="M542" s="269"/>
    </row>
    <row r="543" spans="1:13" x14ac:dyDescent="0.3">
      <c r="A543" s="271">
        <v>542</v>
      </c>
      <c r="B543" s="264">
        <v>45811</v>
      </c>
      <c r="C543" s="292" t="s">
        <v>987</v>
      </c>
      <c r="E543" s="292" t="s">
        <v>1125</v>
      </c>
      <c r="L543" s="265">
        <v>-1000000</v>
      </c>
      <c r="M543" s="269"/>
    </row>
    <row r="544" spans="1:13" x14ac:dyDescent="0.3">
      <c r="A544" s="271">
        <v>543</v>
      </c>
      <c r="B544" s="264">
        <v>45811</v>
      </c>
      <c r="C544" s="292" t="s">
        <v>1283</v>
      </c>
      <c r="E544" s="292" t="s">
        <v>2387</v>
      </c>
      <c r="G544" s="265">
        <v>700000</v>
      </c>
      <c r="H544" s="269">
        <v>1</v>
      </c>
      <c r="K544" s="265">
        <v>700000</v>
      </c>
      <c r="M544" s="269"/>
    </row>
    <row r="545" spans="1:13" x14ac:dyDescent="0.3">
      <c r="A545" s="271">
        <v>544</v>
      </c>
      <c r="B545" s="264">
        <v>45811</v>
      </c>
      <c r="C545" s="292" t="s">
        <v>1449</v>
      </c>
      <c r="E545" s="292" t="s">
        <v>2363</v>
      </c>
      <c r="G545" s="265">
        <v>200000</v>
      </c>
      <c r="H545" s="269">
        <v>1</v>
      </c>
      <c r="K545" s="265">
        <v>200000</v>
      </c>
      <c r="M545" s="269"/>
    </row>
    <row r="546" spans="1:13" x14ac:dyDescent="0.3">
      <c r="A546" s="271">
        <v>545</v>
      </c>
      <c r="B546" s="264">
        <v>45811</v>
      </c>
      <c r="C546" s="292" t="s">
        <v>2375</v>
      </c>
      <c r="E546" s="292" t="s">
        <v>2374</v>
      </c>
      <c r="G546" s="265">
        <v>1818182</v>
      </c>
      <c r="H546" s="269">
        <v>1</v>
      </c>
      <c r="J546" s="266">
        <v>181818</v>
      </c>
      <c r="K546" s="265">
        <v>2000000</v>
      </c>
      <c r="M546" s="269"/>
    </row>
    <row r="547" spans="1:13" x14ac:dyDescent="0.3">
      <c r="A547" s="271">
        <v>546</v>
      </c>
      <c r="B547" s="264">
        <v>45812</v>
      </c>
      <c r="C547" s="292" t="s">
        <v>1449</v>
      </c>
      <c r="E547" s="292" t="s">
        <v>1125</v>
      </c>
      <c r="L547" s="265">
        <v>-200000</v>
      </c>
      <c r="M547" s="269"/>
    </row>
    <row r="548" spans="1:13" x14ac:dyDescent="0.3">
      <c r="A548" s="271">
        <v>547</v>
      </c>
      <c r="B548" s="264">
        <v>45812</v>
      </c>
      <c r="C548" s="292" t="s">
        <v>1015</v>
      </c>
      <c r="E548" s="292" t="s">
        <v>1125</v>
      </c>
      <c r="L548" s="265">
        <v>-990000</v>
      </c>
      <c r="M548" s="269"/>
    </row>
    <row r="549" spans="1:13" x14ac:dyDescent="0.3">
      <c r="A549" s="271">
        <v>548</v>
      </c>
      <c r="B549" s="264">
        <v>45812</v>
      </c>
      <c r="C549" s="292" t="s">
        <v>1598</v>
      </c>
      <c r="E549" s="292" t="s">
        <v>2196</v>
      </c>
      <c r="G549" s="265">
        <v>1500000</v>
      </c>
      <c r="H549" s="269">
        <v>1</v>
      </c>
      <c r="K549" s="265">
        <v>1500000</v>
      </c>
      <c r="M549" s="269"/>
    </row>
    <row r="550" spans="1:13" x14ac:dyDescent="0.3">
      <c r="A550" s="271">
        <v>549</v>
      </c>
      <c r="B550" s="264">
        <v>45812</v>
      </c>
      <c r="C550" s="292" t="s">
        <v>2381</v>
      </c>
      <c r="E550" s="292" t="s">
        <v>1258</v>
      </c>
      <c r="F550" s="269" t="s">
        <v>1257</v>
      </c>
      <c r="G550" s="265">
        <v>700000</v>
      </c>
      <c r="H550" s="269">
        <v>1</v>
      </c>
      <c r="J550" s="266">
        <v>70000</v>
      </c>
      <c r="K550" s="265">
        <v>770000</v>
      </c>
      <c r="M550" s="269"/>
    </row>
    <row r="551" spans="1:13" x14ac:dyDescent="0.3">
      <c r="A551" s="271">
        <v>550</v>
      </c>
      <c r="B551" s="264">
        <v>45812</v>
      </c>
      <c r="C551" s="292" t="s">
        <v>1456</v>
      </c>
      <c r="E551" s="292" t="s">
        <v>1125</v>
      </c>
      <c r="L551" s="265">
        <v>-150000</v>
      </c>
      <c r="M551" s="269"/>
    </row>
    <row r="552" spans="1:13" x14ac:dyDescent="0.3">
      <c r="A552" s="271">
        <v>551</v>
      </c>
      <c r="B552" s="264">
        <v>45812</v>
      </c>
      <c r="C552" s="292" t="s">
        <v>2386</v>
      </c>
      <c r="E552" s="292" t="s">
        <v>1125</v>
      </c>
      <c r="L552" s="265">
        <v>-2000000</v>
      </c>
      <c r="M552" s="269"/>
    </row>
    <row r="553" spans="1:13" x14ac:dyDescent="0.3">
      <c r="A553" s="271">
        <v>552</v>
      </c>
      <c r="B553" s="264">
        <v>45812</v>
      </c>
      <c r="C553" s="292" t="s">
        <v>2380</v>
      </c>
      <c r="E553" s="292" t="s">
        <v>1125</v>
      </c>
      <c r="L553" s="265">
        <v>-770000</v>
      </c>
      <c r="M553" s="269"/>
    </row>
    <row r="554" spans="1:13" x14ac:dyDescent="0.3">
      <c r="A554" s="271">
        <v>553</v>
      </c>
      <c r="B554" s="264">
        <v>45812</v>
      </c>
      <c r="C554" s="292" t="s">
        <v>1580</v>
      </c>
      <c r="E554" s="292" t="s">
        <v>1535</v>
      </c>
      <c r="G554" s="265">
        <v>450000</v>
      </c>
      <c r="H554" s="269">
        <v>1</v>
      </c>
      <c r="J554" s="266">
        <v>45000</v>
      </c>
      <c r="K554" s="265">
        <v>495000</v>
      </c>
      <c r="M554" s="269"/>
    </row>
    <row r="555" spans="1:13" x14ac:dyDescent="0.3">
      <c r="A555" s="271">
        <v>554</v>
      </c>
      <c r="B555" s="264">
        <v>45812</v>
      </c>
      <c r="C555" s="292" t="s">
        <v>1580</v>
      </c>
      <c r="E555" s="292" t="s">
        <v>1549</v>
      </c>
      <c r="F555" s="269">
        <v>24152333907</v>
      </c>
      <c r="G555" s="265">
        <v>50000</v>
      </c>
      <c r="H555" s="269">
        <v>1</v>
      </c>
      <c r="J555" s="266">
        <v>5000</v>
      </c>
      <c r="K555" s="265">
        <v>55000</v>
      </c>
      <c r="M555" s="269"/>
    </row>
    <row r="556" spans="1:13" x14ac:dyDescent="0.3">
      <c r="A556" s="271">
        <v>555</v>
      </c>
      <c r="B556" s="264">
        <v>45812</v>
      </c>
      <c r="C556" s="292" t="s">
        <v>1722</v>
      </c>
      <c r="E556" s="292" t="s">
        <v>1125</v>
      </c>
      <c r="L556" s="265">
        <v>-7000000</v>
      </c>
      <c r="M556" s="269"/>
    </row>
    <row r="557" spans="1:13" x14ac:dyDescent="0.3">
      <c r="A557" s="271">
        <v>556</v>
      </c>
      <c r="B557" s="264">
        <v>45812</v>
      </c>
      <c r="C557" s="292" t="s">
        <v>1722</v>
      </c>
      <c r="E557" s="292" t="s">
        <v>2389</v>
      </c>
      <c r="L557" s="265">
        <v>-805000</v>
      </c>
      <c r="M557" s="269"/>
    </row>
    <row r="558" spans="1:13" x14ac:dyDescent="0.3">
      <c r="A558" s="271">
        <v>557</v>
      </c>
      <c r="B558" s="264">
        <v>45813</v>
      </c>
      <c r="C558" s="292" t="s">
        <v>1541</v>
      </c>
      <c r="E558" s="292" t="s">
        <v>2187</v>
      </c>
      <c r="F558" s="269" t="s">
        <v>1207</v>
      </c>
      <c r="G558" s="265">
        <v>569000</v>
      </c>
      <c r="H558" s="269">
        <v>1</v>
      </c>
      <c r="K558" s="265">
        <v>569000</v>
      </c>
      <c r="M558" s="269"/>
    </row>
    <row r="559" spans="1:13" x14ac:dyDescent="0.3">
      <c r="A559" s="271">
        <v>558</v>
      </c>
      <c r="B559" s="264">
        <v>45813</v>
      </c>
      <c r="C559" s="292" t="s">
        <v>1541</v>
      </c>
      <c r="E559" s="292" t="s">
        <v>2190</v>
      </c>
      <c r="F559" s="269">
        <v>50229</v>
      </c>
      <c r="G559" s="265">
        <v>77000</v>
      </c>
      <c r="H559" s="269">
        <v>1</v>
      </c>
      <c r="K559" s="265">
        <v>77000</v>
      </c>
      <c r="M559" s="269"/>
    </row>
    <row r="560" spans="1:13" x14ac:dyDescent="0.3">
      <c r="A560" s="271">
        <v>559</v>
      </c>
      <c r="B560" s="264">
        <v>45813</v>
      </c>
      <c r="C560" s="292" t="s">
        <v>1541</v>
      </c>
      <c r="E560" s="292" t="s">
        <v>2188</v>
      </c>
      <c r="F560" s="269" t="s">
        <v>1259</v>
      </c>
      <c r="G560" s="265">
        <v>130000</v>
      </c>
      <c r="H560" s="269">
        <v>1</v>
      </c>
      <c r="K560" s="265">
        <v>130000</v>
      </c>
      <c r="M560" s="269"/>
    </row>
    <row r="561" spans="1:13" x14ac:dyDescent="0.3">
      <c r="A561" s="271">
        <v>560</v>
      </c>
      <c r="B561" s="264">
        <v>45813</v>
      </c>
      <c r="C561" s="292" t="s">
        <v>1541</v>
      </c>
      <c r="E561" s="292" t="s">
        <v>2192</v>
      </c>
      <c r="F561" s="269" t="s">
        <v>1822</v>
      </c>
      <c r="G561" s="265">
        <v>10000</v>
      </c>
      <c r="H561" s="269">
        <v>2</v>
      </c>
      <c r="K561" s="265">
        <v>20000</v>
      </c>
      <c r="M561" s="269"/>
    </row>
    <row r="562" spans="1:13" x14ac:dyDescent="0.3">
      <c r="A562" s="271">
        <v>561</v>
      </c>
      <c r="B562" s="264">
        <v>45813</v>
      </c>
      <c r="C562" s="292" t="s">
        <v>1541</v>
      </c>
      <c r="E562" s="292" t="s">
        <v>2191</v>
      </c>
      <c r="F562" s="269" t="s">
        <v>1795</v>
      </c>
      <c r="G562" s="265">
        <v>35000</v>
      </c>
      <c r="H562" s="269">
        <v>1</v>
      </c>
      <c r="K562" s="265">
        <v>35000</v>
      </c>
      <c r="M562" s="269"/>
    </row>
    <row r="563" spans="1:13" x14ac:dyDescent="0.3">
      <c r="A563" s="271">
        <v>562</v>
      </c>
      <c r="B563" s="264">
        <v>45813</v>
      </c>
      <c r="C563" s="292" t="s">
        <v>1598</v>
      </c>
      <c r="E563" s="292" t="s">
        <v>1125</v>
      </c>
      <c r="L563" s="265">
        <v>-1500000</v>
      </c>
      <c r="M563" s="269"/>
    </row>
    <row r="564" spans="1:13" x14ac:dyDescent="0.3">
      <c r="A564" s="271">
        <v>563</v>
      </c>
      <c r="B564" s="264">
        <v>45813</v>
      </c>
      <c r="C564" s="292" t="s">
        <v>1456</v>
      </c>
      <c r="E564" s="292" t="s">
        <v>1717</v>
      </c>
      <c r="F564" s="269">
        <v>2800802</v>
      </c>
      <c r="G564" s="265">
        <v>150000</v>
      </c>
      <c r="H564" s="269">
        <v>1</v>
      </c>
      <c r="K564" s="265">
        <v>150000</v>
      </c>
      <c r="M564" s="269"/>
    </row>
    <row r="565" spans="1:13" x14ac:dyDescent="0.3">
      <c r="A565" s="271">
        <v>564</v>
      </c>
      <c r="B565" s="264">
        <v>45813</v>
      </c>
      <c r="C565" s="292" t="s">
        <v>1147</v>
      </c>
      <c r="E565" s="292" t="s">
        <v>2396</v>
      </c>
      <c r="G565" s="265">
        <v>450000</v>
      </c>
      <c r="H565" s="269">
        <v>1</v>
      </c>
      <c r="K565" s="265">
        <v>450000</v>
      </c>
      <c r="M565" s="269"/>
    </row>
    <row r="566" spans="1:13" x14ac:dyDescent="0.3">
      <c r="A566" s="271">
        <v>565</v>
      </c>
      <c r="B566" s="264">
        <v>45813</v>
      </c>
      <c r="C566" s="292" t="s">
        <v>1147</v>
      </c>
      <c r="E566" s="292" t="s">
        <v>2191</v>
      </c>
      <c r="F566" s="269" t="s">
        <v>1795</v>
      </c>
      <c r="G566" s="265">
        <v>55000</v>
      </c>
      <c r="H566" s="269">
        <v>1</v>
      </c>
      <c r="K566" s="265">
        <v>55000</v>
      </c>
      <c r="M566" s="269"/>
    </row>
    <row r="567" spans="1:13" x14ac:dyDescent="0.3">
      <c r="A567" s="271">
        <v>566</v>
      </c>
      <c r="B567" s="264">
        <v>45813</v>
      </c>
      <c r="C567" s="292" t="s">
        <v>1147</v>
      </c>
      <c r="E567" s="292" t="s">
        <v>2194</v>
      </c>
      <c r="G567" s="265">
        <v>600000</v>
      </c>
      <c r="H567" s="269">
        <v>1</v>
      </c>
      <c r="K567" s="265">
        <v>600000</v>
      </c>
      <c r="M567" s="269"/>
    </row>
    <row r="568" spans="1:13" x14ac:dyDescent="0.3">
      <c r="A568" s="271">
        <v>567</v>
      </c>
      <c r="B568" s="264">
        <v>45813</v>
      </c>
      <c r="C568" s="292" t="s">
        <v>1147</v>
      </c>
      <c r="E568" s="292" t="s">
        <v>2397</v>
      </c>
      <c r="G568" s="265">
        <v>600000</v>
      </c>
      <c r="H568" s="269">
        <v>1</v>
      </c>
      <c r="K568" s="265">
        <v>600000</v>
      </c>
      <c r="M568" s="269"/>
    </row>
    <row r="569" spans="1:13" x14ac:dyDescent="0.3">
      <c r="A569" s="271">
        <v>568</v>
      </c>
      <c r="B569" s="264">
        <v>45813</v>
      </c>
      <c r="C569" s="292" t="s">
        <v>1580</v>
      </c>
      <c r="E569" s="292" t="s">
        <v>1125</v>
      </c>
      <c r="L569" s="265">
        <v>-550000</v>
      </c>
      <c r="M569" s="269"/>
    </row>
    <row r="570" spans="1:13" x14ac:dyDescent="0.3">
      <c r="A570" s="271">
        <v>569</v>
      </c>
      <c r="B570" s="264">
        <v>45813</v>
      </c>
      <c r="C570" s="292" t="s">
        <v>2405</v>
      </c>
      <c r="E570" s="292" t="s">
        <v>2404</v>
      </c>
      <c r="G570" s="265">
        <v>200000</v>
      </c>
      <c r="H570" s="269">
        <v>1</v>
      </c>
      <c r="K570" s="265">
        <v>200000</v>
      </c>
      <c r="M570" s="269"/>
    </row>
    <row r="571" spans="1:13" x14ac:dyDescent="0.3">
      <c r="A571" s="271">
        <v>570</v>
      </c>
      <c r="B571" s="264">
        <v>45814</v>
      </c>
      <c r="C571" s="292" t="s">
        <v>1722</v>
      </c>
      <c r="E571" s="292" t="s">
        <v>2187</v>
      </c>
      <c r="F571" s="269" t="s">
        <v>1207</v>
      </c>
      <c r="G571" s="265">
        <v>500000</v>
      </c>
      <c r="H571" s="269">
        <v>5</v>
      </c>
      <c r="K571" s="265">
        <v>2500000</v>
      </c>
      <c r="M571" s="269"/>
    </row>
    <row r="572" spans="1:13" x14ac:dyDescent="0.3">
      <c r="A572" s="271">
        <v>571</v>
      </c>
      <c r="B572" s="264">
        <v>45817</v>
      </c>
      <c r="C572" s="292" t="s">
        <v>1058</v>
      </c>
      <c r="E572" s="292" t="s">
        <v>2429</v>
      </c>
      <c r="F572" s="269" t="s">
        <v>1215</v>
      </c>
      <c r="G572" s="265">
        <v>2200000</v>
      </c>
      <c r="H572" s="269">
        <v>1</v>
      </c>
      <c r="J572" s="266">
        <v>220000</v>
      </c>
      <c r="K572" s="265">
        <v>2420000</v>
      </c>
      <c r="M572" s="269"/>
    </row>
    <row r="573" spans="1:13" x14ac:dyDescent="0.3">
      <c r="A573" s="271">
        <v>572</v>
      </c>
      <c r="B573" s="264">
        <v>45817</v>
      </c>
      <c r="C573" s="292" t="s">
        <v>2361</v>
      </c>
      <c r="E573" s="292" t="s">
        <v>2255</v>
      </c>
      <c r="F573" s="269" t="s">
        <v>2254</v>
      </c>
      <c r="G573" s="265">
        <v>1550000</v>
      </c>
      <c r="H573" s="269">
        <v>1</v>
      </c>
      <c r="K573" s="265">
        <v>1550000</v>
      </c>
      <c r="M573" s="269"/>
    </row>
    <row r="574" spans="1:13" x14ac:dyDescent="0.3">
      <c r="A574" s="271">
        <v>573</v>
      </c>
      <c r="B574" s="264">
        <v>45817</v>
      </c>
      <c r="C574" s="292" t="s">
        <v>2361</v>
      </c>
      <c r="E574" s="292" t="s">
        <v>2055</v>
      </c>
      <c r="F574" s="269" t="s">
        <v>2434</v>
      </c>
      <c r="G574" s="265">
        <v>650000</v>
      </c>
      <c r="H574" s="269">
        <v>1</v>
      </c>
      <c r="K574" s="265">
        <v>650000</v>
      </c>
      <c r="M574" s="269"/>
    </row>
    <row r="575" spans="1:13" x14ac:dyDescent="0.3">
      <c r="A575" s="271">
        <v>574</v>
      </c>
      <c r="B575" s="264">
        <v>45817</v>
      </c>
      <c r="C575" s="292" t="s">
        <v>1147</v>
      </c>
      <c r="E575" s="292" t="s">
        <v>2413</v>
      </c>
      <c r="G575" s="265">
        <v>35000</v>
      </c>
      <c r="H575" s="269">
        <v>1</v>
      </c>
      <c r="K575" s="265">
        <v>35000</v>
      </c>
      <c r="M575" s="269"/>
    </row>
    <row r="576" spans="1:13" x14ac:dyDescent="0.3">
      <c r="A576" s="271">
        <v>575</v>
      </c>
      <c r="B576" s="264">
        <v>45817</v>
      </c>
      <c r="C576" s="292" t="s">
        <v>1147</v>
      </c>
      <c r="E576" s="292" t="s">
        <v>1874</v>
      </c>
      <c r="F576" s="269" t="s">
        <v>2414</v>
      </c>
      <c r="G576" s="265">
        <v>20000</v>
      </c>
      <c r="H576" s="269">
        <v>1</v>
      </c>
      <c r="K576" s="265">
        <v>20000</v>
      </c>
      <c r="M576" s="269"/>
    </row>
    <row r="577" spans="1:13" x14ac:dyDescent="0.3">
      <c r="A577" s="271">
        <v>576</v>
      </c>
      <c r="B577" s="264">
        <v>45817</v>
      </c>
      <c r="C577" s="292" t="s">
        <v>1722</v>
      </c>
      <c r="E577" s="292" t="s">
        <v>1743</v>
      </c>
      <c r="G577" s="265">
        <v>1100000</v>
      </c>
      <c r="H577" s="269">
        <v>1</v>
      </c>
      <c r="K577" s="265">
        <v>1100000</v>
      </c>
      <c r="M577" s="269"/>
    </row>
    <row r="578" spans="1:13" x14ac:dyDescent="0.3">
      <c r="A578" s="271">
        <v>577</v>
      </c>
      <c r="B578" s="264">
        <v>45817</v>
      </c>
      <c r="C578" s="292" t="s">
        <v>1018</v>
      </c>
      <c r="E578" s="292" t="s">
        <v>2418</v>
      </c>
      <c r="G578" s="265">
        <v>1100000</v>
      </c>
      <c r="H578" s="269">
        <v>1</v>
      </c>
      <c r="K578" s="265">
        <v>1100000</v>
      </c>
      <c r="M578" s="269"/>
    </row>
    <row r="579" spans="1:13" x14ac:dyDescent="0.3">
      <c r="A579" s="271">
        <v>578</v>
      </c>
      <c r="B579" s="264">
        <v>45817</v>
      </c>
      <c r="C579" s="292" t="s">
        <v>1444</v>
      </c>
      <c r="E579" s="292" t="s">
        <v>2196</v>
      </c>
      <c r="G579" s="265">
        <v>1500000</v>
      </c>
      <c r="H579" s="269">
        <v>1</v>
      </c>
      <c r="K579" s="265">
        <v>1500000</v>
      </c>
      <c r="M579" s="269"/>
    </row>
    <row r="580" spans="1:13" x14ac:dyDescent="0.3">
      <c r="A580" s="271">
        <v>579</v>
      </c>
      <c r="B580" s="264">
        <v>45817</v>
      </c>
      <c r="C580" s="292" t="s">
        <v>1399</v>
      </c>
      <c r="E580" s="292" t="s">
        <v>2196</v>
      </c>
      <c r="G580" s="265">
        <v>1500000</v>
      </c>
      <c r="H580" s="269">
        <v>1</v>
      </c>
      <c r="K580" s="265">
        <v>1500000</v>
      </c>
      <c r="M580" s="269"/>
    </row>
    <row r="581" spans="1:13" x14ac:dyDescent="0.3">
      <c r="A581" s="271">
        <v>580</v>
      </c>
      <c r="B581" s="264">
        <v>45817</v>
      </c>
      <c r="C581" s="292" t="s">
        <v>1580</v>
      </c>
      <c r="E581" s="292" t="s">
        <v>2187</v>
      </c>
      <c r="F581" s="269" t="s">
        <v>1207</v>
      </c>
      <c r="G581" s="265">
        <v>517273</v>
      </c>
      <c r="H581" s="269">
        <v>1</v>
      </c>
      <c r="J581" s="266">
        <v>51727</v>
      </c>
      <c r="K581" s="265">
        <v>569000</v>
      </c>
      <c r="M581" s="269"/>
    </row>
    <row r="582" spans="1:13" x14ac:dyDescent="0.3">
      <c r="A582" s="271">
        <v>581</v>
      </c>
      <c r="B582" s="264">
        <v>45817</v>
      </c>
      <c r="C582" s="292" t="s">
        <v>1580</v>
      </c>
      <c r="E582" s="292" t="s">
        <v>2188</v>
      </c>
      <c r="F582" s="269" t="s">
        <v>1259</v>
      </c>
      <c r="G582" s="265">
        <v>130000</v>
      </c>
      <c r="H582" s="269">
        <v>2</v>
      </c>
      <c r="J582" s="266">
        <v>26000</v>
      </c>
      <c r="K582" s="265">
        <v>286000</v>
      </c>
      <c r="M582" s="269"/>
    </row>
    <row r="583" spans="1:13" x14ac:dyDescent="0.3">
      <c r="A583" s="271">
        <v>582</v>
      </c>
      <c r="B583" s="264">
        <v>45817</v>
      </c>
      <c r="C583" s="292" t="s">
        <v>1274</v>
      </c>
      <c r="E583" s="292" t="s">
        <v>2435</v>
      </c>
      <c r="G583" s="265">
        <v>600000</v>
      </c>
      <c r="H583" s="269">
        <v>1</v>
      </c>
      <c r="J583" s="266">
        <v>60000</v>
      </c>
      <c r="K583" s="265">
        <v>660000</v>
      </c>
      <c r="M583" s="269"/>
    </row>
    <row r="584" spans="1:13" x14ac:dyDescent="0.3">
      <c r="A584" s="271">
        <v>583</v>
      </c>
      <c r="B584" s="264">
        <v>45817</v>
      </c>
      <c r="C584" s="292" t="s">
        <v>1577</v>
      </c>
      <c r="E584" s="292" t="s">
        <v>2423</v>
      </c>
      <c r="H584" s="269">
        <v>1</v>
      </c>
      <c r="K584" s="265">
        <v>0</v>
      </c>
      <c r="M584" s="269"/>
    </row>
    <row r="585" spans="1:13" x14ac:dyDescent="0.3">
      <c r="A585" s="271">
        <v>584</v>
      </c>
      <c r="B585" s="264">
        <v>45817</v>
      </c>
      <c r="C585" s="292" t="s">
        <v>1577</v>
      </c>
      <c r="E585" s="292" t="s">
        <v>2425</v>
      </c>
      <c r="F585" s="269" t="s">
        <v>2424</v>
      </c>
      <c r="G585" s="265">
        <v>590910</v>
      </c>
      <c r="H585" s="269">
        <v>1</v>
      </c>
      <c r="J585" s="266">
        <v>59091</v>
      </c>
      <c r="K585" s="265">
        <v>650001</v>
      </c>
      <c r="M585" s="269"/>
    </row>
    <row r="586" spans="1:13" x14ac:dyDescent="0.3">
      <c r="A586" s="271">
        <v>585</v>
      </c>
      <c r="B586" s="264">
        <v>45817</v>
      </c>
      <c r="C586" s="292" t="s">
        <v>1577</v>
      </c>
      <c r="E586" s="292" t="s">
        <v>2427</v>
      </c>
      <c r="F586" s="269" t="s">
        <v>2426</v>
      </c>
      <c r="G586" s="265">
        <v>100000</v>
      </c>
      <c r="H586" s="269">
        <v>1</v>
      </c>
      <c r="J586" s="266">
        <v>10000</v>
      </c>
      <c r="K586" s="265">
        <v>110000</v>
      </c>
      <c r="M586" s="269"/>
    </row>
    <row r="587" spans="1:13" x14ac:dyDescent="0.3">
      <c r="A587" s="271">
        <v>586</v>
      </c>
      <c r="B587" s="264">
        <v>45817</v>
      </c>
      <c r="C587" s="292" t="s">
        <v>1577</v>
      </c>
      <c r="E587" s="292" t="s">
        <v>2192</v>
      </c>
      <c r="F587" s="269" t="s">
        <v>1822</v>
      </c>
      <c r="G587" s="265">
        <v>20000</v>
      </c>
      <c r="H587" s="269">
        <v>1</v>
      </c>
      <c r="J587" s="266">
        <v>2000</v>
      </c>
      <c r="K587" s="265">
        <v>22000</v>
      </c>
      <c r="M587" s="269"/>
    </row>
    <row r="588" spans="1:13" x14ac:dyDescent="0.3">
      <c r="A588" s="271">
        <v>587</v>
      </c>
      <c r="B588" s="264">
        <v>45817</v>
      </c>
      <c r="C588" s="292" t="s">
        <v>2410</v>
      </c>
      <c r="E588" s="292" t="s">
        <v>1125</v>
      </c>
      <c r="L588" s="265">
        <v>-2420000</v>
      </c>
      <c r="M588" s="269"/>
    </row>
    <row r="589" spans="1:13" x14ac:dyDescent="0.3">
      <c r="A589" s="271">
        <v>588</v>
      </c>
      <c r="B589" s="264">
        <v>45817</v>
      </c>
      <c r="C589" s="292" t="s">
        <v>1444</v>
      </c>
      <c r="E589" s="292" t="s">
        <v>2430</v>
      </c>
      <c r="L589" s="265">
        <v>-500000</v>
      </c>
      <c r="M589" s="269"/>
    </row>
    <row r="590" spans="1:13" x14ac:dyDescent="0.3">
      <c r="A590" s="271">
        <v>589</v>
      </c>
      <c r="B590" s="264">
        <v>45817</v>
      </c>
      <c r="C590" s="292" t="s">
        <v>1444</v>
      </c>
      <c r="E590" s="292" t="s">
        <v>2431</v>
      </c>
      <c r="L590" s="265">
        <v>-300000</v>
      </c>
      <c r="M590" s="269"/>
    </row>
    <row r="591" spans="1:13" x14ac:dyDescent="0.3">
      <c r="A591" s="271">
        <v>590</v>
      </c>
      <c r="B591" s="264">
        <v>45817</v>
      </c>
      <c r="C591" s="292" t="s">
        <v>1444</v>
      </c>
      <c r="E591" s="292" t="s">
        <v>2432</v>
      </c>
      <c r="L591" s="265">
        <v>-300000</v>
      </c>
      <c r="M591" s="269"/>
    </row>
    <row r="592" spans="1:13" x14ac:dyDescent="0.3">
      <c r="A592" s="271">
        <v>591</v>
      </c>
      <c r="B592" s="264">
        <v>45817</v>
      </c>
      <c r="C592" s="292" t="s">
        <v>1444</v>
      </c>
      <c r="E592" s="292" t="s">
        <v>2433</v>
      </c>
      <c r="L592" s="265">
        <v>-380000</v>
      </c>
      <c r="M592" s="269"/>
    </row>
    <row r="593" spans="1:13" x14ac:dyDescent="0.3">
      <c r="A593" s="271">
        <v>592</v>
      </c>
      <c r="B593" s="264">
        <v>45817</v>
      </c>
      <c r="C593" s="292" t="s">
        <v>987</v>
      </c>
      <c r="E593" s="292" t="s">
        <v>1125</v>
      </c>
      <c r="L593" s="265">
        <v>-2200000</v>
      </c>
      <c r="M593" s="269"/>
    </row>
    <row r="594" spans="1:13" x14ac:dyDescent="0.3">
      <c r="A594" s="271">
        <v>593</v>
      </c>
      <c r="B594" s="264">
        <v>45817</v>
      </c>
      <c r="C594" s="292" t="s">
        <v>2258</v>
      </c>
      <c r="E594" s="292" t="s">
        <v>1125</v>
      </c>
      <c r="L594" s="265">
        <v>-1500000</v>
      </c>
      <c r="M594" s="269"/>
    </row>
    <row r="595" spans="1:13" x14ac:dyDescent="0.3">
      <c r="A595" s="271">
        <v>594</v>
      </c>
      <c r="B595" s="264">
        <v>45807</v>
      </c>
      <c r="C595" s="292" t="s">
        <v>1053</v>
      </c>
      <c r="E595" s="292" t="s">
        <v>1125</v>
      </c>
      <c r="L595" s="265">
        <v>-2000000</v>
      </c>
      <c r="M595" s="269"/>
    </row>
    <row r="596" spans="1:13" x14ac:dyDescent="0.3">
      <c r="A596" s="271">
        <v>595</v>
      </c>
      <c r="B596" s="264">
        <v>45817</v>
      </c>
      <c r="C596" s="292" t="s">
        <v>1399</v>
      </c>
      <c r="E596" s="292" t="s">
        <v>2340</v>
      </c>
      <c r="F596" s="269">
        <v>1087298437</v>
      </c>
      <c r="G596" s="265">
        <v>80000</v>
      </c>
      <c r="H596" s="269">
        <v>1</v>
      </c>
      <c r="K596" s="265">
        <v>80000</v>
      </c>
      <c r="M596" s="269"/>
    </row>
    <row r="597" spans="1:13" x14ac:dyDescent="0.3">
      <c r="A597" s="271">
        <v>596</v>
      </c>
      <c r="B597" s="264">
        <v>45818</v>
      </c>
      <c r="C597" s="292" t="s">
        <v>2101</v>
      </c>
      <c r="E597" s="292" t="s">
        <v>1125</v>
      </c>
      <c r="L597" s="265">
        <v>-1550000</v>
      </c>
      <c r="M597" s="269"/>
    </row>
    <row r="598" spans="1:13" x14ac:dyDescent="0.3">
      <c r="A598" s="271">
        <v>597</v>
      </c>
      <c r="B598" s="264">
        <v>45818</v>
      </c>
      <c r="C598" s="292" t="s">
        <v>1596</v>
      </c>
      <c r="E598" s="292" t="s">
        <v>1125</v>
      </c>
      <c r="L598" s="265">
        <v>-700000</v>
      </c>
      <c r="M598" s="269"/>
    </row>
    <row r="599" spans="1:13" x14ac:dyDescent="0.3">
      <c r="A599" s="271">
        <v>598</v>
      </c>
      <c r="B599" s="264">
        <v>45818</v>
      </c>
      <c r="C599" s="292" t="s">
        <v>2365</v>
      </c>
      <c r="E599" s="292" t="s">
        <v>2451</v>
      </c>
      <c r="G599" s="265">
        <v>3000000</v>
      </c>
      <c r="H599" s="269">
        <v>1</v>
      </c>
      <c r="K599" s="265">
        <v>3000000</v>
      </c>
      <c r="M599" s="269"/>
    </row>
    <row r="600" spans="1:13" x14ac:dyDescent="0.3">
      <c r="A600" s="271">
        <v>599</v>
      </c>
      <c r="B600" s="264">
        <v>45818</v>
      </c>
      <c r="C600" s="292" t="s">
        <v>1747</v>
      </c>
      <c r="E600" s="292" t="s">
        <v>2190</v>
      </c>
      <c r="F600" s="269">
        <v>50229</v>
      </c>
      <c r="G600" s="265">
        <v>75000</v>
      </c>
      <c r="H600" s="269">
        <v>2</v>
      </c>
      <c r="J600" s="266">
        <v>15000</v>
      </c>
      <c r="K600" s="265">
        <v>165000</v>
      </c>
      <c r="M600" s="269"/>
    </row>
    <row r="601" spans="1:13" x14ac:dyDescent="0.3">
      <c r="A601" s="271">
        <v>600</v>
      </c>
      <c r="B601" s="264">
        <v>45818</v>
      </c>
      <c r="C601" s="292" t="s">
        <v>1747</v>
      </c>
      <c r="E601" s="292" t="s">
        <v>2188</v>
      </c>
      <c r="F601" s="269" t="s">
        <v>1259</v>
      </c>
      <c r="G601" s="265">
        <v>130000</v>
      </c>
      <c r="H601" s="269">
        <v>1</v>
      </c>
      <c r="J601" s="266">
        <v>13000</v>
      </c>
      <c r="K601" s="265">
        <v>143000</v>
      </c>
      <c r="M601" s="269"/>
    </row>
    <row r="602" spans="1:13" x14ac:dyDescent="0.3">
      <c r="A602" s="271">
        <v>601</v>
      </c>
      <c r="B602" s="264">
        <v>45818</v>
      </c>
      <c r="C602" s="292" t="s">
        <v>1302</v>
      </c>
      <c r="E602" s="292" t="s">
        <v>2722</v>
      </c>
      <c r="F602" s="270">
        <v>602000700</v>
      </c>
      <c r="G602" s="265">
        <v>340000</v>
      </c>
      <c r="H602" s="269">
        <v>1</v>
      </c>
      <c r="K602" s="265">
        <v>340000</v>
      </c>
      <c r="M602" s="269"/>
    </row>
    <row r="603" spans="1:13" x14ac:dyDescent="0.3">
      <c r="A603" s="271">
        <v>602</v>
      </c>
      <c r="B603" s="264">
        <v>45818</v>
      </c>
      <c r="C603" s="292" t="s">
        <v>1306</v>
      </c>
      <c r="E603" s="292" t="s">
        <v>2455</v>
      </c>
      <c r="G603" s="265">
        <v>850000</v>
      </c>
      <c r="H603" s="269">
        <v>1</v>
      </c>
      <c r="K603" s="265">
        <v>850000</v>
      </c>
      <c r="M603" s="269"/>
    </row>
    <row r="604" spans="1:13" x14ac:dyDescent="0.3">
      <c r="A604" s="271">
        <v>603</v>
      </c>
      <c r="B604" s="264">
        <v>45818</v>
      </c>
      <c r="C604" s="292" t="s">
        <v>1306</v>
      </c>
      <c r="E604" s="292" t="s">
        <v>2104</v>
      </c>
      <c r="G604" s="265">
        <v>1000000</v>
      </c>
      <c r="H604" s="269">
        <v>1</v>
      </c>
      <c r="K604" s="265">
        <v>1000000</v>
      </c>
      <c r="M604" s="269"/>
    </row>
    <row r="605" spans="1:13" x14ac:dyDescent="0.3">
      <c r="A605" s="271">
        <v>604</v>
      </c>
      <c r="B605" s="264">
        <v>45818</v>
      </c>
      <c r="C605" s="292" t="s">
        <v>1577</v>
      </c>
      <c r="E605" s="292" t="s">
        <v>2577</v>
      </c>
      <c r="G605" s="265">
        <v>1600000</v>
      </c>
      <c r="H605" s="269">
        <v>1</v>
      </c>
      <c r="J605" s="266">
        <v>160000</v>
      </c>
      <c r="K605" s="265">
        <v>1760000</v>
      </c>
      <c r="M605" s="269"/>
    </row>
    <row r="606" spans="1:13" x14ac:dyDescent="0.3">
      <c r="A606" s="271">
        <v>605</v>
      </c>
      <c r="B606" s="264">
        <v>45818</v>
      </c>
      <c r="C606" s="292" t="s">
        <v>1577</v>
      </c>
      <c r="E606" s="292" t="s">
        <v>1519</v>
      </c>
      <c r="G606" s="265">
        <v>20000</v>
      </c>
      <c r="H606" s="269">
        <v>1</v>
      </c>
      <c r="J606" s="266">
        <v>2000</v>
      </c>
      <c r="K606" s="265">
        <v>22000</v>
      </c>
      <c r="M606" s="269"/>
    </row>
    <row r="607" spans="1:13" x14ac:dyDescent="0.3">
      <c r="A607" s="271">
        <v>606</v>
      </c>
      <c r="B607" s="264">
        <v>45818</v>
      </c>
      <c r="C607" s="292" t="s">
        <v>1444</v>
      </c>
      <c r="E607" s="292" t="s">
        <v>2458</v>
      </c>
      <c r="G607" s="265">
        <v>100000</v>
      </c>
      <c r="H607" s="269">
        <v>1</v>
      </c>
      <c r="K607" s="265">
        <v>100000</v>
      </c>
      <c r="M607" s="269"/>
    </row>
    <row r="608" spans="1:13" x14ac:dyDescent="0.3">
      <c r="A608" s="271">
        <v>607</v>
      </c>
      <c r="B608" s="264">
        <v>45818</v>
      </c>
      <c r="C608" s="292" t="s">
        <v>2319</v>
      </c>
      <c r="E608" s="292" t="s">
        <v>2460</v>
      </c>
      <c r="F608" s="269" t="s">
        <v>1198</v>
      </c>
      <c r="G608" s="265">
        <v>100000</v>
      </c>
      <c r="H608" s="269">
        <v>1</v>
      </c>
      <c r="K608" s="265">
        <v>100000</v>
      </c>
      <c r="M608" s="269"/>
    </row>
    <row r="609" spans="1:13" x14ac:dyDescent="0.3">
      <c r="A609" s="271">
        <v>608</v>
      </c>
      <c r="B609" s="264">
        <v>45818</v>
      </c>
      <c r="C609" s="292" t="s">
        <v>1894</v>
      </c>
      <c r="E609" s="292" t="s">
        <v>1203</v>
      </c>
      <c r="F609" s="269" t="s">
        <v>1361</v>
      </c>
      <c r="G609" s="265">
        <v>1200000</v>
      </c>
      <c r="H609" s="269">
        <v>1</v>
      </c>
      <c r="K609" s="265">
        <v>1200000</v>
      </c>
      <c r="M609" s="269"/>
    </row>
    <row r="610" spans="1:13" x14ac:dyDescent="0.3">
      <c r="A610" s="271">
        <v>609</v>
      </c>
      <c r="B610" s="264">
        <v>45818</v>
      </c>
      <c r="C610" s="292" t="s">
        <v>1444</v>
      </c>
      <c r="E610" s="292" t="s">
        <v>2463</v>
      </c>
      <c r="L610" s="265">
        <v>-1200000</v>
      </c>
      <c r="M610" s="269"/>
    </row>
    <row r="611" spans="1:13" x14ac:dyDescent="0.3">
      <c r="A611" s="271">
        <v>610</v>
      </c>
      <c r="B611" s="264">
        <v>45813</v>
      </c>
      <c r="C611" s="292" t="s">
        <v>1456</v>
      </c>
      <c r="E611" s="292" t="s">
        <v>1125</v>
      </c>
      <c r="L611" s="265">
        <v>-150000</v>
      </c>
      <c r="M611" s="269"/>
    </row>
    <row r="612" spans="1:13" x14ac:dyDescent="0.3">
      <c r="A612" s="271">
        <v>611</v>
      </c>
      <c r="B612" s="264">
        <v>45818</v>
      </c>
      <c r="C612" s="292" t="s">
        <v>2465</v>
      </c>
      <c r="D612" s="295" t="s">
        <v>1213</v>
      </c>
      <c r="E612" s="292" t="s">
        <v>2466</v>
      </c>
      <c r="F612" s="269" t="s">
        <v>1212</v>
      </c>
      <c r="G612" s="265">
        <v>-1500000</v>
      </c>
      <c r="H612" s="269">
        <v>1</v>
      </c>
      <c r="J612" s="266">
        <v>-150000</v>
      </c>
      <c r="K612" s="265">
        <v>-1650000</v>
      </c>
      <c r="M612" s="269"/>
    </row>
    <row r="613" spans="1:13" x14ac:dyDescent="0.3">
      <c r="A613" s="271">
        <v>612</v>
      </c>
      <c r="B613" s="264">
        <v>45819</v>
      </c>
      <c r="C613" s="292" t="s">
        <v>1306</v>
      </c>
      <c r="E613" s="292" t="s">
        <v>1125</v>
      </c>
      <c r="L613" s="265">
        <v>-1850000</v>
      </c>
      <c r="M613" s="269"/>
    </row>
    <row r="614" spans="1:13" x14ac:dyDescent="0.3">
      <c r="A614" s="271">
        <v>613</v>
      </c>
      <c r="B614" s="264">
        <v>45819</v>
      </c>
      <c r="C614" s="292" t="s">
        <v>1018</v>
      </c>
      <c r="E614" s="292" t="s">
        <v>1125</v>
      </c>
      <c r="L614" s="265">
        <v>-5487000</v>
      </c>
      <c r="M614" s="269"/>
    </row>
    <row r="615" spans="1:13" x14ac:dyDescent="0.3">
      <c r="A615" s="271">
        <v>614</v>
      </c>
      <c r="B615" s="264">
        <v>45819</v>
      </c>
      <c r="C615" s="292" t="s">
        <v>2476</v>
      </c>
      <c r="E615" s="292" t="s">
        <v>1203</v>
      </c>
      <c r="F615" s="269" t="s">
        <v>1752</v>
      </c>
      <c r="G615" s="265">
        <v>1200000</v>
      </c>
      <c r="H615" s="269">
        <v>1</v>
      </c>
      <c r="J615" s="266">
        <v>120000</v>
      </c>
      <c r="K615" s="265">
        <v>1320000</v>
      </c>
      <c r="M615" s="269"/>
    </row>
    <row r="616" spans="1:13" x14ac:dyDescent="0.3">
      <c r="A616" s="271">
        <v>615</v>
      </c>
      <c r="B616" s="264">
        <v>45819</v>
      </c>
      <c r="C616" s="292" t="s">
        <v>1452</v>
      </c>
      <c r="E616" s="292" t="s">
        <v>1205</v>
      </c>
      <c r="F616" s="269" t="s">
        <v>1204</v>
      </c>
      <c r="G616" s="265">
        <v>1200000</v>
      </c>
      <c r="H616" s="269">
        <v>1</v>
      </c>
      <c r="J616" s="266">
        <v>120000</v>
      </c>
      <c r="K616" s="265">
        <v>1320000</v>
      </c>
      <c r="M616" s="269"/>
    </row>
    <row r="617" spans="1:13" x14ac:dyDescent="0.3">
      <c r="A617" s="271">
        <v>616</v>
      </c>
      <c r="B617" s="264">
        <v>45819</v>
      </c>
      <c r="C617" s="292" t="s">
        <v>1373</v>
      </c>
      <c r="E617" s="292" t="s">
        <v>1736</v>
      </c>
      <c r="F617" s="269">
        <v>2850701</v>
      </c>
      <c r="G617" s="265">
        <v>600000</v>
      </c>
      <c r="H617" s="269">
        <v>1</v>
      </c>
      <c r="K617" s="265">
        <v>600000</v>
      </c>
      <c r="M617" s="269"/>
    </row>
    <row r="618" spans="1:13" x14ac:dyDescent="0.3">
      <c r="A618" s="271">
        <v>617</v>
      </c>
      <c r="B618" s="264">
        <v>45819</v>
      </c>
      <c r="C618" s="292" t="s">
        <v>2467</v>
      </c>
      <c r="E618" s="292" t="s">
        <v>1717</v>
      </c>
      <c r="F618" s="269">
        <v>2800802</v>
      </c>
      <c r="G618" s="265">
        <v>200000</v>
      </c>
      <c r="H618" s="269">
        <v>1</v>
      </c>
      <c r="J618" s="266">
        <v>20000</v>
      </c>
      <c r="K618" s="265">
        <v>220000</v>
      </c>
      <c r="M618" s="269"/>
    </row>
    <row r="619" spans="1:13" x14ac:dyDescent="0.3">
      <c r="A619" s="271">
        <v>618</v>
      </c>
      <c r="B619" s="264">
        <v>45819</v>
      </c>
      <c r="C619" s="292" t="s">
        <v>1449</v>
      </c>
      <c r="E619" s="292" t="s">
        <v>1203</v>
      </c>
      <c r="F619" s="269" t="s">
        <v>1752</v>
      </c>
      <c r="G619" s="265">
        <v>1200000</v>
      </c>
      <c r="H619" s="269">
        <v>1</v>
      </c>
      <c r="K619" s="265">
        <v>1200000</v>
      </c>
      <c r="M619" s="269"/>
    </row>
    <row r="620" spans="1:13" x14ac:dyDescent="0.3">
      <c r="A620" s="271">
        <v>619</v>
      </c>
      <c r="B620" s="264">
        <v>45818</v>
      </c>
      <c r="C620" s="292" t="s">
        <v>2365</v>
      </c>
      <c r="E620" s="292" t="s">
        <v>1125</v>
      </c>
      <c r="L620" s="265">
        <v>-3000000</v>
      </c>
      <c r="M620" s="269"/>
    </row>
    <row r="621" spans="1:13" x14ac:dyDescent="0.3">
      <c r="A621" s="271">
        <v>620</v>
      </c>
      <c r="B621" s="264">
        <v>45819</v>
      </c>
      <c r="C621" s="292" t="s">
        <v>2467</v>
      </c>
      <c r="E621" s="292" t="s">
        <v>1125</v>
      </c>
      <c r="L621" s="265">
        <v>-220000</v>
      </c>
      <c r="M621" s="269"/>
    </row>
    <row r="622" spans="1:13" x14ac:dyDescent="0.3">
      <c r="A622" s="271">
        <v>621</v>
      </c>
      <c r="B622" s="264">
        <v>45818</v>
      </c>
      <c r="C622" s="292" t="s">
        <v>2319</v>
      </c>
      <c r="E622" s="292" t="s">
        <v>1125</v>
      </c>
      <c r="L622" s="265">
        <v>-100000</v>
      </c>
      <c r="M622" s="269"/>
    </row>
    <row r="623" spans="1:13" x14ac:dyDescent="0.3">
      <c r="A623" s="271">
        <v>622</v>
      </c>
      <c r="B623" s="264">
        <v>45820</v>
      </c>
      <c r="C623" s="292" t="s">
        <v>1449</v>
      </c>
      <c r="E623" s="292" t="s">
        <v>1125</v>
      </c>
      <c r="L623" s="265">
        <v>-1200000</v>
      </c>
      <c r="M623" s="269"/>
    </row>
    <row r="624" spans="1:13" x14ac:dyDescent="0.3">
      <c r="A624" s="271">
        <v>623</v>
      </c>
      <c r="B624" s="264">
        <v>45820</v>
      </c>
      <c r="C624" s="292" t="s">
        <v>1488</v>
      </c>
      <c r="E624" s="292" t="s">
        <v>2180</v>
      </c>
      <c r="F624" s="269" t="s">
        <v>1201</v>
      </c>
      <c r="G624" s="265">
        <v>1500000</v>
      </c>
      <c r="H624" s="269">
        <v>1</v>
      </c>
      <c r="K624" s="265">
        <v>1500000</v>
      </c>
      <c r="M624" s="269"/>
    </row>
    <row r="625" spans="1:13" x14ac:dyDescent="0.3">
      <c r="A625" s="271">
        <v>624</v>
      </c>
      <c r="B625" s="264">
        <v>45820</v>
      </c>
      <c r="C625" s="292" t="s">
        <v>1488</v>
      </c>
      <c r="E625" s="292" t="s">
        <v>2181</v>
      </c>
      <c r="F625" s="269" t="s">
        <v>1803</v>
      </c>
      <c r="G625" s="265">
        <v>50000</v>
      </c>
      <c r="H625" s="269">
        <v>1</v>
      </c>
      <c r="K625" s="265">
        <v>50000</v>
      </c>
      <c r="M625" s="269"/>
    </row>
    <row r="626" spans="1:13" x14ac:dyDescent="0.3">
      <c r="A626" s="271">
        <v>625</v>
      </c>
      <c r="B626" s="264">
        <v>45820</v>
      </c>
      <c r="C626" s="292" t="s">
        <v>1473</v>
      </c>
      <c r="E626" s="292" t="s">
        <v>2196</v>
      </c>
      <c r="G626" s="265">
        <v>1500000</v>
      </c>
      <c r="H626" s="269">
        <v>1</v>
      </c>
      <c r="K626" s="265">
        <v>1500000</v>
      </c>
      <c r="M626" s="269"/>
    </row>
    <row r="627" spans="1:13" x14ac:dyDescent="0.3">
      <c r="A627" s="271">
        <v>626</v>
      </c>
      <c r="B627" s="264">
        <v>45820</v>
      </c>
      <c r="C627" s="292" t="s">
        <v>1479</v>
      </c>
      <c r="E627" s="292" t="s">
        <v>1205</v>
      </c>
      <c r="F627" s="269" t="s">
        <v>1204</v>
      </c>
      <c r="G627" s="265">
        <v>1100000</v>
      </c>
      <c r="H627" s="269">
        <v>1</v>
      </c>
      <c r="K627" s="265">
        <v>1100000</v>
      </c>
      <c r="M627" s="269"/>
    </row>
    <row r="628" spans="1:13" x14ac:dyDescent="0.3">
      <c r="A628" s="271">
        <v>627</v>
      </c>
      <c r="B628" s="264">
        <v>45820</v>
      </c>
      <c r="C628" s="292" t="s">
        <v>2476</v>
      </c>
      <c r="E628" s="292" t="s">
        <v>1125</v>
      </c>
      <c r="L628" s="265">
        <v>-1320000</v>
      </c>
      <c r="M628" s="269"/>
    </row>
    <row r="629" spans="1:13" x14ac:dyDescent="0.3">
      <c r="A629" s="271">
        <v>628</v>
      </c>
      <c r="B629" s="264">
        <v>45821</v>
      </c>
      <c r="C629" s="292" t="s">
        <v>2148</v>
      </c>
      <c r="E629" s="292" t="s">
        <v>1125</v>
      </c>
      <c r="L629" s="265">
        <v>-900000</v>
      </c>
      <c r="M629" s="269"/>
    </row>
    <row r="630" spans="1:13" x14ac:dyDescent="0.3">
      <c r="A630" s="271">
        <v>629</v>
      </c>
      <c r="B630" s="264">
        <v>45821</v>
      </c>
      <c r="C630" s="292" t="s">
        <v>2486</v>
      </c>
      <c r="E630" s="292" t="s">
        <v>1717</v>
      </c>
      <c r="F630" s="269">
        <v>2800802</v>
      </c>
      <c r="G630" s="265">
        <v>150000</v>
      </c>
      <c r="H630" s="269">
        <v>1</v>
      </c>
      <c r="K630" s="265">
        <v>150000</v>
      </c>
      <c r="M630" s="269"/>
    </row>
    <row r="631" spans="1:13" x14ac:dyDescent="0.3">
      <c r="A631" s="271">
        <v>630</v>
      </c>
      <c r="B631" s="264">
        <v>45821</v>
      </c>
      <c r="C631" s="292" t="s">
        <v>1894</v>
      </c>
      <c r="E631" s="292" t="s">
        <v>1125</v>
      </c>
      <c r="L631" s="265">
        <v>-1200000</v>
      </c>
      <c r="M631" s="269"/>
    </row>
    <row r="632" spans="1:13" x14ac:dyDescent="0.3">
      <c r="A632" s="271">
        <v>631</v>
      </c>
      <c r="B632" s="264">
        <v>45728</v>
      </c>
      <c r="C632" s="292" t="s">
        <v>1082</v>
      </c>
      <c r="E632" s="292" t="s">
        <v>1125</v>
      </c>
      <c r="L632" s="265">
        <v>-1500000</v>
      </c>
      <c r="M632" s="269"/>
    </row>
    <row r="633" spans="1:13" x14ac:dyDescent="0.3">
      <c r="A633" s="271">
        <v>632</v>
      </c>
      <c r="B633" s="264">
        <v>45821</v>
      </c>
      <c r="C633" s="292" t="s">
        <v>1018</v>
      </c>
      <c r="E633" s="292" t="s">
        <v>2191</v>
      </c>
      <c r="F633" s="269" t="s">
        <v>1795</v>
      </c>
      <c r="G633" s="265">
        <v>35000</v>
      </c>
      <c r="H633" s="269">
        <v>1</v>
      </c>
      <c r="K633" s="265">
        <v>35000</v>
      </c>
      <c r="M633" s="269"/>
    </row>
    <row r="634" spans="1:13" x14ac:dyDescent="0.3">
      <c r="A634" s="271">
        <v>633</v>
      </c>
      <c r="B634" s="264">
        <v>45821</v>
      </c>
      <c r="C634" s="292" t="s">
        <v>1018</v>
      </c>
      <c r="E634" s="292" t="s">
        <v>2192</v>
      </c>
      <c r="F634" s="269" t="s">
        <v>1822</v>
      </c>
      <c r="G634" s="265">
        <v>10000</v>
      </c>
      <c r="H634" s="269">
        <v>1</v>
      </c>
      <c r="K634" s="265">
        <v>10000</v>
      </c>
      <c r="M634" s="269"/>
    </row>
    <row r="635" spans="1:13" x14ac:dyDescent="0.3">
      <c r="A635" s="271">
        <v>634</v>
      </c>
      <c r="B635" s="264">
        <v>45821</v>
      </c>
      <c r="C635" s="292" t="s">
        <v>1809</v>
      </c>
      <c r="E635" s="292" t="s">
        <v>2178</v>
      </c>
      <c r="F635" s="269" t="s">
        <v>1464</v>
      </c>
      <c r="G635" s="265">
        <v>1500000</v>
      </c>
      <c r="H635" s="269">
        <v>1</v>
      </c>
      <c r="K635" s="265">
        <v>1500000</v>
      </c>
      <c r="M635" s="269"/>
    </row>
    <row r="636" spans="1:13" x14ac:dyDescent="0.3">
      <c r="A636" s="271">
        <v>635</v>
      </c>
      <c r="B636" s="264">
        <v>45821</v>
      </c>
      <c r="C636" s="292" t="s">
        <v>1980</v>
      </c>
      <c r="E636" s="292" t="s">
        <v>2186</v>
      </c>
      <c r="F636" s="269" t="s">
        <v>1200</v>
      </c>
      <c r="G636" s="265">
        <v>1400000</v>
      </c>
      <c r="H636" s="269">
        <v>1</v>
      </c>
      <c r="K636" s="265">
        <v>1400000</v>
      </c>
      <c r="M636" s="269"/>
    </row>
    <row r="637" spans="1:13" x14ac:dyDescent="0.3">
      <c r="A637" s="271">
        <v>636</v>
      </c>
      <c r="B637" s="264">
        <v>45821</v>
      </c>
      <c r="C637" s="292" t="s">
        <v>2496</v>
      </c>
      <c r="E637" s="292" t="s">
        <v>2180</v>
      </c>
      <c r="F637" s="269" t="s">
        <v>1201</v>
      </c>
      <c r="G637" s="265">
        <v>1500000</v>
      </c>
      <c r="H637" s="269">
        <v>1</v>
      </c>
      <c r="K637" s="265">
        <v>1500000</v>
      </c>
      <c r="M637" s="269"/>
    </row>
    <row r="638" spans="1:13" x14ac:dyDescent="0.3">
      <c r="A638" s="271">
        <v>637</v>
      </c>
      <c r="B638" s="264">
        <v>45821</v>
      </c>
      <c r="C638" s="292" t="s">
        <v>2496</v>
      </c>
      <c r="E638" s="292" t="s">
        <v>2181</v>
      </c>
      <c r="F638" s="269" t="s">
        <v>1803</v>
      </c>
      <c r="G638" s="265">
        <v>50000</v>
      </c>
      <c r="H638" s="269">
        <v>1</v>
      </c>
      <c r="K638" s="265">
        <v>50000</v>
      </c>
      <c r="M638" s="269"/>
    </row>
    <row r="639" spans="1:13" x14ac:dyDescent="0.3">
      <c r="A639" s="271">
        <v>638</v>
      </c>
      <c r="B639" s="264">
        <v>45821</v>
      </c>
      <c r="C639" s="292" t="s">
        <v>1330</v>
      </c>
      <c r="E639" s="292" t="s">
        <v>2688</v>
      </c>
      <c r="G639" s="265">
        <v>480000</v>
      </c>
      <c r="H639" s="269">
        <v>1</v>
      </c>
      <c r="K639" s="265">
        <v>480000</v>
      </c>
      <c r="M639" s="269"/>
    </row>
    <row r="640" spans="1:13" x14ac:dyDescent="0.3">
      <c r="A640" s="271">
        <v>639</v>
      </c>
      <c r="B640" s="264">
        <v>45821</v>
      </c>
      <c r="C640" s="292" t="s">
        <v>1469</v>
      </c>
      <c r="E640" s="292" t="s">
        <v>2500</v>
      </c>
      <c r="G640" s="265">
        <v>150000</v>
      </c>
      <c r="H640" s="269">
        <v>1</v>
      </c>
      <c r="K640" s="265">
        <v>150000</v>
      </c>
      <c r="M640" s="269"/>
    </row>
    <row r="641" spans="1:13" x14ac:dyDescent="0.3">
      <c r="A641" s="271">
        <v>640</v>
      </c>
      <c r="B641" s="264">
        <v>45821</v>
      </c>
      <c r="C641" s="292" t="s">
        <v>1494</v>
      </c>
      <c r="E641" s="292" t="s">
        <v>2299</v>
      </c>
      <c r="G641" s="265">
        <v>650000</v>
      </c>
      <c r="H641" s="269">
        <v>1</v>
      </c>
      <c r="K641" s="265">
        <v>650000</v>
      </c>
      <c r="M641" s="269"/>
    </row>
    <row r="642" spans="1:13" x14ac:dyDescent="0.3">
      <c r="A642" s="271">
        <v>641</v>
      </c>
      <c r="B642" s="264">
        <v>45821</v>
      </c>
      <c r="C642" s="292" t="s">
        <v>1494</v>
      </c>
      <c r="E642" s="292" t="s">
        <v>1496</v>
      </c>
      <c r="G642" s="265">
        <v>350000</v>
      </c>
      <c r="H642" s="269">
        <v>1</v>
      </c>
      <c r="K642" s="265">
        <v>350000</v>
      </c>
      <c r="M642" s="269"/>
    </row>
    <row r="643" spans="1:13" x14ac:dyDescent="0.3">
      <c r="A643" s="271">
        <v>642</v>
      </c>
      <c r="B643" s="264">
        <v>45821</v>
      </c>
      <c r="C643" s="292" t="s">
        <v>2496</v>
      </c>
      <c r="E643" s="292" t="s">
        <v>1125</v>
      </c>
      <c r="L643" s="265">
        <v>-1550000</v>
      </c>
      <c r="M643" s="269"/>
    </row>
    <row r="644" spans="1:13" x14ac:dyDescent="0.3">
      <c r="A644" s="271">
        <v>643</v>
      </c>
      <c r="B644" s="264">
        <v>45821</v>
      </c>
      <c r="C644" s="292" t="s">
        <v>1980</v>
      </c>
      <c r="E644" s="292" t="s">
        <v>1125</v>
      </c>
      <c r="L644" s="265">
        <v>-1400000</v>
      </c>
      <c r="M644" s="269"/>
    </row>
    <row r="645" spans="1:13" x14ac:dyDescent="0.3">
      <c r="A645" s="271">
        <v>644</v>
      </c>
      <c r="B645" s="264">
        <v>45822</v>
      </c>
      <c r="C645" s="292" t="s">
        <v>1399</v>
      </c>
      <c r="E645" s="292" t="s">
        <v>1743</v>
      </c>
      <c r="G645" s="265">
        <v>650000</v>
      </c>
      <c r="H645" s="269">
        <v>1</v>
      </c>
      <c r="K645" s="265">
        <v>650000</v>
      </c>
      <c r="M645" s="269"/>
    </row>
    <row r="646" spans="1:13" x14ac:dyDescent="0.3">
      <c r="A646" s="271">
        <v>645</v>
      </c>
      <c r="B646" s="264">
        <v>45822</v>
      </c>
      <c r="C646" s="292" t="s">
        <v>2486</v>
      </c>
      <c r="E646" s="292" t="s">
        <v>1125</v>
      </c>
      <c r="L646" s="265">
        <v>-150000</v>
      </c>
      <c r="M646" s="269"/>
    </row>
    <row r="647" spans="1:13" x14ac:dyDescent="0.3">
      <c r="A647" s="271">
        <v>646</v>
      </c>
      <c r="B647" s="264">
        <v>45822</v>
      </c>
      <c r="C647" s="292" t="s">
        <v>1541</v>
      </c>
      <c r="E647" s="292" t="s">
        <v>1743</v>
      </c>
      <c r="G647" s="265">
        <v>1100000</v>
      </c>
      <c r="H647" s="269">
        <v>1</v>
      </c>
      <c r="K647" s="265">
        <v>1100000</v>
      </c>
      <c r="M647" s="269"/>
    </row>
    <row r="648" spans="1:13" x14ac:dyDescent="0.3">
      <c r="A648" s="271">
        <v>647</v>
      </c>
      <c r="B648" s="264">
        <v>45824</v>
      </c>
      <c r="C648" s="292" t="s">
        <v>1046</v>
      </c>
      <c r="E648" s="292" t="s">
        <v>1125</v>
      </c>
      <c r="L648" s="265">
        <v>-1550000</v>
      </c>
      <c r="M648" s="269"/>
    </row>
    <row r="649" spans="1:13" x14ac:dyDescent="0.3">
      <c r="A649" s="271">
        <v>648</v>
      </c>
      <c r="B649" s="264">
        <v>45824</v>
      </c>
      <c r="C649" s="292" t="s">
        <v>1454</v>
      </c>
      <c r="E649" s="292" t="s">
        <v>2127</v>
      </c>
      <c r="G649" s="265">
        <v>250000</v>
      </c>
      <c r="H649" s="269">
        <v>1</v>
      </c>
      <c r="K649" s="265">
        <v>250000</v>
      </c>
      <c r="M649" s="269"/>
    </row>
    <row r="650" spans="1:13" x14ac:dyDescent="0.3">
      <c r="A650" s="271">
        <v>649</v>
      </c>
      <c r="B650" s="264">
        <v>45824</v>
      </c>
      <c r="C650" s="292" t="s">
        <v>1494</v>
      </c>
      <c r="E650" s="292" t="s">
        <v>1125</v>
      </c>
      <c r="L650" s="265">
        <v>-1000000</v>
      </c>
      <c r="M650" s="269"/>
    </row>
    <row r="651" spans="1:13" x14ac:dyDescent="0.3">
      <c r="A651" s="271">
        <v>650</v>
      </c>
      <c r="B651" s="264">
        <v>45824</v>
      </c>
      <c r="C651" s="292" t="s">
        <v>1018</v>
      </c>
      <c r="E651" s="292" t="s">
        <v>1561</v>
      </c>
      <c r="F651" s="269" t="s">
        <v>1768</v>
      </c>
      <c r="G651" s="265">
        <v>1400000</v>
      </c>
      <c r="H651" s="269">
        <v>1</v>
      </c>
      <c r="K651" s="265">
        <v>1400000</v>
      </c>
      <c r="M651" s="269"/>
    </row>
    <row r="652" spans="1:13" x14ac:dyDescent="0.3">
      <c r="A652" s="271">
        <v>651</v>
      </c>
      <c r="B652" s="264">
        <v>45824</v>
      </c>
      <c r="C652" s="292" t="s">
        <v>1018</v>
      </c>
      <c r="E652" s="292" t="s">
        <v>2511</v>
      </c>
      <c r="F652" s="269">
        <v>2463772400</v>
      </c>
      <c r="G652" s="265">
        <v>67500</v>
      </c>
      <c r="H652" s="269">
        <v>1</v>
      </c>
      <c r="K652" s="265">
        <v>67500</v>
      </c>
      <c r="M652" s="269"/>
    </row>
    <row r="653" spans="1:13" x14ac:dyDescent="0.3">
      <c r="A653" s="271">
        <v>652</v>
      </c>
      <c r="B653" s="264">
        <v>45824</v>
      </c>
      <c r="C653" s="292" t="s">
        <v>2700</v>
      </c>
      <c r="E653" s="292" t="s">
        <v>2701</v>
      </c>
      <c r="F653" s="270">
        <v>2462500901</v>
      </c>
      <c r="G653" s="265">
        <v>1170000</v>
      </c>
      <c r="H653" s="269">
        <v>1</v>
      </c>
      <c r="K653" s="265">
        <v>1170000</v>
      </c>
      <c r="M653" s="269"/>
    </row>
    <row r="654" spans="1:13" x14ac:dyDescent="0.3">
      <c r="A654" s="271">
        <v>653</v>
      </c>
      <c r="B654" s="264">
        <v>45824</v>
      </c>
      <c r="C654" s="292" t="s">
        <v>1018</v>
      </c>
      <c r="E654" s="292" t="s">
        <v>1737</v>
      </c>
      <c r="F654" s="269">
        <v>2810701</v>
      </c>
      <c r="G654" s="265">
        <v>450000</v>
      </c>
      <c r="H654" s="269">
        <v>1</v>
      </c>
      <c r="K654" s="265">
        <v>450000</v>
      </c>
      <c r="M654" s="269"/>
    </row>
    <row r="655" spans="1:13" x14ac:dyDescent="0.3">
      <c r="A655" s="271">
        <v>654</v>
      </c>
      <c r="B655" s="264">
        <v>45824</v>
      </c>
      <c r="C655" s="292" t="s">
        <v>1399</v>
      </c>
      <c r="E655" s="292" t="s">
        <v>1743</v>
      </c>
      <c r="G655" s="265">
        <v>650000</v>
      </c>
      <c r="H655" s="269">
        <v>1</v>
      </c>
      <c r="K655" s="265">
        <v>650000</v>
      </c>
      <c r="M655" s="269"/>
    </row>
    <row r="656" spans="1:13" x14ac:dyDescent="0.3">
      <c r="A656" s="271">
        <v>655</v>
      </c>
      <c r="B656" s="264">
        <v>45824</v>
      </c>
      <c r="C656" s="292" t="s">
        <v>1469</v>
      </c>
      <c r="E656" s="292" t="s">
        <v>1125</v>
      </c>
      <c r="L656" s="265">
        <v>-650000</v>
      </c>
      <c r="M656" s="269"/>
    </row>
    <row r="657" spans="1:13" x14ac:dyDescent="0.3">
      <c r="A657" s="271">
        <v>656</v>
      </c>
      <c r="B657" s="264">
        <v>45824</v>
      </c>
      <c r="C657" s="292" t="s">
        <v>1479</v>
      </c>
      <c r="E657" s="292" t="s">
        <v>1125</v>
      </c>
      <c r="L657" s="265">
        <v>-2000000</v>
      </c>
      <c r="M657" s="269"/>
    </row>
    <row r="658" spans="1:13" x14ac:dyDescent="0.3">
      <c r="A658" s="271">
        <v>657</v>
      </c>
      <c r="B658" s="264">
        <v>45825</v>
      </c>
      <c r="C658" s="292" t="s">
        <v>1378</v>
      </c>
      <c r="E658" s="292" t="s">
        <v>1203</v>
      </c>
      <c r="F658" s="269" t="s">
        <v>1752</v>
      </c>
      <c r="G658" s="265">
        <v>1300000</v>
      </c>
      <c r="H658" s="269">
        <v>1</v>
      </c>
      <c r="K658" s="265">
        <v>1300000</v>
      </c>
      <c r="M658" s="269"/>
    </row>
    <row r="659" spans="1:13" x14ac:dyDescent="0.3">
      <c r="A659" s="271">
        <v>658</v>
      </c>
      <c r="B659" s="264">
        <v>45825</v>
      </c>
      <c r="C659" s="292" t="s">
        <v>1378</v>
      </c>
      <c r="E659" s="292" t="s">
        <v>1496</v>
      </c>
      <c r="G659" s="265">
        <v>350000</v>
      </c>
      <c r="H659" s="269">
        <v>1</v>
      </c>
      <c r="K659" s="265">
        <v>350000</v>
      </c>
      <c r="M659" s="269"/>
    </row>
    <row r="660" spans="1:13" x14ac:dyDescent="0.3">
      <c r="A660" s="271">
        <v>659</v>
      </c>
      <c r="B660" s="264">
        <v>45825</v>
      </c>
      <c r="C660" s="292" t="s">
        <v>1378</v>
      </c>
      <c r="E660" s="292" t="s">
        <v>1519</v>
      </c>
      <c r="G660" s="265">
        <v>20000</v>
      </c>
      <c r="H660" s="269">
        <v>1</v>
      </c>
      <c r="K660" s="265">
        <v>20000</v>
      </c>
      <c r="M660" s="269"/>
    </row>
    <row r="661" spans="1:13" x14ac:dyDescent="0.3">
      <c r="A661" s="271">
        <v>660</v>
      </c>
      <c r="B661" s="264">
        <v>45825</v>
      </c>
      <c r="C661" s="292" t="s">
        <v>1378</v>
      </c>
      <c r="E661" s="292" t="s">
        <v>1125</v>
      </c>
      <c r="L661" s="265">
        <v>-1670000</v>
      </c>
      <c r="M661" s="269"/>
    </row>
    <row r="662" spans="1:13" x14ac:dyDescent="0.3">
      <c r="A662" s="271">
        <v>661</v>
      </c>
      <c r="B662" s="264">
        <v>45825</v>
      </c>
      <c r="C662" s="292" t="s">
        <v>1541</v>
      </c>
      <c r="E662" s="292" t="s">
        <v>2555</v>
      </c>
      <c r="G662" s="265">
        <v>2500000</v>
      </c>
      <c r="H662" s="269">
        <v>1</v>
      </c>
      <c r="K662" s="265">
        <v>2500000</v>
      </c>
      <c r="M662" s="269"/>
    </row>
    <row r="663" spans="1:13" x14ac:dyDescent="0.3">
      <c r="A663" s="271">
        <v>662</v>
      </c>
      <c r="B663" s="264">
        <v>45825</v>
      </c>
      <c r="C663" s="292" t="s">
        <v>1541</v>
      </c>
      <c r="E663" s="292" t="s">
        <v>2557</v>
      </c>
      <c r="L663" s="265">
        <v>-2500000</v>
      </c>
      <c r="M663" s="269"/>
    </row>
    <row r="664" spans="1:13" x14ac:dyDescent="0.3">
      <c r="A664" s="271">
        <v>663</v>
      </c>
      <c r="B664" s="264">
        <v>45825</v>
      </c>
      <c r="C664" s="292" t="s">
        <v>1399</v>
      </c>
      <c r="E664" s="292" t="s">
        <v>1743</v>
      </c>
      <c r="G664" s="265">
        <v>650000</v>
      </c>
      <c r="H664" s="269">
        <v>1</v>
      </c>
      <c r="K664" s="265">
        <v>650000</v>
      </c>
      <c r="M664" s="269"/>
    </row>
    <row r="665" spans="1:13" x14ac:dyDescent="0.3">
      <c r="A665" s="271">
        <v>664</v>
      </c>
      <c r="B665" s="264">
        <v>45825</v>
      </c>
      <c r="C665" s="292" t="s">
        <v>2558</v>
      </c>
      <c r="E665" s="292" t="s">
        <v>2178</v>
      </c>
      <c r="F665" s="269" t="s">
        <v>1464</v>
      </c>
      <c r="G665" s="265">
        <v>1500000</v>
      </c>
      <c r="H665" s="269">
        <v>1</v>
      </c>
      <c r="K665" s="265">
        <v>1500000</v>
      </c>
      <c r="M665" s="269"/>
    </row>
    <row r="666" spans="1:13" x14ac:dyDescent="0.3">
      <c r="A666" s="271">
        <v>665</v>
      </c>
      <c r="B666" s="264">
        <v>45825</v>
      </c>
      <c r="C666" s="292" t="s">
        <v>2558</v>
      </c>
      <c r="E666" s="292" t="s">
        <v>1125</v>
      </c>
      <c r="L666" s="265">
        <v>-1500000</v>
      </c>
      <c r="M666" s="269"/>
    </row>
    <row r="667" spans="1:13" x14ac:dyDescent="0.3">
      <c r="A667" s="271">
        <v>666</v>
      </c>
      <c r="B667" s="264">
        <v>45826</v>
      </c>
      <c r="C667" s="292" t="s">
        <v>1452</v>
      </c>
      <c r="E667" s="292" t="s">
        <v>1125</v>
      </c>
      <c r="L667" s="265">
        <v>-1320000</v>
      </c>
      <c r="M667" s="269"/>
    </row>
    <row r="668" spans="1:13" x14ac:dyDescent="0.3">
      <c r="A668" s="271">
        <v>667</v>
      </c>
      <c r="B668" s="264">
        <v>45826</v>
      </c>
      <c r="C668" s="292" t="s">
        <v>2700</v>
      </c>
      <c r="E668" s="292" t="s">
        <v>1827</v>
      </c>
      <c r="G668" s="265">
        <v>1350000</v>
      </c>
      <c r="H668" s="269">
        <v>1</v>
      </c>
      <c r="K668" s="265">
        <v>1350000</v>
      </c>
      <c r="M668" s="269"/>
    </row>
    <row r="669" spans="1:13" x14ac:dyDescent="0.3">
      <c r="A669" s="271">
        <v>668</v>
      </c>
      <c r="B669" s="264">
        <v>45826</v>
      </c>
      <c r="C669" s="292" t="s">
        <v>1399</v>
      </c>
      <c r="E669" s="292" t="s">
        <v>2566</v>
      </c>
      <c r="F669" s="269" t="s">
        <v>2565</v>
      </c>
      <c r="G669" s="265">
        <v>1000000</v>
      </c>
      <c r="H669" s="269">
        <v>1</v>
      </c>
      <c r="K669" s="265">
        <v>1000000</v>
      </c>
      <c r="M669" s="269"/>
    </row>
    <row r="670" spans="1:13" x14ac:dyDescent="0.3">
      <c r="A670" s="271">
        <v>669</v>
      </c>
      <c r="B670" s="264">
        <v>45826</v>
      </c>
      <c r="C670" s="292" t="s">
        <v>1305</v>
      </c>
      <c r="E670" s="292" t="s">
        <v>2238</v>
      </c>
      <c r="F670" s="270">
        <v>1087298388</v>
      </c>
      <c r="G670" s="265">
        <v>550000</v>
      </c>
      <c r="H670" s="269">
        <v>2</v>
      </c>
      <c r="J670" s="266">
        <v>110000</v>
      </c>
      <c r="K670" s="265" t="s">
        <v>2778</v>
      </c>
      <c r="M670" s="269"/>
    </row>
    <row r="671" spans="1:13" x14ac:dyDescent="0.3">
      <c r="A671" s="271">
        <v>670</v>
      </c>
      <c r="B671" s="264">
        <v>45826</v>
      </c>
      <c r="C671" s="292" t="s">
        <v>1977</v>
      </c>
      <c r="E671" s="292" t="s">
        <v>2197</v>
      </c>
      <c r="F671" s="269" t="s">
        <v>1198</v>
      </c>
      <c r="G671" s="265">
        <v>1000000</v>
      </c>
      <c r="H671" s="269">
        <v>1</v>
      </c>
      <c r="K671" s="265">
        <v>1000000</v>
      </c>
      <c r="M671" s="269"/>
    </row>
    <row r="672" spans="1:13" x14ac:dyDescent="0.3">
      <c r="A672" s="271">
        <v>671</v>
      </c>
      <c r="B672" s="264">
        <v>45826</v>
      </c>
      <c r="C672" s="292" t="s">
        <v>1977</v>
      </c>
      <c r="E672" s="292" t="s">
        <v>1519</v>
      </c>
      <c r="G672" s="265">
        <v>20000</v>
      </c>
      <c r="H672" s="269">
        <v>1</v>
      </c>
      <c r="K672" s="265">
        <v>20000</v>
      </c>
      <c r="M672" s="269"/>
    </row>
    <row r="673" spans="1:13" x14ac:dyDescent="0.3">
      <c r="A673" s="271">
        <v>672</v>
      </c>
      <c r="B673" s="264">
        <v>45826</v>
      </c>
      <c r="C673" s="292" t="s">
        <v>1977</v>
      </c>
      <c r="E673" s="292" t="s">
        <v>2197</v>
      </c>
      <c r="F673" s="269" t="s">
        <v>1198</v>
      </c>
      <c r="G673" s="265">
        <v>1000000</v>
      </c>
      <c r="H673" s="269">
        <v>1</v>
      </c>
      <c r="K673" s="265">
        <v>1000000</v>
      </c>
      <c r="M673" s="269"/>
    </row>
    <row r="674" spans="1:13" x14ac:dyDescent="0.3">
      <c r="A674" s="271">
        <v>673</v>
      </c>
      <c r="B674" s="264">
        <v>45826</v>
      </c>
      <c r="C674" s="292" t="s">
        <v>2292</v>
      </c>
      <c r="E674" s="292" t="s">
        <v>2037</v>
      </c>
      <c r="G674" s="265">
        <v>1000000</v>
      </c>
      <c r="H674" s="269">
        <v>1</v>
      </c>
      <c r="J674" s="266">
        <v>100000</v>
      </c>
      <c r="K674" s="265">
        <v>1100000</v>
      </c>
      <c r="M674" s="269"/>
    </row>
    <row r="675" spans="1:13" x14ac:dyDescent="0.3">
      <c r="A675" s="271">
        <v>674</v>
      </c>
      <c r="B675" s="264">
        <v>45826</v>
      </c>
      <c r="C675" s="292" t="s">
        <v>2292</v>
      </c>
      <c r="E675" s="292" t="s">
        <v>1125</v>
      </c>
      <c r="L675" s="265">
        <v>-1100000</v>
      </c>
      <c r="M675" s="269"/>
    </row>
    <row r="676" spans="1:13" x14ac:dyDescent="0.3">
      <c r="A676" s="271">
        <v>675</v>
      </c>
      <c r="B676" s="264">
        <v>45826</v>
      </c>
      <c r="C676" s="292" t="s">
        <v>1454</v>
      </c>
      <c r="E676" s="292" t="s">
        <v>1125</v>
      </c>
      <c r="L676" s="265">
        <v>-250000</v>
      </c>
      <c r="M676" s="269"/>
    </row>
    <row r="677" spans="1:13" x14ac:dyDescent="0.3">
      <c r="A677" s="271">
        <v>676</v>
      </c>
      <c r="B677" s="264">
        <v>45826</v>
      </c>
      <c r="C677" s="292" t="s">
        <v>1977</v>
      </c>
      <c r="E677" s="292" t="s">
        <v>1125</v>
      </c>
      <c r="L677" s="265">
        <v>-2020000</v>
      </c>
      <c r="M677" s="269"/>
    </row>
    <row r="678" spans="1:13" x14ac:dyDescent="0.3">
      <c r="A678" s="271">
        <v>677</v>
      </c>
      <c r="B678" s="264">
        <v>45826</v>
      </c>
      <c r="C678" s="292" t="s">
        <v>1722</v>
      </c>
      <c r="E678" s="292" t="s">
        <v>2330</v>
      </c>
      <c r="F678" s="269">
        <v>28120411</v>
      </c>
      <c r="G678" s="265">
        <v>1350000</v>
      </c>
      <c r="H678" s="269">
        <v>1</v>
      </c>
      <c r="K678" s="265">
        <v>1350000</v>
      </c>
      <c r="M678" s="269"/>
    </row>
    <row r="679" spans="1:13" x14ac:dyDescent="0.3">
      <c r="A679" s="271">
        <v>678</v>
      </c>
      <c r="B679" s="264">
        <v>45826</v>
      </c>
      <c r="C679" s="292" t="s">
        <v>1399</v>
      </c>
      <c r="E679" s="292" t="s">
        <v>1203</v>
      </c>
      <c r="F679" s="269" t="s">
        <v>1752</v>
      </c>
      <c r="G679" s="265">
        <v>1200000</v>
      </c>
      <c r="H679" s="269">
        <v>1</v>
      </c>
      <c r="K679" s="265">
        <v>1200000</v>
      </c>
      <c r="M679" s="269"/>
    </row>
    <row r="680" spans="1:13" x14ac:dyDescent="0.3">
      <c r="A680" s="271">
        <v>679</v>
      </c>
      <c r="B680" s="264">
        <v>45826</v>
      </c>
      <c r="C680" s="292" t="s">
        <v>1399</v>
      </c>
      <c r="E680" s="292" t="s">
        <v>1850</v>
      </c>
      <c r="F680" s="269" t="s">
        <v>1849</v>
      </c>
      <c r="G680" s="265">
        <v>190000</v>
      </c>
      <c r="H680" s="269">
        <v>1</v>
      </c>
      <c r="K680" s="265">
        <v>190000</v>
      </c>
      <c r="M680" s="269"/>
    </row>
    <row r="681" spans="1:13" x14ac:dyDescent="0.3">
      <c r="A681" s="271">
        <v>680</v>
      </c>
      <c r="B681" s="264">
        <v>45827</v>
      </c>
      <c r="C681" s="292" t="s">
        <v>1977</v>
      </c>
      <c r="E681" s="292" t="s">
        <v>2577</v>
      </c>
      <c r="G681" s="265">
        <v>1500000</v>
      </c>
      <c r="H681" s="269">
        <v>1</v>
      </c>
      <c r="J681" s="266">
        <v>150000</v>
      </c>
      <c r="K681" s="265">
        <v>1650000</v>
      </c>
      <c r="M681" s="269"/>
    </row>
    <row r="682" spans="1:13" x14ac:dyDescent="0.3">
      <c r="A682" s="271">
        <v>681</v>
      </c>
      <c r="B682" s="264">
        <v>45827</v>
      </c>
      <c r="C682" s="292" t="s">
        <v>1449</v>
      </c>
      <c r="E682" s="292" t="s">
        <v>1203</v>
      </c>
      <c r="F682" s="269" t="s">
        <v>1752</v>
      </c>
      <c r="G682" s="265">
        <v>1200000</v>
      </c>
      <c r="H682" s="269">
        <v>1</v>
      </c>
      <c r="K682" s="265">
        <v>1200000</v>
      </c>
      <c r="M682" s="269"/>
    </row>
    <row r="683" spans="1:13" x14ac:dyDescent="0.3">
      <c r="A683" s="271">
        <v>682</v>
      </c>
      <c r="B683" s="264">
        <v>45827</v>
      </c>
      <c r="C683" s="292" t="s">
        <v>2558</v>
      </c>
      <c r="E683" s="292" t="s">
        <v>1203</v>
      </c>
      <c r="F683" s="269" t="s">
        <v>1752</v>
      </c>
      <c r="G683" s="265">
        <v>1200000</v>
      </c>
      <c r="H683" s="269">
        <v>1</v>
      </c>
      <c r="J683" s="266">
        <v>120000</v>
      </c>
      <c r="K683" s="265">
        <v>1320000</v>
      </c>
      <c r="M683" s="269"/>
    </row>
    <row r="684" spans="1:13" x14ac:dyDescent="0.3">
      <c r="A684" s="271">
        <v>683</v>
      </c>
      <c r="B684" s="264">
        <v>45827</v>
      </c>
      <c r="C684" s="292" t="s">
        <v>2558</v>
      </c>
      <c r="E684" s="292" t="s">
        <v>1125</v>
      </c>
      <c r="L684" s="265">
        <v>-1320000</v>
      </c>
      <c r="M684" s="269"/>
    </row>
    <row r="685" spans="1:13" x14ac:dyDescent="0.3">
      <c r="A685" s="271">
        <v>684</v>
      </c>
      <c r="B685" s="264">
        <v>45827</v>
      </c>
      <c r="C685" s="292" t="s">
        <v>1399</v>
      </c>
      <c r="E685" s="292" t="s">
        <v>2180</v>
      </c>
      <c r="F685" s="269" t="s">
        <v>1201</v>
      </c>
      <c r="G685" s="265">
        <v>1500000</v>
      </c>
      <c r="H685" s="269">
        <v>1</v>
      </c>
      <c r="K685" s="265">
        <v>1500000</v>
      </c>
      <c r="M685" s="269"/>
    </row>
    <row r="686" spans="1:13" x14ac:dyDescent="0.3">
      <c r="A686" s="271">
        <v>685</v>
      </c>
      <c r="B686" s="264">
        <v>45827</v>
      </c>
      <c r="C686" s="292" t="s">
        <v>1399</v>
      </c>
      <c r="E686" s="292" t="s">
        <v>2181</v>
      </c>
      <c r="F686" s="269" t="s">
        <v>1803</v>
      </c>
      <c r="G686" s="265">
        <v>50000</v>
      </c>
      <c r="H686" s="269">
        <v>1</v>
      </c>
      <c r="K686" s="265">
        <v>50000</v>
      </c>
      <c r="M686" s="269"/>
    </row>
    <row r="687" spans="1:13" x14ac:dyDescent="0.3">
      <c r="A687" s="271">
        <v>686</v>
      </c>
      <c r="B687" s="264">
        <v>45827</v>
      </c>
      <c r="C687" s="292" t="s">
        <v>1444</v>
      </c>
      <c r="E687" s="292" t="s">
        <v>2178</v>
      </c>
      <c r="F687" s="269" t="s">
        <v>1464</v>
      </c>
      <c r="G687" s="265">
        <v>1500000</v>
      </c>
      <c r="H687" s="269">
        <v>1</v>
      </c>
      <c r="K687" s="265">
        <v>1500000</v>
      </c>
      <c r="M687" s="269"/>
    </row>
    <row r="688" spans="1:13" x14ac:dyDescent="0.3">
      <c r="A688" s="271">
        <v>687</v>
      </c>
      <c r="B688" s="264">
        <v>45827</v>
      </c>
      <c r="C688" s="292" t="s">
        <v>1336</v>
      </c>
      <c r="E688" s="292" t="s">
        <v>2657</v>
      </c>
      <c r="G688" s="265">
        <v>650000</v>
      </c>
      <c r="H688" s="269">
        <v>1</v>
      </c>
      <c r="K688" s="265">
        <v>650000</v>
      </c>
      <c r="M688" s="269"/>
    </row>
    <row r="689" spans="1:13" x14ac:dyDescent="0.3">
      <c r="A689" s="271">
        <v>688</v>
      </c>
      <c r="B689" s="264">
        <v>45827</v>
      </c>
      <c r="C689" s="292" t="s">
        <v>2410</v>
      </c>
      <c r="E689" s="292" t="s">
        <v>2027</v>
      </c>
      <c r="F689" s="269" t="s">
        <v>1216</v>
      </c>
      <c r="G689" s="265">
        <v>1500000</v>
      </c>
      <c r="H689" s="269">
        <v>1</v>
      </c>
      <c r="J689" s="266">
        <v>150000</v>
      </c>
      <c r="K689" s="265">
        <v>1650000</v>
      </c>
      <c r="M689" s="269"/>
    </row>
    <row r="690" spans="1:13" x14ac:dyDescent="0.3">
      <c r="A690" s="271">
        <v>689</v>
      </c>
      <c r="B690" s="264">
        <v>45827</v>
      </c>
      <c r="C690" s="292" t="s">
        <v>1577</v>
      </c>
      <c r="E690" s="292" t="s">
        <v>2587</v>
      </c>
      <c r="G690" s="265">
        <v>500000</v>
      </c>
      <c r="H690" s="269">
        <v>1</v>
      </c>
      <c r="J690" s="266">
        <v>50000</v>
      </c>
      <c r="K690" s="265">
        <v>550000</v>
      </c>
      <c r="M690" s="269"/>
    </row>
    <row r="691" spans="1:13" x14ac:dyDescent="0.3">
      <c r="A691" s="271">
        <v>690</v>
      </c>
      <c r="B691" s="264">
        <v>45827</v>
      </c>
      <c r="C691" s="292" t="s">
        <v>1577</v>
      </c>
      <c r="E691" s="292" t="s">
        <v>1759</v>
      </c>
      <c r="F691" s="269">
        <v>6172091600</v>
      </c>
      <c r="G691" s="265">
        <v>250000</v>
      </c>
      <c r="H691" s="269">
        <v>1</v>
      </c>
      <c r="J691" s="266">
        <v>25000</v>
      </c>
      <c r="K691" s="265">
        <v>275000</v>
      </c>
      <c r="M691" s="269"/>
    </row>
    <row r="692" spans="1:13" x14ac:dyDescent="0.3">
      <c r="A692" s="271">
        <v>691</v>
      </c>
      <c r="B692" s="264">
        <v>45827</v>
      </c>
      <c r="C692" s="292" t="s">
        <v>1577</v>
      </c>
      <c r="E692" s="292" t="s">
        <v>2112</v>
      </c>
      <c r="F692" s="269" t="s">
        <v>2582</v>
      </c>
      <c r="G692" s="265">
        <v>59091</v>
      </c>
      <c r="H692" s="269">
        <v>1</v>
      </c>
      <c r="J692" s="266">
        <v>5909</v>
      </c>
      <c r="K692" s="265">
        <v>65000</v>
      </c>
      <c r="M692" s="269"/>
    </row>
    <row r="693" spans="1:13" x14ac:dyDescent="0.3">
      <c r="A693" s="271">
        <v>692</v>
      </c>
      <c r="B693" s="264">
        <v>45827</v>
      </c>
      <c r="C693" s="292" t="s">
        <v>1577</v>
      </c>
      <c r="E693" s="292" t="s">
        <v>2589</v>
      </c>
      <c r="G693" s="265">
        <v>330000</v>
      </c>
      <c r="H693" s="269">
        <v>1</v>
      </c>
      <c r="K693" s="265">
        <v>330000</v>
      </c>
      <c r="M693" s="269"/>
    </row>
    <row r="694" spans="1:13" x14ac:dyDescent="0.3">
      <c r="A694" s="271">
        <v>693</v>
      </c>
      <c r="B694" s="264">
        <v>45827</v>
      </c>
      <c r="C694" s="292" t="s">
        <v>1977</v>
      </c>
      <c r="E694" s="292" t="s">
        <v>1125</v>
      </c>
      <c r="L694" s="265">
        <v>-1650000</v>
      </c>
      <c r="M694" s="269"/>
    </row>
    <row r="695" spans="1:13" x14ac:dyDescent="0.3">
      <c r="A695" s="271">
        <v>694</v>
      </c>
      <c r="B695" s="264">
        <v>45827</v>
      </c>
      <c r="C695" s="292" t="s">
        <v>1809</v>
      </c>
      <c r="E695" s="292" t="s">
        <v>1125</v>
      </c>
      <c r="L695" s="265">
        <v>-1500000</v>
      </c>
      <c r="M695" s="269"/>
    </row>
    <row r="696" spans="1:13" x14ac:dyDescent="0.3">
      <c r="A696" s="271">
        <v>695</v>
      </c>
      <c r="B696" s="264">
        <v>45828</v>
      </c>
      <c r="C696" s="292" t="s">
        <v>1321</v>
      </c>
      <c r="E696" s="292" t="s">
        <v>2255</v>
      </c>
      <c r="F696" s="269" t="s">
        <v>2254</v>
      </c>
      <c r="G696" s="265">
        <v>1500000</v>
      </c>
      <c r="H696" s="269">
        <v>1</v>
      </c>
      <c r="J696" s="266">
        <v>150000</v>
      </c>
      <c r="K696" s="265">
        <v>1650000</v>
      </c>
      <c r="M696" s="269"/>
    </row>
    <row r="697" spans="1:13" x14ac:dyDescent="0.3">
      <c r="A697" s="271">
        <v>696</v>
      </c>
      <c r="B697" s="264">
        <v>45828</v>
      </c>
      <c r="C697" s="292" t="s">
        <v>1321</v>
      </c>
      <c r="E697" s="292" t="s">
        <v>2612</v>
      </c>
      <c r="F697" s="269" t="s">
        <v>1755</v>
      </c>
      <c r="G697" s="265">
        <v>50000</v>
      </c>
      <c r="H697" s="269">
        <v>1</v>
      </c>
      <c r="J697" s="266">
        <v>5000</v>
      </c>
      <c r="K697" s="265">
        <v>55000</v>
      </c>
      <c r="M697" s="269"/>
    </row>
    <row r="698" spans="1:13" x14ac:dyDescent="0.3">
      <c r="A698" s="271">
        <v>697</v>
      </c>
      <c r="B698" s="264">
        <v>45828</v>
      </c>
      <c r="C698" s="292" t="s">
        <v>2410</v>
      </c>
      <c r="E698" s="292" t="s">
        <v>1125</v>
      </c>
      <c r="L698" s="265">
        <v>-1650000</v>
      </c>
      <c r="M698" s="269"/>
    </row>
    <row r="699" spans="1:13" x14ac:dyDescent="0.3">
      <c r="A699" s="271">
        <v>698</v>
      </c>
      <c r="B699" s="264">
        <v>45828</v>
      </c>
      <c r="C699" s="292" t="s">
        <v>1541</v>
      </c>
      <c r="E699" s="292" t="s">
        <v>1125</v>
      </c>
      <c r="L699" s="265">
        <v>-3000000</v>
      </c>
      <c r="M699" s="269"/>
    </row>
    <row r="700" spans="1:13" x14ac:dyDescent="0.3">
      <c r="A700" s="271">
        <v>699</v>
      </c>
      <c r="B700" s="264">
        <v>45828</v>
      </c>
      <c r="C700" s="292" t="s">
        <v>1580</v>
      </c>
      <c r="E700" s="292" t="s">
        <v>1203</v>
      </c>
      <c r="F700" s="269" t="s">
        <v>1752</v>
      </c>
      <c r="G700" s="265">
        <v>1200000</v>
      </c>
      <c r="H700" s="269">
        <v>1</v>
      </c>
      <c r="J700" s="266">
        <v>120000</v>
      </c>
      <c r="K700" s="265">
        <v>1320000</v>
      </c>
      <c r="M700" s="269"/>
    </row>
    <row r="701" spans="1:13" x14ac:dyDescent="0.3">
      <c r="A701" s="271">
        <v>700</v>
      </c>
      <c r="B701" s="264">
        <v>45828</v>
      </c>
      <c r="C701" s="292" t="s">
        <v>1580</v>
      </c>
      <c r="E701" s="292" t="s">
        <v>1705</v>
      </c>
      <c r="F701" s="269" t="s">
        <v>1704</v>
      </c>
      <c r="G701" s="265">
        <v>50000</v>
      </c>
      <c r="H701" s="269">
        <v>1</v>
      </c>
      <c r="J701" s="266">
        <v>5000</v>
      </c>
      <c r="K701" s="265">
        <v>55000</v>
      </c>
      <c r="M701" s="269"/>
    </row>
    <row r="702" spans="1:13" x14ac:dyDescent="0.3">
      <c r="A702" s="271">
        <v>701</v>
      </c>
      <c r="B702" s="264">
        <v>45828</v>
      </c>
      <c r="C702" s="292" t="s">
        <v>2215</v>
      </c>
      <c r="E702" s="292" t="s">
        <v>1219</v>
      </c>
      <c r="F702" s="269" t="s">
        <v>2162</v>
      </c>
      <c r="G702" s="265">
        <v>1200000</v>
      </c>
      <c r="H702" s="269">
        <v>1</v>
      </c>
      <c r="K702" s="265">
        <v>1200000</v>
      </c>
      <c r="M702" s="269"/>
    </row>
    <row r="703" spans="1:13" x14ac:dyDescent="0.3">
      <c r="A703" s="271">
        <v>702</v>
      </c>
      <c r="B703" s="264">
        <v>45828</v>
      </c>
      <c r="C703" s="292" t="s">
        <v>2215</v>
      </c>
      <c r="E703" s="292" t="s">
        <v>2338</v>
      </c>
      <c r="G703" s="265">
        <v>350000</v>
      </c>
      <c r="H703" s="269">
        <v>1</v>
      </c>
      <c r="K703" s="265">
        <v>350000</v>
      </c>
      <c r="M703" s="269"/>
    </row>
    <row r="704" spans="1:13" x14ac:dyDescent="0.3">
      <c r="A704" s="271">
        <v>703</v>
      </c>
      <c r="B704" s="264">
        <v>45828</v>
      </c>
      <c r="C704" s="292" t="s">
        <v>1541</v>
      </c>
      <c r="E704" s="292" t="s">
        <v>1203</v>
      </c>
      <c r="F704" s="269" t="s">
        <v>1752</v>
      </c>
      <c r="G704" s="265">
        <v>1200000</v>
      </c>
      <c r="H704" s="269">
        <v>1</v>
      </c>
      <c r="K704" s="265">
        <v>1200000</v>
      </c>
      <c r="M704" s="269"/>
    </row>
    <row r="705" spans="1:13" x14ac:dyDescent="0.3">
      <c r="A705" s="271">
        <v>704</v>
      </c>
      <c r="B705" s="264">
        <v>45828</v>
      </c>
      <c r="C705" s="292" t="s">
        <v>1541</v>
      </c>
      <c r="E705" s="292" t="s">
        <v>1703</v>
      </c>
      <c r="F705" s="269">
        <v>7252703114</v>
      </c>
      <c r="G705" s="265">
        <v>129000</v>
      </c>
      <c r="H705" s="269">
        <v>1</v>
      </c>
      <c r="K705" s="265">
        <v>129000</v>
      </c>
      <c r="M705" s="269"/>
    </row>
    <row r="706" spans="1:13" x14ac:dyDescent="0.3">
      <c r="A706" s="271">
        <v>705</v>
      </c>
      <c r="B706" s="264">
        <v>45828</v>
      </c>
      <c r="C706" s="292" t="s">
        <v>1541</v>
      </c>
      <c r="E706" s="292" t="s">
        <v>1496</v>
      </c>
      <c r="G706" s="265">
        <v>350000</v>
      </c>
      <c r="H706" s="269">
        <v>1</v>
      </c>
      <c r="K706" s="265">
        <v>350000</v>
      </c>
      <c r="M706" s="269"/>
    </row>
    <row r="707" spans="1:13" x14ac:dyDescent="0.3">
      <c r="A707" s="271">
        <v>706</v>
      </c>
      <c r="B707" s="264">
        <v>45828</v>
      </c>
      <c r="C707" s="292" t="s">
        <v>2602</v>
      </c>
      <c r="E707" s="292" t="s">
        <v>1203</v>
      </c>
      <c r="F707" s="269" t="s">
        <v>1752</v>
      </c>
      <c r="G707" s="265">
        <v>1300000</v>
      </c>
      <c r="H707" s="269">
        <v>1</v>
      </c>
      <c r="K707" s="265">
        <v>1300000</v>
      </c>
      <c r="M707" s="269"/>
    </row>
    <row r="708" spans="1:13" x14ac:dyDescent="0.3">
      <c r="A708" s="271">
        <v>707</v>
      </c>
      <c r="B708" s="264">
        <v>45828</v>
      </c>
      <c r="C708" s="292" t="s">
        <v>2602</v>
      </c>
      <c r="E708" s="292" t="s">
        <v>1519</v>
      </c>
      <c r="G708" s="265">
        <v>20000</v>
      </c>
      <c r="H708" s="269">
        <v>1</v>
      </c>
      <c r="K708" s="265">
        <v>20000</v>
      </c>
      <c r="M708" s="269"/>
    </row>
    <row r="709" spans="1:13" x14ac:dyDescent="0.3">
      <c r="A709" s="271">
        <v>708</v>
      </c>
      <c r="B709" s="264">
        <v>45828</v>
      </c>
      <c r="C709" s="292" t="s">
        <v>1580</v>
      </c>
      <c r="E709" s="292" t="s">
        <v>1266</v>
      </c>
      <c r="F709" s="269" t="s">
        <v>1265</v>
      </c>
      <c r="G709" s="265">
        <v>50000</v>
      </c>
      <c r="H709" s="269">
        <v>1</v>
      </c>
      <c r="J709" s="266">
        <v>5000</v>
      </c>
      <c r="K709" s="265">
        <v>55000</v>
      </c>
      <c r="M709" s="269"/>
    </row>
    <row r="710" spans="1:13" x14ac:dyDescent="0.3">
      <c r="A710" s="271">
        <v>709</v>
      </c>
      <c r="B710" s="264">
        <v>45828</v>
      </c>
      <c r="C710" s="292" t="s">
        <v>1449</v>
      </c>
      <c r="E710" s="292" t="s">
        <v>1125</v>
      </c>
      <c r="L710" s="265">
        <v>-1200000</v>
      </c>
      <c r="M710" s="269"/>
    </row>
    <row r="711" spans="1:13" x14ac:dyDescent="0.3">
      <c r="A711" s="271">
        <v>710</v>
      </c>
      <c r="B711" s="264">
        <v>45828</v>
      </c>
      <c r="C711" s="292" t="s">
        <v>1580</v>
      </c>
      <c r="E711" s="292" t="s">
        <v>1125</v>
      </c>
      <c r="L711" s="265">
        <v>-2285000</v>
      </c>
      <c r="M711" s="269"/>
    </row>
    <row r="712" spans="1:13" x14ac:dyDescent="0.3">
      <c r="A712" s="271">
        <v>711</v>
      </c>
      <c r="B712" s="264">
        <v>45828</v>
      </c>
      <c r="C712" s="292" t="s">
        <v>2610</v>
      </c>
      <c r="E712" s="292" t="s">
        <v>1717</v>
      </c>
      <c r="F712" s="269">
        <v>2800802</v>
      </c>
      <c r="G712" s="265">
        <v>200000</v>
      </c>
      <c r="H712" s="269">
        <v>1</v>
      </c>
      <c r="K712" s="265">
        <v>200000</v>
      </c>
      <c r="M712" s="269"/>
    </row>
    <row r="713" spans="1:13" x14ac:dyDescent="0.3">
      <c r="A713" s="271">
        <v>712</v>
      </c>
      <c r="B713" s="264">
        <v>45828</v>
      </c>
      <c r="C713" s="292" t="s">
        <v>2610</v>
      </c>
      <c r="E713" s="292" t="s">
        <v>1746</v>
      </c>
      <c r="L713" s="265">
        <v>-200000</v>
      </c>
      <c r="M713" s="269"/>
    </row>
    <row r="714" spans="1:13" x14ac:dyDescent="0.3">
      <c r="A714" s="271">
        <v>713</v>
      </c>
      <c r="B714" s="264">
        <v>45829</v>
      </c>
      <c r="C714" s="292" t="s">
        <v>2597</v>
      </c>
      <c r="E714" s="292" t="s">
        <v>1125</v>
      </c>
      <c r="L714" s="265">
        <v>-1705000</v>
      </c>
      <c r="M714" s="269"/>
    </row>
    <row r="715" spans="1:13" x14ac:dyDescent="0.3">
      <c r="A715" s="271">
        <v>714</v>
      </c>
      <c r="B715" s="264">
        <v>45829</v>
      </c>
      <c r="C715" s="292" t="s">
        <v>1586</v>
      </c>
      <c r="E715" s="292" t="s">
        <v>1743</v>
      </c>
      <c r="G715" s="265">
        <v>650000</v>
      </c>
      <c r="H715" s="269">
        <v>1</v>
      </c>
      <c r="J715" s="266">
        <v>65000</v>
      </c>
      <c r="K715" s="265">
        <v>715000</v>
      </c>
      <c r="M715" s="269"/>
    </row>
    <row r="716" spans="1:13" x14ac:dyDescent="0.3">
      <c r="A716" s="271">
        <v>715</v>
      </c>
      <c r="B716" s="264">
        <v>45829</v>
      </c>
      <c r="C716" s="292" t="s">
        <v>2672</v>
      </c>
      <c r="E716" s="292" t="s">
        <v>2673</v>
      </c>
      <c r="G716" s="265">
        <v>300000</v>
      </c>
      <c r="H716" s="269">
        <v>1</v>
      </c>
      <c r="J716" s="266">
        <v>30000</v>
      </c>
      <c r="K716" s="265">
        <v>330000</v>
      </c>
      <c r="M716" s="269"/>
    </row>
    <row r="717" spans="1:13" x14ac:dyDescent="0.3">
      <c r="A717" s="271">
        <v>716</v>
      </c>
      <c r="B717" s="264">
        <v>45829</v>
      </c>
      <c r="C717" s="292" t="s">
        <v>1722</v>
      </c>
      <c r="E717" s="292" t="s">
        <v>2616</v>
      </c>
      <c r="F717" s="269" t="s">
        <v>2615</v>
      </c>
      <c r="G717" s="265">
        <v>1500000</v>
      </c>
      <c r="H717" s="269">
        <v>1</v>
      </c>
      <c r="K717" s="265">
        <v>1500000</v>
      </c>
      <c r="M717" s="269"/>
    </row>
    <row r="718" spans="1:13" x14ac:dyDescent="0.3">
      <c r="A718" s="271">
        <v>717</v>
      </c>
      <c r="B718" s="264">
        <v>45831</v>
      </c>
      <c r="C718" s="292" t="s">
        <v>1747</v>
      </c>
      <c r="E718" s="292" t="s">
        <v>1125</v>
      </c>
      <c r="L718" s="265">
        <v>-308000</v>
      </c>
      <c r="M718" s="269"/>
    </row>
    <row r="719" spans="1:13" x14ac:dyDescent="0.3">
      <c r="A719" s="271">
        <v>718</v>
      </c>
      <c r="B719" s="264">
        <v>45831</v>
      </c>
      <c r="C719" s="292" t="s">
        <v>2602</v>
      </c>
      <c r="E719" s="292" t="s">
        <v>1125</v>
      </c>
      <c r="L719" s="265">
        <v>-1320000</v>
      </c>
      <c r="M719" s="269"/>
    </row>
    <row r="720" spans="1:13" x14ac:dyDescent="0.3">
      <c r="A720" s="271">
        <v>719</v>
      </c>
      <c r="B720" s="264">
        <v>45831</v>
      </c>
      <c r="C720" s="292" t="s">
        <v>2618</v>
      </c>
      <c r="E720" s="292" t="s">
        <v>1205</v>
      </c>
      <c r="F720" s="269" t="s">
        <v>1563</v>
      </c>
      <c r="G720" s="265">
        <v>600000</v>
      </c>
      <c r="H720" s="269">
        <v>1</v>
      </c>
      <c r="K720" s="265">
        <v>600000</v>
      </c>
      <c r="M720" s="269"/>
    </row>
    <row r="721" spans="1:14" x14ac:dyDescent="0.3">
      <c r="A721" s="271">
        <v>720</v>
      </c>
      <c r="B721" s="264">
        <v>45831</v>
      </c>
      <c r="C721" s="292" t="s">
        <v>2618</v>
      </c>
      <c r="E721" s="292" t="s">
        <v>1125</v>
      </c>
      <c r="L721" s="265">
        <v>-600000</v>
      </c>
      <c r="M721" s="269"/>
    </row>
    <row r="722" spans="1:14" x14ac:dyDescent="0.3">
      <c r="A722" s="271">
        <v>721</v>
      </c>
      <c r="B722" s="264">
        <v>45831</v>
      </c>
      <c r="C722" s="292" t="s">
        <v>2623</v>
      </c>
      <c r="E722" s="292" t="s">
        <v>2622</v>
      </c>
      <c r="G722" s="265">
        <v>1100000</v>
      </c>
      <c r="H722" s="269">
        <v>1</v>
      </c>
      <c r="J722" s="266">
        <v>110000</v>
      </c>
      <c r="K722" s="265">
        <v>1210000</v>
      </c>
      <c r="M722" s="269"/>
    </row>
    <row r="723" spans="1:14" x14ac:dyDescent="0.3">
      <c r="A723" s="271">
        <v>722</v>
      </c>
      <c r="B723" s="264">
        <v>45831</v>
      </c>
      <c r="C723" s="292" t="s">
        <v>983</v>
      </c>
      <c r="E723" s="292" t="s">
        <v>1687</v>
      </c>
      <c r="G723" s="265">
        <v>100000</v>
      </c>
      <c r="H723" s="269">
        <v>2</v>
      </c>
      <c r="J723" s="266">
        <v>10000</v>
      </c>
      <c r="K723" s="265">
        <v>110000</v>
      </c>
      <c r="M723" s="269"/>
    </row>
    <row r="724" spans="1:14" x14ac:dyDescent="0.3">
      <c r="A724" s="271">
        <v>723</v>
      </c>
      <c r="B724" s="264">
        <v>45831</v>
      </c>
      <c r="C724" s="292" t="s">
        <v>1444</v>
      </c>
      <c r="E724" s="292" t="s">
        <v>2625</v>
      </c>
      <c r="L724" s="265">
        <v>-300000</v>
      </c>
      <c r="M724" s="269"/>
    </row>
    <row r="725" spans="1:14" x14ac:dyDescent="0.3">
      <c r="A725" s="271">
        <v>724</v>
      </c>
      <c r="B725" s="264">
        <v>45832</v>
      </c>
      <c r="C725" s="292" t="s">
        <v>1147</v>
      </c>
      <c r="E725" s="292" t="s">
        <v>1496</v>
      </c>
      <c r="G725" s="265">
        <v>350000</v>
      </c>
      <c r="H725" s="269">
        <v>1</v>
      </c>
      <c r="K725" s="265">
        <v>350000</v>
      </c>
      <c r="M725" s="269"/>
    </row>
    <row r="726" spans="1:14" x14ac:dyDescent="0.3">
      <c r="A726" s="271">
        <v>725</v>
      </c>
      <c r="B726" s="264">
        <v>45832</v>
      </c>
      <c r="C726" s="292" t="s">
        <v>1147</v>
      </c>
      <c r="E726" s="292" t="s">
        <v>2629</v>
      </c>
      <c r="M726" s="269"/>
    </row>
    <row r="727" spans="1:14" x14ac:dyDescent="0.3">
      <c r="A727" s="271">
        <v>726</v>
      </c>
      <c r="B727" s="264">
        <v>45832</v>
      </c>
      <c r="C727" s="292" t="s">
        <v>1580</v>
      </c>
      <c r="E727" s="292" t="s">
        <v>2180</v>
      </c>
      <c r="F727" s="269" t="s">
        <v>1201</v>
      </c>
      <c r="G727" s="265">
        <v>1500000</v>
      </c>
      <c r="H727" s="269">
        <v>1</v>
      </c>
      <c r="J727" s="266">
        <v>150000</v>
      </c>
      <c r="K727" s="265">
        <v>1650000</v>
      </c>
      <c r="M727" s="269"/>
    </row>
    <row r="728" spans="1:14" x14ac:dyDescent="0.3">
      <c r="A728" s="271">
        <v>727</v>
      </c>
      <c r="B728" s="264">
        <v>45832</v>
      </c>
      <c r="C728" s="292" t="s">
        <v>1580</v>
      </c>
      <c r="E728" s="292" t="s">
        <v>2181</v>
      </c>
      <c r="F728" s="269" t="s">
        <v>1803</v>
      </c>
      <c r="G728" s="265">
        <v>50000</v>
      </c>
      <c r="H728" s="269">
        <v>1</v>
      </c>
      <c r="J728" s="266">
        <v>5000</v>
      </c>
      <c r="K728" s="265">
        <v>55000</v>
      </c>
      <c r="M728" s="269"/>
    </row>
    <row r="729" spans="1:14" x14ac:dyDescent="0.3">
      <c r="A729" s="271">
        <v>728</v>
      </c>
      <c r="B729" s="264">
        <v>45832</v>
      </c>
      <c r="C729" s="292" t="s">
        <v>1305</v>
      </c>
      <c r="E729" s="292" t="s">
        <v>1219</v>
      </c>
      <c r="F729" s="269" t="s">
        <v>2162</v>
      </c>
      <c r="G729" s="265">
        <v>1200000</v>
      </c>
      <c r="H729" s="269">
        <v>1</v>
      </c>
      <c r="J729" s="266">
        <v>120000</v>
      </c>
      <c r="K729" s="265">
        <v>1320000</v>
      </c>
      <c r="M729" s="269"/>
      <c r="N729" s="282"/>
    </row>
    <row r="730" spans="1:14" x14ac:dyDescent="0.3">
      <c r="A730" s="271">
        <v>729</v>
      </c>
      <c r="B730" s="264">
        <v>45832</v>
      </c>
      <c r="C730" s="292" t="s">
        <v>1305</v>
      </c>
      <c r="E730" s="292" t="s">
        <v>2670</v>
      </c>
      <c r="F730" s="270">
        <v>7252703114</v>
      </c>
      <c r="G730" s="265">
        <v>129000</v>
      </c>
      <c r="H730" s="269">
        <v>1</v>
      </c>
      <c r="J730" s="266">
        <v>12900</v>
      </c>
      <c r="K730" s="265">
        <v>141900</v>
      </c>
      <c r="M730" s="269"/>
    </row>
    <row r="731" spans="1:14" x14ac:dyDescent="0.3">
      <c r="A731" s="271">
        <v>730</v>
      </c>
      <c r="B731" s="264">
        <v>45832</v>
      </c>
      <c r="C731" s="292" t="s">
        <v>2632</v>
      </c>
      <c r="E731" s="292" t="s">
        <v>1496</v>
      </c>
      <c r="G731" s="265">
        <v>350000</v>
      </c>
      <c r="H731" s="269">
        <v>1</v>
      </c>
      <c r="J731" s="266">
        <v>35000</v>
      </c>
      <c r="K731" s="265">
        <v>385000</v>
      </c>
      <c r="M731" s="269"/>
    </row>
    <row r="732" spans="1:14" x14ac:dyDescent="0.3">
      <c r="A732" s="271">
        <v>731</v>
      </c>
      <c r="B732" s="264">
        <v>45832</v>
      </c>
      <c r="C732" s="292" t="s">
        <v>1722</v>
      </c>
      <c r="E732" s="292" t="s">
        <v>2186</v>
      </c>
      <c r="F732" s="269" t="s">
        <v>1200</v>
      </c>
      <c r="G732" s="265">
        <v>1400000</v>
      </c>
      <c r="H732" s="269">
        <v>1</v>
      </c>
      <c r="K732" s="265">
        <v>1400000</v>
      </c>
      <c r="M732" s="269"/>
    </row>
    <row r="733" spans="1:14" x14ac:dyDescent="0.3">
      <c r="A733" s="271">
        <v>732</v>
      </c>
      <c r="B733" s="264">
        <v>45832</v>
      </c>
      <c r="C733" s="292" t="s">
        <v>1541</v>
      </c>
      <c r="E733" s="292" t="s">
        <v>2181</v>
      </c>
      <c r="F733" s="269" t="s">
        <v>1803</v>
      </c>
      <c r="G733" s="265">
        <v>50000</v>
      </c>
      <c r="H733" s="269">
        <v>1</v>
      </c>
      <c r="K733" s="265">
        <v>50000</v>
      </c>
      <c r="M733" s="269"/>
    </row>
    <row r="734" spans="1:14" x14ac:dyDescent="0.3">
      <c r="A734" s="271">
        <v>733</v>
      </c>
      <c r="B734" s="264">
        <v>45833</v>
      </c>
      <c r="C734" s="292" t="s">
        <v>1046</v>
      </c>
      <c r="E734" s="292" t="s">
        <v>2180</v>
      </c>
      <c r="F734" s="269" t="s">
        <v>1201</v>
      </c>
      <c r="G734" s="265">
        <v>1500000</v>
      </c>
      <c r="H734" s="269">
        <v>1</v>
      </c>
      <c r="K734" s="265">
        <v>1500000</v>
      </c>
      <c r="M734" s="269"/>
    </row>
    <row r="735" spans="1:14" x14ac:dyDescent="0.3">
      <c r="A735" s="271">
        <v>734</v>
      </c>
      <c r="B735" s="264">
        <v>45833</v>
      </c>
      <c r="C735" s="292" t="s">
        <v>1046</v>
      </c>
      <c r="E735" s="292" t="s">
        <v>2181</v>
      </c>
      <c r="F735" s="269" t="s">
        <v>1803</v>
      </c>
      <c r="G735" s="265">
        <v>50000</v>
      </c>
      <c r="H735" s="269">
        <v>1</v>
      </c>
      <c r="K735" s="265">
        <v>50000</v>
      </c>
      <c r="M735" s="269"/>
    </row>
    <row r="736" spans="1:14" x14ac:dyDescent="0.3">
      <c r="A736" s="271">
        <v>735</v>
      </c>
      <c r="B736" s="264">
        <v>45833</v>
      </c>
      <c r="C736" s="292" t="s">
        <v>979</v>
      </c>
      <c r="E736" s="292" t="s">
        <v>1581</v>
      </c>
      <c r="F736" s="269" t="s">
        <v>1923</v>
      </c>
      <c r="G736" s="265">
        <v>1000000</v>
      </c>
      <c r="H736" s="269">
        <v>1</v>
      </c>
      <c r="J736" s="266">
        <v>100000</v>
      </c>
      <c r="K736" s="265">
        <v>1100000</v>
      </c>
      <c r="M736" s="269"/>
    </row>
    <row r="737" spans="1:13" x14ac:dyDescent="0.3">
      <c r="A737" s="271">
        <v>736</v>
      </c>
      <c r="B737" s="264">
        <v>45833</v>
      </c>
      <c r="C737" s="292" t="s">
        <v>1894</v>
      </c>
      <c r="E737" s="292" t="s">
        <v>1203</v>
      </c>
      <c r="F737" s="269" t="s">
        <v>1752</v>
      </c>
      <c r="G737" s="265">
        <v>1200000</v>
      </c>
      <c r="H737" s="269">
        <v>1</v>
      </c>
      <c r="K737" s="265">
        <v>1200000</v>
      </c>
      <c r="M737" s="269"/>
    </row>
    <row r="738" spans="1:13" x14ac:dyDescent="0.3">
      <c r="A738" s="271">
        <v>737</v>
      </c>
      <c r="B738" s="264">
        <v>45833</v>
      </c>
      <c r="C738" s="292" t="s">
        <v>1313</v>
      </c>
      <c r="E738" s="292" t="s">
        <v>2654</v>
      </c>
      <c r="G738" s="265">
        <v>1700000</v>
      </c>
      <c r="H738" s="269">
        <v>1</v>
      </c>
      <c r="J738" s="266">
        <v>170000</v>
      </c>
      <c r="K738" s="265">
        <v>1870000</v>
      </c>
      <c r="M738" s="269"/>
    </row>
    <row r="739" spans="1:13" x14ac:dyDescent="0.3">
      <c r="A739" s="271">
        <v>738</v>
      </c>
      <c r="B739" s="264">
        <v>45833</v>
      </c>
      <c r="C739" s="292" t="s">
        <v>2643</v>
      </c>
      <c r="E739" s="292" t="s">
        <v>2299</v>
      </c>
      <c r="G739" s="265">
        <v>600000</v>
      </c>
      <c r="H739" s="269">
        <v>2</v>
      </c>
      <c r="J739" s="266">
        <v>120000</v>
      </c>
      <c r="K739" s="265">
        <v>1320000</v>
      </c>
      <c r="M739" s="269"/>
    </row>
    <row r="740" spans="1:13" x14ac:dyDescent="0.3">
      <c r="A740" s="271">
        <v>739</v>
      </c>
      <c r="B740" s="264">
        <v>45833</v>
      </c>
      <c r="C740" s="292" t="s">
        <v>1598</v>
      </c>
      <c r="E740" s="292" t="s">
        <v>1125</v>
      </c>
      <c r="L740" s="265">
        <v>-1870000</v>
      </c>
      <c r="M740" s="269"/>
    </row>
    <row r="741" spans="1:13" x14ac:dyDescent="0.3">
      <c r="A741" s="271">
        <v>740</v>
      </c>
      <c r="B741" s="264">
        <v>45833</v>
      </c>
      <c r="C741" s="292" t="s">
        <v>1053</v>
      </c>
      <c r="E741" s="292" t="s">
        <v>1140</v>
      </c>
      <c r="G741" s="265">
        <v>800000</v>
      </c>
      <c r="H741" s="269">
        <v>1</v>
      </c>
      <c r="K741" s="265">
        <v>800000</v>
      </c>
      <c r="M741" s="269"/>
    </row>
    <row r="742" spans="1:13" x14ac:dyDescent="0.3">
      <c r="A742" s="271">
        <v>741</v>
      </c>
      <c r="B742" s="264">
        <v>45833</v>
      </c>
      <c r="C742" s="292" t="s">
        <v>1586</v>
      </c>
      <c r="E742" s="292" t="s">
        <v>1743</v>
      </c>
      <c r="G742" s="265">
        <v>650000</v>
      </c>
      <c r="H742" s="269">
        <v>1</v>
      </c>
      <c r="J742" s="266">
        <v>65000</v>
      </c>
      <c r="K742" s="265">
        <v>715000</v>
      </c>
      <c r="M742" s="269"/>
    </row>
    <row r="743" spans="1:13" x14ac:dyDescent="0.3">
      <c r="A743" s="271">
        <v>742</v>
      </c>
      <c r="B743" s="264">
        <v>45833</v>
      </c>
      <c r="C743" s="292" t="s">
        <v>2643</v>
      </c>
      <c r="E743" s="292" t="s">
        <v>1125</v>
      </c>
      <c r="L743" s="265">
        <v>-1320000</v>
      </c>
      <c r="M743" s="269"/>
    </row>
    <row r="744" spans="1:13" x14ac:dyDescent="0.3">
      <c r="A744" s="271">
        <v>743</v>
      </c>
      <c r="B744" s="264">
        <v>45832</v>
      </c>
      <c r="C744" s="292" t="s">
        <v>2632</v>
      </c>
      <c r="E744" s="292" t="s">
        <v>1125</v>
      </c>
      <c r="L744" s="265">
        <v>-385000</v>
      </c>
      <c r="M744" s="269"/>
    </row>
    <row r="745" spans="1:13" x14ac:dyDescent="0.3">
      <c r="A745" s="271">
        <v>744</v>
      </c>
      <c r="B745" s="264">
        <v>45833</v>
      </c>
      <c r="C745" s="292" t="s">
        <v>1317</v>
      </c>
      <c r="E745" s="292" t="s">
        <v>2667</v>
      </c>
      <c r="F745" s="270">
        <v>1087298437</v>
      </c>
      <c r="G745" s="265">
        <v>80000</v>
      </c>
      <c r="H745" s="269">
        <v>3</v>
      </c>
      <c r="K745" s="265">
        <v>240000</v>
      </c>
      <c r="M745" s="269"/>
    </row>
    <row r="746" spans="1:13" x14ac:dyDescent="0.3">
      <c r="A746" s="271">
        <v>745</v>
      </c>
      <c r="B746" s="264">
        <v>45821</v>
      </c>
      <c r="C746" s="292" t="s">
        <v>1330</v>
      </c>
      <c r="E746" s="292" t="s">
        <v>2663</v>
      </c>
      <c r="F746" s="269" t="s">
        <v>1733</v>
      </c>
      <c r="G746" s="265">
        <v>10000</v>
      </c>
      <c r="H746" s="269">
        <v>2</v>
      </c>
      <c r="K746" s="265">
        <v>20000</v>
      </c>
      <c r="M746" s="269"/>
    </row>
    <row r="747" spans="1:13" x14ac:dyDescent="0.3">
      <c r="A747" s="271">
        <v>746</v>
      </c>
      <c r="B747" s="264">
        <v>45834</v>
      </c>
      <c r="C747" s="292" t="s">
        <v>1722</v>
      </c>
      <c r="E747" s="292" t="s">
        <v>2664</v>
      </c>
      <c r="F747" s="269" t="s">
        <v>1795</v>
      </c>
      <c r="G747" s="265">
        <v>20000</v>
      </c>
      <c r="H747" s="269">
        <v>3</v>
      </c>
      <c r="K747" s="265">
        <v>60000</v>
      </c>
      <c r="M747" s="269"/>
    </row>
    <row r="748" spans="1:13" x14ac:dyDescent="0.3">
      <c r="A748" s="271">
        <v>747</v>
      </c>
      <c r="B748" s="264">
        <v>45834</v>
      </c>
      <c r="C748" s="292" t="s">
        <v>1399</v>
      </c>
      <c r="E748" s="292" t="s">
        <v>2180</v>
      </c>
      <c r="F748" s="269" t="s">
        <v>1201</v>
      </c>
      <c r="G748" s="265">
        <v>1500000</v>
      </c>
      <c r="H748" s="269">
        <v>1</v>
      </c>
      <c r="K748" s="265">
        <v>1500000</v>
      </c>
      <c r="M748" s="269"/>
    </row>
    <row r="749" spans="1:13" x14ac:dyDescent="0.3">
      <c r="A749" s="271">
        <v>748</v>
      </c>
      <c r="B749" s="264">
        <v>45834</v>
      </c>
      <c r="C749" s="292" t="s">
        <v>1399</v>
      </c>
      <c r="E749" s="292" t="s">
        <v>2181</v>
      </c>
      <c r="F749" s="269" t="s">
        <v>1803</v>
      </c>
      <c r="G749" s="265">
        <v>50000</v>
      </c>
      <c r="H749" s="269">
        <v>1</v>
      </c>
      <c r="K749" s="265">
        <v>50000</v>
      </c>
      <c r="M749" s="269"/>
    </row>
    <row r="750" spans="1:13" x14ac:dyDescent="0.3">
      <c r="A750" s="271">
        <v>749</v>
      </c>
      <c r="B750" s="264">
        <v>45834</v>
      </c>
      <c r="C750" s="292" t="s">
        <v>979</v>
      </c>
      <c r="E750" s="292" t="s">
        <v>1125</v>
      </c>
      <c r="L750" s="265">
        <v>-1100000</v>
      </c>
      <c r="M750" s="269"/>
    </row>
    <row r="751" spans="1:13" x14ac:dyDescent="0.3">
      <c r="A751" s="271">
        <v>750</v>
      </c>
      <c r="B751" s="264">
        <v>45834</v>
      </c>
      <c r="C751" s="292" t="s">
        <v>1399</v>
      </c>
      <c r="E751" s="292" t="s">
        <v>1703</v>
      </c>
      <c r="F751" s="269">
        <v>7252703114</v>
      </c>
      <c r="G751" s="265">
        <v>129000</v>
      </c>
      <c r="H751" s="269">
        <v>1</v>
      </c>
      <c r="K751" s="265">
        <v>129000</v>
      </c>
      <c r="M751" s="269"/>
    </row>
    <row r="752" spans="1:13" x14ac:dyDescent="0.3">
      <c r="A752" s="271">
        <v>751</v>
      </c>
      <c r="B752" s="264">
        <v>45834</v>
      </c>
      <c r="C752" s="292" t="s">
        <v>1302</v>
      </c>
      <c r="E752" s="292" t="s">
        <v>2669</v>
      </c>
      <c r="G752" s="265">
        <v>25000</v>
      </c>
      <c r="H752" s="269">
        <v>1</v>
      </c>
      <c r="K752" s="265">
        <v>25000</v>
      </c>
      <c r="M752" s="269"/>
    </row>
    <row r="753" spans="1:13" x14ac:dyDescent="0.3">
      <c r="A753" s="271">
        <v>752</v>
      </c>
      <c r="B753" s="264">
        <v>45834</v>
      </c>
      <c r="C753" s="292" t="s">
        <v>1015</v>
      </c>
      <c r="E753" s="292" t="s">
        <v>2671</v>
      </c>
      <c r="L753" s="265">
        <v>-1550000</v>
      </c>
      <c r="M753" s="269"/>
    </row>
    <row r="754" spans="1:13" x14ac:dyDescent="0.3">
      <c r="A754" s="271">
        <v>753</v>
      </c>
      <c r="B754" s="264">
        <v>45834</v>
      </c>
      <c r="C754" s="292" t="s">
        <v>2502</v>
      </c>
      <c r="E754" s="292" t="s">
        <v>1125</v>
      </c>
      <c r="L754" s="265">
        <v>-330000</v>
      </c>
      <c r="M754" s="269"/>
    </row>
    <row r="755" spans="1:13" x14ac:dyDescent="0.3">
      <c r="A755" s="271">
        <v>754</v>
      </c>
      <c r="B755" s="264">
        <v>45834</v>
      </c>
      <c r="C755" s="292" t="s">
        <v>2476</v>
      </c>
      <c r="E755" s="292" t="s">
        <v>1125</v>
      </c>
      <c r="L755" s="265">
        <v>-2671900</v>
      </c>
      <c r="M755" s="269"/>
    </row>
    <row r="756" spans="1:13" x14ac:dyDescent="0.3">
      <c r="A756" s="271">
        <v>755</v>
      </c>
      <c r="B756" s="264">
        <v>45834</v>
      </c>
      <c r="C756" s="292" t="s">
        <v>1399</v>
      </c>
      <c r="E756" s="292" t="s">
        <v>2290</v>
      </c>
      <c r="G756" s="265">
        <v>1100000</v>
      </c>
      <c r="H756" s="269">
        <v>1</v>
      </c>
      <c r="K756" s="265">
        <v>1100000</v>
      </c>
      <c r="M756" s="269"/>
    </row>
    <row r="757" spans="1:13" x14ac:dyDescent="0.3">
      <c r="A757" s="271">
        <v>756</v>
      </c>
      <c r="B757" s="264">
        <v>45834</v>
      </c>
      <c r="C757" s="292" t="s">
        <v>1053</v>
      </c>
      <c r="E757" s="292" t="s">
        <v>2202</v>
      </c>
      <c r="F757" s="269" t="s">
        <v>1956</v>
      </c>
      <c r="G757" s="265">
        <v>1800000</v>
      </c>
      <c r="H757" s="269">
        <v>1</v>
      </c>
      <c r="K757" s="265">
        <v>1800000</v>
      </c>
      <c r="M757" s="269"/>
    </row>
    <row r="758" spans="1:13" x14ac:dyDescent="0.3">
      <c r="A758" s="271">
        <v>757</v>
      </c>
      <c r="B758" s="264">
        <v>45834</v>
      </c>
      <c r="C758" s="292" t="s">
        <v>1053</v>
      </c>
      <c r="E758" s="292" t="s">
        <v>2181</v>
      </c>
      <c r="F758" s="269" t="s">
        <v>1803</v>
      </c>
      <c r="G758" s="265">
        <v>50000</v>
      </c>
      <c r="H758" s="269">
        <v>1</v>
      </c>
      <c r="K758" s="265">
        <v>50000</v>
      </c>
      <c r="M758" s="269"/>
    </row>
    <row r="759" spans="1:13" x14ac:dyDescent="0.3">
      <c r="A759" s="271">
        <v>758</v>
      </c>
      <c r="B759" s="264">
        <v>45834</v>
      </c>
      <c r="C759" s="292" t="s">
        <v>1053</v>
      </c>
      <c r="E759" s="292" t="s">
        <v>2680</v>
      </c>
      <c r="G759" s="265">
        <v>150000</v>
      </c>
      <c r="H759" s="269">
        <v>1</v>
      </c>
      <c r="K759" s="265">
        <v>150000</v>
      </c>
      <c r="M759" s="269"/>
    </row>
    <row r="760" spans="1:13" x14ac:dyDescent="0.3">
      <c r="A760" s="271">
        <v>759</v>
      </c>
      <c r="B760" s="264">
        <v>45835</v>
      </c>
      <c r="C760" s="292" t="s">
        <v>1378</v>
      </c>
      <c r="E760" s="292" t="s">
        <v>1717</v>
      </c>
      <c r="F760" s="269">
        <v>2800802</v>
      </c>
      <c r="G760" s="265">
        <v>150000</v>
      </c>
      <c r="H760" s="269">
        <v>3</v>
      </c>
      <c r="K760" s="265">
        <v>450000</v>
      </c>
      <c r="M760" s="269"/>
    </row>
    <row r="761" spans="1:13" x14ac:dyDescent="0.3">
      <c r="A761" s="271">
        <v>760</v>
      </c>
      <c r="B761" s="264">
        <v>45835</v>
      </c>
      <c r="C761" s="292" t="s">
        <v>1378</v>
      </c>
      <c r="E761" s="292" t="s">
        <v>1855</v>
      </c>
      <c r="F761" s="269">
        <v>2800801</v>
      </c>
      <c r="G761" s="265">
        <v>150000</v>
      </c>
      <c r="H761" s="269">
        <v>1</v>
      </c>
      <c r="K761" s="265">
        <v>150000</v>
      </c>
      <c r="M761" s="269"/>
    </row>
    <row r="762" spans="1:13" x14ac:dyDescent="0.3">
      <c r="A762" s="271">
        <v>761</v>
      </c>
      <c r="B762" s="264">
        <v>45835</v>
      </c>
      <c r="C762" s="292" t="s">
        <v>1290</v>
      </c>
      <c r="E762" s="292" t="s">
        <v>2910</v>
      </c>
      <c r="G762" s="265">
        <v>200000</v>
      </c>
      <c r="H762" s="269">
        <v>1</v>
      </c>
      <c r="J762" s="266">
        <v>20000</v>
      </c>
      <c r="K762" s="265">
        <v>220000</v>
      </c>
      <c r="M762" s="269"/>
    </row>
    <row r="763" spans="1:13" x14ac:dyDescent="0.3">
      <c r="A763" s="271">
        <v>762</v>
      </c>
      <c r="B763" s="264">
        <v>45835</v>
      </c>
      <c r="C763" s="292" t="s">
        <v>1053</v>
      </c>
      <c r="E763" s="292" t="s">
        <v>2180</v>
      </c>
      <c r="F763" s="269" t="s">
        <v>1201</v>
      </c>
      <c r="G763" s="265">
        <v>1500000</v>
      </c>
      <c r="H763" s="269">
        <v>1</v>
      </c>
      <c r="K763" s="265">
        <v>1500000</v>
      </c>
      <c r="M763" s="269"/>
    </row>
    <row r="764" spans="1:13" x14ac:dyDescent="0.3">
      <c r="A764" s="271">
        <v>763</v>
      </c>
      <c r="B764" s="264">
        <v>45835</v>
      </c>
      <c r="C764" s="292" t="s">
        <v>1053</v>
      </c>
      <c r="E764" s="292" t="s">
        <v>2181</v>
      </c>
      <c r="F764" s="269" t="s">
        <v>1803</v>
      </c>
      <c r="G764" s="265">
        <v>50000</v>
      </c>
      <c r="H764" s="269">
        <v>1</v>
      </c>
      <c r="K764" s="265">
        <v>50000</v>
      </c>
      <c r="M764" s="269"/>
    </row>
    <row r="765" spans="1:13" x14ac:dyDescent="0.3">
      <c r="A765" s="271">
        <v>764</v>
      </c>
      <c r="B765" s="264">
        <v>45835</v>
      </c>
      <c r="C765" s="292" t="s">
        <v>1053</v>
      </c>
      <c r="E765" s="292" t="s">
        <v>1125</v>
      </c>
      <c r="L765" s="265">
        <v>-4350000</v>
      </c>
      <c r="M765" s="269"/>
    </row>
    <row r="766" spans="1:13" x14ac:dyDescent="0.3">
      <c r="A766" s="271">
        <v>765</v>
      </c>
      <c r="B766" s="264">
        <v>45835</v>
      </c>
      <c r="C766" s="292" t="s">
        <v>1577</v>
      </c>
      <c r="E766" s="292" t="s">
        <v>1205</v>
      </c>
      <c r="F766" s="269" t="s">
        <v>1204</v>
      </c>
      <c r="G766" s="265">
        <v>1200000</v>
      </c>
      <c r="H766" s="269">
        <v>1</v>
      </c>
      <c r="J766" s="266">
        <v>120000</v>
      </c>
      <c r="K766" s="265">
        <v>1320000</v>
      </c>
      <c r="M766" s="269"/>
    </row>
    <row r="767" spans="1:13" x14ac:dyDescent="0.3">
      <c r="A767" s="271">
        <v>766</v>
      </c>
      <c r="B767" s="264">
        <v>45835</v>
      </c>
      <c r="C767" s="292" t="s">
        <v>1473</v>
      </c>
      <c r="E767" s="292" t="s">
        <v>1125</v>
      </c>
      <c r="L767" s="265">
        <v>-1500000</v>
      </c>
      <c r="M767" s="269"/>
    </row>
    <row r="768" spans="1:13" x14ac:dyDescent="0.3">
      <c r="A768" s="271">
        <v>767</v>
      </c>
      <c r="B768" s="264">
        <v>45835</v>
      </c>
      <c r="C768" s="292" t="s">
        <v>1722</v>
      </c>
      <c r="E768" s="292" t="s">
        <v>1561</v>
      </c>
      <c r="F768" s="269" t="s">
        <v>2697</v>
      </c>
      <c r="G768" s="265">
        <v>1600000</v>
      </c>
      <c r="H768" s="269">
        <v>1</v>
      </c>
      <c r="K768" s="265">
        <v>1600000</v>
      </c>
      <c r="M768" s="269"/>
    </row>
    <row r="769" spans="1:13" x14ac:dyDescent="0.3">
      <c r="A769" s="271">
        <v>768</v>
      </c>
      <c r="B769" s="264">
        <v>45835</v>
      </c>
      <c r="C769" s="292" t="s">
        <v>1473</v>
      </c>
      <c r="E769" s="292" t="s">
        <v>2196</v>
      </c>
      <c r="F769" s="269">
        <v>2820403</v>
      </c>
      <c r="G769" s="265">
        <v>1500000</v>
      </c>
      <c r="H769" s="269">
        <v>1</v>
      </c>
      <c r="K769" s="265">
        <v>1500000</v>
      </c>
      <c r="M769" s="269"/>
    </row>
    <row r="770" spans="1:13" x14ac:dyDescent="0.3">
      <c r="A770" s="271">
        <v>769</v>
      </c>
      <c r="B770" s="264">
        <v>45835</v>
      </c>
      <c r="C770" s="292" t="s">
        <v>1586</v>
      </c>
      <c r="E770" s="292" t="s">
        <v>1125</v>
      </c>
      <c r="L770" s="265">
        <v>-1430000</v>
      </c>
      <c r="M770" s="269"/>
    </row>
    <row r="771" spans="1:13" x14ac:dyDescent="0.3">
      <c r="A771" s="271">
        <v>770</v>
      </c>
      <c r="B771" s="264">
        <v>45838</v>
      </c>
      <c r="C771" s="292" t="s">
        <v>2292</v>
      </c>
      <c r="E771" s="292" t="s">
        <v>1744</v>
      </c>
      <c r="F771" s="269">
        <v>2830501</v>
      </c>
      <c r="G771" s="265">
        <v>1550000</v>
      </c>
      <c r="H771" s="269">
        <v>1</v>
      </c>
      <c r="K771" s="265">
        <v>1550000</v>
      </c>
      <c r="M771" s="269"/>
    </row>
    <row r="772" spans="1:13" x14ac:dyDescent="0.3">
      <c r="A772" s="271">
        <v>771</v>
      </c>
      <c r="B772" s="264">
        <v>45838</v>
      </c>
      <c r="C772" s="292" t="s">
        <v>2623</v>
      </c>
      <c r="E772" s="292" t="s">
        <v>1125</v>
      </c>
      <c r="L772" s="265">
        <v>-1320000</v>
      </c>
      <c r="M772" s="269"/>
    </row>
    <row r="773" spans="1:13" x14ac:dyDescent="0.3">
      <c r="A773" s="271">
        <v>772</v>
      </c>
      <c r="B773" s="264">
        <v>45838</v>
      </c>
      <c r="C773" s="292" t="s">
        <v>1336</v>
      </c>
      <c r="E773" s="292" t="s">
        <v>2255</v>
      </c>
      <c r="F773" s="269" t="s">
        <v>2254</v>
      </c>
      <c r="G773" s="265">
        <v>1450000</v>
      </c>
      <c r="H773" s="269">
        <v>1</v>
      </c>
      <c r="K773" s="265">
        <v>1450000</v>
      </c>
      <c r="M773" s="269"/>
    </row>
    <row r="774" spans="1:13" x14ac:dyDescent="0.3">
      <c r="A774" s="271">
        <v>773</v>
      </c>
      <c r="B774" s="264">
        <v>45838</v>
      </c>
      <c r="C774" s="292" t="s">
        <v>1082</v>
      </c>
      <c r="E774" s="292" t="s">
        <v>2713</v>
      </c>
      <c r="F774" s="269" t="s">
        <v>2712</v>
      </c>
      <c r="G774" s="265">
        <v>1500000</v>
      </c>
      <c r="H774" s="269">
        <v>1</v>
      </c>
      <c r="K774" s="265">
        <v>1500000</v>
      </c>
      <c r="M774" s="269"/>
    </row>
    <row r="775" spans="1:13" x14ac:dyDescent="0.3">
      <c r="A775" s="271">
        <v>774</v>
      </c>
      <c r="B775" s="264">
        <v>45838</v>
      </c>
      <c r="C775" s="292" t="s">
        <v>2719</v>
      </c>
      <c r="E775" s="292" t="s">
        <v>2338</v>
      </c>
      <c r="F775" s="269" t="s">
        <v>2720</v>
      </c>
      <c r="G775" s="265">
        <v>350000</v>
      </c>
      <c r="H775" s="269">
        <v>1</v>
      </c>
      <c r="J775" s="266">
        <v>35000</v>
      </c>
      <c r="K775" s="265">
        <v>385000</v>
      </c>
      <c r="M775" s="269"/>
    </row>
    <row r="776" spans="1:13" x14ac:dyDescent="0.3">
      <c r="A776" s="271">
        <v>775</v>
      </c>
      <c r="B776" s="264">
        <v>45838</v>
      </c>
      <c r="C776" s="292" t="s">
        <v>1444</v>
      </c>
      <c r="E776" s="292" t="s">
        <v>2180</v>
      </c>
      <c r="F776" s="269" t="s">
        <v>1201</v>
      </c>
      <c r="G776" s="265">
        <v>1500000</v>
      </c>
      <c r="H776" s="269">
        <v>1</v>
      </c>
      <c r="K776" s="265">
        <v>1500000</v>
      </c>
      <c r="M776" s="269"/>
    </row>
    <row r="777" spans="1:13" x14ac:dyDescent="0.3">
      <c r="A777" s="271">
        <v>776</v>
      </c>
      <c r="B777" s="264">
        <v>45838</v>
      </c>
      <c r="C777" s="292" t="s">
        <v>1444</v>
      </c>
      <c r="E777" s="292" t="s">
        <v>2181</v>
      </c>
      <c r="F777" s="269" t="s">
        <v>1803</v>
      </c>
      <c r="G777" s="265">
        <v>50000</v>
      </c>
      <c r="H777" s="269">
        <v>1</v>
      </c>
      <c r="K777" s="265">
        <v>50000</v>
      </c>
      <c r="M777" s="269"/>
    </row>
    <row r="778" spans="1:13" x14ac:dyDescent="0.3">
      <c r="A778" s="271">
        <v>777</v>
      </c>
      <c r="B778" s="264">
        <v>45838</v>
      </c>
      <c r="C778" s="292" t="s">
        <v>1722</v>
      </c>
      <c r="E778" s="292" t="s">
        <v>2188</v>
      </c>
      <c r="F778" s="269" t="s">
        <v>1259</v>
      </c>
      <c r="G778" s="265">
        <v>130000</v>
      </c>
      <c r="H778" s="269">
        <v>2</v>
      </c>
      <c r="K778" s="265">
        <v>260000</v>
      </c>
      <c r="M778" s="269"/>
    </row>
    <row r="779" spans="1:13" x14ac:dyDescent="0.3">
      <c r="A779" s="271">
        <v>778</v>
      </c>
      <c r="B779" s="264">
        <v>45838</v>
      </c>
      <c r="C779" s="292" t="s">
        <v>1980</v>
      </c>
      <c r="E779" s="292" t="s">
        <v>2180</v>
      </c>
      <c r="F779" s="269" t="s">
        <v>1201</v>
      </c>
      <c r="G779" s="265">
        <v>1500000</v>
      </c>
      <c r="H779" s="269">
        <v>1</v>
      </c>
      <c r="K779" s="265">
        <v>1500000</v>
      </c>
      <c r="M779" s="269"/>
    </row>
    <row r="780" spans="1:13" x14ac:dyDescent="0.3">
      <c r="A780" s="271">
        <v>779</v>
      </c>
      <c r="B780" s="264">
        <v>45838</v>
      </c>
      <c r="C780" s="292" t="s">
        <v>1980</v>
      </c>
      <c r="E780" s="292" t="s">
        <v>2181</v>
      </c>
      <c r="F780" s="269" t="s">
        <v>1803</v>
      </c>
      <c r="G780" s="265">
        <v>50000</v>
      </c>
      <c r="H780" s="269">
        <v>1</v>
      </c>
      <c r="K780" s="265">
        <v>50000</v>
      </c>
      <c r="M780" s="269"/>
    </row>
    <row r="781" spans="1:13" x14ac:dyDescent="0.3">
      <c r="A781" s="271">
        <v>780</v>
      </c>
      <c r="B781" s="264">
        <v>45838</v>
      </c>
      <c r="C781" s="292" t="s">
        <v>1467</v>
      </c>
      <c r="E781" s="292" t="s">
        <v>2178</v>
      </c>
      <c r="F781" s="269" t="s">
        <v>1464</v>
      </c>
      <c r="G781" s="265">
        <v>1500000</v>
      </c>
      <c r="H781" s="269">
        <v>1</v>
      </c>
      <c r="K781" s="265">
        <v>1500000</v>
      </c>
      <c r="M781" s="269"/>
    </row>
    <row r="782" spans="1:13" x14ac:dyDescent="0.3">
      <c r="A782" s="271">
        <v>781</v>
      </c>
      <c r="B782" s="264">
        <v>45838</v>
      </c>
      <c r="C782" s="292" t="s">
        <v>2704</v>
      </c>
      <c r="E782" s="292" t="s">
        <v>1125</v>
      </c>
      <c r="L782" s="265">
        <v>-385000</v>
      </c>
      <c r="M782" s="269"/>
    </row>
    <row r="783" spans="1:13" x14ac:dyDescent="0.3">
      <c r="A783" s="271">
        <v>782</v>
      </c>
      <c r="B783" s="264">
        <v>45836</v>
      </c>
      <c r="C783" s="292" t="s">
        <v>1894</v>
      </c>
      <c r="E783" s="292" t="s">
        <v>1125</v>
      </c>
      <c r="L783" s="265">
        <v>-1200000</v>
      </c>
      <c r="M783" s="269"/>
    </row>
    <row r="784" spans="1:13" x14ac:dyDescent="0.3">
      <c r="A784" s="271">
        <v>783</v>
      </c>
      <c r="B784" s="264">
        <v>45838</v>
      </c>
      <c r="C784" s="292" t="s">
        <v>2292</v>
      </c>
      <c r="E784" s="292" t="s">
        <v>1125</v>
      </c>
      <c r="L784" s="265">
        <v>-1550000</v>
      </c>
      <c r="M784" s="269"/>
    </row>
    <row r="785" spans="1:14" x14ac:dyDescent="0.3">
      <c r="A785" s="271">
        <v>784</v>
      </c>
      <c r="B785" s="264">
        <v>45838</v>
      </c>
      <c r="C785" s="292" t="s">
        <v>1541</v>
      </c>
      <c r="E785" s="292" t="s">
        <v>1125</v>
      </c>
      <c r="L785" s="265">
        <v>-2439000</v>
      </c>
      <c r="M785" s="269"/>
    </row>
    <row r="786" spans="1:14" x14ac:dyDescent="0.3">
      <c r="A786" s="271">
        <v>785</v>
      </c>
      <c r="B786" s="264">
        <v>45838</v>
      </c>
      <c r="C786" s="292" t="s">
        <v>1577</v>
      </c>
      <c r="E786" s="292" t="s">
        <v>1125</v>
      </c>
      <c r="L786" s="265">
        <v>-5764000</v>
      </c>
      <c r="M786" s="269"/>
    </row>
    <row r="787" spans="1:14" x14ac:dyDescent="0.3">
      <c r="A787" s="271">
        <v>786</v>
      </c>
      <c r="B787" s="264">
        <v>45838</v>
      </c>
      <c r="C787" s="292" t="s">
        <v>1580</v>
      </c>
      <c r="E787" s="292" t="s">
        <v>1125</v>
      </c>
      <c r="L787" s="265">
        <v>-1705000</v>
      </c>
      <c r="M787" s="269"/>
    </row>
    <row r="788" spans="1:14" x14ac:dyDescent="0.3">
      <c r="A788" s="271">
        <v>787</v>
      </c>
      <c r="B788" s="264">
        <v>45839</v>
      </c>
      <c r="C788" s="292" t="s">
        <v>1147</v>
      </c>
      <c r="E788" s="292" t="s">
        <v>1125</v>
      </c>
      <c r="L788" s="265">
        <v>-2110000</v>
      </c>
      <c r="M788" s="269"/>
    </row>
    <row r="789" spans="1:14" x14ac:dyDescent="0.3">
      <c r="A789" s="271">
        <v>788</v>
      </c>
      <c r="B789" s="264">
        <v>45838</v>
      </c>
      <c r="C789" s="292" t="s">
        <v>1298</v>
      </c>
      <c r="E789" s="292" t="s">
        <v>1670</v>
      </c>
      <c r="L789" s="265">
        <v>-450000</v>
      </c>
      <c r="M789" s="269"/>
    </row>
    <row r="790" spans="1:14" x14ac:dyDescent="0.3">
      <c r="A790" s="271">
        <v>789</v>
      </c>
      <c r="B790" s="264">
        <v>45838</v>
      </c>
      <c r="C790" s="292" t="s">
        <v>1378</v>
      </c>
      <c r="E790" s="292" t="s">
        <v>2723</v>
      </c>
      <c r="L790" s="265">
        <v>-150000</v>
      </c>
      <c r="M790" s="269"/>
    </row>
    <row r="791" spans="1:14" x14ac:dyDescent="0.3">
      <c r="A791" s="271">
        <v>790</v>
      </c>
      <c r="B791" s="264">
        <v>45839</v>
      </c>
      <c r="C791" s="292" t="s">
        <v>1046</v>
      </c>
      <c r="E791" s="292" t="s">
        <v>1125</v>
      </c>
      <c r="L791" s="265">
        <v>-1550000</v>
      </c>
      <c r="M791" s="269"/>
    </row>
    <row r="792" spans="1:14" x14ac:dyDescent="0.3">
      <c r="A792" s="271">
        <v>791</v>
      </c>
      <c r="B792" s="264">
        <v>45839</v>
      </c>
      <c r="C792" s="292" t="s">
        <v>2725</v>
      </c>
      <c r="E792" s="292" t="s">
        <v>2724</v>
      </c>
      <c r="G792" s="265">
        <v>150000</v>
      </c>
      <c r="H792" s="269">
        <v>1</v>
      </c>
      <c r="K792" s="265">
        <v>150000</v>
      </c>
      <c r="M792" s="269"/>
      <c r="N792" t="s">
        <v>2863</v>
      </c>
    </row>
    <row r="793" spans="1:14" x14ac:dyDescent="0.3">
      <c r="A793" s="271">
        <v>792</v>
      </c>
      <c r="B793" s="264">
        <v>45839</v>
      </c>
      <c r="C793" s="292" t="s">
        <v>1479</v>
      </c>
      <c r="E793" s="292" t="s">
        <v>1744</v>
      </c>
      <c r="F793" s="269">
        <v>2830501</v>
      </c>
      <c r="G793" s="265">
        <v>1550000</v>
      </c>
      <c r="H793" s="269">
        <v>1</v>
      </c>
      <c r="K793" s="265">
        <v>1550000</v>
      </c>
      <c r="M793" s="269"/>
      <c r="N793" t="s">
        <v>2863</v>
      </c>
    </row>
    <row r="794" spans="1:14" x14ac:dyDescent="0.3">
      <c r="A794" s="271">
        <v>793</v>
      </c>
      <c r="B794" s="264">
        <v>45839</v>
      </c>
      <c r="C794" s="292" t="s">
        <v>1580</v>
      </c>
      <c r="E794" s="292" t="s">
        <v>1205</v>
      </c>
      <c r="F794" s="269" t="s">
        <v>1204</v>
      </c>
      <c r="G794" s="265">
        <v>1200000</v>
      </c>
      <c r="H794" s="269">
        <v>1</v>
      </c>
      <c r="J794" s="266">
        <v>120000</v>
      </c>
      <c r="K794" s="265">
        <v>1320000</v>
      </c>
      <c r="M794" s="269"/>
      <c r="N794" t="s">
        <v>2863</v>
      </c>
    </row>
    <row r="795" spans="1:14" x14ac:dyDescent="0.3">
      <c r="A795" s="271">
        <v>794</v>
      </c>
      <c r="B795" s="264">
        <v>45839</v>
      </c>
      <c r="C795" s="292" t="s">
        <v>1373</v>
      </c>
      <c r="E795" s="292" t="s">
        <v>1746</v>
      </c>
      <c r="L795" s="265">
        <v>-600000</v>
      </c>
      <c r="M795" s="269"/>
    </row>
    <row r="796" spans="1:14" x14ac:dyDescent="0.3">
      <c r="A796" s="271">
        <v>795</v>
      </c>
      <c r="B796" s="264">
        <v>45839</v>
      </c>
      <c r="C796" s="292" t="s">
        <v>1290</v>
      </c>
      <c r="E796" s="292" t="s">
        <v>2730</v>
      </c>
      <c r="L796" s="265">
        <v>-1500000</v>
      </c>
      <c r="M796" s="269"/>
    </row>
    <row r="797" spans="1:14" x14ac:dyDescent="0.3">
      <c r="A797" s="271">
        <v>796</v>
      </c>
      <c r="B797" s="264">
        <v>45839</v>
      </c>
      <c r="C797" s="292" t="s">
        <v>1399</v>
      </c>
      <c r="E797" s="292" t="s">
        <v>1125</v>
      </c>
      <c r="L797" s="265">
        <v>-10500000</v>
      </c>
      <c r="M797" s="269"/>
    </row>
    <row r="798" spans="1:14" x14ac:dyDescent="0.3">
      <c r="A798" s="271">
        <v>797</v>
      </c>
      <c r="B798" s="264">
        <v>45839</v>
      </c>
      <c r="C798" s="292" t="s">
        <v>1399</v>
      </c>
      <c r="E798" s="292" t="s">
        <v>2731</v>
      </c>
      <c r="L798" s="265">
        <v>-114000</v>
      </c>
      <c r="M798" s="269"/>
    </row>
    <row r="799" spans="1:14" x14ac:dyDescent="0.3">
      <c r="A799" s="271">
        <v>798</v>
      </c>
      <c r="B799" s="264">
        <v>45839</v>
      </c>
      <c r="C799" s="292" t="s">
        <v>2732</v>
      </c>
      <c r="E799" s="292" t="s">
        <v>2343</v>
      </c>
      <c r="G799" s="265">
        <v>150000</v>
      </c>
      <c r="H799" s="269">
        <v>1</v>
      </c>
      <c r="K799" s="265">
        <v>150000</v>
      </c>
      <c r="M799" s="269"/>
      <c r="N799" t="s">
        <v>2863</v>
      </c>
    </row>
    <row r="800" spans="1:14" x14ac:dyDescent="0.3">
      <c r="A800" s="271">
        <v>799</v>
      </c>
      <c r="B800" s="264">
        <v>45839</v>
      </c>
      <c r="C800" s="292" t="s">
        <v>1444</v>
      </c>
      <c r="E800" s="292" t="s">
        <v>1703</v>
      </c>
      <c r="F800" s="269">
        <v>7252703114</v>
      </c>
      <c r="G800" s="265">
        <v>129000</v>
      </c>
      <c r="H800" s="269">
        <v>3</v>
      </c>
      <c r="K800" s="265">
        <v>387000</v>
      </c>
      <c r="M800" s="269"/>
      <c r="N800" t="s">
        <v>2863</v>
      </c>
    </row>
    <row r="801" spans="1:14" x14ac:dyDescent="0.3">
      <c r="A801" s="271">
        <v>800</v>
      </c>
      <c r="B801" s="264">
        <v>45839</v>
      </c>
      <c r="C801" s="292" t="s">
        <v>1444</v>
      </c>
      <c r="E801" s="292" t="s">
        <v>2667</v>
      </c>
      <c r="F801" s="269">
        <v>1087298437</v>
      </c>
      <c r="G801" s="265">
        <v>80000</v>
      </c>
      <c r="H801" s="269">
        <v>1</v>
      </c>
      <c r="K801" s="265">
        <v>80000</v>
      </c>
      <c r="M801" s="269"/>
      <c r="N801" t="s">
        <v>2863</v>
      </c>
    </row>
    <row r="802" spans="1:14" x14ac:dyDescent="0.3">
      <c r="A802" s="271">
        <v>801</v>
      </c>
      <c r="B802" s="264">
        <v>45839</v>
      </c>
      <c r="C802" s="292" t="s">
        <v>2732</v>
      </c>
      <c r="E802" s="292" t="s">
        <v>1125</v>
      </c>
      <c r="L802" s="265">
        <v>-150000</v>
      </c>
      <c r="M802" s="269"/>
    </row>
    <row r="803" spans="1:14" x14ac:dyDescent="0.3">
      <c r="A803" s="271">
        <v>802</v>
      </c>
      <c r="B803" s="264">
        <v>45839</v>
      </c>
      <c r="C803" s="292" t="s">
        <v>1980</v>
      </c>
      <c r="E803" s="292" t="s">
        <v>1125</v>
      </c>
      <c r="L803" s="265">
        <v>-1550000</v>
      </c>
      <c r="M803" s="269"/>
    </row>
    <row r="804" spans="1:14" x14ac:dyDescent="0.3">
      <c r="A804" s="271">
        <v>803</v>
      </c>
      <c r="B804" s="264">
        <v>45840</v>
      </c>
      <c r="C804" s="292" t="s">
        <v>2740</v>
      </c>
      <c r="E804" s="292" t="s">
        <v>2299</v>
      </c>
      <c r="G804" s="265">
        <v>650000</v>
      </c>
      <c r="H804" s="269">
        <v>1</v>
      </c>
      <c r="J804" s="266">
        <v>65000</v>
      </c>
      <c r="K804" s="265">
        <v>715000</v>
      </c>
      <c r="M804" s="269"/>
      <c r="N804" t="s">
        <v>2863</v>
      </c>
    </row>
    <row r="805" spans="1:14" x14ac:dyDescent="0.3">
      <c r="A805" s="271">
        <v>804</v>
      </c>
      <c r="B805" s="264">
        <v>45840</v>
      </c>
      <c r="C805" s="292" t="s">
        <v>2742</v>
      </c>
      <c r="E805" s="292" t="s">
        <v>1203</v>
      </c>
      <c r="F805" s="269" t="s">
        <v>1752</v>
      </c>
      <c r="G805" s="265">
        <v>1200000</v>
      </c>
      <c r="H805" s="269">
        <v>1</v>
      </c>
      <c r="K805" s="265">
        <v>1200000</v>
      </c>
      <c r="M805" s="269"/>
      <c r="N805" t="s">
        <v>2863</v>
      </c>
    </row>
    <row r="806" spans="1:14" x14ac:dyDescent="0.3">
      <c r="A806" s="271">
        <v>805</v>
      </c>
      <c r="B806" s="264">
        <v>45840</v>
      </c>
      <c r="C806" s="292" t="s">
        <v>2742</v>
      </c>
      <c r="E806" s="292" t="s">
        <v>2747</v>
      </c>
      <c r="L806" s="265">
        <v>-1200000</v>
      </c>
      <c r="M806" s="269"/>
    </row>
    <row r="807" spans="1:14" x14ac:dyDescent="0.3">
      <c r="A807" s="271">
        <v>806</v>
      </c>
      <c r="B807" s="264">
        <v>45840</v>
      </c>
      <c r="C807" s="292" t="s">
        <v>1580</v>
      </c>
      <c r="E807" s="292" t="s">
        <v>1125</v>
      </c>
      <c r="L807" s="265">
        <v>-1375000</v>
      </c>
      <c r="M807" s="269"/>
    </row>
    <row r="808" spans="1:14" x14ac:dyDescent="0.3">
      <c r="A808" s="271">
        <v>807</v>
      </c>
      <c r="B808" s="264">
        <v>45840</v>
      </c>
      <c r="C808" s="292" t="s">
        <v>1580</v>
      </c>
      <c r="E808" s="292" t="s">
        <v>1266</v>
      </c>
      <c r="F808" s="269" t="s">
        <v>1265</v>
      </c>
      <c r="G808" s="265">
        <v>50000</v>
      </c>
      <c r="H808" s="269">
        <v>1</v>
      </c>
      <c r="J808" s="266">
        <v>5000</v>
      </c>
      <c r="K808" s="265">
        <v>55000</v>
      </c>
      <c r="M808" s="269"/>
      <c r="N808" t="s">
        <v>2863</v>
      </c>
    </row>
    <row r="809" spans="1:14" x14ac:dyDescent="0.3">
      <c r="A809" s="271">
        <v>808</v>
      </c>
      <c r="B809" s="264">
        <v>45840</v>
      </c>
      <c r="C809" s="292" t="s">
        <v>1961</v>
      </c>
      <c r="E809" s="292" t="s">
        <v>2180</v>
      </c>
      <c r="F809" s="269" t="s">
        <v>1201</v>
      </c>
      <c r="G809" s="265">
        <v>1500000</v>
      </c>
      <c r="H809" s="269">
        <v>1</v>
      </c>
      <c r="K809" s="265">
        <v>1500000</v>
      </c>
      <c r="M809" s="269"/>
      <c r="N809" t="s">
        <v>2863</v>
      </c>
    </row>
    <row r="810" spans="1:14" x14ac:dyDescent="0.3">
      <c r="A810" s="271">
        <v>809</v>
      </c>
      <c r="B810" s="264">
        <v>45840</v>
      </c>
      <c r="C810" s="292" t="s">
        <v>1961</v>
      </c>
      <c r="E810" s="292" t="s">
        <v>2181</v>
      </c>
      <c r="F810" s="269" t="s">
        <v>1803</v>
      </c>
      <c r="G810" s="265">
        <v>50000</v>
      </c>
      <c r="H810" s="269">
        <v>1</v>
      </c>
      <c r="K810" s="265">
        <v>50000</v>
      </c>
      <c r="M810" s="269"/>
      <c r="N810" t="s">
        <v>2863</v>
      </c>
    </row>
    <row r="811" spans="1:14" x14ac:dyDescent="0.3">
      <c r="A811" s="271">
        <v>810</v>
      </c>
      <c r="B811" s="264">
        <v>45840</v>
      </c>
      <c r="C811" s="292" t="s">
        <v>1961</v>
      </c>
      <c r="E811" s="292" t="s">
        <v>2182</v>
      </c>
      <c r="F811" s="269" t="s">
        <v>2217</v>
      </c>
      <c r="G811" s="265">
        <v>250000</v>
      </c>
      <c r="H811" s="269">
        <v>1</v>
      </c>
      <c r="K811" s="265">
        <v>250000</v>
      </c>
      <c r="M811" s="269"/>
      <c r="N811" t="s">
        <v>2863</v>
      </c>
    </row>
    <row r="812" spans="1:14" x14ac:dyDescent="0.3">
      <c r="A812" s="271">
        <v>811</v>
      </c>
      <c r="B812" s="264">
        <v>45840</v>
      </c>
      <c r="C812" s="292" t="s">
        <v>1961</v>
      </c>
      <c r="E812" s="292" t="s">
        <v>2183</v>
      </c>
      <c r="F812" s="269" t="s">
        <v>1720</v>
      </c>
      <c r="G812" s="265">
        <v>70000</v>
      </c>
      <c r="H812" s="269">
        <v>1</v>
      </c>
      <c r="K812" s="265">
        <v>70000</v>
      </c>
      <c r="M812" s="269"/>
      <c r="N812" t="s">
        <v>2863</v>
      </c>
    </row>
    <row r="813" spans="1:14" x14ac:dyDescent="0.3">
      <c r="A813" s="271">
        <v>812</v>
      </c>
      <c r="B813" s="264">
        <v>45840</v>
      </c>
      <c r="C813" s="292" t="s">
        <v>1328</v>
      </c>
      <c r="E813" s="292" t="s">
        <v>1219</v>
      </c>
      <c r="F813" s="269" t="s">
        <v>2162</v>
      </c>
      <c r="G813" s="265">
        <v>1200000</v>
      </c>
      <c r="H813" s="269">
        <v>1</v>
      </c>
      <c r="K813" s="265">
        <v>1200000</v>
      </c>
      <c r="M813" s="269"/>
      <c r="N813" t="s">
        <v>2863</v>
      </c>
    </row>
    <row r="814" spans="1:14" x14ac:dyDescent="0.3">
      <c r="A814" s="271">
        <v>813</v>
      </c>
      <c r="B814" s="264">
        <v>45841</v>
      </c>
      <c r="C814" s="292" t="s">
        <v>1046</v>
      </c>
      <c r="E814" s="292" t="s">
        <v>2180</v>
      </c>
      <c r="F814" s="269" t="s">
        <v>1201</v>
      </c>
      <c r="G814" s="265">
        <v>1500000</v>
      </c>
      <c r="H814" s="269">
        <v>1</v>
      </c>
      <c r="K814" s="265">
        <v>1500000</v>
      </c>
      <c r="M814" s="269"/>
      <c r="N814" t="s">
        <v>2863</v>
      </c>
    </row>
    <row r="815" spans="1:14" x14ac:dyDescent="0.3">
      <c r="A815" s="271">
        <v>814</v>
      </c>
      <c r="B815" s="264">
        <v>45841</v>
      </c>
      <c r="C815" s="292" t="s">
        <v>1046</v>
      </c>
      <c r="E815" s="292" t="s">
        <v>2181</v>
      </c>
      <c r="F815" s="269" t="s">
        <v>1803</v>
      </c>
      <c r="G815" s="265">
        <v>50000</v>
      </c>
      <c r="H815" s="269">
        <v>1</v>
      </c>
      <c r="K815" s="265">
        <v>50000</v>
      </c>
      <c r="M815" s="269"/>
      <c r="N815" t="s">
        <v>2863</v>
      </c>
    </row>
    <row r="816" spans="1:14" x14ac:dyDescent="0.3">
      <c r="A816" s="271">
        <v>815</v>
      </c>
      <c r="B816" s="264">
        <v>45841</v>
      </c>
      <c r="C816" s="292" t="s">
        <v>2725</v>
      </c>
      <c r="E816" s="292" t="s">
        <v>1125</v>
      </c>
      <c r="L816" s="265">
        <v>-150000</v>
      </c>
      <c r="M816" s="269"/>
    </row>
    <row r="817" spans="1:14" x14ac:dyDescent="0.3">
      <c r="A817" s="271">
        <v>816</v>
      </c>
      <c r="B817" s="264">
        <v>45841</v>
      </c>
      <c r="C817" s="292" t="s">
        <v>2762</v>
      </c>
      <c r="E817" s="292" t="s">
        <v>1561</v>
      </c>
      <c r="F817" s="269">
        <v>54463610</v>
      </c>
      <c r="G817" s="265">
        <v>1600000</v>
      </c>
      <c r="H817" s="269">
        <v>1</v>
      </c>
      <c r="K817" s="265">
        <v>1600000</v>
      </c>
      <c r="M817" s="269"/>
      <c r="N817" t="s">
        <v>2863</v>
      </c>
    </row>
    <row r="818" spans="1:14" x14ac:dyDescent="0.3">
      <c r="A818" s="271">
        <v>817</v>
      </c>
      <c r="B818" s="264">
        <v>45841</v>
      </c>
      <c r="C818" s="292" t="s">
        <v>1809</v>
      </c>
      <c r="E818" s="292" t="s">
        <v>1496</v>
      </c>
      <c r="F818" s="269" t="s">
        <v>2679</v>
      </c>
      <c r="G818" s="265">
        <v>350000</v>
      </c>
      <c r="H818" s="269">
        <v>1</v>
      </c>
      <c r="K818" s="265">
        <v>350000</v>
      </c>
      <c r="M818" s="269"/>
      <c r="N818" t="s">
        <v>2863</v>
      </c>
    </row>
    <row r="819" spans="1:14" x14ac:dyDescent="0.3">
      <c r="A819" s="271">
        <v>818</v>
      </c>
      <c r="B819" s="264">
        <v>45841</v>
      </c>
      <c r="C819" s="292" t="s">
        <v>2261</v>
      </c>
      <c r="E819" s="292" t="s">
        <v>1203</v>
      </c>
      <c r="F819" s="269" t="s">
        <v>1752</v>
      </c>
      <c r="G819" s="265">
        <v>1200000</v>
      </c>
      <c r="H819" s="269">
        <v>1</v>
      </c>
      <c r="K819" s="265">
        <v>1200000</v>
      </c>
      <c r="M819" s="269"/>
      <c r="N819" t="s">
        <v>2863</v>
      </c>
    </row>
    <row r="820" spans="1:14" x14ac:dyDescent="0.3">
      <c r="A820" s="271">
        <v>819</v>
      </c>
      <c r="B820" s="264">
        <v>45841</v>
      </c>
      <c r="C820" s="292" t="s">
        <v>1287</v>
      </c>
      <c r="E820" s="292" t="s">
        <v>1219</v>
      </c>
      <c r="F820" s="269" t="s">
        <v>2162</v>
      </c>
      <c r="G820" s="265">
        <v>1200000</v>
      </c>
      <c r="H820" s="269">
        <v>1</v>
      </c>
      <c r="J820" s="266">
        <v>120000</v>
      </c>
      <c r="K820" s="265">
        <v>1320000</v>
      </c>
      <c r="M820" s="269"/>
      <c r="N820" t="s">
        <v>2863</v>
      </c>
    </row>
    <row r="821" spans="1:14" x14ac:dyDescent="0.3">
      <c r="A821" s="271">
        <v>820</v>
      </c>
      <c r="B821" s="264">
        <v>45841</v>
      </c>
      <c r="C821" s="292" t="s">
        <v>2762</v>
      </c>
      <c r="E821" s="292" t="s">
        <v>1125</v>
      </c>
      <c r="L821" s="265">
        <v>-1600000</v>
      </c>
      <c r="M821" s="269"/>
    </row>
    <row r="822" spans="1:14" x14ac:dyDescent="0.3">
      <c r="A822" s="271">
        <v>821</v>
      </c>
      <c r="B822" s="264">
        <v>45841</v>
      </c>
      <c r="C822" s="292" t="s">
        <v>2261</v>
      </c>
      <c r="E822" s="292" t="s">
        <v>1125</v>
      </c>
      <c r="L822" s="265">
        <v>-1200000</v>
      </c>
      <c r="M822" s="269"/>
    </row>
    <row r="823" spans="1:14" x14ac:dyDescent="0.3">
      <c r="A823" s="271">
        <v>822</v>
      </c>
      <c r="B823" s="264">
        <v>45841</v>
      </c>
      <c r="C823" s="292" t="s">
        <v>1961</v>
      </c>
      <c r="E823" s="292" t="s">
        <v>1125</v>
      </c>
      <c r="L823" s="265">
        <v>-1870000</v>
      </c>
      <c r="M823" s="269"/>
    </row>
    <row r="824" spans="1:14" x14ac:dyDescent="0.3">
      <c r="A824" s="271">
        <v>823</v>
      </c>
      <c r="B824" s="264">
        <v>45842</v>
      </c>
      <c r="C824" s="292" t="s">
        <v>2769</v>
      </c>
      <c r="E824" s="292" t="s">
        <v>2255</v>
      </c>
      <c r="F824" s="269" t="s">
        <v>2254</v>
      </c>
      <c r="G824" s="265">
        <v>1600000</v>
      </c>
      <c r="H824" s="269">
        <v>1</v>
      </c>
      <c r="J824" s="266">
        <v>160000</v>
      </c>
      <c r="K824" s="265">
        <v>1760000</v>
      </c>
      <c r="M824" s="269"/>
      <c r="N824" t="s">
        <v>2863</v>
      </c>
    </row>
    <row r="825" spans="1:14" x14ac:dyDescent="0.3">
      <c r="A825" s="271">
        <v>824</v>
      </c>
      <c r="B825" s="264">
        <v>45842</v>
      </c>
      <c r="C825" s="292" t="s">
        <v>2769</v>
      </c>
      <c r="E825" s="292" t="s">
        <v>2612</v>
      </c>
      <c r="F825" s="269" t="s">
        <v>1755</v>
      </c>
      <c r="G825" s="265">
        <v>50000</v>
      </c>
      <c r="H825" s="269">
        <v>1</v>
      </c>
      <c r="J825" s="266">
        <v>5000</v>
      </c>
      <c r="K825" s="265">
        <v>55000</v>
      </c>
      <c r="M825" s="269"/>
      <c r="N825" t="s">
        <v>2863</v>
      </c>
    </row>
    <row r="826" spans="1:14" x14ac:dyDescent="0.3">
      <c r="A826" s="271">
        <v>825</v>
      </c>
      <c r="B826" s="264">
        <v>45842</v>
      </c>
      <c r="C826" s="292" t="s">
        <v>1082</v>
      </c>
      <c r="E826" s="292" t="s">
        <v>1125</v>
      </c>
      <c r="L826" s="265">
        <v>-1450000</v>
      </c>
      <c r="M826" s="269"/>
    </row>
    <row r="827" spans="1:14" x14ac:dyDescent="0.3">
      <c r="A827" s="271">
        <v>826</v>
      </c>
      <c r="B827" s="264">
        <v>45842</v>
      </c>
      <c r="C827" s="292" t="s">
        <v>2772</v>
      </c>
      <c r="E827" s="292" t="s">
        <v>1125</v>
      </c>
      <c r="L827" s="265">
        <v>-1815000</v>
      </c>
      <c r="M827" s="269"/>
    </row>
    <row r="828" spans="1:14" x14ac:dyDescent="0.3">
      <c r="A828" s="271">
        <v>827</v>
      </c>
      <c r="B828" s="264">
        <v>45842</v>
      </c>
      <c r="C828" s="292" t="s">
        <v>1082</v>
      </c>
      <c r="E828" s="292" t="s">
        <v>2731</v>
      </c>
      <c r="L828" s="265">
        <v>-50000</v>
      </c>
      <c r="M828" s="269"/>
    </row>
    <row r="829" spans="1:14" x14ac:dyDescent="0.3">
      <c r="A829" s="271">
        <v>828</v>
      </c>
      <c r="B829" s="264">
        <v>45842</v>
      </c>
      <c r="C829" s="292" t="s">
        <v>1598</v>
      </c>
      <c r="E829" s="292" t="s">
        <v>1203</v>
      </c>
      <c r="F829" s="269" t="s">
        <v>1752</v>
      </c>
      <c r="G829" s="265">
        <v>1000000</v>
      </c>
      <c r="H829" s="269">
        <v>1</v>
      </c>
      <c r="K829" s="265">
        <v>1000000</v>
      </c>
      <c r="M829" s="269"/>
      <c r="N829" t="s">
        <v>2863</v>
      </c>
    </row>
    <row r="830" spans="1:14" x14ac:dyDescent="0.3">
      <c r="A830" s="271">
        <v>829</v>
      </c>
      <c r="B830" s="264">
        <v>45842</v>
      </c>
      <c r="C830" s="292" t="s">
        <v>1580</v>
      </c>
      <c r="E830" s="292" t="s">
        <v>1705</v>
      </c>
      <c r="F830" s="269" t="s">
        <v>1704</v>
      </c>
      <c r="G830" s="265">
        <v>50000</v>
      </c>
      <c r="H830" s="269">
        <v>1</v>
      </c>
      <c r="J830" s="266">
        <v>5000</v>
      </c>
      <c r="K830" s="265">
        <v>55000</v>
      </c>
      <c r="M830" s="269"/>
      <c r="N830" t="s">
        <v>2863</v>
      </c>
    </row>
    <row r="831" spans="1:14" x14ac:dyDescent="0.3">
      <c r="A831" s="271">
        <v>830</v>
      </c>
      <c r="B831" s="264">
        <v>45842</v>
      </c>
      <c r="C831" s="292" t="s">
        <v>1290</v>
      </c>
      <c r="E831" s="292" t="s">
        <v>2577</v>
      </c>
      <c r="F831" s="269" t="s">
        <v>2576</v>
      </c>
      <c r="G831" s="265">
        <v>1500000</v>
      </c>
      <c r="H831" s="269">
        <v>1</v>
      </c>
      <c r="J831" s="266" t="s">
        <v>2907</v>
      </c>
      <c r="K831" s="265">
        <v>1650000</v>
      </c>
      <c r="M831" s="269"/>
      <c r="N831" t="s">
        <v>2863</v>
      </c>
    </row>
    <row r="832" spans="1:14" x14ac:dyDescent="0.3">
      <c r="A832" s="271">
        <v>831</v>
      </c>
      <c r="B832" s="264">
        <v>45842</v>
      </c>
      <c r="C832" s="292" t="s">
        <v>1147</v>
      </c>
      <c r="E832" s="292" t="s">
        <v>1203</v>
      </c>
      <c r="F832" s="269" t="s">
        <v>1752</v>
      </c>
      <c r="G832" s="265">
        <v>1200000</v>
      </c>
      <c r="H832" s="269">
        <v>1</v>
      </c>
      <c r="K832" s="265">
        <v>1200000</v>
      </c>
      <c r="M832" s="269"/>
      <c r="N832" t="s">
        <v>2863</v>
      </c>
    </row>
    <row r="833" spans="1:14" x14ac:dyDescent="0.3">
      <c r="A833" s="271">
        <v>832</v>
      </c>
      <c r="B833" s="264">
        <v>45842</v>
      </c>
      <c r="C833" s="292" t="s">
        <v>2740</v>
      </c>
      <c r="E833" s="292" t="s">
        <v>1125</v>
      </c>
      <c r="L833" s="265">
        <v>-715000</v>
      </c>
      <c r="M833" s="269"/>
    </row>
    <row r="834" spans="1:14" x14ac:dyDescent="0.3">
      <c r="A834" s="271">
        <v>833</v>
      </c>
      <c r="B834" s="264">
        <v>45842</v>
      </c>
      <c r="C834" s="292" t="s">
        <v>1473</v>
      </c>
      <c r="E834" s="292" t="s">
        <v>1125</v>
      </c>
      <c r="L834" s="265">
        <v>-1500000</v>
      </c>
      <c r="M834" s="269"/>
    </row>
    <row r="835" spans="1:14" x14ac:dyDescent="0.3">
      <c r="A835" s="271">
        <v>834</v>
      </c>
      <c r="B835" s="264">
        <v>45842</v>
      </c>
      <c r="C835" s="292" t="s">
        <v>1809</v>
      </c>
      <c r="E835" s="292" t="s">
        <v>1125</v>
      </c>
      <c r="L835" s="265">
        <v>-350000</v>
      </c>
      <c r="M835" s="269"/>
    </row>
    <row r="836" spans="1:14" x14ac:dyDescent="0.3">
      <c r="A836" s="271">
        <v>835</v>
      </c>
      <c r="B836" s="264">
        <v>45842</v>
      </c>
      <c r="C836" s="292" t="s">
        <v>1598</v>
      </c>
      <c r="E836" s="292" t="s">
        <v>1125</v>
      </c>
      <c r="L836" s="265">
        <v>-1000000</v>
      </c>
      <c r="M836" s="269"/>
    </row>
    <row r="837" spans="1:14" x14ac:dyDescent="0.3">
      <c r="A837" s="271">
        <v>836</v>
      </c>
      <c r="B837" s="264">
        <v>45842</v>
      </c>
      <c r="C837" s="292" t="s">
        <v>1722</v>
      </c>
      <c r="E837" s="292" t="s">
        <v>1125</v>
      </c>
      <c r="L837" s="265">
        <v>-10000000</v>
      </c>
      <c r="M837" s="269"/>
    </row>
    <row r="838" spans="1:14" x14ac:dyDescent="0.3">
      <c r="A838" s="271">
        <v>837</v>
      </c>
      <c r="B838" s="264">
        <v>45843</v>
      </c>
      <c r="C838" s="292" t="s">
        <v>1541</v>
      </c>
      <c r="E838" s="292" t="s">
        <v>1203</v>
      </c>
      <c r="F838" s="269" t="s">
        <v>1752</v>
      </c>
      <c r="G838" s="265">
        <v>1200000</v>
      </c>
      <c r="H838" s="269">
        <v>1</v>
      </c>
      <c r="K838" s="265">
        <v>1200000</v>
      </c>
      <c r="M838" s="269"/>
      <c r="N838" t="s">
        <v>2863</v>
      </c>
    </row>
    <row r="839" spans="1:14" x14ac:dyDescent="0.3">
      <c r="A839" s="271">
        <v>838</v>
      </c>
      <c r="B839" s="264">
        <v>45843</v>
      </c>
      <c r="C839" s="292" t="s">
        <v>1541</v>
      </c>
      <c r="E839" s="292" t="s">
        <v>1496</v>
      </c>
      <c r="F839" s="269" t="s">
        <v>2679</v>
      </c>
      <c r="G839" s="265">
        <v>350000</v>
      </c>
      <c r="H839" s="269">
        <v>1</v>
      </c>
      <c r="K839" s="265">
        <v>350000</v>
      </c>
      <c r="M839" s="269"/>
      <c r="N839" t="s">
        <v>2863</v>
      </c>
    </row>
    <row r="840" spans="1:14" x14ac:dyDescent="0.3">
      <c r="A840" s="271">
        <v>839</v>
      </c>
      <c r="B840" s="264">
        <v>45845</v>
      </c>
      <c r="C840" s="292" t="s">
        <v>1018</v>
      </c>
      <c r="E840" s="292" t="s">
        <v>1125</v>
      </c>
      <c r="L840" s="265">
        <v>-5582500</v>
      </c>
      <c r="M840" s="269"/>
    </row>
    <row r="841" spans="1:14" x14ac:dyDescent="0.3">
      <c r="A841" s="271">
        <v>840</v>
      </c>
      <c r="B841" s="264">
        <v>45845</v>
      </c>
      <c r="C841" s="292" t="s">
        <v>1444</v>
      </c>
      <c r="E841" s="292" t="s">
        <v>1505</v>
      </c>
      <c r="G841" s="265">
        <v>1200000</v>
      </c>
      <c r="H841" s="269">
        <v>1</v>
      </c>
      <c r="K841" s="265">
        <v>1200000</v>
      </c>
      <c r="M841" s="269"/>
      <c r="N841" t="s">
        <v>2863</v>
      </c>
    </row>
    <row r="842" spans="1:14" x14ac:dyDescent="0.3">
      <c r="A842" s="271">
        <v>841</v>
      </c>
      <c r="B842" s="264">
        <v>45845</v>
      </c>
      <c r="C842" s="292" t="s">
        <v>1444</v>
      </c>
      <c r="E842" s="292" t="s">
        <v>1506</v>
      </c>
      <c r="G842" s="265">
        <v>100000</v>
      </c>
      <c r="H842" s="269">
        <v>1</v>
      </c>
      <c r="K842" s="265">
        <v>100000</v>
      </c>
      <c r="M842" s="269"/>
      <c r="N842" t="s">
        <v>2863</v>
      </c>
    </row>
    <row r="843" spans="1:14" x14ac:dyDescent="0.3">
      <c r="A843" s="271">
        <v>842</v>
      </c>
      <c r="B843" s="264">
        <v>45845</v>
      </c>
      <c r="C843" s="292" t="s">
        <v>1479</v>
      </c>
      <c r="E843" s="292" t="s">
        <v>2418</v>
      </c>
      <c r="F843" s="269" t="s">
        <v>2748</v>
      </c>
      <c r="G843" s="265">
        <v>1100000</v>
      </c>
      <c r="H843" s="269">
        <v>1</v>
      </c>
      <c r="K843" s="265">
        <v>1100000</v>
      </c>
      <c r="M843" s="269"/>
      <c r="N843" t="s">
        <v>2863</v>
      </c>
    </row>
    <row r="844" spans="1:14" x14ac:dyDescent="0.3">
      <c r="A844" s="271">
        <v>843</v>
      </c>
      <c r="B844" s="264">
        <v>45845</v>
      </c>
      <c r="C844" s="292" t="s">
        <v>2789</v>
      </c>
      <c r="E844" s="292" t="s">
        <v>2180</v>
      </c>
      <c r="F844" s="269" t="s">
        <v>1201</v>
      </c>
      <c r="G844" s="265">
        <v>1500000</v>
      </c>
      <c r="H844" s="269">
        <v>1</v>
      </c>
      <c r="K844" s="265">
        <v>1500000</v>
      </c>
      <c r="M844" s="269"/>
      <c r="N844" t="s">
        <v>2863</v>
      </c>
    </row>
    <row r="845" spans="1:14" x14ac:dyDescent="0.3">
      <c r="A845" s="271">
        <v>844</v>
      </c>
      <c r="B845" s="264">
        <v>45845</v>
      </c>
      <c r="C845" s="292" t="s">
        <v>2789</v>
      </c>
      <c r="E845" s="292" t="s">
        <v>2181</v>
      </c>
      <c r="F845" s="269" t="s">
        <v>1803</v>
      </c>
      <c r="G845" s="265">
        <v>50000</v>
      </c>
      <c r="H845" s="269">
        <v>1</v>
      </c>
      <c r="K845" s="265">
        <v>50000</v>
      </c>
      <c r="M845" s="269"/>
      <c r="N845" t="s">
        <v>2863</v>
      </c>
    </row>
    <row r="846" spans="1:14" x14ac:dyDescent="0.3">
      <c r="A846" s="271">
        <v>845</v>
      </c>
      <c r="B846" s="264">
        <v>45845</v>
      </c>
      <c r="C846" s="292" t="s">
        <v>2597</v>
      </c>
      <c r="E846" s="292" t="s">
        <v>2180</v>
      </c>
      <c r="F846" s="269" t="s">
        <v>1201</v>
      </c>
      <c r="G846" s="265">
        <v>1500000</v>
      </c>
      <c r="H846" s="269">
        <v>1</v>
      </c>
      <c r="K846" s="265">
        <v>1500000</v>
      </c>
      <c r="M846" s="269"/>
      <c r="N846" t="s">
        <v>2863</v>
      </c>
    </row>
    <row r="847" spans="1:14" x14ac:dyDescent="0.3">
      <c r="A847" s="271">
        <v>846</v>
      </c>
      <c r="B847" s="264">
        <v>45845</v>
      </c>
      <c r="C847" s="292" t="s">
        <v>2597</v>
      </c>
      <c r="E847" s="292" t="s">
        <v>2181</v>
      </c>
      <c r="F847" s="269" t="s">
        <v>1803</v>
      </c>
      <c r="G847" s="265">
        <v>50000</v>
      </c>
      <c r="H847" s="269">
        <v>1</v>
      </c>
      <c r="K847" s="265">
        <v>50000</v>
      </c>
      <c r="M847" s="269"/>
      <c r="N847" t="s">
        <v>2863</v>
      </c>
    </row>
    <row r="848" spans="1:14" x14ac:dyDescent="0.3">
      <c r="A848" s="271">
        <v>847</v>
      </c>
      <c r="B848" s="264">
        <v>45845</v>
      </c>
      <c r="C848" s="292" t="s">
        <v>2783</v>
      </c>
      <c r="E848" s="292" t="s">
        <v>2180</v>
      </c>
      <c r="F848" s="269" t="s">
        <v>1201</v>
      </c>
      <c r="G848" s="265">
        <v>1500000</v>
      </c>
      <c r="H848" s="269">
        <v>1</v>
      </c>
      <c r="K848" s="265">
        <v>1500000</v>
      </c>
      <c r="M848" s="269"/>
      <c r="N848" t="s">
        <v>2863</v>
      </c>
    </row>
    <row r="849" spans="1:14" x14ac:dyDescent="0.3">
      <c r="A849" s="271">
        <v>848</v>
      </c>
      <c r="B849" s="264">
        <v>45845</v>
      </c>
      <c r="C849" s="292" t="s">
        <v>2783</v>
      </c>
      <c r="E849" s="292" t="s">
        <v>2181</v>
      </c>
      <c r="F849" s="269" t="s">
        <v>1803</v>
      </c>
      <c r="G849" s="265">
        <v>50000</v>
      </c>
      <c r="H849" s="269">
        <v>1</v>
      </c>
      <c r="K849" s="265">
        <v>50000</v>
      </c>
      <c r="M849" s="269"/>
      <c r="N849" t="s">
        <v>2863</v>
      </c>
    </row>
    <row r="850" spans="1:14" x14ac:dyDescent="0.3">
      <c r="A850" s="271">
        <v>849</v>
      </c>
      <c r="B850" s="264">
        <v>45845</v>
      </c>
      <c r="C850" s="292" t="s">
        <v>1147</v>
      </c>
      <c r="E850" s="292" t="s">
        <v>2400</v>
      </c>
      <c r="F850" s="269" t="s">
        <v>2399</v>
      </c>
      <c r="G850" s="265">
        <v>900000</v>
      </c>
      <c r="H850" s="269">
        <v>1</v>
      </c>
      <c r="K850" s="265">
        <v>900000</v>
      </c>
      <c r="M850" s="269"/>
      <c r="N850" t="s">
        <v>2863</v>
      </c>
    </row>
    <row r="851" spans="1:14" x14ac:dyDescent="0.3">
      <c r="A851" s="271">
        <v>850</v>
      </c>
      <c r="B851" s="264">
        <v>45845</v>
      </c>
      <c r="C851" s="292" t="s">
        <v>1147</v>
      </c>
      <c r="E851" s="292" t="s">
        <v>2413</v>
      </c>
      <c r="G851" s="265">
        <v>50000</v>
      </c>
      <c r="H851" s="269">
        <v>1</v>
      </c>
      <c r="K851" s="265">
        <v>50000</v>
      </c>
      <c r="M851" s="269"/>
      <c r="N851" t="s">
        <v>2863</v>
      </c>
    </row>
    <row r="852" spans="1:14" x14ac:dyDescent="0.3">
      <c r="A852" s="271">
        <v>851</v>
      </c>
      <c r="B852" s="264">
        <v>45845</v>
      </c>
      <c r="C852" s="292" t="s">
        <v>1870</v>
      </c>
      <c r="E852" s="292" t="s">
        <v>2186</v>
      </c>
      <c r="F852" s="269" t="s">
        <v>1200</v>
      </c>
      <c r="G852" s="265">
        <v>900000</v>
      </c>
      <c r="H852" s="269">
        <v>1</v>
      </c>
      <c r="K852" s="265">
        <v>900000</v>
      </c>
      <c r="M852" s="269"/>
      <c r="N852" t="s">
        <v>2863</v>
      </c>
    </row>
    <row r="853" spans="1:14" x14ac:dyDescent="0.3">
      <c r="A853" s="271">
        <v>852</v>
      </c>
      <c r="B853" s="264">
        <v>45845</v>
      </c>
      <c r="C853" s="292" t="s">
        <v>1444</v>
      </c>
      <c r="E853" s="292" t="s">
        <v>2187</v>
      </c>
      <c r="F853" s="269" t="s">
        <v>1207</v>
      </c>
      <c r="G853" s="265">
        <v>510000</v>
      </c>
      <c r="H853" s="269">
        <v>1</v>
      </c>
      <c r="K853" s="265">
        <v>510000</v>
      </c>
      <c r="M853" s="269"/>
      <c r="N853" t="s">
        <v>2863</v>
      </c>
    </row>
    <row r="854" spans="1:14" x14ac:dyDescent="0.3">
      <c r="A854" s="271">
        <v>853</v>
      </c>
      <c r="B854" s="264">
        <v>45845</v>
      </c>
      <c r="C854" s="292" t="s">
        <v>1444</v>
      </c>
      <c r="E854" s="292" t="s">
        <v>2190</v>
      </c>
      <c r="F854" s="269">
        <v>50229</v>
      </c>
      <c r="G854" s="265">
        <v>70000</v>
      </c>
      <c r="H854" s="269">
        <v>2</v>
      </c>
      <c r="K854" s="265">
        <v>140000</v>
      </c>
      <c r="M854" s="269"/>
      <c r="N854" t="s">
        <v>2863</v>
      </c>
    </row>
    <row r="855" spans="1:14" x14ac:dyDescent="0.3">
      <c r="A855" s="271">
        <v>854</v>
      </c>
      <c r="B855" s="264">
        <v>45845</v>
      </c>
      <c r="C855" s="292" t="s">
        <v>1722</v>
      </c>
      <c r="E855" s="292" t="s">
        <v>2799</v>
      </c>
      <c r="F855" s="269">
        <v>1094302044</v>
      </c>
      <c r="G855" s="265">
        <v>200000</v>
      </c>
      <c r="H855" s="269">
        <v>1</v>
      </c>
      <c r="K855" s="265">
        <v>200000</v>
      </c>
      <c r="M855" s="269"/>
    </row>
    <row r="856" spans="1:14" x14ac:dyDescent="0.3">
      <c r="A856" s="271">
        <v>855</v>
      </c>
      <c r="B856" s="264">
        <v>45845</v>
      </c>
      <c r="C856" s="292" t="s">
        <v>2783</v>
      </c>
      <c r="E856" s="292" t="s">
        <v>1125</v>
      </c>
      <c r="L856" s="265">
        <v>-1550000</v>
      </c>
      <c r="M856" s="269"/>
    </row>
    <row r="857" spans="1:14" x14ac:dyDescent="0.3">
      <c r="A857" s="271">
        <v>856</v>
      </c>
      <c r="B857" s="264">
        <v>45845</v>
      </c>
      <c r="C857" s="292" t="s">
        <v>2789</v>
      </c>
      <c r="E857" s="292" t="s">
        <v>1125</v>
      </c>
      <c r="L857" s="265">
        <v>-1550000</v>
      </c>
      <c r="M857" s="269"/>
    </row>
    <row r="858" spans="1:14" x14ac:dyDescent="0.3">
      <c r="A858" s="271">
        <v>857</v>
      </c>
      <c r="B858" s="264">
        <v>45845</v>
      </c>
      <c r="C858" s="292" t="s">
        <v>1870</v>
      </c>
      <c r="E858" s="292" t="s">
        <v>1125</v>
      </c>
      <c r="L858" s="265">
        <v>-900000</v>
      </c>
      <c r="M858" s="269"/>
    </row>
    <row r="859" spans="1:14" x14ac:dyDescent="0.3">
      <c r="A859" s="271">
        <v>858</v>
      </c>
      <c r="B859" s="264">
        <v>45845</v>
      </c>
      <c r="C859" s="292" t="s">
        <v>1722</v>
      </c>
      <c r="E859" s="292" t="s">
        <v>2801</v>
      </c>
      <c r="L859" s="265">
        <v>-1870000</v>
      </c>
      <c r="M859" s="269"/>
    </row>
    <row r="860" spans="1:14" x14ac:dyDescent="0.3">
      <c r="A860" s="271">
        <v>859</v>
      </c>
      <c r="B860" s="264">
        <v>45846</v>
      </c>
      <c r="C860" s="292" t="s">
        <v>1580</v>
      </c>
      <c r="E860" s="292" t="s">
        <v>1125</v>
      </c>
      <c r="L860" s="265">
        <v>-1375000</v>
      </c>
      <c r="M860" s="269"/>
    </row>
    <row r="861" spans="1:14" x14ac:dyDescent="0.3">
      <c r="A861" s="271">
        <v>860</v>
      </c>
      <c r="B861" s="264">
        <v>45846</v>
      </c>
      <c r="C861" s="292" t="s">
        <v>1399</v>
      </c>
      <c r="E861" s="292" t="s">
        <v>1743</v>
      </c>
      <c r="G861" s="265">
        <v>450000</v>
      </c>
      <c r="H861" s="269">
        <v>1</v>
      </c>
      <c r="K861" s="265">
        <v>450000</v>
      </c>
      <c r="M861" s="269"/>
      <c r="N861" t="s">
        <v>2863</v>
      </c>
    </row>
    <row r="862" spans="1:14" x14ac:dyDescent="0.3">
      <c r="A862" s="271">
        <v>861</v>
      </c>
      <c r="B862" s="264">
        <v>45846</v>
      </c>
      <c r="C862" s="292" t="s">
        <v>1399</v>
      </c>
      <c r="E862" s="292" t="s">
        <v>2187</v>
      </c>
      <c r="F862" s="269" t="s">
        <v>1207</v>
      </c>
      <c r="G862" s="265">
        <v>490000</v>
      </c>
      <c r="H862" s="269">
        <v>1</v>
      </c>
      <c r="K862" s="265">
        <v>490000</v>
      </c>
      <c r="M862" s="269"/>
      <c r="N862" t="s">
        <v>2863</v>
      </c>
    </row>
    <row r="863" spans="1:14" x14ac:dyDescent="0.3">
      <c r="A863" s="271">
        <v>862</v>
      </c>
      <c r="B863" s="264">
        <v>45846</v>
      </c>
      <c r="C863" s="292" t="s">
        <v>1399</v>
      </c>
      <c r="E863" s="292" t="s">
        <v>2188</v>
      </c>
      <c r="F863" s="269" t="s">
        <v>1259</v>
      </c>
      <c r="G863" s="265">
        <v>130000</v>
      </c>
      <c r="H863" s="269">
        <v>1</v>
      </c>
      <c r="K863" s="265">
        <v>130000</v>
      </c>
      <c r="M863" s="269"/>
      <c r="N863" t="s">
        <v>2863</v>
      </c>
    </row>
    <row r="864" spans="1:14" x14ac:dyDescent="0.3">
      <c r="A864" s="271">
        <v>863</v>
      </c>
      <c r="B864" s="264">
        <v>45846</v>
      </c>
      <c r="C864" s="292" t="s">
        <v>1399</v>
      </c>
      <c r="E864" s="292" t="s">
        <v>2192</v>
      </c>
      <c r="F864" s="269" t="s">
        <v>1822</v>
      </c>
      <c r="G864" s="265">
        <v>10000</v>
      </c>
      <c r="H864" s="269">
        <v>1</v>
      </c>
      <c r="K864" s="265">
        <v>10000</v>
      </c>
      <c r="M864" s="269"/>
      <c r="N864" t="s">
        <v>2863</v>
      </c>
    </row>
    <row r="865" spans="1:14" x14ac:dyDescent="0.3">
      <c r="A865" s="271">
        <v>864</v>
      </c>
      <c r="B865" s="264">
        <v>45846</v>
      </c>
      <c r="C865" s="292" t="s">
        <v>1399</v>
      </c>
      <c r="E865" s="292" t="s">
        <v>2191</v>
      </c>
      <c r="F865" s="269" t="s">
        <v>1795</v>
      </c>
      <c r="G865" s="265">
        <v>30000</v>
      </c>
      <c r="H865" s="269">
        <v>1</v>
      </c>
      <c r="K865" s="265">
        <v>30000</v>
      </c>
      <c r="M865" s="269"/>
      <c r="N865" t="s">
        <v>2863</v>
      </c>
    </row>
    <row r="866" spans="1:14" x14ac:dyDescent="0.3">
      <c r="A866" s="271">
        <v>865</v>
      </c>
      <c r="B866" s="264">
        <v>45846</v>
      </c>
      <c r="C866" s="292" t="s">
        <v>2789</v>
      </c>
      <c r="E866" s="292" t="s">
        <v>2805</v>
      </c>
      <c r="F866" s="269" t="s">
        <v>2804</v>
      </c>
      <c r="G866" s="265">
        <v>400000</v>
      </c>
      <c r="H866" s="269">
        <v>1</v>
      </c>
      <c r="K866" s="265">
        <v>400000</v>
      </c>
      <c r="M866" s="269"/>
      <c r="N866" t="s">
        <v>2863</v>
      </c>
    </row>
    <row r="867" spans="1:14" x14ac:dyDescent="0.3">
      <c r="A867" s="271">
        <v>866</v>
      </c>
      <c r="B867" s="264">
        <v>45846</v>
      </c>
      <c r="C867" s="292" t="s">
        <v>2789</v>
      </c>
      <c r="E867" s="292" t="s">
        <v>2183</v>
      </c>
      <c r="F867" s="269" t="s">
        <v>1720</v>
      </c>
      <c r="G867" s="265">
        <v>70000</v>
      </c>
      <c r="H867" s="269">
        <v>1</v>
      </c>
      <c r="K867" s="265">
        <v>70000</v>
      </c>
      <c r="M867" s="269"/>
      <c r="N867" t="s">
        <v>2863</v>
      </c>
    </row>
    <row r="868" spans="1:14" x14ac:dyDescent="0.3">
      <c r="A868" s="271">
        <v>867</v>
      </c>
      <c r="B868" s="264">
        <v>45846</v>
      </c>
      <c r="C868" s="292" t="s">
        <v>1541</v>
      </c>
      <c r="E868" s="292" t="s">
        <v>1203</v>
      </c>
      <c r="F868" s="269" t="s">
        <v>1752</v>
      </c>
      <c r="G868" s="265">
        <v>1200000</v>
      </c>
      <c r="H868" s="269">
        <v>1</v>
      </c>
      <c r="K868" s="265">
        <v>1200000</v>
      </c>
      <c r="M868" s="269"/>
      <c r="N868" t="s">
        <v>2863</v>
      </c>
    </row>
    <row r="869" spans="1:14" x14ac:dyDescent="0.3">
      <c r="A869" s="271">
        <v>868</v>
      </c>
      <c r="B869" s="264">
        <v>45846</v>
      </c>
      <c r="C869" s="292" t="s">
        <v>1541</v>
      </c>
      <c r="E869" s="292" t="s">
        <v>1496</v>
      </c>
      <c r="F869" s="269" t="s">
        <v>2679</v>
      </c>
      <c r="G869" s="265">
        <v>350000</v>
      </c>
      <c r="H869" s="269">
        <v>1</v>
      </c>
      <c r="K869" s="265">
        <v>350000</v>
      </c>
      <c r="M869" s="269"/>
      <c r="N869" t="s">
        <v>2863</v>
      </c>
    </row>
    <row r="870" spans="1:14" x14ac:dyDescent="0.3">
      <c r="A870" s="271">
        <v>869</v>
      </c>
      <c r="B870" s="264">
        <v>45846</v>
      </c>
      <c r="C870" s="292" t="s">
        <v>1809</v>
      </c>
      <c r="E870" s="292" t="s">
        <v>1764</v>
      </c>
      <c r="F870" s="269" t="s">
        <v>1766</v>
      </c>
      <c r="G870" s="265">
        <v>65000</v>
      </c>
      <c r="H870" s="269">
        <v>1</v>
      </c>
      <c r="K870" s="265">
        <v>65000</v>
      </c>
      <c r="M870" s="269"/>
      <c r="N870" t="s">
        <v>2863</v>
      </c>
    </row>
    <row r="871" spans="1:14" x14ac:dyDescent="0.3">
      <c r="A871" s="271">
        <v>870</v>
      </c>
      <c r="B871" s="264">
        <v>45846</v>
      </c>
      <c r="C871" s="292" t="s">
        <v>1809</v>
      </c>
      <c r="E871" s="292" t="s">
        <v>1764</v>
      </c>
      <c r="F871" s="269" t="s">
        <v>1763</v>
      </c>
      <c r="G871" s="265">
        <v>25000</v>
      </c>
      <c r="H871" s="269">
        <v>1</v>
      </c>
      <c r="K871" s="265">
        <v>25000</v>
      </c>
      <c r="M871" s="269"/>
      <c r="N871" t="s">
        <v>2863</v>
      </c>
    </row>
    <row r="872" spans="1:14" x14ac:dyDescent="0.3">
      <c r="A872" s="271">
        <v>871</v>
      </c>
      <c r="B872" s="264">
        <v>45846</v>
      </c>
      <c r="C872" s="292" t="s">
        <v>2809</v>
      </c>
      <c r="E872" s="292" t="s">
        <v>1736</v>
      </c>
      <c r="F872" s="269">
        <v>2850701</v>
      </c>
      <c r="G872" s="265">
        <v>450000</v>
      </c>
      <c r="H872" s="269">
        <v>1</v>
      </c>
      <c r="K872" s="265">
        <v>450000</v>
      </c>
      <c r="M872" s="269"/>
      <c r="N872" t="s">
        <v>2863</v>
      </c>
    </row>
    <row r="873" spans="1:14" x14ac:dyDescent="0.3">
      <c r="A873" s="271">
        <v>872</v>
      </c>
      <c r="B873" s="264">
        <v>45846</v>
      </c>
      <c r="C873" s="292" t="s">
        <v>1015</v>
      </c>
      <c r="E873" s="292" t="s">
        <v>2814</v>
      </c>
      <c r="F873" s="269">
        <v>28120504</v>
      </c>
      <c r="G873" s="265">
        <v>1000000</v>
      </c>
      <c r="H873" s="269">
        <v>1</v>
      </c>
      <c r="J873" s="266">
        <v>100000</v>
      </c>
      <c r="K873" s="265">
        <v>1100000</v>
      </c>
      <c r="M873" s="269"/>
      <c r="N873" t="s">
        <v>2863</v>
      </c>
    </row>
    <row r="874" spans="1:14" x14ac:dyDescent="0.3">
      <c r="A874" s="271">
        <v>873</v>
      </c>
      <c r="B874" s="264">
        <v>45846</v>
      </c>
      <c r="C874" s="292" t="s">
        <v>1586</v>
      </c>
      <c r="E874" s="292" t="s">
        <v>1203</v>
      </c>
      <c r="F874" s="269" t="s">
        <v>1752</v>
      </c>
      <c r="G874" s="265">
        <v>1200000</v>
      </c>
      <c r="H874" s="269">
        <v>1</v>
      </c>
      <c r="J874" s="266">
        <v>120000</v>
      </c>
      <c r="K874" s="265">
        <v>1320000</v>
      </c>
      <c r="M874" s="269"/>
      <c r="N874" t="s">
        <v>2863</v>
      </c>
    </row>
    <row r="875" spans="1:14" x14ac:dyDescent="0.3">
      <c r="A875" s="271">
        <v>874</v>
      </c>
      <c r="B875" s="264">
        <v>45846</v>
      </c>
      <c r="C875" s="292" t="s">
        <v>1577</v>
      </c>
      <c r="E875" s="292" t="s">
        <v>2186</v>
      </c>
      <c r="F875" s="269" t="s">
        <v>1200</v>
      </c>
      <c r="G875" s="265">
        <v>1400000</v>
      </c>
      <c r="H875" s="269">
        <v>1</v>
      </c>
      <c r="J875" s="266">
        <v>140000</v>
      </c>
      <c r="K875" s="265">
        <v>1540000</v>
      </c>
      <c r="M875" s="269"/>
      <c r="N875" t="s">
        <v>2863</v>
      </c>
    </row>
    <row r="876" spans="1:14" x14ac:dyDescent="0.3">
      <c r="A876" s="271">
        <v>875</v>
      </c>
      <c r="B876" s="264">
        <v>45846</v>
      </c>
      <c r="C876" s="292" t="s">
        <v>1577</v>
      </c>
      <c r="E876" s="292" t="s">
        <v>2190</v>
      </c>
      <c r="F876" s="269">
        <v>50229</v>
      </c>
      <c r="G876" s="265">
        <v>70000</v>
      </c>
      <c r="H876" s="269">
        <v>1</v>
      </c>
      <c r="J876" s="266">
        <v>7000</v>
      </c>
      <c r="K876" s="265">
        <v>77000</v>
      </c>
      <c r="M876" s="269"/>
      <c r="N876" t="s">
        <v>2863</v>
      </c>
    </row>
    <row r="877" spans="1:14" x14ac:dyDescent="0.3">
      <c r="A877" s="271">
        <v>876</v>
      </c>
      <c r="B877" s="264">
        <v>45846</v>
      </c>
      <c r="C877" s="292" t="s">
        <v>1577</v>
      </c>
      <c r="E877" s="292" t="s">
        <v>2191</v>
      </c>
      <c r="F877" s="269" t="s">
        <v>1795</v>
      </c>
      <c r="G877" s="265">
        <v>32000</v>
      </c>
      <c r="H877" s="269">
        <v>1</v>
      </c>
      <c r="J877" s="266">
        <v>3200</v>
      </c>
      <c r="K877" s="265">
        <v>35200</v>
      </c>
      <c r="M877" s="269"/>
      <c r="N877" t="s">
        <v>2863</v>
      </c>
    </row>
    <row r="878" spans="1:14" x14ac:dyDescent="0.3">
      <c r="A878" s="271">
        <v>877</v>
      </c>
      <c r="B878" s="264">
        <v>45846</v>
      </c>
      <c r="C878" s="292" t="s">
        <v>1577</v>
      </c>
      <c r="E878" s="292" t="s">
        <v>1519</v>
      </c>
      <c r="G878" s="265">
        <v>20000</v>
      </c>
      <c r="H878" s="269">
        <v>1</v>
      </c>
      <c r="J878" s="266">
        <v>2000</v>
      </c>
      <c r="K878" s="265">
        <v>22000</v>
      </c>
      <c r="M878" s="269"/>
      <c r="N878" t="s">
        <v>2863</v>
      </c>
    </row>
    <row r="879" spans="1:14" x14ac:dyDescent="0.3">
      <c r="A879" s="271">
        <v>878</v>
      </c>
      <c r="B879" s="264">
        <v>45846</v>
      </c>
      <c r="C879" s="292" t="s">
        <v>1577</v>
      </c>
      <c r="E879" s="292" t="s">
        <v>2187</v>
      </c>
      <c r="F879" s="269" t="s">
        <v>1207</v>
      </c>
      <c r="G879" s="265">
        <v>517273</v>
      </c>
      <c r="H879" s="269">
        <v>1</v>
      </c>
      <c r="J879" s="266">
        <v>51727</v>
      </c>
      <c r="K879" s="265">
        <v>569000</v>
      </c>
      <c r="M879" s="269"/>
      <c r="N879" t="s">
        <v>2863</v>
      </c>
    </row>
    <row r="880" spans="1:14" x14ac:dyDescent="0.3">
      <c r="A880" s="271">
        <v>879</v>
      </c>
      <c r="B880" s="264">
        <v>45846</v>
      </c>
      <c r="C880" s="292" t="s">
        <v>1147</v>
      </c>
      <c r="E880" s="292" t="s">
        <v>1203</v>
      </c>
      <c r="F880" s="269" t="s">
        <v>1752</v>
      </c>
      <c r="G880" s="265">
        <v>1200000</v>
      </c>
      <c r="H880" s="269">
        <v>1</v>
      </c>
      <c r="K880" s="265">
        <v>1200000</v>
      </c>
      <c r="M880" s="269"/>
      <c r="N880" t="s">
        <v>2863</v>
      </c>
    </row>
    <row r="881" spans="1:14" x14ac:dyDescent="0.3">
      <c r="A881" s="271">
        <v>880</v>
      </c>
      <c r="B881" s="264">
        <v>45846</v>
      </c>
      <c r="C881" s="292" t="s">
        <v>2597</v>
      </c>
      <c r="E881" s="292" t="s">
        <v>1125</v>
      </c>
      <c r="L881" s="265">
        <v>-1550000</v>
      </c>
      <c r="M881" s="269"/>
    </row>
    <row r="882" spans="1:14" x14ac:dyDescent="0.3">
      <c r="A882" s="271">
        <v>881</v>
      </c>
      <c r="B882" s="264">
        <v>45846</v>
      </c>
      <c r="C882" s="292" t="s">
        <v>2789</v>
      </c>
      <c r="E882" s="292" t="s">
        <v>1125</v>
      </c>
      <c r="L882" s="265">
        <v>-470000</v>
      </c>
      <c r="M882" s="269"/>
    </row>
    <row r="883" spans="1:14" x14ac:dyDescent="0.3">
      <c r="A883" s="271">
        <v>882</v>
      </c>
      <c r="B883" s="264">
        <v>45847</v>
      </c>
      <c r="C883" s="292" t="s">
        <v>1399</v>
      </c>
      <c r="E883" s="292" t="s">
        <v>1743</v>
      </c>
      <c r="G883" s="265">
        <v>650000</v>
      </c>
      <c r="H883" s="269">
        <v>1</v>
      </c>
      <c r="K883" s="265">
        <v>650000</v>
      </c>
      <c r="M883" s="269"/>
      <c r="N883" t="s">
        <v>2863</v>
      </c>
    </row>
    <row r="884" spans="1:14" x14ac:dyDescent="0.3">
      <c r="A884" s="271">
        <v>883</v>
      </c>
      <c r="B884" s="264">
        <v>45847</v>
      </c>
      <c r="C884" s="292" t="s">
        <v>2410</v>
      </c>
      <c r="E884" s="292" t="s">
        <v>2027</v>
      </c>
      <c r="F884" s="269" t="s">
        <v>1216</v>
      </c>
      <c r="G884" s="265">
        <v>1500000</v>
      </c>
      <c r="H884" s="269">
        <v>1</v>
      </c>
      <c r="J884" s="266">
        <v>150000</v>
      </c>
      <c r="K884" s="265">
        <v>1650000</v>
      </c>
      <c r="M884" s="269"/>
      <c r="N884" t="s">
        <v>2863</v>
      </c>
    </row>
    <row r="885" spans="1:14" x14ac:dyDescent="0.3">
      <c r="A885" s="271">
        <v>884</v>
      </c>
      <c r="B885" s="264">
        <v>45847</v>
      </c>
      <c r="C885" s="292" t="s">
        <v>2258</v>
      </c>
      <c r="E885" s="292" t="s">
        <v>2183</v>
      </c>
      <c r="F885" s="269" t="s">
        <v>1720</v>
      </c>
      <c r="G885" s="265">
        <v>70000</v>
      </c>
      <c r="H885" s="269">
        <v>1</v>
      </c>
      <c r="K885" s="265">
        <v>70000</v>
      </c>
      <c r="M885" s="269"/>
      <c r="N885" t="s">
        <v>2863</v>
      </c>
    </row>
    <row r="886" spans="1:14" x14ac:dyDescent="0.3">
      <c r="A886" s="271">
        <v>885</v>
      </c>
      <c r="B886" s="264">
        <v>45847</v>
      </c>
      <c r="C886" s="292" t="s">
        <v>1444</v>
      </c>
      <c r="E886" s="292" t="s">
        <v>2180</v>
      </c>
      <c r="F886" s="269" t="s">
        <v>1201</v>
      </c>
      <c r="G886" s="265">
        <v>1500000</v>
      </c>
      <c r="H886" s="269">
        <v>1</v>
      </c>
      <c r="K886" s="265">
        <v>1500000</v>
      </c>
      <c r="M886" s="269"/>
      <c r="N886" t="s">
        <v>2863</v>
      </c>
    </row>
    <row r="887" spans="1:14" x14ac:dyDescent="0.3">
      <c r="A887" s="271">
        <v>886</v>
      </c>
      <c r="B887" s="264">
        <v>45847</v>
      </c>
      <c r="C887" s="292" t="s">
        <v>1444</v>
      </c>
      <c r="E887" s="292" t="s">
        <v>2181</v>
      </c>
      <c r="F887" s="269" t="s">
        <v>1803</v>
      </c>
      <c r="G887" s="265">
        <v>50000</v>
      </c>
      <c r="H887" s="269">
        <v>1</v>
      </c>
      <c r="K887" s="265">
        <v>50000</v>
      </c>
      <c r="M887" s="269"/>
      <c r="N887" t="s">
        <v>2863</v>
      </c>
    </row>
    <row r="888" spans="1:14" x14ac:dyDescent="0.3">
      <c r="A888" s="271">
        <v>887</v>
      </c>
      <c r="B888" s="264">
        <v>45847</v>
      </c>
      <c r="C888" s="292" t="s">
        <v>1722</v>
      </c>
      <c r="E888" s="292" t="s">
        <v>2330</v>
      </c>
      <c r="F888" s="269">
        <v>28120411</v>
      </c>
      <c r="G888" s="265">
        <v>1200000</v>
      </c>
      <c r="H888" s="269">
        <v>1</v>
      </c>
      <c r="K888" s="265">
        <v>1200000</v>
      </c>
      <c r="M888" s="269"/>
      <c r="N888" t="s">
        <v>2863</v>
      </c>
    </row>
    <row r="889" spans="1:14" x14ac:dyDescent="0.3">
      <c r="A889" s="271">
        <v>888</v>
      </c>
      <c r="B889" s="264">
        <v>45847</v>
      </c>
      <c r="C889" s="292" t="s">
        <v>1747</v>
      </c>
      <c r="E889" s="292" t="s">
        <v>2299</v>
      </c>
      <c r="G889" s="265">
        <v>650000</v>
      </c>
      <c r="H889" s="269">
        <v>2</v>
      </c>
      <c r="J889" s="266">
        <v>130000</v>
      </c>
      <c r="K889" s="265">
        <v>1430000</v>
      </c>
      <c r="M889" s="269"/>
      <c r="N889" t="s">
        <v>2863</v>
      </c>
    </row>
    <row r="890" spans="1:14" x14ac:dyDescent="0.3">
      <c r="A890" s="271">
        <v>889</v>
      </c>
      <c r="B890" s="264">
        <v>45847</v>
      </c>
      <c r="C890" s="292" t="s">
        <v>1747</v>
      </c>
      <c r="E890" s="292" t="s">
        <v>1519</v>
      </c>
      <c r="G890" s="265">
        <v>20000</v>
      </c>
      <c r="H890" s="269">
        <v>1</v>
      </c>
      <c r="J890" s="266">
        <v>2000</v>
      </c>
      <c r="K890" s="265">
        <v>22000</v>
      </c>
      <c r="M890" s="269"/>
      <c r="N890" t="s">
        <v>2863</v>
      </c>
    </row>
    <row r="891" spans="1:14" x14ac:dyDescent="0.3">
      <c r="A891" s="271">
        <v>890</v>
      </c>
      <c r="B891" s="264">
        <v>45847</v>
      </c>
      <c r="C891" s="292" t="s">
        <v>2258</v>
      </c>
      <c r="E891" s="292" t="s">
        <v>1125</v>
      </c>
      <c r="L891" s="265">
        <v>-70000</v>
      </c>
      <c r="M891" s="269"/>
    </row>
    <row r="892" spans="1:14" x14ac:dyDescent="0.3">
      <c r="A892" s="271">
        <v>891</v>
      </c>
      <c r="B892" s="264">
        <v>45847</v>
      </c>
      <c r="C892" s="292" t="s">
        <v>2809</v>
      </c>
      <c r="E892" s="292" t="s">
        <v>1125</v>
      </c>
      <c r="L892" s="265">
        <v>-450000</v>
      </c>
      <c r="M892" s="269"/>
    </row>
    <row r="893" spans="1:14" x14ac:dyDescent="0.3">
      <c r="A893" s="271">
        <v>892</v>
      </c>
      <c r="B893" s="264">
        <v>45848</v>
      </c>
      <c r="C893" s="292" t="s">
        <v>1586</v>
      </c>
      <c r="E893" s="292" t="s">
        <v>1125</v>
      </c>
      <c r="L893" s="265">
        <v>-1320000</v>
      </c>
      <c r="M893" s="269"/>
    </row>
    <row r="894" spans="1:14" x14ac:dyDescent="0.3">
      <c r="A894" s="271">
        <v>893</v>
      </c>
      <c r="B894" s="264">
        <v>45848</v>
      </c>
      <c r="C894" s="292" t="s">
        <v>2410</v>
      </c>
      <c r="E894" s="292" t="s">
        <v>1125</v>
      </c>
      <c r="L894" s="265">
        <v>-1650000</v>
      </c>
      <c r="M894" s="269"/>
    </row>
    <row r="895" spans="1:14" x14ac:dyDescent="0.3">
      <c r="A895" s="271">
        <v>894</v>
      </c>
      <c r="B895" s="264">
        <v>45848</v>
      </c>
      <c r="C895" s="292" t="s">
        <v>2725</v>
      </c>
      <c r="E895" s="292" t="s">
        <v>2187</v>
      </c>
      <c r="F895" s="269" t="s">
        <v>1207</v>
      </c>
      <c r="G895" s="265">
        <v>581818</v>
      </c>
      <c r="H895" s="269">
        <v>1</v>
      </c>
      <c r="J895" s="266">
        <v>58182</v>
      </c>
      <c r="K895" s="265">
        <v>640000</v>
      </c>
      <c r="M895" s="269"/>
      <c r="N895" t="s">
        <v>2863</v>
      </c>
    </row>
    <row r="896" spans="1:14" x14ac:dyDescent="0.3">
      <c r="A896" s="271">
        <v>895</v>
      </c>
      <c r="B896" s="264">
        <v>45848</v>
      </c>
      <c r="C896" s="292" t="s">
        <v>2725</v>
      </c>
      <c r="E896" s="292" t="s">
        <v>2190</v>
      </c>
      <c r="F896" s="269">
        <v>50229</v>
      </c>
      <c r="G896" s="265">
        <v>80000</v>
      </c>
      <c r="H896" s="269">
        <v>1</v>
      </c>
      <c r="J896" s="266">
        <v>8000</v>
      </c>
      <c r="K896" s="265">
        <v>88000</v>
      </c>
      <c r="M896" s="269"/>
      <c r="N896" t="s">
        <v>2863</v>
      </c>
    </row>
    <row r="897" spans="1:14" x14ac:dyDescent="0.3">
      <c r="A897" s="271">
        <v>896</v>
      </c>
      <c r="B897" s="264">
        <v>45848</v>
      </c>
      <c r="C897" s="292" t="s">
        <v>2725</v>
      </c>
      <c r="E897" s="292" t="s">
        <v>1902</v>
      </c>
      <c r="F897" s="269" t="s">
        <v>1901</v>
      </c>
      <c r="G897" s="265">
        <v>20000</v>
      </c>
      <c r="H897" s="269">
        <v>1</v>
      </c>
      <c r="J897" s="266">
        <v>2000</v>
      </c>
      <c r="K897" s="265">
        <v>22000</v>
      </c>
      <c r="M897" s="269"/>
      <c r="N897" t="s">
        <v>2863</v>
      </c>
    </row>
    <row r="898" spans="1:14" x14ac:dyDescent="0.3">
      <c r="A898" s="271">
        <v>897</v>
      </c>
      <c r="B898" s="264">
        <v>45848</v>
      </c>
      <c r="C898" s="292" t="s">
        <v>2319</v>
      </c>
      <c r="E898" s="292" t="s">
        <v>2836</v>
      </c>
      <c r="F898" s="269" t="s">
        <v>1992</v>
      </c>
      <c r="G898" s="265">
        <v>150000</v>
      </c>
      <c r="H898" s="269">
        <v>1</v>
      </c>
      <c r="K898" s="265">
        <v>150000</v>
      </c>
      <c r="M898" s="269"/>
      <c r="N898" t="s">
        <v>2863</v>
      </c>
    </row>
    <row r="899" spans="1:14" x14ac:dyDescent="0.3">
      <c r="A899" s="271">
        <v>898</v>
      </c>
      <c r="B899" s="264">
        <v>45848</v>
      </c>
      <c r="C899" s="292" t="s">
        <v>1399</v>
      </c>
      <c r="E899" s="292" t="s">
        <v>2104</v>
      </c>
      <c r="F899" s="269">
        <v>2830401</v>
      </c>
      <c r="G899" s="265">
        <v>1000000</v>
      </c>
      <c r="H899" s="269">
        <v>1</v>
      </c>
      <c r="K899" s="265">
        <v>1000000</v>
      </c>
      <c r="M899" s="269"/>
      <c r="N899" t="s">
        <v>2863</v>
      </c>
    </row>
    <row r="900" spans="1:14" x14ac:dyDescent="0.3">
      <c r="A900" s="271">
        <v>899</v>
      </c>
      <c r="B900" s="264">
        <v>45848</v>
      </c>
      <c r="C900" s="292" t="s">
        <v>1026</v>
      </c>
      <c r="E900" s="292" t="s">
        <v>2196</v>
      </c>
      <c r="F900" s="269">
        <v>2820403</v>
      </c>
      <c r="G900" s="265">
        <v>1500000</v>
      </c>
      <c r="H900" s="269">
        <v>1</v>
      </c>
      <c r="K900" s="265">
        <v>1500000</v>
      </c>
      <c r="M900" s="269"/>
      <c r="N900" t="s">
        <v>2863</v>
      </c>
    </row>
    <row r="901" spans="1:14" x14ac:dyDescent="0.3">
      <c r="A901" s="271">
        <v>900</v>
      </c>
      <c r="B901" s="264">
        <v>45847</v>
      </c>
      <c r="C901" s="292" t="s">
        <v>1015</v>
      </c>
      <c r="E901" s="292" t="s">
        <v>1203</v>
      </c>
      <c r="F901" s="269" t="s">
        <v>1752</v>
      </c>
      <c r="G901" s="265">
        <v>1200000</v>
      </c>
      <c r="H901" s="269">
        <v>1</v>
      </c>
      <c r="J901" s="266">
        <v>120000</v>
      </c>
      <c r="K901" s="265">
        <v>1320000</v>
      </c>
      <c r="M901" s="269"/>
      <c r="N901" t="s">
        <v>2863</v>
      </c>
    </row>
    <row r="902" spans="1:14" x14ac:dyDescent="0.3">
      <c r="A902" s="271">
        <v>901</v>
      </c>
      <c r="B902" s="264">
        <v>45847</v>
      </c>
      <c r="C902" s="292" t="s">
        <v>1015</v>
      </c>
      <c r="E902" s="292" t="s">
        <v>2840</v>
      </c>
      <c r="F902" s="269" t="s">
        <v>2750</v>
      </c>
      <c r="G902" s="265">
        <v>129000</v>
      </c>
      <c r="H902" s="269">
        <v>1</v>
      </c>
      <c r="J902" s="266">
        <v>12900</v>
      </c>
      <c r="K902" s="265">
        <v>141900</v>
      </c>
      <c r="M902" s="269"/>
      <c r="N902" t="s">
        <v>2863</v>
      </c>
    </row>
    <row r="903" spans="1:14" x14ac:dyDescent="0.3">
      <c r="A903" s="271">
        <v>902</v>
      </c>
      <c r="B903" s="264">
        <v>45847</v>
      </c>
      <c r="C903" s="292" t="s">
        <v>1015</v>
      </c>
      <c r="E903" s="292" t="s">
        <v>2413</v>
      </c>
      <c r="F903" s="269">
        <v>1087298441</v>
      </c>
      <c r="G903" s="265">
        <v>33000</v>
      </c>
      <c r="H903" s="269">
        <v>2</v>
      </c>
      <c r="J903" s="266">
        <v>6600</v>
      </c>
      <c r="K903" s="265">
        <v>72600</v>
      </c>
      <c r="M903" s="269"/>
      <c r="N903" t="s">
        <v>2863</v>
      </c>
    </row>
    <row r="904" spans="1:14" x14ac:dyDescent="0.3">
      <c r="A904" s="271">
        <v>903</v>
      </c>
      <c r="B904" s="264">
        <v>45849</v>
      </c>
      <c r="C904" s="292" t="s">
        <v>1015</v>
      </c>
      <c r="E904" s="292" t="s">
        <v>1125</v>
      </c>
      <c r="L904" s="265">
        <v>-2634500</v>
      </c>
      <c r="M904" s="269"/>
    </row>
    <row r="905" spans="1:14" x14ac:dyDescent="0.3">
      <c r="A905" s="271">
        <v>904</v>
      </c>
      <c r="B905" s="264">
        <v>45849</v>
      </c>
      <c r="C905" s="292" t="s">
        <v>1577</v>
      </c>
      <c r="E905" s="292" t="s">
        <v>2847</v>
      </c>
      <c r="F905" s="269" t="s">
        <v>2846</v>
      </c>
      <c r="G905" s="265">
        <v>13000</v>
      </c>
      <c r="H905" s="269">
        <v>1</v>
      </c>
      <c r="J905" s="266">
        <v>1300</v>
      </c>
      <c r="K905" s="265">
        <v>14300</v>
      </c>
      <c r="M905" s="269"/>
      <c r="N905" t="s">
        <v>2863</v>
      </c>
    </row>
    <row r="906" spans="1:14" x14ac:dyDescent="0.3">
      <c r="A906" s="271">
        <v>905</v>
      </c>
      <c r="B906" s="264">
        <v>45849</v>
      </c>
      <c r="C906" s="292" t="s">
        <v>1577</v>
      </c>
      <c r="E906" s="292" t="s">
        <v>2849</v>
      </c>
      <c r="F906" s="269" t="s">
        <v>2845</v>
      </c>
      <c r="G906" s="265">
        <v>75000</v>
      </c>
      <c r="H906" s="269">
        <v>1</v>
      </c>
      <c r="J906" s="266">
        <v>7500</v>
      </c>
      <c r="K906" s="265">
        <v>82500</v>
      </c>
      <c r="M906" s="269"/>
      <c r="N906" t="s">
        <v>2863</v>
      </c>
    </row>
    <row r="907" spans="1:14" x14ac:dyDescent="0.3">
      <c r="A907" s="271">
        <v>906</v>
      </c>
      <c r="B907" s="264">
        <v>45849</v>
      </c>
      <c r="C907" s="292" t="s">
        <v>1580</v>
      </c>
      <c r="E907" s="292" t="s">
        <v>2180</v>
      </c>
      <c r="F907" s="269" t="s">
        <v>1201</v>
      </c>
      <c r="G907" s="265">
        <v>1500000</v>
      </c>
      <c r="H907" s="269">
        <v>1</v>
      </c>
      <c r="J907" s="266">
        <v>150000</v>
      </c>
      <c r="K907" s="265">
        <v>1650000</v>
      </c>
      <c r="M907" s="269"/>
      <c r="N907" t="s">
        <v>2863</v>
      </c>
    </row>
    <row r="908" spans="1:14" x14ac:dyDescent="0.3">
      <c r="A908" s="271">
        <v>907</v>
      </c>
      <c r="B908" s="264">
        <v>45849</v>
      </c>
      <c r="C908" s="292" t="s">
        <v>1580</v>
      </c>
      <c r="E908" s="292" t="s">
        <v>2181</v>
      </c>
      <c r="F908" s="269" t="s">
        <v>1803</v>
      </c>
      <c r="G908" s="265">
        <v>50000</v>
      </c>
      <c r="H908" s="269">
        <v>1</v>
      </c>
      <c r="J908" s="266">
        <v>5000</v>
      </c>
      <c r="K908" s="265">
        <v>55000</v>
      </c>
      <c r="M908" s="269"/>
      <c r="N908" t="s">
        <v>2863</v>
      </c>
    </row>
    <row r="909" spans="1:14" x14ac:dyDescent="0.3">
      <c r="A909" s="271">
        <v>908</v>
      </c>
      <c r="B909" s="264">
        <v>45849</v>
      </c>
      <c r="C909" s="292" t="s">
        <v>1399</v>
      </c>
      <c r="E909" s="292" t="s">
        <v>1743</v>
      </c>
      <c r="G909" s="265">
        <v>1100000</v>
      </c>
      <c r="H909" s="269">
        <v>1</v>
      </c>
      <c r="K909" s="265">
        <v>1100000</v>
      </c>
      <c r="M909" s="269"/>
      <c r="N909" t="s">
        <v>2863</v>
      </c>
    </row>
    <row r="910" spans="1:14" x14ac:dyDescent="0.3">
      <c r="A910" s="271">
        <v>909</v>
      </c>
      <c r="B910" s="264">
        <v>45849</v>
      </c>
      <c r="C910" s="292" t="s">
        <v>1458</v>
      </c>
      <c r="E910" s="292" t="s">
        <v>2749</v>
      </c>
      <c r="F910" s="269">
        <v>7252703114</v>
      </c>
      <c r="G910" s="265">
        <v>199000</v>
      </c>
      <c r="H910" s="269">
        <v>1</v>
      </c>
      <c r="K910" s="265">
        <v>199000</v>
      </c>
      <c r="M910" s="269"/>
      <c r="N910" t="s">
        <v>2863</v>
      </c>
    </row>
    <row r="911" spans="1:14" x14ac:dyDescent="0.3">
      <c r="A911" s="271">
        <v>910</v>
      </c>
      <c r="B911" s="264">
        <v>45849</v>
      </c>
      <c r="C911" s="292" t="s">
        <v>1449</v>
      </c>
      <c r="E911" s="292" t="s">
        <v>1535</v>
      </c>
      <c r="G911" s="265">
        <v>450000</v>
      </c>
      <c r="H911" s="269">
        <v>1</v>
      </c>
      <c r="K911" s="265">
        <v>450000</v>
      </c>
      <c r="M911" s="269"/>
      <c r="N911" t="s">
        <v>2863</v>
      </c>
    </row>
    <row r="912" spans="1:14" x14ac:dyDescent="0.3">
      <c r="A912" s="271">
        <v>911</v>
      </c>
      <c r="B912" s="264">
        <v>45849</v>
      </c>
      <c r="C912" s="292" t="s">
        <v>1586</v>
      </c>
      <c r="E912" s="292" t="s">
        <v>1203</v>
      </c>
      <c r="F912" s="269" t="s">
        <v>1752</v>
      </c>
      <c r="G912" s="265">
        <v>1200000</v>
      </c>
      <c r="H912" s="269">
        <v>1</v>
      </c>
      <c r="J912" s="266">
        <v>120000</v>
      </c>
      <c r="K912" s="265">
        <v>1320000</v>
      </c>
      <c r="M912" s="269"/>
      <c r="N912" t="s">
        <v>2863</v>
      </c>
    </row>
    <row r="913" spans="1:14" x14ac:dyDescent="0.3">
      <c r="A913" s="271">
        <v>912</v>
      </c>
      <c r="B913" s="264">
        <v>45849</v>
      </c>
      <c r="C913" s="292" t="s">
        <v>1586</v>
      </c>
      <c r="E913" s="292" t="s">
        <v>1496</v>
      </c>
      <c r="F913" s="269" t="s">
        <v>2679</v>
      </c>
      <c r="G913" s="265">
        <v>350000</v>
      </c>
      <c r="H913" s="269">
        <v>1</v>
      </c>
      <c r="J913" s="266">
        <v>35000</v>
      </c>
      <c r="K913" s="265">
        <v>385000</v>
      </c>
      <c r="M913" s="269"/>
      <c r="N913" t="s">
        <v>2863</v>
      </c>
    </row>
    <row r="914" spans="1:14" x14ac:dyDescent="0.3">
      <c r="A914" s="271">
        <v>913</v>
      </c>
      <c r="B914" s="264">
        <v>45849</v>
      </c>
      <c r="C914" s="292" t="s">
        <v>1586</v>
      </c>
      <c r="E914" s="292" t="s">
        <v>1737</v>
      </c>
      <c r="F914" s="269" t="s">
        <v>2834</v>
      </c>
      <c r="G914" s="265">
        <v>500000</v>
      </c>
      <c r="H914" s="269">
        <v>1</v>
      </c>
      <c r="J914" s="266">
        <v>50000</v>
      </c>
      <c r="K914" s="265">
        <v>550000</v>
      </c>
      <c r="M914" s="269"/>
      <c r="N914" t="s">
        <v>2863</v>
      </c>
    </row>
    <row r="915" spans="1:14" x14ac:dyDescent="0.3">
      <c r="A915" s="271">
        <v>914</v>
      </c>
      <c r="B915" s="264">
        <v>45849</v>
      </c>
      <c r="C915" s="292" t="s">
        <v>1586</v>
      </c>
      <c r="E915" s="292" t="s">
        <v>2833</v>
      </c>
      <c r="F915" s="269">
        <v>1087298388</v>
      </c>
      <c r="G915" s="265">
        <v>500000</v>
      </c>
      <c r="H915" s="269">
        <v>1</v>
      </c>
      <c r="J915" s="266">
        <v>50000</v>
      </c>
      <c r="K915" s="265">
        <v>550000</v>
      </c>
      <c r="M915" s="269"/>
      <c r="N915" t="s">
        <v>2863</v>
      </c>
    </row>
    <row r="916" spans="1:14" x14ac:dyDescent="0.3">
      <c r="A916" s="271">
        <v>915</v>
      </c>
      <c r="B916" s="264">
        <v>45849</v>
      </c>
      <c r="C916" s="292" t="s">
        <v>2860</v>
      </c>
      <c r="E916" s="292" t="s">
        <v>2255</v>
      </c>
      <c r="F916" s="269" t="s">
        <v>2254</v>
      </c>
      <c r="G916" s="265">
        <v>1500000</v>
      </c>
      <c r="H916" s="269">
        <v>1</v>
      </c>
      <c r="J916" s="266">
        <v>150000</v>
      </c>
      <c r="K916" s="265">
        <v>1650000</v>
      </c>
      <c r="M916" s="269"/>
      <c r="N916" t="s">
        <v>2863</v>
      </c>
    </row>
    <row r="917" spans="1:14" x14ac:dyDescent="0.3">
      <c r="A917" s="271">
        <v>916</v>
      </c>
      <c r="B917" s="264">
        <v>45849</v>
      </c>
      <c r="C917" s="292" t="s">
        <v>2860</v>
      </c>
      <c r="E917" s="292" t="s">
        <v>2612</v>
      </c>
      <c r="F917" s="269" t="s">
        <v>1755</v>
      </c>
      <c r="G917" s="265">
        <v>50000</v>
      </c>
      <c r="H917" s="269">
        <v>1</v>
      </c>
      <c r="J917" s="266">
        <v>5000</v>
      </c>
      <c r="K917" s="265">
        <v>55000</v>
      </c>
      <c r="M917" s="269"/>
      <c r="N917" t="s">
        <v>2863</v>
      </c>
    </row>
    <row r="918" spans="1:14" x14ac:dyDescent="0.3">
      <c r="A918" s="271">
        <v>917</v>
      </c>
      <c r="B918" s="264">
        <v>45849</v>
      </c>
      <c r="C918" s="292" t="s">
        <v>1287</v>
      </c>
      <c r="E918" s="292" t="s">
        <v>1670</v>
      </c>
      <c r="L918" s="265">
        <v>-1705000</v>
      </c>
      <c r="M918" s="269"/>
    </row>
    <row r="919" spans="1:14" x14ac:dyDescent="0.3">
      <c r="A919" s="271">
        <v>918</v>
      </c>
      <c r="B919" s="264">
        <v>45849</v>
      </c>
      <c r="C919" s="292" t="s">
        <v>2858</v>
      </c>
      <c r="E919" s="292" t="s">
        <v>1125</v>
      </c>
      <c r="L919" s="265">
        <v>-1705000</v>
      </c>
      <c r="M919" s="269"/>
    </row>
    <row r="920" spans="1:14" x14ac:dyDescent="0.3">
      <c r="A920" s="271">
        <v>919</v>
      </c>
      <c r="B920" s="264">
        <v>45849</v>
      </c>
      <c r="C920" s="292" t="s">
        <v>1449</v>
      </c>
      <c r="E920" s="292" t="s">
        <v>1125</v>
      </c>
      <c r="L920" s="265">
        <v>-450000</v>
      </c>
      <c r="M920" s="269"/>
    </row>
    <row r="921" spans="1:14" x14ac:dyDescent="0.3">
      <c r="A921" s="271">
        <v>920</v>
      </c>
      <c r="B921" s="264">
        <v>45850</v>
      </c>
      <c r="C921" s="292" t="s">
        <v>1598</v>
      </c>
      <c r="E921" s="292" t="s">
        <v>2861</v>
      </c>
      <c r="G921" s="265">
        <v>170000</v>
      </c>
      <c r="H921" s="269">
        <v>1</v>
      </c>
      <c r="K921" s="265">
        <v>170000</v>
      </c>
      <c r="M921" s="269"/>
      <c r="N921" t="s">
        <v>2863</v>
      </c>
    </row>
    <row r="922" spans="1:14" x14ac:dyDescent="0.3">
      <c r="A922" s="271">
        <v>921</v>
      </c>
      <c r="B922" s="264">
        <v>45850</v>
      </c>
      <c r="C922" s="292" t="s">
        <v>2319</v>
      </c>
      <c r="E922" s="292" t="s">
        <v>1125</v>
      </c>
      <c r="L922" s="265">
        <v>-150000</v>
      </c>
      <c r="M922" s="269"/>
    </row>
    <row r="923" spans="1:14" x14ac:dyDescent="0.3">
      <c r="A923" s="271">
        <v>922</v>
      </c>
      <c r="B923" s="264">
        <v>45850</v>
      </c>
      <c r="C923" s="292" t="s">
        <v>1598</v>
      </c>
      <c r="E923" s="292" t="s">
        <v>1125</v>
      </c>
      <c r="L923" s="265">
        <v>-170000</v>
      </c>
      <c r="M923" s="269"/>
    </row>
    <row r="924" spans="1:14" x14ac:dyDescent="0.3">
      <c r="A924" s="271">
        <v>923</v>
      </c>
      <c r="B924" s="264">
        <v>45850</v>
      </c>
      <c r="C924" s="292" t="s">
        <v>2725</v>
      </c>
      <c r="E924" s="292" t="s">
        <v>2186</v>
      </c>
      <c r="F924" s="269" t="s">
        <v>1200</v>
      </c>
      <c r="G924" s="265">
        <v>1500000</v>
      </c>
      <c r="H924" s="269">
        <v>1</v>
      </c>
      <c r="J924" s="266">
        <v>150000</v>
      </c>
      <c r="K924" s="265">
        <v>1650000</v>
      </c>
      <c r="M924" s="269"/>
      <c r="N924" t="s">
        <v>2863</v>
      </c>
    </row>
    <row r="925" spans="1:14" x14ac:dyDescent="0.3">
      <c r="A925" s="271">
        <v>924</v>
      </c>
      <c r="B925" s="264">
        <v>45850</v>
      </c>
      <c r="C925" s="292" t="s">
        <v>2865</v>
      </c>
      <c r="E925" s="292" t="s">
        <v>1670</v>
      </c>
      <c r="L925" s="265">
        <v>-1500000</v>
      </c>
      <c r="M925" s="269"/>
    </row>
    <row r="926" spans="1:14" x14ac:dyDescent="0.3">
      <c r="A926" s="271">
        <v>925</v>
      </c>
      <c r="B926" s="264">
        <v>45852</v>
      </c>
      <c r="C926" s="292" t="s">
        <v>1586</v>
      </c>
      <c r="E926" s="292" t="s">
        <v>1125</v>
      </c>
      <c r="L926" s="265">
        <v>-2805000</v>
      </c>
      <c r="M926" s="269"/>
    </row>
    <row r="927" spans="1:14" x14ac:dyDescent="0.3">
      <c r="A927" s="271">
        <v>926</v>
      </c>
      <c r="B927" s="264">
        <v>45852</v>
      </c>
      <c r="C927" s="292" t="s">
        <v>2908</v>
      </c>
      <c r="E927" s="292" t="s">
        <v>2654</v>
      </c>
      <c r="G927" s="265">
        <v>1750000</v>
      </c>
      <c r="H927" s="269">
        <v>1</v>
      </c>
      <c r="J927" s="266" t="s">
        <v>2909</v>
      </c>
      <c r="K927" s="265">
        <v>1925000</v>
      </c>
      <c r="M927" s="269"/>
      <c r="N927" t="s">
        <v>2863</v>
      </c>
    </row>
    <row r="928" spans="1:14" x14ac:dyDescent="0.3">
      <c r="A928" s="271">
        <v>927</v>
      </c>
      <c r="B928" s="264">
        <v>45852</v>
      </c>
      <c r="C928" s="292" t="s">
        <v>2873</v>
      </c>
      <c r="E928" s="292" t="s">
        <v>2384</v>
      </c>
      <c r="F928" s="269" t="s">
        <v>2876</v>
      </c>
      <c r="G928" s="265">
        <v>1100000</v>
      </c>
      <c r="H928" s="269">
        <v>1</v>
      </c>
      <c r="K928" s="265">
        <v>1100000</v>
      </c>
      <c r="M928" s="269"/>
      <c r="N928" t="s">
        <v>2863</v>
      </c>
    </row>
    <row r="929" spans="1:14" x14ac:dyDescent="0.3">
      <c r="A929" s="271">
        <v>928</v>
      </c>
      <c r="B929" s="264">
        <v>45852</v>
      </c>
      <c r="C929" s="292" t="s">
        <v>1399</v>
      </c>
      <c r="E929" s="292" t="s">
        <v>1743</v>
      </c>
      <c r="G929" s="265">
        <v>650000</v>
      </c>
      <c r="H929" s="269">
        <v>1</v>
      </c>
      <c r="K929" s="265">
        <v>650000</v>
      </c>
      <c r="M929" s="269"/>
      <c r="N929" t="s">
        <v>2863</v>
      </c>
    </row>
    <row r="930" spans="1:14" x14ac:dyDescent="0.3">
      <c r="A930" s="271">
        <v>929</v>
      </c>
      <c r="B930" s="264">
        <v>45852</v>
      </c>
      <c r="C930" s="292" t="s">
        <v>2410</v>
      </c>
      <c r="E930" s="292" t="s">
        <v>2027</v>
      </c>
      <c r="F930" s="269" t="s">
        <v>1216</v>
      </c>
      <c r="G930" s="265">
        <v>1500000</v>
      </c>
      <c r="H930" s="269">
        <v>1</v>
      </c>
      <c r="J930" s="266">
        <v>150000</v>
      </c>
      <c r="K930" s="265">
        <v>1650000</v>
      </c>
      <c r="M930" s="269" t="s">
        <v>2911</v>
      </c>
      <c r="N930" t="s">
        <v>2863</v>
      </c>
    </row>
    <row r="931" spans="1:14" x14ac:dyDescent="0.3">
      <c r="A931" s="271">
        <v>930</v>
      </c>
      <c r="B931" s="264">
        <v>45852</v>
      </c>
      <c r="C931" s="292" t="s">
        <v>2319</v>
      </c>
      <c r="E931" s="292" t="s">
        <v>2836</v>
      </c>
      <c r="F931" s="269" t="s">
        <v>1204</v>
      </c>
      <c r="G931" s="265">
        <v>150000</v>
      </c>
      <c r="H931" s="269">
        <v>1</v>
      </c>
      <c r="K931" s="265">
        <v>150000</v>
      </c>
      <c r="M931" s="269"/>
      <c r="N931" t="s">
        <v>2863</v>
      </c>
    </row>
    <row r="932" spans="1:14" x14ac:dyDescent="0.3">
      <c r="A932" s="271">
        <v>931</v>
      </c>
      <c r="B932" s="264">
        <v>45852</v>
      </c>
      <c r="C932" s="292" t="s">
        <v>1598</v>
      </c>
      <c r="E932" s="292" t="s">
        <v>1205</v>
      </c>
      <c r="F932" s="269" t="s">
        <v>1206</v>
      </c>
      <c r="G932" s="265">
        <v>1200000</v>
      </c>
      <c r="H932" s="269">
        <v>1</v>
      </c>
      <c r="K932" s="265">
        <v>1200000</v>
      </c>
      <c r="M932" s="269"/>
      <c r="N932" t="s">
        <v>2863</v>
      </c>
    </row>
    <row r="933" spans="1:14" x14ac:dyDescent="0.3">
      <c r="A933" s="271">
        <v>932</v>
      </c>
      <c r="B933" s="264">
        <v>45852</v>
      </c>
      <c r="C933" s="292" t="s">
        <v>1444</v>
      </c>
      <c r="E933" s="292" t="s">
        <v>2180</v>
      </c>
      <c r="F933" s="269" t="s">
        <v>1201</v>
      </c>
      <c r="G933" s="265">
        <v>1500000</v>
      </c>
      <c r="H933" s="269">
        <v>1</v>
      </c>
      <c r="K933" s="265">
        <v>1500000</v>
      </c>
      <c r="M933" s="269"/>
      <c r="N933" t="s">
        <v>2863</v>
      </c>
    </row>
    <row r="934" spans="1:14" x14ac:dyDescent="0.3">
      <c r="A934" s="271">
        <v>933</v>
      </c>
      <c r="B934" s="264">
        <v>45852</v>
      </c>
      <c r="C934" s="292" t="s">
        <v>1444</v>
      </c>
      <c r="E934" s="292" t="s">
        <v>2181</v>
      </c>
      <c r="F934" s="269" t="s">
        <v>1803</v>
      </c>
      <c r="G934" s="265">
        <v>50000</v>
      </c>
      <c r="H934" s="269">
        <v>1</v>
      </c>
      <c r="K934" s="265">
        <v>50000</v>
      </c>
      <c r="M934" s="269"/>
      <c r="N934" t="s">
        <v>2863</v>
      </c>
    </row>
    <row r="935" spans="1:14" x14ac:dyDescent="0.3">
      <c r="A935" s="271">
        <v>934</v>
      </c>
      <c r="B935" s="264">
        <v>45852</v>
      </c>
      <c r="C935" s="292" t="s">
        <v>1598</v>
      </c>
      <c r="E935" s="292" t="s">
        <v>1125</v>
      </c>
      <c r="L935" s="265">
        <v>-1200000</v>
      </c>
      <c r="M935" s="269"/>
    </row>
    <row r="936" spans="1:14" x14ac:dyDescent="0.3">
      <c r="A936" s="271">
        <v>935</v>
      </c>
      <c r="B936" s="264">
        <v>45852</v>
      </c>
      <c r="C936" s="292" t="s">
        <v>2319</v>
      </c>
      <c r="E936" s="292" t="s">
        <v>1125</v>
      </c>
      <c r="L936" s="265">
        <v>-150000</v>
      </c>
      <c r="M936" s="269"/>
    </row>
    <row r="937" spans="1:14" x14ac:dyDescent="0.3">
      <c r="A937" s="271">
        <v>936</v>
      </c>
      <c r="B937" s="264">
        <v>45852</v>
      </c>
      <c r="C937" s="292" t="s">
        <v>2908</v>
      </c>
      <c r="E937" s="292" t="s">
        <v>1670</v>
      </c>
      <c r="L937" s="265">
        <v>-1925000</v>
      </c>
      <c r="M937" s="269"/>
    </row>
    <row r="938" spans="1:14" x14ac:dyDescent="0.3">
      <c r="A938" s="271">
        <v>937</v>
      </c>
      <c r="B938" s="264">
        <v>45853</v>
      </c>
      <c r="C938" s="292" t="s">
        <v>2410</v>
      </c>
      <c r="E938" s="292" t="s">
        <v>2180</v>
      </c>
      <c r="F938" s="269" t="s">
        <v>1201</v>
      </c>
      <c r="G938" s="265">
        <v>1500000</v>
      </c>
      <c r="H938" s="269">
        <v>1</v>
      </c>
      <c r="J938" s="266">
        <v>150000</v>
      </c>
      <c r="K938" s="265">
        <v>1650000</v>
      </c>
      <c r="M938" s="269"/>
      <c r="N938" t="s">
        <v>2863</v>
      </c>
    </row>
    <row r="939" spans="1:14" x14ac:dyDescent="0.3">
      <c r="A939" s="271">
        <v>938</v>
      </c>
      <c r="B939" s="264">
        <v>45853</v>
      </c>
      <c r="C939" s="292" t="s">
        <v>2410</v>
      </c>
      <c r="E939" s="292" t="s">
        <v>2181</v>
      </c>
      <c r="F939" s="269" t="s">
        <v>1803</v>
      </c>
      <c r="G939" s="265">
        <v>50000</v>
      </c>
      <c r="H939" s="269">
        <v>1</v>
      </c>
      <c r="J939" s="266">
        <v>5000</v>
      </c>
      <c r="K939" s="265">
        <v>55000</v>
      </c>
      <c r="M939" s="269"/>
      <c r="N939" t="s">
        <v>2863</v>
      </c>
    </row>
    <row r="940" spans="1:14" x14ac:dyDescent="0.3">
      <c r="A940" s="271">
        <v>939</v>
      </c>
      <c r="B940" s="264">
        <v>45853</v>
      </c>
      <c r="C940" s="292" t="s">
        <v>1015</v>
      </c>
      <c r="E940" s="292" t="s">
        <v>1205</v>
      </c>
      <c r="F940" s="269" t="s">
        <v>1206</v>
      </c>
      <c r="G940" s="265">
        <v>1200000</v>
      </c>
      <c r="H940" s="269">
        <v>1</v>
      </c>
      <c r="J940" s="266">
        <v>120000</v>
      </c>
      <c r="K940" s="265">
        <v>1320000</v>
      </c>
      <c r="M940" s="269"/>
      <c r="N940" t="s">
        <v>2863</v>
      </c>
    </row>
    <row r="941" spans="1:14" x14ac:dyDescent="0.3">
      <c r="A941" s="271">
        <v>940</v>
      </c>
      <c r="B941" s="264">
        <v>45853</v>
      </c>
      <c r="C941" s="292" t="s">
        <v>2896</v>
      </c>
      <c r="E941" s="292" t="s">
        <v>2180</v>
      </c>
      <c r="F941" s="269" t="s">
        <v>1201</v>
      </c>
      <c r="G941" s="265">
        <v>1500000</v>
      </c>
      <c r="H941" s="269">
        <v>1</v>
      </c>
      <c r="J941" s="266">
        <v>150000</v>
      </c>
      <c r="K941" s="265">
        <v>1650000</v>
      </c>
      <c r="M941" s="269"/>
      <c r="N941" t="s">
        <v>2863</v>
      </c>
    </row>
    <row r="942" spans="1:14" x14ac:dyDescent="0.3">
      <c r="A942" s="271">
        <v>941</v>
      </c>
      <c r="B942" s="264">
        <v>45853</v>
      </c>
      <c r="C942" s="292" t="s">
        <v>2896</v>
      </c>
      <c r="E942" s="292" t="s">
        <v>2181</v>
      </c>
      <c r="F942" s="269" t="s">
        <v>1803</v>
      </c>
      <c r="G942" s="265">
        <v>50000</v>
      </c>
      <c r="H942" s="269">
        <v>1</v>
      </c>
      <c r="J942" s="266">
        <v>5000</v>
      </c>
      <c r="K942" s="265">
        <v>55000</v>
      </c>
      <c r="M942" s="269"/>
      <c r="N942" t="s">
        <v>2863</v>
      </c>
    </row>
    <row r="943" spans="1:14" x14ac:dyDescent="0.3">
      <c r="A943" s="271">
        <v>942</v>
      </c>
      <c r="B943" s="264">
        <v>45853</v>
      </c>
      <c r="C943" s="292" t="s">
        <v>2896</v>
      </c>
      <c r="E943" s="292" t="s">
        <v>2182</v>
      </c>
      <c r="F943" s="269" t="s">
        <v>2217</v>
      </c>
      <c r="G943" s="265">
        <v>250000</v>
      </c>
      <c r="H943" s="269">
        <v>1</v>
      </c>
      <c r="J943" s="266">
        <v>25000</v>
      </c>
      <c r="K943" s="265">
        <v>275000</v>
      </c>
      <c r="M943" s="269"/>
      <c r="N943" t="s">
        <v>2863</v>
      </c>
    </row>
    <row r="944" spans="1:14" x14ac:dyDescent="0.3">
      <c r="A944" s="271">
        <v>943</v>
      </c>
      <c r="B944" s="264">
        <v>45853</v>
      </c>
      <c r="C944" s="292" t="s">
        <v>2319</v>
      </c>
      <c r="E944" s="292" t="s">
        <v>2178</v>
      </c>
      <c r="F944" s="269" t="s">
        <v>1464</v>
      </c>
      <c r="G944" s="265">
        <v>1500000</v>
      </c>
      <c r="H944" s="269">
        <v>1</v>
      </c>
      <c r="J944" s="266">
        <v>150000</v>
      </c>
      <c r="K944" s="265">
        <v>1650000</v>
      </c>
      <c r="M944" s="269"/>
      <c r="N944" t="s">
        <v>2863</v>
      </c>
    </row>
    <row r="945" spans="1:14" x14ac:dyDescent="0.3">
      <c r="A945" s="271">
        <v>944</v>
      </c>
      <c r="B945" s="264">
        <v>45853</v>
      </c>
      <c r="C945" s="292" t="s">
        <v>1290</v>
      </c>
      <c r="E945" s="292" t="s">
        <v>2577</v>
      </c>
      <c r="F945" s="269" t="s">
        <v>2576</v>
      </c>
      <c r="G945" s="265">
        <v>1500000</v>
      </c>
      <c r="H945" s="269">
        <v>1</v>
      </c>
      <c r="J945" s="266" t="s">
        <v>2907</v>
      </c>
      <c r="K945" s="265">
        <v>1650000</v>
      </c>
      <c r="M945" s="269"/>
      <c r="N945" t="s">
        <v>2863</v>
      </c>
    </row>
    <row r="946" spans="1:14" x14ac:dyDescent="0.3">
      <c r="A946" s="271">
        <v>945</v>
      </c>
      <c r="B946" s="264">
        <v>45853</v>
      </c>
      <c r="C946" s="292" t="s">
        <v>1147</v>
      </c>
      <c r="E946" s="292" t="s">
        <v>1717</v>
      </c>
      <c r="F946" s="269">
        <v>2800802</v>
      </c>
      <c r="G946" s="265">
        <v>150000</v>
      </c>
      <c r="H946" s="269">
        <v>1</v>
      </c>
      <c r="K946" s="265">
        <v>150000</v>
      </c>
      <c r="M946" s="269"/>
      <c r="N946" t="s">
        <v>2863</v>
      </c>
    </row>
    <row r="947" spans="1:14" x14ac:dyDescent="0.3">
      <c r="A947" s="271">
        <v>946</v>
      </c>
      <c r="B947" s="264">
        <v>45853</v>
      </c>
      <c r="C947" s="292" t="s">
        <v>1456</v>
      </c>
      <c r="E947" s="292" t="s">
        <v>1717</v>
      </c>
      <c r="F947" s="269">
        <v>2800802</v>
      </c>
      <c r="G947" s="265">
        <v>150000</v>
      </c>
      <c r="H947" s="269">
        <v>2</v>
      </c>
      <c r="K947" s="265">
        <v>300000</v>
      </c>
      <c r="M947" s="269"/>
      <c r="N947" t="s">
        <v>2863</v>
      </c>
    </row>
    <row r="948" spans="1:14" x14ac:dyDescent="0.3">
      <c r="A948" s="271">
        <v>947</v>
      </c>
      <c r="B948" s="264">
        <v>45853</v>
      </c>
      <c r="C948" s="292" t="s">
        <v>2890</v>
      </c>
      <c r="E948" s="292" t="s">
        <v>2196</v>
      </c>
      <c r="F948" s="269">
        <v>2820403</v>
      </c>
      <c r="G948" s="265">
        <v>1500000</v>
      </c>
      <c r="H948" s="269">
        <v>1</v>
      </c>
      <c r="K948" s="265">
        <v>1500000</v>
      </c>
      <c r="M948" s="269"/>
      <c r="N948" t="s">
        <v>2863</v>
      </c>
    </row>
    <row r="949" spans="1:14" x14ac:dyDescent="0.3">
      <c r="A949" s="271">
        <v>948</v>
      </c>
      <c r="B949" s="264">
        <v>45853</v>
      </c>
      <c r="C949" s="292" t="s">
        <v>2890</v>
      </c>
      <c r="E949" s="292" t="s">
        <v>2904</v>
      </c>
      <c r="G949" s="265">
        <v>50000</v>
      </c>
      <c r="H949" s="269">
        <v>1</v>
      </c>
      <c r="K949" s="265">
        <v>50000</v>
      </c>
      <c r="M949" s="269"/>
      <c r="N949" t="s">
        <v>2863</v>
      </c>
    </row>
    <row r="950" spans="1:14" x14ac:dyDescent="0.3">
      <c r="A950" s="271">
        <v>949</v>
      </c>
      <c r="B950" s="264">
        <v>45853</v>
      </c>
      <c r="C950" s="292" t="s">
        <v>1722</v>
      </c>
      <c r="E950" s="292" t="s">
        <v>2713</v>
      </c>
      <c r="F950" s="269" t="s">
        <v>2712</v>
      </c>
      <c r="G950" s="265">
        <v>1550000</v>
      </c>
      <c r="H950" s="269">
        <v>1</v>
      </c>
      <c r="K950" s="265">
        <v>1550000</v>
      </c>
      <c r="M950" s="269"/>
      <c r="N950" t="s">
        <v>2863</v>
      </c>
    </row>
    <row r="951" spans="1:14" x14ac:dyDescent="0.3">
      <c r="A951" s="271">
        <v>950</v>
      </c>
      <c r="B951" s="264">
        <v>45853</v>
      </c>
      <c r="C951" s="292" t="s">
        <v>2896</v>
      </c>
      <c r="E951" s="292" t="s">
        <v>1125</v>
      </c>
      <c r="L951" s="265">
        <v>-1980000</v>
      </c>
      <c r="M951" s="269"/>
    </row>
    <row r="952" spans="1:14" x14ac:dyDescent="0.3">
      <c r="A952" s="271">
        <v>951</v>
      </c>
      <c r="B952" s="264">
        <v>45853</v>
      </c>
      <c r="C952" s="292" t="s">
        <v>2319</v>
      </c>
      <c r="E952" s="292" t="s">
        <v>1125</v>
      </c>
      <c r="L952" s="265">
        <v>-1650000</v>
      </c>
      <c r="M952" s="269"/>
    </row>
    <row r="953" spans="1:14" x14ac:dyDescent="0.3">
      <c r="A953" s="271">
        <v>952</v>
      </c>
      <c r="B953" s="264">
        <v>45854</v>
      </c>
      <c r="C953" s="292" t="s">
        <v>2410</v>
      </c>
      <c r="E953" s="292" t="s">
        <v>1125</v>
      </c>
      <c r="L953" s="265">
        <v>-3355000</v>
      </c>
      <c r="M953" s="269"/>
    </row>
    <row r="954" spans="1:14" x14ac:dyDescent="0.3">
      <c r="A954" s="271">
        <v>953</v>
      </c>
      <c r="B954" s="264">
        <v>45854</v>
      </c>
      <c r="C954" s="292" t="s">
        <v>2292</v>
      </c>
      <c r="E954" s="292" t="s">
        <v>2187</v>
      </c>
      <c r="F954" s="269" t="s">
        <v>1207</v>
      </c>
      <c r="G954" s="265">
        <v>517273</v>
      </c>
      <c r="H954" s="269">
        <v>1</v>
      </c>
      <c r="J954" s="266">
        <v>51727</v>
      </c>
      <c r="K954" s="265">
        <v>569000</v>
      </c>
      <c r="M954" s="269"/>
      <c r="N954" t="s">
        <v>2863</v>
      </c>
    </row>
    <row r="955" spans="1:14" x14ac:dyDescent="0.3">
      <c r="A955" s="271">
        <v>954</v>
      </c>
      <c r="B955" s="264">
        <v>45854</v>
      </c>
      <c r="C955" s="292" t="s">
        <v>2292</v>
      </c>
      <c r="E955" s="292" t="s">
        <v>2190</v>
      </c>
      <c r="F955" s="269">
        <v>50229</v>
      </c>
      <c r="G955" s="265">
        <v>70000</v>
      </c>
      <c r="H955" s="269">
        <v>1</v>
      </c>
      <c r="J955" s="266">
        <v>7000</v>
      </c>
      <c r="K955" s="265">
        <v>77000</v>
      </c>
      <c r="M955" s="269"/>
      <c r="N955" t="s">
        <v>2863</v>
      </c>
    </row>
    <row r="956" spans="1:14" x14ac:dyDescent="0.3">
      <c r="A956" s="271">
        <v>955</v>
      </c>
      <c r="B956" s="264">
        <v>45854</v>
      </c>
      <c r="C956" s="292" t="s">
        <v>1805</v>
      </c>
      <c r="E956" s="292" t="s">
        <v>2913</v>
      </c>
      <c r="F956" s="269">
        <v>24046895</v>
      </c>
      <c r="G956" s="265">
        <v>120000</v>
      </c>
      <c r="H956" s="269">
        <v>1</v>
      </c>
      <c r="J956" s="266">
        <v>12000</v>
      </c>
      <c r="K956" s="265">
        <v>132000</v>
      </c>
      <c r="M956" s="269"/>
      <c r="N956" t="s">
        <v>2863</v>
      </c>
    </row>
    <row r="957" spans="1:14" x14ac:dyDescent="0.3">
      <c r="A957" s="271">
        <v>956</v>
      </c>
      <c r="B957" s="264">
        <v>45854</v>
      </c>
      <c r="C957" s="292" t="s">
        <v>1671</v>
      </c>
      <c r="E957" s="292" t="s">
        <v>2180</v>
      </c>
      <c r="F957" s="269" t="s">
        <v>1201</v>
      </c>
      <c r="G957" s="265">
        <v>1500000</v>
      </c>
      <c r="H957" s="269">
        <v>1</v>
      </c>
      <c r="J957" s="266">
        <v>150000</v>
      </c>
      <c r="K957" s="265">
        <v>1650000</v>
      </c>
      <c r="M957" s="269"/>
      <c r="N957" t="s">
        <v>2863</v>
      </c>
    </row>
    <row r="958" spans="1:14" x14ac:dyDescent="0.3">
      <c r="A958" s="271">
        <v>957</v>
      </c>
      <c r="B958" s="264">
        <v>45854</v>
      </c>
      <c r="C958" s="292" t="s">
        <v>1671</v>
      </c>
      <c r="E958" s="292" t="s">
        <v>2181</v>
      </c>
      <c r="F958" s="269" t="s">
        <v>1803</v>
      </c>
      <c r="G958" s="265">
        <v>50000</v>
      </c>
      <c r="H958" s="269">
        <v>1</v>
      </c>
      <c r="J958" s="266">
        <v>5000</v>
      </c>
      <c r="K958" s="265">
        <v>55000</v>
      </c>
      <c r="M958" s="269"/>
      <c r="N958" t="s">
        <v>2863</v>
      </c>
    </row>
    <row r="959" spans="1:14" x14ac:dyDescent="0.3">
      <c r="A959" s="271">
        <v>958</v>
      </c>
      <c r="B959" s="264">
        <v>45854</v>
      </c>
      <c r="C959" s="292" t="s">
        <v>2916</v>
      </c>
      <c r="E959" s="292" t="s">
        <v>2180</v>
      </c>
      <c r="F959" s="269" t="s">
        <v>1201</v>
      </c>
      <c r="G959" s="265">
        <v>1500000</v>
      </c>
      <c r="H959" s="269">
        <v>1</v>
      </c>
      <c r="K959" s="265">
        <v>1500000</v>
      </c>
      <c r="M959" s="269"/>
      <c r="N959" t="s">
        <v>2863</v>
      </c>
    </row>
    <row r="960" spans="1:14" x14ac:dyDescent="0.3">
      <c r="A960" s="271">
        <v>959</v>
      </c>
      <c r="B960" s="264">
        <v>45854</v>
      </c>
      <c r="C960" s="292" t="s">
        <v>2292</v>
      </c>
      <c r="E960" s="292" t="s">
        <v>1125</v>
      </c>
      <c r="L960" s="265">
        <v>-646000</v>
      </c>
      <c r="M960" s="269"/>
    </row>
    <row r="961" spans="1:14" x14ac:dyDescent="0.3">
      <c r="A961" s="271">
        <v>960</v>
      </c>
      <c r="B961" s="264">
        <v>45854</v>
      </c>
      <c r="C961" s="292" t="s">
        <v>2916</v>
      </c>
      <c r="E961" s="292" t="s">
        <v>1125</v>
      </c>
      <c r="L961" s="265">
        <v>-1500000</v>
      </c>
      <c r="M961" s="269"/>
    </row>
    <row r="962" spans="1:14" x14ac:dyDescent="0.3">
      <c r="A962" s="271">
        <v>961</v>
      </c>
      <c r="B962" s="264">
        <v>45853</v>
      </c>
      <c r="C962" s="292" t="s">
        <v>1467</v>
      </c>
      <c r="E962" s="292" t="s">
        <v>1125</v>
      </c>
      <c r="L962" s="265">
        <v>-1870000</v>
      </c>
      <c r="M962" s="269"/>
    </row>
    <row r="963" spans="1:14" x14ac:dyDescent="0.3">
      <c r="A963" s="271">
        <v>962</v>
      </c>
      <c r="B963" s="264">
        <v>45854</v>
      </c>
      <c r="C963" s="292" t="s">
        <v>1046</v>
      </c>
      <c r="E963" s="292" t="s">
        <v>1125</v>
      </c>
      <c r="L963" s="265">
        <v>-1550000</v>
      </c>
      <c r="M963" s="269"/>
    </row>
    <row r="964" spans="1:14" x14ac:dyDescent="0.3">
      <c r="A964" s="271">
        <v>963</v>
      </c>
      <c r="B964" s="264">
        <v>45853</v>
      </c>
      <c r="C964" s="292" t="s">
        <v>2890</v>
      </c>
      <c r="E964" s="292" t="s">
        <v>1125</v>
      </c>
      <c r="L964" s="265">
        <v>-1550000</v>
      </c>
      <c r="M964" s="269"/>
    </row>
    <row r="965" spans="1:14" x14ac:dyDescent="0.3">
      <c r="A965" s="271">
        <v>964</v>
      </c>
      <c r="B965" s="264">
        <v>45854</v>
      </c>
      <c r="C965" s="292" t="s">
        <v>2873</v>
      </c>
      <c r="E965" s="292" t="s">
        <v>1125</v>
      </c>
      <c r="L965" s="265">
        <v>-1100000</v>
      </c>
      <c r="M965" s="269"/>
    </row>
    <row r="966" spans="1:14" x14ac:dyDescent="0.3">
      <c r="A966" s="271">
        <v>965</v>
      </c>
      <c r="B966" s="264">
        <v>45855</v>
      </c>
      <c r="C966" s="292" t="s">
        <v>2101</v>
      </c>
      <c r="E966" s="292" t="s">
        <v>1125</v>
      </c>
      <c r="L966" s="265">
        <v>-1200000</v>
      </c>
      <c r="M966" s="269"/>
    </row>
    <row r="967" spans="1:14" x14ac:dyDescent="0.3">
      <c r="A967" s="271">
        <v>966</v>
      </c>
      <c r="B967" s="264">
        <v>45855</v>
      </c>
      <c r="C967" s="292" t="s">
        <v>1018</v>
      </c>
      <c r="E967" s="292" t="s">
        <v>2919</v>
      </c>
      <c r="F967" s="269">
        <v>415054509</v>
      </c>
      <c r="G967" s="265">
        <v>342000</v>
      </c>
      <c r="H967" s="269">
        <v>1</v>
      </c>
      <c r="K967" s="265">
        <v>342000</v>
      </c>
      <c r="M967" s="269"/>
      <c r="N967" t="s">
        <v>2863</v>
      </c>
    </row>
    <row r="968" spans="1:14" x14ac:dyDescent="0.3">
      <c r="A968" s="271">
        <v>967</v>
      </c>
      <c r="B968" s="264">
        <v>45855</v>
      </c>
      <c r="C968" s="292" t="s">
        <v>1018</v>
      </c>
      <c r="E968" s="292" t="s">
        <v>2920</v>
      </c>
      <c r="F968" s="269">
        <v>602000700</v>
      </c>
      <c r="G968" s="265">
        <v>354000</v>
      </c>
      <c r="H968" s="269">
        <v>1</v>
      </c>
      <c r="K968" s="265">
        <v>354000</v>
      </c>
      <c r="M968" s="269"/>
      <c r="N968" t="s">
        <v>2863</v>
      </c>
    </row>
    <row r="969" spans="1:14" x14ac:dyDescent="0.3">
      <c r="A969" s="271">
        <v>968</v>
      </c>
      <c r="B969" s="264">
        <v>45855</v>
      </c>
      <c r="C969" s="292" t="s">
        <v>1018</v>
      </c>
      <c r="E969" s="292" t="s">
        <v>2924</v>
      </c>
      <c r="G969" s="265">
        <v>35000</v>
      </c>
      <c r="H969" s="269">
        <v>1</v>
      </c>
      <c r="K969" s="265">
        <v>35000</v>
      </c>
      <c r="M969" s="269"/>
      <c r="N969" t="s">
        <v>2863</v>
      </c>
    </row>
    <row r="970" spans="1:14" x14ac:dyDescent="0.3">
      <c r="A970" s="271">
        <v>969</v>
      </c>
      <c r="B970" s="264">
        <v>45855</v>
      </c>
      <c r="C970" s="292" t="s">
        <v>1467</v>
      </c>
      <c r="E970" s="292" t="s">
        <v>2926</v>
      </c>
      <c r="F970" s="269">
        <v>6058008117</v>
      </c>
      <c r="G970" s="265">
        <v>900000</v>
      </c>
      <c r="H970" s="269">
        <v>1</v>
      </c>
      <c r="J970" s="266">
        <v>90000</v>
      </c>
      <c r="K970" s="265">
        <v>990000</v>
      </c>
      <c r="M970" s="269"/>
      <c r="N970" t="s">
        <v>2863</v>
      </c>
    </row>
    <row r="971" spans="1:14" x14ac:dyDescent="0.3">
      <c r="A971" s="271">
        <v>970</v>
      </c>
      <c r="B971" s="264">
        <v>45855</v>
      </c>
      <c r="C971" s="292" t="s">
        <v>2623</v>
      </c>
      <c r="E971" s="292" t="s">
        <v>2290</v>
      </c>
      <c r="G971" s="265">
        <v>1700000</v>
      </c>
      <c r="H971" s="269">
        <v>1</v>
      </c>
      <c r="J971" s="266">
        <v>170000</v>
      </c>
      <c r="K971" s="265">
        <v>1870000</v>
      </c>
      <c r="M971" s="269"/>
      <c r="N971" t="s">
        <v>2863</v>
      </c>
    </row>
    <row r="972" spans="1:14" x14ac:dyDescent="0.3">
      <c r="A972" s="271">
        <v>971</v>
      </c>
      <c r="B972" s="264">
        <v>45855</v>
      </c>
      <c r="C972" s="292" t="s">
        <v>1399</v>
      </c>
      <c r="E972" s="292" t="s">
        <v>2180</v>
      </c>
      <c r="F972" s="269" t="s">
        <v>1201</v>
      </c>
      <c r="G972" s="265">
        <v>1500000</v>
      </c>
      <c r="H972" s="269">
        <v>1</v>
      </c>
      <c r="K972" s="265">
        <v>1500000</v>
      </c>
      <c r="M972" s="269"/>
      <c r="N972" t="s">
        <v>2863</v>
      </c>
    </row>
    <row r="973" spans="1:14" x14ac:dyDescent="0.3">
      <c r="A973" s="271">
        <v>972</v>
      </c>
      <c r="B973" s="264">
        <v>45856</v>
      </c>
      <c r="C973" s="292" t="s">
        <v>1334</v>
      </c>
      <c r="E973" s="292" t="s">
        <v>2216</v>
      </c>
      <c r="F973" s="269" t="s">
        <v>1760</v>
      </c>
      <c r="G973" s="265">
        <v>510000</v>
      </c>
      <c r="H973" s="269">
        <v>1</v>
      </c>
      <c r="J973" s="266" t="s">
        <v>2985</v>
      </c>
      <c r="K973" s="265">
        <v>561000</v>
      </c>
      <c r="M973" s="269"/>
      <c r="N973" t="s">
        <v>2863</v>
      </c>
    </row>
    <row r="974" spans="1:14" x14ac:dyDescent="0.3">
      <c r="A974" s="271">
        <v>973</v>
      </c>
      <c r="B974" s="264">
        <v>45856</v>
      </c>
      <c r="C974" s="292" t="s">
        <v>1334</v>
      </c>
      <c r="E974" s="292" t="s">
        <v>2986</v>
      </c>
      <c r="F974" s="270">
        <v>50229</v>
      </c>
      <c r="G974" s="265">
        <v>70000</v>
      </c>
      <c r="H974" s="269">
        <v>1</v>
      </c>
      <c r="J974" s="266">
        <v>7000</v>
      </c>
      <c r="K974" s="265">
        <v>77000</v>
      </c>
      <c r="M974" s="269"/>
      <c r="N974" t="s">
        <v>2863</v>
      </c>
    </row>
    <row r="975" spans="1:14" x14ac:dyDescent="0.3">
      <c r="A975" s="271">
        <v>974</v>
      </c>
      <c r="B975" s="264">
        <v>45856</v>
      </c>
      <c r="C975" s="292" t="s">
        <v>2935</v>
      </c>
      <c r="E975" s="292" t="s">
        <v>2180</v>
      </c>
      <c r="F975" s="269" t="s">
        <v>1201</v>
      </c>
      <c r="G975" s="265">
        <v>1700000</v>
      </c>
      <c r="H975" s="269">
        <v>1</v>
      </c>
      <c r="K975" s="265">
        <v>1700000</v>
      </c>
      <c r="M975" s="269"/>
      <c r="N975" t="s">
        <v>2863</v>
      </c>
    </row>
    <row r="976" spans="1:14" x14ac:dyDescent="0.3">
      <c r="A976" s="271">
        <v>975</v>
      </c>
      <c r="B976" s="264">
        <v>45856</v>
      </c>
      <c r="C976" s="292" t="s">
        <v>2935</v>
      </c>
      <c r="E976" s="292" t="s">
        <v>2938</v>
      </c>
      <c r="G976" s="265">
        <v>100000</v>
      </c>
      <c r="H976" s="269">
        <v>1</v>
      </c>
      <c r="K976" s="265">
        <v>100000</v>
      </c>
      <c r="M976" s="269"/>
      <c r="N976" t="s">
        <v>2863</v>
      </c>
    </row>
    <row r="977" spans="1:14" x14ac:dyDescent="0.3">
      <c r="A977" s="271">
        <v>976</v>
      </c>
      <c r="B977" s="264">
        <v>45856</v>
      </c>
      <c r="C977" s="292" t="s">
        <v>1479</v>
      </c>
      <c r="E977" s="292" t="s">
        <v>2940</v>
      </c>
      <c r="G977" s="265">
        <v>1000000</v>
      </c>
      <c r="H977" s="269">
        <v>1</v>
      </c>
      <c r="K977" s="265">
        <v>1000000</v>
      </c>
      <c r="M977" s="269"/>
      <c r="N977" t="s">
        <v>2863</v>
      </c>
    </row>
    <row r="978" spans="1:14" x14ac:dyDescent="0.3">
      <c r="A978" s="271">
        <v>977</v>
      </c>
      <c r="B978" s="264">
        <v>45856</v>
      </c>
      <c r="C978" s="292" t="s">
        <v>2942</v>
      </c>
      <c r="E978" s="292" t="s">
        <v>1561</v>
      </c>
      <c r="F978" s="269" t="s">
        <v>1223</v>
      </c>
      <c r="G978" s="265">
        <v>1500000</v>
      </c>
      <c r="H978" s="269">
        <v>1</v>
      </c>
      <c r="K978" s="265">
        <v>1500000</v>
      </c>
      <c r="M978" s="269"/>
      <c r="N978" t="s">
        <v>2863</v>
      </c>
    </row>
    <row r="979" spans="1:14" x14ac:dyDescent="0.3">
      <c r="A979" s="271">
        <v>978</v>
      </c>
      <c r="B979" s="264">
        <v>45856</v>
      </c>
      <c r="C979" s="292" t="s">
        <v>2942</v>
      </c>
      <c r="E979" s="292" t="s">
        <v>2943</v>
      </c>
      <c r="G979" s="265">
        <v>200000</v>
      </c>
      <c r="H979" s="269">
        <v>1</v>
      </c>
      <c r="K979" s="265">
        <v>200000</v>
      </c>
      <c r="M979" s="269"/>
      <c r="N979" t="s">
        <v>2863</v>
      </c>
    </row>
    <row r="980" spans="1:14" x14ac:dyDescent="0.3">
      <c r="A980" s="271">
        <v>979</v>
      </c>
      <c r="B980" s="264">
        <v>45856</v>
      </c>
      <c r="C980" s="292" t="s">
        <v>1847</v>
      </c>
      <c r="E980" s="292" t="s">
        <v>2187</v>
      </c>
      <c r="F980" s="269" t="s">
        <v>1207</v>
      </c>
      <c r="G980" s="265">
        <v>510000</v>
      </c>
      <c r="H980" s="269">
        <v>1</v>
      </c>
      <c r="K980" s="265">
        <v>510000</v>
      </c>
      <c r="M980" s="269"/>
      <c r="N980" t="s">
        <v>2863</v>
      </c>
    </row>
    <row r="981" spans="1:14" x14ac:dyDescent="0.3">
      <c r="A981" s="271">
        <v>980</v>
      </c>
      <c r="B981" s="264">
        <v>45856</v>
      </c>
      <c r="C981" s="292" t="s">
        <v>1980</v>
      </c>
      <c r="E981" s="292" t="s">
        <v>1203</v>
      </c>
      <c r="F981" s="269" t="s">
        <v>1752</v>
      </c>
      <c r="G981" s="265">
        <v>1200000</v>
      </c>
      <c r="H981" s="269">
        <v>1</v>
      </c>
      <c r="K981" s="265">
        <v>1200000</v>
      </c>
      <c r="M981" s="269"/>
      <c r="N981" t="s">
        <v>2863</v>
      </c>
    </row>
    <row r="982" spans="1:14" x14ac:dyDescent="0.3">
      <c r="A982" s="271">
        <v>981</v>
      </c>
      <c r="B982" s="264">
        <v>45856</v>
      </c>
      <c r="C982" s="292" t="s">
        <v>1980</v>
      </c>
      <c r="E982" s="292" t="s">
        <v>1203</v>
      </c>
      <c r="F982" s="269" t="s">
        <v>1752</v>
      </c>
      <c r="L982" s="265">
        <v>-1200000</v>
      </c>
      <c r="M982" s="269"/>
      <c r="N982" t="s">
        <v>2863</v>
      </c>
    </row>
    <row r="983" spans="1:14" x14ac:dyDescent="0.3">
      <c r="A983" s="271">
        <v>982</v>
      </c>
      <c r="B983" s="264">
        <v>45856</v>
      </c>
      <c r="C983" s="292" t="s">
        <v>2942</v>
      </c>
      <c r="E983" s="292" t="s">
        <v>1670</v>
      </c>
      <c r="F983" s="269" t="s">
        <v>1223</v>
      </c>
      <c r="L983" s="265">
        <v>-1700000</v>
      </c>
      <c r="M983" s="269"/>
    </row>
    <row r="984" spans="1:14" x14ac:dyDescent="0.3">
      <c r="A984" s="271">
        <v>983</v>
      </c>
      <c r="B984" s="264">
        <v>45856</v>
      </c>
      <c r="C984" s="292" t="s">
        <v>2935</v>
      </c>
      <c r="E984" s="292" t="s">
        <v>1670</v>
      </c>
      <c r="L984" s="265">
        <v>-1800000</v>
      </c>
      <c r="M984" s="269"/>
    </row>
    <row r="985" spans="1:14" x14ac:dyDescent="0.3">
      <c r="A985" s="271">
        <v>984</v>
      </c>
      <c r="B985" s="264">
        <v>45857</v>
      </c>
      <c r="C985" s="292" t="s">
        <v>2319</v>
      </c>
      <c r="E985" s="292" t="s">
        <v>2180</v>
      </c>
      <c r="F985" s="269" t="s">
        <v>1201</v>
      </c>
      <c r="G985" s="265">
        <v>1500000</v>
      </c>
      <c r="H985" s="269">
        <v>1</v>
      </c>
      <c r="K985" s="265">
        <v>1500000</v>
      </c>
      <c r="M985" s="269"/>
      <c r="N985" t="s">
        <v>2863</v>
      </c>
    </row>
    <row r="986" spans="1:14" x14ac:dyDescent="0.3">
      <c r="A986" s="271">
        <v>985</v>
      </c>
      <c r="B986" s="264">
        <v>45859</v>
      </c>
      <c r="C986" s="292" t="s">
        <v>1809</v>
      </c>
      <c r="E986" s="292" t="s">
        <v>1125</v>
      </c>
      <c r="L986" s="265">
        <v>-90000</v>
      </c>
      <c r="M986" s="269"/>
    </row>
    <row r="987" spans="1:14" x14ac:dyDescent="0.3">
      <c r="A987" s="271">
        <v>986</v>
      </c>
      <c r="B987" s="264">
        <v>45859</v>
      </c>
      <c r="C987" s="292" t="s">
        <v>2623</v>
      </c>
      <c r="E987" s="292" t="s">
        <v>1125</v>
      </c>
      <c r="L987" s="265">
        <v>-1870000</v>
      </c>
      <c r="M987" s="269"/>
    </row>
    <row r="988" spans="1:14" x14ac:dyDescent="0.3">
      <c r="A988" s="271">
        <v>987</v>
      </c>
      <c r="B988" s="264">
        <v>45859</v>
      </c>
      <c r="C988" s="292" t="s">
        <v>2610</v>
      </c>
      <c r="E988" s="292" t="s">
        <v>2952</v>
      </c>
      <c r="F988" s="269" t="s">
        <v>1752</v>
      </c>
      <c r="G988" s="265">
        <v>650000</v>
      </c>
      <c r="H988" s="269">
        <v>1</v>
      </c>
      <c r="J988" s="266">
        <v>65000</v>
      </c>
      <c r="K988" s="265">
        <v>715000</v>
      </c>
      <c r="M988" s="269"/>
      <c r="N988" t="s">
        <v>2863</v>
      </c>
    </row>
    <row r="989" spans="1:14" x14ac:dyDescent="0.3">
      <c r="A989" s="271">
        <v>988</v>
      </c>
      <c r="B989" s="264">
        <v>45859</v>
      </c>
      <c r="C989" s="292" t="s">
        <v>2258</v>
      </c>
      <c r="E989" s="292" t="s">
        <v>2955</v>
      </c>
      <c r="F989" s="269" t="s">
        <v>2954</v>
      </c>
      <c r="G989" s="265">
        <v>500000</v>
      </c>
      <c r="H989" s="269">
        <v>1</v>
      </c>
      <c r="K989" s="265">
        <v>500000</v>
      </c>
      <c r="M989" s="269"/>
      <c r="N989" t="s">
        <v>2863</v>
      </c>
    </row>
    <row r="990" spans="1:14" x14ac:dyDescent="0.3">
      <c r="A990" s="271">
        <v>989</v>
      </c>
      <c r="B990" s="264">
        <v>45859</v>
      </c>
      <c r="C990" s="292" t="s">
        <v>1554</v>
      </c>
      <c r="E990" s="292" t="s">
        <v>1266</v>
      </c>
      <c r="F990" s="269" t="s">
        <v>1265</v>
      </c>
      <c r="G990" s="265">
        <v>50000</v>
      </c>
      <c r="H990" s="269">
        <v>5</v>
      </c>
      <c r="J990" s="266">
        <v>25000</v>
      </c>
      <c r="K990" s="265">
        <v>275000</v>
      </c>
      <c r="M990" s="269"/>
      <c r="N990" t="s">
        <v>2863</v>
      </c>
    </row>
    <row r="991" spans="1:14" x14ac:dyDescent="0.3">
      <c r="A991" s="271">
        <v>990</v>
      </c>
      <c r="B991" s="264">
        <v>45859</v>
      </c>
      <c r="C991" s="292" t="s">
        <v>1147</v>
      </c>
      <c r="E991" s="292" t="s">
        <v>2958</v>
      </c>
      <c r="F991" s="269">
        <v>33108841535</v>
      </c>
      <c r="G991" s="265">
        <v>1200000</v>
      </c>
      <c r="H991" s="269">
        <v>1</v>
      </c>
      <c r="K991" s="265">
        <v>1200000</v>
      </c>
      <c r="M991" s="269"/>
      <c r="N991" t="s">
        <v>2863</v>
      </c>
    </row>
    <row r="992" spans="1:14" x14ac:dyDescent="0.3">
      <c r="A992" s="271">
        <v>991</v>
      </c>
      <c r="B992" s="264">
        <v>45859</v>
      </c>
      <c r="C992" s="292" t="s">
        <v>1147</v>
      </c>
      <c r="E992" s="292" t="s">
        <v>1506</v>
      </c>
      <c r="G992" s="265">
        <v>50000</v>
      </c>
      <c r="H992" s="269">
        <v>1</v>
      </c>
      <c r="K992" s="265">
        <v>50000</v>
      </c>
      <c r="M992" s="269"/>
      <c r="N992" t="s">
        <v>2863</v>
      </c>
    </row>
    <row r="993" spans="1:14" x14ac:dyDescent="0.3">
      <c r="A993" s="271">
        <v>992</v>
      </c>
      <c r="B993" s="264">
        <v>45859</v>
      </c>
      <c r="C993" s="292" t="s">
        <v>2610</v>
      </c>
      <c r="E993" s="292" t="s">
        <v>1125</v>
      </c>
      <c r="L993" s="265">
        <v>-715000</v>
      </c>
      <c r="M993" s="269"/>
    </row>
    <row r="994" spans="1:14" x14ac:dyDescent="0.3">
      <c r="A994" s="271">
        <v>993</v>
      </c>
      <c r="B994" s="264">
        <v>45859</v>
      </c>
      <c r="C994" s="292" t="s">
        <v>2258</v>
      </c>
      <c r="E994" s="292" t="s">
        <v>1125</v>
      </c>
      <c r="L994" s="265">
        <v>-500000</v>
      </c>
      <c r="M994" s="269"/>
    </row>
    <row r="995" spans="1:14" x14ac:dyDescent="0.3">
      <c r="A995" s="271">
        <v>994</v>
      </c>
      <c r="B995" s="264">
        <v>45859</v>
      </c>
      <c r="C995" s="292" t="s">
        <v>1469</v>
      </c>
      <c r="E995" s="292" t="s">
        <v>2404</v>
      </c>
      <c r="G995" s="265">
        <v>150000</v>
      </c>
      <c r="H995" s="269">
        <v>1</v>
      </c>
      <c r="K995" s="265">
        <v>150000</v>
      </c>
      <c r="M995" s="269"/>
      <c r="N995" t="s">
        <v>2863</v>
      </c>
    </row>
    <row r="996" spans="1:14" x14ac:dyDescent="0.3">
      <c r="A996" s="271">
        <v>995</v>
      </c>
      <c r="B996" s="264">
        <v>45860</v>
      </c>
      <c r="C996" s="292" t="s">
        <v>1456</v>
      </c>
      <c r="E996" s="292" t="s">
        <v>1125</v>
      </c>
      <c r="L996" s="265">
        <v>-300000</v>
      </c>
      <c r="M996" s="269"/>
    </row>
    <row r="997" spans="1:14" x14ac:dyDescent="0.3">
      <c r="A997" s="271">
        <v>996</v>
      </c>
      <c r="B997" s="264">
        <v>45860</v>
      </c>
      <c r="C997" s="292" t="s">
        <v>1541</v>
      </c>
      <c r="E997" s="292" t="s">
        <v>2187</v>
      </c>
      <c r="F997" s="269" t="s">
        <v>1207</v>
      </c>
      <c r="G997" s="265">
        <v>510000</v>
      </c>
      <c r="H997" s="269">
        <v>1</v>
      </c>
      <c r="K997" s="265">
        <v>510000</v>
      </c>
      <c r="M997" s="269"/>
      <c r="N997" t="s">
        <v>2863</v>
      </c>
    </row>
    <row r="998" spans="1:14" x14ac:dyDescent="0.3">
      <c r="A998" s="271">
        <v>997</v>
      </c>
      <c r="B998" s="264">
        <v>45860</v>
      </c>
      <c r="C998" s="292" t="s">
        <v>1541</v>
      </c>
      <c r="E998" s="292" t="s">
        <v>2188</v>
      </c>
      <c r="F998" s="269" t="s">
        <v>1259</v>
      </c>
      <c r="G998" s="265">
        <v>130000</v>
      </c>
      <c r="H998" s="269">
        <v>1</v>
      </c>
      <c r="K998" s="265">
        <v>130000</v>
      </c>
      <c r="M998" s="269"/>
      <c r="N998" t="s">
        <v>2863</v>
      </c>
    </row>
    <row r="999" spans="1:14" x14ac:dyDescent="0.3">
      <c r="A999" s="271">
        <v>998</v>
      </c>
      <c r="B999" s="264">
        <v>45860</v>
      </c>
      <c r="C999" s="292" t="s">
        <v>1541</v>
      </c>
      <c r="E999" s="292" t="s">
        <v>2191</v>
      </c>
      <c r="F999" s="269" t="s">
        <v>1795</v>
      </c>
      <c r="G999" s="265">
        <v>35000</v>
      </c>
      <c r="H999" s="269">
        <v>1</v>
      </c>
      <c r="K999" s="265">
        <v>35000</v>
      </c>
      <c r="M999" s="269"/>
      <c r="N999" t="s">
        <v>2863</v>
      </c>
    </row>
    <row r="1000" spans="1:14" x14ac:dyDescent="0.3">
      <c r="A1000" s="271">
        <v>999</v>
      </c>
      <c r="B1000" s="264">
        <v>45860</v>
      </c>
      <c r="C1000" s="292" t="s">
        <v>1541</v>
      </c>
      <c r="E1000" s="292" t="s">
        <v>2192</v>
      </c>
      <c r="F1000" s="269" t="s">
        <v>1822</v>
      </c>
      <c r="G1000" s="265">
        <v>10000</v>
      </c>
      <c r="H1000" s="269">
        <v>1</v>
      </c>
      <c r="K1000" s="265">
        <v>10000</v>
      </c>
      <c r="M1000" s="269"/>
      <c r="N1000" t="s">
        <v>2863</v>
      </c>
    </row>
    <row r="1001" spans="1:14" x14ac:dyDescent="0.3">
      <c r="A1001" s="271">
        <v>1000</v>
      </c>
      <c r="B1001" s="264">
        <v>45860</v>
      </c>
      <c r="C1001" s="292" t="s">
        <v>1812</v>
      </c>
      <c r="E1001" s="292" t="s">
        <v>1743</v>
      </c>
      <c r="G1001" s="265">
        <v>650000</v>
      </c>
      <c r="H1001" s="269">
        <v>1</v>
      </c>
      <c r="J1001" s="266">
        <v>65000</v>
      </c>
      <c r="K1001" s="265">
        <v>715000</v>
      </c>
      <c r="M1001" s="269"/>
      <c r="N1001" t="s">
        <v>2863</v>
      </c>
    </row>
    <row r="1002" spans="1:14" x14ac:dyDescent="0.3">
      <c r="A1002" s="271">
        <v>1001</v>
      </c>
      <c r="B1002" s="264">
        <v>45860</v>
      </c>
      <c r="C1002" s="292" t="s">
        <v>1812</v>
      </c>
      <c r="E1002" s="292" t="s">
        <v>1519</v>
      </c>
      <c r="G1002" s="265">
        <v>10000</v>
      </c>
      <c r="H1002" s="269">
        <v>1</v>
      </c>
      <c r="J1002" s="266">
        <v>1000</v>
      </c>
      <c r="K1002" s="265">
        <v>11000</v>
      </c>
      <c r="M1002" s="269"/>
      <c r="N1002" t="s">
        <v>2863</v>
      </c>
    </row>
    <row r="1003" spans="1:14" x14ac:dyDescent="0.3">
      <c r="A1003" s="271">
        <v>1002</v>
      </c>
      <c r="B1003" s="264">
        <v>45860</v>
      </c>
      <c r="C1003" s="292" t="s">
        <v>1018</v>
      </c>
      <c r="E1003" s="292" t="s">
        <v>2091</v>
      </c>
      <c r="F1003" s="269">
        <v>1068298046</v>
      </c>
      <c r="G1003" s="265">
        <v>450000</v>
      </c>
      <c r="H1003" s="269">
        <v>1</v>
      </c>
      <c r="K1003" s="265">
        <v>450000</v>
      </c>
      <c r="M1003" s="269"/>
      <c r="N1003" t="s">
        <v>2863</v>
      </c>
    </row>
    <row r="1004" spans="1:14" x14ac:dyDescent="0.3">
      <c r="A1004" s="271">
        <v>1003</v>
      </c>
      <c r="B1004" s="264">
        <v>45860</v>
      </c>
      <c r="C1004" s="292" t="s">
        <v>2964</v>
      </c>
      <c r="E1004" s="292" t="s">
        <v>2187</v>
      </c>
      <c r="F1004" s="269" t="s">
        <v>1207</v>
      </c>
      <c r="G1004" s="265">
        <v>510000</v>
      </c>
      <c r="H1004" s="269">
        <v>1</v>
      </c>
      <c r="K1004" s="265">
        <v>510000</v>
      </c>
      <c r="M1004" s="269"/>
      <c r="N1004" t="s">
        <v>2863</v>
      </c>
    </row>
    <row r="1005" spans="1:14" x14ac:dyDescent="0.3">
      <c r="A1005" s="271">
        <v>1004</v>
      </c>
      <c r="B1005" s="264">
        <v>45860</v>
      </c>
      <c r="C1005" s="292" t="s">
        <v>1722</v>
      </c>
      <c r="E1005" s="292" t="s">
        <v>1717</v>
      </c>
      <c r="F1005" s="269">
        <v>2800802</v>
      </c>
      <c r="G1005" s="265">
        <v>150000</v>
      </c>
      <c r="H1005" s="269">
        <v>1</v>
      </c>
      <c r="K1005" s="265">
        <v>150000</v>
      </c>
      <c r="M1005" s="269"/>
      <c r="N1005" t="s">
        <v>2863</v>
      </c>
    </row>
    <row r="1006" spans="1:14" x14ac:dyDescent="0.3">
      <c r="A1006" s="271">
        <v>1005</v>
      </c>
      <c r="B1006" s="264">
        <v>45860</v>
      </c>
      <c r="C1006" s="292" t="s">
        <v>2971</v>
      </c>
      <c r="E1006" s="292" t="s">
        <v>1219</v>
      </c>
      <c r="F1006" s="269" t="s">
        <v>2162</v>
      </c>
      <c r="G1006" s="265">
        <v>1200000</v>
      </c>
      <c r="H1006" s="269">
        <v>1</v>
      </c>
      <c r="J1006" s="266" t="s">
        <v>2972</v>
      </c>
      <c r="K1006" s="265">
        <v>1320000</v>
      </c>
      <c r="M1006" s="269"/>
      <c r="N1006" t="s">
        <v>2863</v>
      </c>
    </row>
    <row r="1007" spans="1:14" x14ac:dyDescent="0.3">
      <c r="A1007" s="271">
        <v>1006</v>
      </c>
      <c r="B1007" s="264">
        <v>45860</v>
      </c>
      <c r="C1007" s="292" t="s">
        <v>2890</v>
      </c>
      <c r="E1007" s="292" t="s">
        <v>1125</v>
      </c>
      <c r="L1007" s="265">
        <v>-1320000</v>
      </c>
      <c r="M1007" s="269"/>
    </row>
    <row r="1008" spans="1:14" x14ac:dyDescent="0.3">
      <c r="A1008" s="271">
        <v>1007</v>
      </c>
      <c r="B1008" s="264">
        <v>45861</v>
      </c>
      <c r="C1008" s="292" t="s">
        <v>2964</v>
      </c>
      <c r="E1008" s="292" t="s">
        <v>1125</v>
      </c>
      <c r="L1008" s="265">
        <v>-510000</v>
      </c>
      <c r="M1008" s="269"/>
    </row>
    <row r="1009" spans="1:14" x14ac:dyDescent="0.3">
      <c r="A1009" s="271">
        <v>1008</v>
      </c>
      <c r="B1009" s="264">
        <v>45861</v>
      </c>
      <c r="C1009" s="292" t="s">
        <v>1399</v>
      </c>
      <c r="E1009" s="292" t="s">
        <v>2091</v>
      </c>
      <c r="F1009" s="269">
        <v>1068298046</v>
      </c>
      <c r="G1009" s="265">
        <v>450000</v>
      </c>
      <c r="H1009" s="269">
        <v>1</v>
      </c>
      <c r="K1009" s="265">
        <v>450000</v>
      </c>
      <c r="M1009" s="269"/>
      <c r="N1009" t="s">
        <v>2863</v>
      </c>
    </row>
    <row r="1010" spans="1:14" x14ac:dyDescent="0.3">
      <c r="A1010" s="271">
        <v>1009</v>
      </c>
      <c r="B1010" s="264">
        <v>45861</v>
      </c>
      <c r="C1010" s="292" t="s">
        <v>1399</v>
      </c>
      <c r="E1010" s="292" t="s">
        <v>2975</v>
      </c>
      <c r="G1010" s="265">
        <v>20000</v>
      </c>
      <c r="H1010" s="269">
        <v>1</v>
      </c>
      <c r="K1010" s="265">
        <v>20000</v>
      </c>
      <c r="M1010" s="269"/>
      <c r="N1010" t="s">
        <v>2863</v>
      </c>
    </row>
    <row r="1011" spans="1:14" x14ac:dyDescent="0.3">
      <c r="A1011" s="271">
        <v>1010</v>
      </c>
      <c r="B1011" s="264">
        <v>45861</v>
      </c>
      <c r="C1011" s="292" t="s">
        <v>1747</v>
      </c>
      <c r="E1011" s="292" t="s">
        <v>1205</v>
      </c>
      <c r="F1011" s="269" t="s">
        <v>1204</v>
      </c>
      <c r="G1011" s="265">
        <v>1200000</v>
      </c>
      <c r="H1011" s="269">
        <v>1</v>
      </c>
      <c r="J1011" s="266">
        <v>120000</v>
      </c>
      <c r="K1011" s="265">
        <v>1320000</v>
      </c>
      <c r="M1011" s="269"/>
      <c r="N1011" t="s">
        <v>2863</v>
      </c>
    </row>
    <row r="1012" spans="1:14" x14ac:dyDescent="0.3">
      <c r="A1012" s="271">
        <v>1011</v>
      </c>
      <c r="B1012" s="264">
        <v>45861</v>
      </c>
      <c r="C1012" s="292" t="s">
        <v>1809</v>
      </c>
      <c r="E1012" s="292" t="s">
        <v>1496</v>
      </c>
      <c r="F1012" s="269" t="s">
        <v>2679</v>
      </c>
      <c r="G1012" s="265">
        <v>350000</v>
      </c>
      <c r="H1012" s="269">
        <v>1</v>
      </c>
      <c r="K1012" s="265">
        <v>350000</v>
      </c>
      <c r="M1012" s="269"/>
      <c r="N1012" t="s">
        <v>2863</v>
      </c>
    </row>
    <row r="1013" spans="1:14" x14ac:dyDescent="0.3">
      <c r="A1013" s="271">
        <v>1012</v>
      </c>
      <c r="B1013" s="264">
        <v>45861</v>
      </c>
      <c r="C1013" s="292" t="s">
        <v>1847</v>
      </c>
      <c r="E1013" s="292" t="s">
        <v>2189</v>
      </c>
      <c r="F1013" s="269" t="s">
        <v>1200</v>
      </c>
      <c r="G1013" s="265">
        <v>100000</v>
      </c>
      <c r="H1013" s="269">
        <v>1</v>
      </c>
      <c r="K1013" s="265">
        <v>100000</v>
      </c>
      <c r="M1013" s="269"/>
      <c r="N1013" t="s">
        <v>2863</v>
      </c>
    </row>
    <row r="1014" spans="1:14" x14ac:dyDescent="0.3">
      <c r="A1014" s="271">
        <v>1013</v>
      </c>
      <c r="B1014" s="264">
        <v>45861</v>
      </c>
      <c r="C1014" s="292" t="s">
        <v>1467</v>
      </c>
      <c r="E1014" s="292" t="s">
        <v>2180</v>
      </c>
      <c r="F1014" s="269" t="s">
        <v>1201</v>
      </c>
      <c r="G1014" s="265">
        <v>1500000</v>
      </c>
      <c r="H1014" s="269">
        <v>1</v>
      </c>
      <c r="J1014" s="266">
        <v>150000</v>
      </c>
      <c r="K1014" s="265">
        <v>1650000</v>
      </c>
      <c r="M1014" s="269"/>
      <c r="N1014" t="s">
        <v>2863</v>
      </c>
    </row>
    <row r="1015" spans="1:14" x14ac:dyDescent="0.3">
      <c r="A1015" s="271">
        <v>1014</v>
      </c>
      <c r="B1015" s="264">
        <v>45861</v>
      </c>
      <c r="C1015" s="292" t="s">
        <v>1467</v>
      </c>
      <c r="E1015" s="292" t="s">
        <v>2181</v>
      </c>
      <c r="F1015" s="269" t="s">
        <v>1803</v>
      </c>
      <c r="G1015" s="265">
        <v>50000</v>
      </c>
      <c r="H1015" s="269">
        <v>1</v>
      </c>
      <c r="J1015" s="266">
        <v>5000</v>
      </c>
      <c r="K1015" s="265">
        <v>55000</v>
      </c>
      <c r="M1015" s="269"/>
      <c r="N1015" t="s">
        <v>2863</v>
      </c>
    </row>
    <row r="1016" spans="1:14" x14ac:dyDescent="0.3">
      <c r="A1016" s="271">
        <v>1015</v>
      </c>
      <c r="B1016" s="264">
        <v>45861</v>
      </c>
      <c r="C1016" s="292" t="s">
        <v>1053</v>
      </c>
      <c r="E1016" s="292" t="s">
        <v>2180</v>
      </c>
      <c r="F1016" s="269" t="s">
        <v>1201</v>
      </c>
      <c r="G1016" s="265">
        <v>1500000</v>
      </c>
      <c r="H1016" s="269">
        <v>1</v>
      </c>
      <c r="K1016" s="265">
        <v>1500000</v>
      </c>
      <c r="M1016" s="269"/>
      <c r="N1016" t="s">
        <v>2863</v>
      </c>
    </row>
    <row r="1017" spans="1:14" x14ac:dyDescent="0.3">
      <c r="A1017" s="271">
        <v>1016</v>
      </c>
      <c r="B1017" s="264">
        <v>45861</v>
      </c>
      <c r="C1017" s="292" t="s">
        <v>1053</v>
      </c>
      <c r="E1017" s="292" t="s">
        <v>2181</v>
      </c>
      <c r="F1017" s="269" t="s">
        <v>1803</v>
      </c>
      <c r="G1017" s="265">
        <v>50000</v>
      </c>
      <c r="H1017" s="269">
        <v>1</v>
      </c>
      <c r="K1017" s="265">
        <v>50000</v>
      </c>
      <c r="M1017" s="269"/>
      <c r="N1017" t="s">
        <v>2863</v>
      </c>
    </row>
    <row r="1018" spans="1:14" x14ac:dyDescent="0.3">
      <c r="A1018" s="271">
        <v>1017</v>
      </c>
      <c r="B1018" s="264">
        <v>45861</v>
      </c>
      <c r="C1018" s="292" t="s">
        <v>1053</v>
      </c>
      <c r="E1018" s="292" t="s">
        <v>2183</v>
      </c>
      <c r="F1018" s="269" t="s">
        <v>1720</v>
      </c>
      <c r="G1018" s="265">
        <v>70000</v>
      </c>
      <c r="H1018" s="269">
        <v>1</v>
      </c>
      <c r="K1018" s="265">
        <v>70000</v>
      </c>
      <c r="M1018" s="269"/>
      <c r="N1018" t="s">
        <v>2863</v>
      </c>
    </row>
    <row r="1019" spans="1:14" x14ac:dyDescent="0.3">
      <c r="A1019" s="271">
        <v>1018</v>
      </c>
      <c r="B1019" s="264">
        <v>45861</v>
      </c>
      <c r="C1019" s="292" t="s">
        <v>2319</v>
      </c>
      <c r="E1019" s="292" t="s">
        <v>2180</v>
      </c>
      <c r="F1019" s="269" t="s">
        <v>1201</v>
      </c>
      <c r="G1019" s="265">
        <v>1500000</v>
      </c>
      <c r="H1019" s="269">
        <v>1</v>
      </c>
      <c r="J1019" s="266">
        <v>150000</v>
      </c>
      <c r="K1019" s="265">
        <v>1650000</v>
      </c>
      <c r="M1019" s="269"/>
      <c r="N1019" t="s">
        <v>2863</v>
      </c>
    </row>
    <row r="1020" spans="1:14" x14ac:dyDescent="0.3">
      <c r="A1020" s="271">
        <v>1019</v>
      </c>
      <c r="B1020" s="264">
        <v>45861</v>
      </c>
      <c r="C1020" s="292" t="s">
        <v>2319</v>
      </c>
      <c r="E1020" s="292" t="s">
        <v>2983</v>
      </c>
      <c r="L1020" s="265">
        <v>-3150000</v>
      </c>
      <c r="M1020" s="269"/>
      <c r="N1020" t="s">
        <v>2863</v>
      </c>
    </row>
    <row r="1021" spans="1:14" x14ac:dyDescent="0.3">
      <c r="A1021" s="271">
        <v>1020</v>
      </c>
      <c r="B1021" s="264">
        <v>45861</v>
      </c>
      <c r="C1021" s="292" t="s">
        <v>1847</v>
      </c>
      <c r="E1021" s="292" t="s">
        <v>2984</v>
      </c>
      <c r="L1021" s="265">
        <v>-100000</v>
      </c>
      <c r="M1021" s="269"/>
    </row>
    <row r="1022" spans="1:14" x14ac:dyDescent="0.3">
      <c r="A1022" s="271">
        <v>1021</v>
      </c>
      <c r="B1022" s="264">
        <v>45862</v>
      </c>
      <c r="C1022" s="292" t="s">
        <v>1809</v>
      </c>
      <c r="E1022" s="292" t="s">
        <v>1125</v>
      </c>
      <c r="L1022" s="265">
        <v>-350000</v>
      </c>
      <c r="M1022" s="269"/>
    </row>
    <row r="1023" spans="1:14" x14ac:dyDescent="0.3">
      <c r="A1023" s="271">
        <v>1022</v>
      </c>
      <c r="B1023" s="264">
        <v>45862</v>
      </c>
      <c r="C1023" s="292" t="s">
        <v>1053</v>
      </c>
      <c r="E1023" s="292" t="s">
        <v>1125</v>
      </c>
      <c r="L1023" s="265">
        <v>-1620000</v>
      </c>
      <c r="M1023" s="269"/>
    </row>
    <row r="1024" spans="1:14" x14ac:dyDescent="0.3">
      <c r="A1024" s="271">
        <v>1023</v>
      </c>
      <c r="B1024" s="264">
        <v>45862</v>
      </c>
      <c r="C1024" s="292" t="s">
        <v>1449</v>
      </c>
      <c r="E1024" s="292" t="s">
        <v>1125</v>
      </c>
      <c r="L1024" s="265">
        <v>-638000</v>
      </c>
      <c r="M1024" s="269"/>
    </row>
    <row r="1025" spans="1:14" x14ac:dyDescent="0.3">
      <c r="A1025" s="271">
        <v>1024</v>
      </c>
      <c r="B1025" s="264">
        <v>45862</v>
      </c>
      <c r="C1025" s="292" t="s">
        <v>1399</v>
      </c>
      <c r="E1025" s="292" t="s">
        <v>2180</v>
      </c>
      <c r="F1025" s="269" t="s">
        <v>1201</v>
      </c>
      <c r="G1025" s="265">
        <v>1500000</v>
      </c>
      <c r="H1025" s="269">
        <v>1</v>
      </c>
      <c r="K1025" s="265">
        <v>1500000</v>
      </c>
      <c r="M1025" s="269"/>
      <c r="N1025" t="s">
        <v>2863</v>
      </c>
    </row>
    <row r="1026" spans="1:14" x14ac:dyDescent="0.3">
      <c r="A1026" s="271">
        <v>1025</v>
      </c>
      <c r="B1026" s="264">
        <v>45862</v>
      </c>
      <c r="C1026" s="292" t="s">
        <v>1399</v>
      </c>
      <c r="E1026" s="292" t="s">
        <v>2181</v>
      </c>
      <c r="F1026" s="269" t="s">
        <v>1803</v>
      </c>
      <c r="G1026" s="265">
        <v>50000</v>
      </c>
      <c r="H1026" s="269">
        <v>1</v>
      </c>
      <c r="K1026" s="265">
        <v>50000</v>
      </c>
      <c r="M1026" s="269"/>
      <c r="N1026" t="s">
        <v>2863</v>
      </c>
    </row>
    <row r="1027" spans="1:14" x14ac:dyDescent="0.3">
      <c r="A1027" s="271">
        <v>1026</v>
      </c>
      <c r="B1027" s="264">
        <v>45862</v>
      </c>
      <c r="C1027" s="292" t="s">
        <v>1399</v>
      </c>
      <c r="E1027" s="292" t="s">
        <v>1549</v>
      </c>
      <c r="F1027" s="269">
        <v>24152333907</v>
      </c>
      <c r="G1027" s="265">
        <v>50000</v>
      </c>
      <c r="H1027" s="269">
        <v>1</v>
      </c>
      <c r="K1027" s="265">
        <v>50000</v>
      </c>
      <c r="M1027" s="269"/>
      <c r="N1027" t="s">
        <v>2863</v>
      </c>
    </row>
    <row r="1028" spans="1:14" x14ac:dyDescent="0.3">
      <c r="A1028" s="271">
        <v>1027</v>
      </c>
      <c r="B1028" s="264">
        <v>45862</v>
      </c>
      <c r="C1028" s="292" t="s">
        <v>1159</v>
      </c>
      <c r="E1028" s="292" t="s">
        <v>2673</v>
      </c>
      <c r="G1028" s="265">
        <v>1600000</v>
      </c>
      <c r="H1028" s="269">
        <v>1</v>
      </c>
      <c r="J1028" s="266" t="s">
        <v>3000</v>
      </c>
      <c r="K1028" s="265">
        <v>1760000</v>
      </c>
      <c r="M1028" s="269"/>
      <c r="N1028" t="s">
        <v>2863</v>
      </c>
    </row>
    <row r="1029" spans="1:14" x14ac:dyDescent="0.3">
      <c r="A1029" s="271">
        <v>1028</v>
      </c>
      <c r="B1029" s="264">
        <v>45862</v>
      </c>
      <c r="C1029" s="292" t="s">
        <v>1458</v>
      </c>
      <c r="E1029" s="292" t="s">
        <v>2180</v>
      </c>
      <c r="F1029" s="269" t="s">
        <v>1201</v>
      </c>
      <c r="G1029" s="265">
        <v>1500000</v>
      </c>
      <c r="H1029" s="269">
        <v>1</v>
      </c>
      <c r="K1029" s="265">
        <v>1500000</v>
      </c>
      <c r="M1029" s="269"/>
      <c r="N1029" t="s">
        <v>2863</v>
      </c>
    </row>
    <row r="1030" spans="1:14" x14ac:dyDescent="0.3">
      <c r="A1030" s="271">
        <v>1029</v>
      </c>
      <c r="B1030" s="264">
        <v>45862</v>
      </c>
      <c r="C1030" s="292" t="s">
        <v>1458</v>
      </c>
      <c r="E1030" s="292" t="s">
        <v>2181</v>
      </c>
      <c r="F1030" s="269" t="s">
        <v>1803</v>
      </c>
      <c r="G1030" s="265">
        <v>50000</v>
      </c>
      <c r="H1030" s="269">
        <v>1</v>
      </c>
      <c r="K1030" s="265">
        <v>50000</v>
      </c>
      <c r="M1030" s="269"/>
      <c r="N1030" t="s">
        <v>2863</v>
      </c>
    </row>
    <row r="1031" spans="1:14" x14ac:dyDescent="0.3">
      <c r="A1031" s="271">
        <v>1030</v>
      </c>
      <c r="B1031" s="264">
        <v>45862</v>
      </c>
      <c r="C1031" s="292" t="s">
        <v>1449</v>
      </c>
      <c r="E1031" s="292" t="s">
        <v>2187</v>
      </c>
      <c r="F1031" s="269" t="s">
        <v>1207</v>
      </c>
      <c r="G1031" s="265">
        <v>510000</v>
      </c>
      <c r="H1031" s="269">
        <v>1</v>
      </c>
      <c r="J1031" s="266">
        <v>51000</v>
      </c>
      <c r="K1031" s="265">
        <v>561000</v>
      </c>
      <c r="M1031" s="269"/>
      <c r="N1031" t="s">
        <v>2863</v>
      </c>
    </row>
    <row r="1032" spans="1:14" x14ac:dyDescent="0.3">
      <c r="A1032" s="271">
        <v>1031</v>
      </c>
      <c r="B1032" s="264">
        <v>45862</v>
      </c>
      <c r="C1032" s="292" t="s">
        <v>1449</v>
      </c>
      <c r="E1032" s="292" t="s">
        <v>2190</v>
      </c>
      <c r="F1032" s="269">
        <v>50229</v>
      </c>
      <c r="G1032" s="265">
        <v>70000</v>
      </c>
      <c r="H1032" s="269">
        <v>1</v>
      </c>
      <c r="J1032" s="266">
        <v>7000</v>
      </c>
      <c r="K1032" s="265">
        <v>77000</v>
      </c>
      <c r="M1032" s="269"/>
      <c r="N1032" t="s">
        <v>2863</v>
      </c>
    </row>
    <row r="1033" spans="1:14" x14ac:dyDescent="0.3">
      <c r="A1033" s="271">
        <v>1032</v>
      </c>
      <c r="B1033" s="264">
        <v>45862</v>
      </c>
      <c r="C1033" s="292" t="s">
        <v>1580</v>
      </c>
      <c r="E1033" s="292" t="s">
        <v>1266</v>
      </c>
      <c r="F1033" s="269" t="s">
        <v>1265</v>
      </c>
      <c r="G1033" s="265">
        <v>50000</v>
      </c>
      <c r="H1033" s="269">
        <v>1</v>
      </c>
      <c r="J1033" s="266">
        <v>5000</v>
      </c>
      <c r="K1033" s="265">
        <v>55000</v>
      </c>
      <c r="M1033" s="269"/>
      <c r="N1033" t="s">
        <v>2863</v>
      </c>
    </row>
    <row r="1034" spans="1:14" x14ac:dyDescent="0.3">
      <c r="A1034" s="271">
        <v>1033</v>
      </c>
      <c r="B1034" s="264">
        <v>45862</v>
      </c>
      <c r="C1034" s="292" t="s">
        <v>1444</v>
      </c>
      <c r="E1034" s="292" t="s">
        <v>2994</v>
      </c>
      <c r="F1034" s="269" t="s">
        <v>2995</v>
      </c>
      <c r="G1034" s="265">
        <v>-230000</v>
      </c>
      <c r="H1034" s="269">
        <v>1</v>
      </c>
      <c r="K1034" s="265">
        <v>-230000</v>
      </c>
      <c r="M1034" s="269"/>
      <c r="N1034" t="s">
        <v>2863</v>
      </c>
    </row>
    <row r="1035" spans="1:14" x14ac:dyDescent="0.3">
      <c r="A1035" s="271">
        <v>1034</v>
      </c>
      <c r="B1035" s="264">
        <v>45862</v>
      </c>
      <c r="C1035" s="292" t="s">
        <v>2472</v>
      </c>
      <c r="E1035" s="292" t="s">
        <v>2673</v>
      </c>
      <c r="G1035" s="265">
        <v>1500000</v>
      </c>
      <c r="H1035" s="269">
        <v>1</v>
      </c>
      <c r="J1035" s="266">
        <v>150000</v>
      </c>
      <c r="K1035" s="265">
        <v>1650000</v>
      </c>
      <c r="M1035" s="269"/>
    </row>
    <row r="1036" spans="1:14" x14ac:dyDescent="0.3">
      <c r="A1036" s="271">
        <v>1035</v>
      </c>
      <c r="B1036" s="264">
        <v>45862</v>
      </c>
      <c r="C1036" s="292" t="s">
        <v>1288</v>
      </c>
      <c r="E1036" s="292" t="s">
        <v>3069</v>
      </c>
      <c r="G1036" s="265">
        <v>50000</v>
      </c>
      <c r="H1036" s="269">
        <v>1</v>
      </c>
      <c r="K1036" s="265">
        <v>50000</v>
      </c>
      <c r="M1036" s="269"/>
      <c r="N1036" t="s">
        <v>2863</v>
      </c>
    </row>
    <row r="1037" spans="1:14" x14ac:dyDescent="0.3">
      <c r="A1037" s="271">
        <v>1036</v>
      </c>
      <c r="B1037" s="264">
        <v>45862</v>
      </c>
      <c r="C1037" s="292" t="s">
        <v>1023</v>
      </c>
      <c r="E1037" s="292" t="s">
        <v>2255</v>
      </c>
      <c r="F1037" s="269" t="s">
        <v>2254</v>
      </c>
      <c r="G1037" s="265">
        <v>1500000</v>
      </c>
      <c r="H1037" s="269">
        <v>1</v>
      </c>
      <c r="K1037" s="265">
        <v>1500000</v>
      </c>
      <c r="M1037" s="269"/>
      <c r="N1037" t="s">
        <v>2863</v>
      </c>
    </row>
    <row r="1038" spans="1:14" x14ac:dyDescent="0.3">
      <c r="A1038" s="271">
        <v>1037</v>
      </c>
      <c r="B1038" s="264">
        <v>45862</v>
      </c>
      <c r="C1038" s="292" t="s">
        <v>1023</v>
      </c>
      <c r="E1038" s="292" t="s">
        <v>2612</v>
      </c>
      <c r="F1038" s="269" t="s">
        <v>1755</v>
      </c>
      <c r="G1038" s="265">
        <v>50000</v>
      </c>
      <c r="H1038" s="269">
        <v>1</v>
      </c>
      <c r="K1038" s="265">
        <v>50000</v>
      </c>
      <c r="M1038" s="269"/>
      <c r="N1038" t="s">
        <v>2863</v>
      </c>
    </row>
    <row r="1039" spans="1:14" x14ac:dyDescent="0.3">
      <c r="A1039" s="271">
        <v>1038</v>
      </c>
      <c r="B1039" s="264">
        <v>45862</v>
      </c>
      <c r="C1039" s="292" t="s">
        <v>1458</v>
      </c>
      <c r="E1039" s="292" t="s">
        <v>3001</v>
      </c>
      <c r="G1039" s="265">
        <v>40000</v>
      </c>
      <c r="H1039" s="269">
        <v>1</v>
      </c>
      <c r="K1039" s="265">
        <v>40000</v>
      </c>
      <c r="M1039" s="269"/>
      <c r="N1039" t="s">
        <v>2863</v>
      </c>
    </row>
    <row r="1040" spans="1:14" x14ac:dyDescent="0.3">
      <c r="A1040" s="271">
        <v>1039</v>
      </c>
      <c r="B1040" s="264">
        <v>45862</v>
      </c>
      <c r="C1040" s="292" t="s">
        <v>1812</v>
      </c>
      <c r="E1040" s="292" t="s">
        <v>1125</v>
      </c>
      <c r="L1040" s="265">
        <v>-726000</v>
      </c>
      <c r="M1040" s="269"/>
    </row>
    <row r="1041" spans="1:14" x14ac:dyDescent="0.3">
      <c r="A1041" s="271">
        <v>1040</v>
      </c>
      <c r="B1041" s="264">
        <v>45863</v>
      </c>
      <c r="C1041" s="292" t="s">
        <v>2386</v>
      </c>
      <c r="E1041" s="292" t="s">
        <v>3003</v>
      </c>
      <c r="F1041" s="269" t="s">
        <v>3004</v>
      </c>
      <c r="G1041" s="265">
        <v>2000000</v>
      </c>
      <c r="H1041" s="269">
        <v>1</v>
      </c>
      <c r="K1041" s="265">
        <v>2000000</v>
      </c>
      <c r="M1041" s="269"/>
      <c r="N1041" t="s">
        <v>2863</v>
      </c>
    </row>
    <row r="1042" spans="1:14" x14ac:dyDescent="0.3">
      <c r="A1042" s="271">
        <v>1041</v>
      </c>
      <c r="B1042" s="264">
        <v>45863</v>
      </c>
      <c r="C1042" s="292" t="s">
        <v>1980</v>
      </c>
      <c r="E1042" s="292" t="s">
        <v>1716</v>
      </c>
      <c r="F1042" s="269" t="s">
        <v>1715</v>
      </c>
      <c r="G1042" s="265">
        <v>23000</v>
      </c>
      <c r="H1042" s="269">
        <v>10</v>
      </c>
      <c r="K1042" s="265">
        <v>230000</v>
      </c>
      <c r="M1042" s="269"/>
      <c r="N1042" t="s">
        <v>2863</v>
      </c>
    </row>
    <row r="1043" spans="1:14" x14ac:dyDescent="0.3">
      <c r="A1043" s="271">
        <v>1042</v>
      </c>
      <c r="B1043" s="264">
        <v>45863</v>
      </c>
      <c r="C1043" s="292" t="s">
        <v>1598</v>
      </c>
      <c r="E1043" s="292" t="s">
        <v>1203</v>
      </c>
      <c r="F1043" s="269" t="s">
        <v>1752</v>
      </c>
      <c r="G1043" s="265">
        <v>1000000</v>
      </c>
      <c r="H1043" s="269">
        <v>1</v>
      </c>
      <c r="K1043" s="265">
        <v>1000000</v>
      </c>
      <c r="M1043" s="269"/>
      <c r="N1043" t="s">
        <v>2863</v>
      </c>
    </row>
    <row r="1044" spans="1:14" x14ac:dyDescent="0.3">
      <c r="A1044" s="271">
        <v>1043</v>
      </c>
      <c r="B1044" s="264">
        <v>45863</v>
      </c>
      <c r="C1044" s="292" t="s">
        <v>979</v>
      </c>
      <c r="E1044" s="292" t="s">
        <v>3009</v>
      </c>
      <c r="G1044" s="265">
        <v>1100000</v>
      </c>
      <c r="H1044" s="269">
        <v>1</v>
      </c>
      <c r="J1044" s="266">
        <v>110000</v>
      </c>
      <c r="K1044" s="265">
        <v>1210000</v>
      </c>
      <c r="M1044" s="269"/>
      <c r="N1044" t="s">
        <v>2863</v>
      </c>
    </row>
    <row r="1045" spans="1:14" x14ac:dyDescent="0.3">
      <c r="A1045" s="271">
        <v>1044</v>
      </c>
      <c r="B1045" s="264">
        <v>45863</v>
      </c>
      <c r="C1045" s="292" t="s">
        <v>1082</v>
      </c>
      <c r="E1045" s="292" t="s">
        <v>2180</v>
      </c>
      <c r="F1045" s="269" t="s">
        <v>1201</v>
      </c>
      <c r="G1045" s="265">
        <v>1500000</v>
      </c>
      <c r="H1045" s="269">
        <v>1</v>
      </c>
      <c r="K1045" s="265">
        <v>1500000</v>
      </c>
      <c r="M1045" s="269"/>
      <c r="N1045" t="s">
        <v>2863</v>
      </c>
    </row>
    <row r="1046" spans="1:14" x14ac:dyDescent="0.3">
      <c r="A1046" s="271">
        <v>1045</v>
      </c>
      <c r="B1046" s="264">
        <v>45863</v>
      </c>
      <c r="C1046" s="292" t="s">
        <v>1082</v>
      </c>
      <c r="E1046" s="292" t="s">
        <v>2181</v>
      </c>
      <c r="F1046" s="269" t="s">
        <v>1803</v>
      </c>
      <c r="G1046" s="265">
        <v>50000</v>
      </c>
      <c r="H1046" s="269">
        <v>1</v>
      </c>
      <c r="K1046" s="265">
        <v>50000</v>
      </c>
      <c r="M1046" s="269"/>
      <c r="N1046" t="s">
        <v>2863</v>
      </c>
    </row>
    <row r="1047" spans="1:14" x14ac:dyDescent="0.3">
      <c r="A1047" s="271">
        <v>1046</v>
      </c>
      <c r="B1047" s="264">
        <v>45863</v>
      </c>
      <c r="C1047" s="292" t="s">
        <v>979</v>
      </c>
      <c r="E1047" s="292" t="s">
        <v>1125</v>
      </c>
      <c r="L1047" s="265">
        <v>-1210000</v>
      </c>
      <c r="M1047" s="269"/>
    </row>
    <row r="1048" spans="1:14" x14ac:dyDescent="0.3">
      <c r="A1048" s="271">
        <v>1047</v>
      </c>
      <c r="B1048" s="264">
        <v>45863</v>
      </c>
      <c r="C1048" s="292" t="s">
        <v>1870</v>
      </c>
      <c r="E1048" s="292" t="s">
        <v>1125</v>
      </c>
      <c r="L1048" s="265">
        <v>-1760000</v>
      </c>
      <c r="M1048" s="269"/>
    </row>
    <row r="1049" spans="1:14" x14ac:dyDescent="0.3">
      <c r="A1049" s="271">
        <v>1048</v>
      </c>
      <c r="B1049" s="264">
        <v>45863</v>
      </c>
      <c r="C1049" s="292" t="s">
        <v>2386</v>
      </c>
      <c r="E1049" s="292" t="s">
        <v>1125</v>
      </c>
      <c r="L1049" s="265">
        <v>-2000000</v>
      </c>
      <c r="M1049" s="269"/>
    </row>
    <row r="1050" spans="1:14" x14ac:dyDescent="0.3">
      <c r="A1050" s="271">
        <v>1049</v>
      </c>
      <c r="B1050" s="264">
        <v>45863</v>
      </c>
      <c r="C1050" s="292" t="s">
        <v>1469</v>
      </c>
      <c r="E1050" s="292" t="s">
        <v>1203</v>
      </c>
      <c r="F1050" s="269" t="s">
        <v>1361</v>
      </c>
      <c r="G1050" s="265">
        <v>1300000</v>
      </c>
      <c r="H1050" s="269">
        <v>1</v>
      </c>
      <c r="K1050" s="265">
        <v>1300000</v>
      </c>
      <c r="M1050" s="269"/>
      <c r="N1050" t="s">
        <v>2863</v>
      </c>
    </row>
    <row r="1051" spans="1:14" x14ac:dyDescent="0.3">
      <c r="A1051" s="271">
        <v>1050</v>
      </c>
      <c r="B1051" s="264">
        <v>45864</v>
      </c>
      <c r="C1051" s="292" t="s">
        <v>1449</v>
      </c>
      <c r="E1051" s="292" t="s">
        <v>1746</v>
      </c>
      <c r="L1051" s="265">
        <v>-638000</v>
      </c>
      <c r="M1051" s="269"/>
    </row>
    <row r="1052" spans="1:14" x14ac:dyDescent="0.3">
      <c r="A1052" s="271">
        <v>1051</v>
      </c>
      <c r="B1052" s="264">
        <v>45864</v>
      </c>
      <c r="C1052" s="292" t="s">
        <v>1444</v>
      </c>
      <c r="E1052" s="292" t="s">
        <v>2178</v>
      </c>
      <c r="F1052" s="269" t="s">
        <v>1464</v>
      </c>
      <c r="G1052" s="265">
        <v>1500000</v>
      </c>
      <c r="H1052" s="269">
        <v>1</v>
      </c>
      <c r="K1052" s="265">
        <v>1500000</v>
      </c>
      <c r="M1052" s="269"/>
      <c r="N1052" t="s">
        <v>2863</v>
      </c>
    </row>
    <row r="1053" spans="1:14" x14ac:dyDescent="0.3">
      <c r="A1053" s="271">
        <v>1052</v>
      </c>
      <c r="B1053" s="264">
        <v>45864</v>
      </c>
      <c r="C1053" s="292" t="s">
        <v>1598</v>
      </c>
      <c r="E1053" s="292" t="s">
        <v>1746</v>
      </c>
      <c r="L1053" s="265">
        <v>-1000000</v>
      </c>
      <c r="M1053" s="269"/>
    </row>
    <row r="1054" spans="1:14" x14ac:dyDescent="0.3">
      <c r="A1054" s="271">
        <v>1053</v>
      </c>
      <c r="B1054" s="264">
        <v>45866</v>
      </c>
      <c r="C1054" s="292" t="s">
        <v>2998</v>
      </c>
      <c r="E1054" s="292" t="s">
        <v>1125</v>
      </c>
      <c r="L1054" s="265">
        <v>-1550000</v>
      </c>
      <c r="M1054" s="269"/>
    </row>
    <row r="1055" spans="1:14" x14ac:dyDescent="0.3">
      <c r="A1055" s="271">
        <v>1054</v>
      </c>
      <c r="B1055" s="264">
        <v>45866</v>
      </c>
      <c r="C1055" s="292" t="s">
        <v>1082</v>
      </c>
      <c r="E1055" s="292" t="s">
        <v>1125</v>
      </c>
      <c r="L1055" s="265">
        <v>-1550000</v>
      </c>
      <c r="M1055" s="269"/>
    </row>
    <row r="1056" spans="1:14" x14ac:dyDescent="0.3">
      <c r="A1056" s="271">
        <v>1055</v>
      </c>
      <c r="B1056" s="264">
        <v>45866</v>
      </c>
      <c r="C1056" s="292" t="s">
        <v>1747</v>
      </c>
      <c r="E1056" s="292" t="s">
        <v>1125</v>
      </c>
      <c r="L1056" s="265">
        <v>-1452000</v>
      </c>
      <c r="M1056" s="269"/>
    </row>
    <row r="1057" spans="1:14" x14ac:dyDescent="0.3">
      <c r="A1057" s="271">
        <v>1056</v>
      </c>
      <c r="B1057" s="264">
        <v>45866</v>
      </c>
      <c r="C1057" s="292" t="s">
        <v>1053</v>
      </c>
      <c r="E1057" s="292" t="s">
        <v>2104</v>
      </c>
      <c r="F1057" s="269">
        <v>2830401</v>
      </c>
      <c r="G1057" s="265">
        <v>1000000</v>
      </c>
      <c r="H1057" s="269">
        <v>1</v>
      </c>
      <c r="K1057" s="265">
        <v>1000000</v>
      </c>
      <c r="M1057" s="269"/>
      <c r="N1057" t="s">
        <v>2863</v>
      </c>
    </row>
    <row r="1058" spans="1:14" x14ac:dyDescent="0.3">
      <c r="A1058" s="271">
        <v>1057</v>
      </c>
      <c r="B1058" s="264">
        <v>45866</v>
      </c>
      <c r="C1058" s="292" t="s">
        <v>1399</v>
      </c>
      <c r="E1058" s="292" t="s">
        <v>1737</v>
      </c>
      <c r="F1058" s="269" t="s">
        <v>2834</v>
      </c>
      <c r="G1058" s="265">
        <v>500000</v>
      </c>
      <c r="H1058" s="269">
        <v>1</v>
      </c>
      <c r="K1058" s="265">
        <v>500000</v>
      </c>
      <c r="M1058" s="269"/>
      <c r="N1058" t="s">
        <v>2863</v>
      </c>
    </row>
    <row r="1059" spans="1:14" x14ac:dyDescent="0.3">
      <c r="A1059" s="271">
        <v>1058</v>
      </c>
      <c r="B1059" s="264">
        <v>45866</v>
      </c>
      <c r="C1059" s="292" t="s">
        <v>1399</v>
      </c>
      <c r="E1059" s="292" t="s">
        <v>2919</v>
      </c>
      <c r="F1059" s="269">
        <v>415089709</v>
      </c>
      <c r="G1059" s="265">
        <v>430000</v>
      </c>
      <c r="H1059" s="269">
        <v>1</v>
      </c>
      <c r="K1059" s="265">
        <v>430000</v>
      </c>
      <c r="M1059" s="269"/>
      <c r="N1059" t="s">
        <v>2863</v>
      </c>
    </row>
    <row r="1060" spans="1:14" x14ac:dyDescent="0.3">
      <c r="A1060" s="271">
        <v>1059</v>
      </c>
      <c r="B1060" s="264">
        <v>45866</v>
      </c>
      <c r="C1060" s="292" t="s">
        <v>1747</v>
      </c>
      <c r="E1060" s="292" t="s">
        <v>1736</v>
      </c>
      <c r="F1060" s="269">
        <v>2850701</v>
      </c>
      <c r="G1060" s="265">
        <v>600000</v>
      </c>
      <c r="H1060" s="269">
        <v>1</v>
      </c>
      <c r="J1060" s="266">
        <v>60000</v>
      </c>
      <c r="K1060" s="265">
        <v>660000</v>
      </c>
      <c r="M1060" s="269"/>
      <c r="N1060" t="s">
        <v>2863</v>
      </c>
    </row>
    <row r="1061" spans="1:14" x14ac:dyDescent="0.3">
      <c r="A1061" s="271">
        <v>1060</v>
      </c>
      <c r="B1061" s="264">
        <v>45866</v>
      </c>
      <c r="C1061" s="292" t="s">
        <v>1847</v>
      </c>
      <c r="E1061" s="292" t="s">
        <v>2189</v>
      </c>
      <c r="F1061" s="269" t="s">
        <v>1200</v>
      </c>
      <c r="G1061" s="265">
        <v>200000</v>
      </c>
      <c r="H1061" s="269">
        <v>1</v>
      </c>
      <c r="K1061" s="265">
        <v>200000</v>
      </c>
      <c r="M1061" s="269"/>
      <c r="N1061" t="s">
        <v>2863</v>
      </c>
    </row>
    <row r="1062" spans="1:14" x14ac:dyDescent="0.3">
      <c r="A1062" s="271">
        <v>1061</v>
      </c>
      <c r="B1062" s="264">
        <v>45866</v>
      </c>
      <c r="C1062" s="292" t="s">
        <v>1671</v>
      </c>
      <c r="E1062" s="292" t="s">
        <v>1829</v>
      </c>
      <c r="F1062" s="269">
        <v>6058008122</v>
      </c>
      <c r="G1062" s="265">
        <v>2500000</v>
      </c>
      <c r="H1062" s="269">
        <v>1</v>
      </c>
      <c r="J1062" s="266">
        <v>250000</v>
      </c>
      <c r="K1062" s="265">
        <v>2750000</v>
      </c>
      <c r="M1062" s="269"/>
      <c r="N1062" t="s">
        <v>2863</v>
      </c>
    </row>
    <row r="1063" spans="1:14" x14ac:dyDescent="0.3">
      <c r="A1063" s="271">
        <v>1062</v>
      </c>
      <c r="B1063" s="264">
        <v>45866</v>
      </c>
      <c r="C1063" s="292" t="s">
        <v>1473</v>
      </c>
      <c r="E1063" s="292" t="s">
        <v>2187</v>
      </c>
      <c r="F1063" s="269" t="s">
        <v>1207</v>
      </c>
      <c r="G1063" s="265">
        <v>500000</v>
      </c>
      <c r="H1063" s="269">
        <v>1</v>
      </c>
      <c r="K1063" s="265">
        <v>500000</v>
      </c>
      <c r="M1063" s="269"/>
      <c r="N1063" t="s">
        <v>2863</v>
      </c>
    </row>
    <row r="1064" spans="1:14" x14ac:dyDescent="0.3">
      <c r="A1064" s="271">
        <v>1063</v>
      </c>
      <c r="B1064" s="264">
        <v>45866</v>
      </c>
      <c r="C1064" s="292" t="s">
        <v>3021</v>
      </c>
      <c r="E1064" s="292" t="s">
        <v>1859</v>
      </c>
      <c r="F1064" s="269" t="s">
        <v>3670</v>
      </c>
      <c r="G1064" s="265">
        <v>1100000</v>
      </c>
      <c r="H1064" s="269">
        <v>1</v>
      </c>
      <c r="K1064" s="265">
        <v>1100000</v>
      </c>
      <c r="M1064" s="269"/>
      <c r="N1064" t="s">
        <v>2863</v>
      </c>
    </row>
    <row r="1065" spans="1:14" x14ac:dyDescent="0.3">
      <c r="A1065" s="271">
        <v>1064</v>
      </c>
      <c r="B1065" s="264">
        <v>45866</v>
      </c>
      <c r="C1065" s="292" t="s">
        <v>1544</v>
      </c>
      <c r="E1065" s="292" t="s">
        <v>2186</v>
      </c>
      <c r="F1065" s="269" t="s">
        <v>1200</v>
      </c>
      <c r="G1065" s="265">
        <v>1400000</v>
      </c>
      <c r="H1065" s="269">
        <v>1</v>
      </c>
      <c r="K1065" s="265">
        <v>1400000</v>
      </c>
      <c r="M1065" s="269"/>
      <c r="N1065" t="s">
        <v>2863</v>
      </c>
    </row>
    <row r="1066" spans="1:14" x14ac:dyDescent="0.3">
      <c r="A1066" s="271">
        <v>1065</v>
      </c>
      <c r="B1066" s="264">
        <v>45866</v>
      </c>
      <c r="C1066" s="292" t="s">
        <v>1861</v>
      </c>
      <c r="E1066" s="292" t="s">
        <v>2180</v>
      </c>
      <c r="F1066" s="269" t="s">
        <v>1201</v>
      </c>
      <c r="G1066" s="265">
        <v>1500000</v>
      </c>
      <c r="H1066" s="269">
        <v>1</v>
      </c>
      <c r="K1066" s="265">
        <v>1500000</v>
      </c>
      <c r="M1066" s="269"/>
      <c r="N1066" t="s">
        <v>2863</v>
      </c>
    </row>
    <row r="1067" spans="1:14" x14ac:dyDescent="0.3">
      <c r="A1067" s="271">
        <v>1066</v>
      </c>
      <c r="B1067" s="264">
        <v>45866</v>
      </c>
      <c r="C1067" s="292" t="s">
        <v>1861</v>
      </c>
      <c r="E1067" s="292" t="s">
        <v>2181</v>
      </c>
      <c r="F1067" s="269" t="s">
        <v>1803</v>
      </c>
      <c r="G1067" s="265">
        <v>50000</v>
      </c>
      <c r="H1067" s="269">
        <v>1</v>
      </c>
      <c r="K1067" s="265">
        <v>50000</v>
      </c>
      <c r="M1067" s="269"/>
      <c r="N1067" t="s">
        <v>2863</v>
      </c>
    </row>
    <row r="1068" spans="1:14" x14ac:dyDescent="0.3">
      <c r="A1068" s="271">
        <v>1067</v>
      </c>
      <c r="B1068" s="264">
        <v>45866</v>
      </c>
      <c r="C1068" s="292" t="s">
        <v>1747</v>
      </c>
      <c r="E1068" s="292" t="s">
        <v>2418</v>
      </c>
      <c r="F1068" s="269" t="s">
        <v>2748</v>
      </c>
      <c r="G1068" s="265">
        <v>1100000</v>
      </c>
      <c r="H1068" s="269">
        <v>1</v>
      </c>
      <c r="J1068" s="266">
        <v>110000</v>
      </c>
      <c r="K1068" s="265">
        <v>1210000</v>
      </c>
      <c r="M1068" s="269"/>
      <c r="N1068" t="s">
        <v>2863</v>
      </c>
    </row>
    <row r="1069" spans="1:14" x14ac:dyDescent="0.3">
      <c r="A1069" s="271">
        <v>1068</v>
      </c>
      <c r="B1069" s="264">
        <v>45866</v>
      </c>
      <c r="C1069" s="292" t="s">
        <v>1747</v>
      </c>
      <c r="E1069" s="292" t="s">
        <v>1519</v>
      </c>
      <c r="G1069" s="265">
        <v>20000</v>
      </c>
      <c r="H1069" s="269">
        <v>1</v>
      </c>
      <c r="J1069" s="266">
        <v>2000</v>
      </c>
      <c r="K1069" s="265">
        <v>22000</v>
      </c>
      <c r="M1069" s="269"/>
      <c r="N1069" t="s">
        <v>2863</v>
      </c>
    </row>
    <row r="1070" spans="1:14" x14ac:dyDescent="0.3">
      <c r="A1070" s="271">
        <v>1069</v>
      </c>
      <c r="B1070" s="264">
        <v>45866</v>
      </c>
      <c r="C1070" s="292" t="s">
        <v>1449</v>
      </c>
      <c r="E1070" s="292" t="s">
        <v>1203</v>
      </c>
      <c r="F1070" s="269" t="s">
        <v>1752</v>
      </c>
      <c r="G1070" s="265">
        <v>1200000</v>
      </c>
      <c r="H1070" s="269">
        <v>1</v>
      </c>
      <c r="J1070" s="266">
        <v>120000</v>
      </c>
      <c r="K1070" s="265">
        <v>1320000</v>
      </c>
      <c r="M1070" s="269"/>
      <c r="N1070" t="s">
        <v>2863</v>
      </c>
    </row>
    <row r="1071" spans="1:14" x14ac:dyDescent="0.3">
      <c r="A1071" s="271">
        <v>1070</v>
      </c>
      <c r="B1071" s="264">
        <v>45866</v>
      </c>
      <c r="C1071" s="292" t="s">
        <v>3021</v>
      </c>
      <c r="E1071" s="292" t="s">
        <v>1746</v>
      </c>
      <c r="L1071" s="265">
        <v>-1100000</v>
      </c>
      <c r="M1071" s="269"/>
    </row>
    <row r="1072" spans="1:14" x14ac:dyDescent="0.3">
      <c r="A1072" s="271">
        <v>1071</v>
      </c>
      <c r="B1072" s="264">
        <v>45866</v>
      </c>
      <c r="C1072" s="292" t="s">
        <v>3029</v>
      </c>
      <c r="E1072" s="292" t="s">
        <v>2180</v>
      </c>
      <c r="F1072" s="269" t="s">
        <v>1201</v>
      </c>
      <c r="G1072" s="265">
        <v>1500000</v>
      </c>
      <c r="H1072" s="269">
        <v>1</v>
      </c>
      <c r="J1072" s="266">
        <v>150000</v>
      </c>
      <c r="K1072" s="265">
        <v>1650000</v>
      </c>
      <c r="M1072" s="269"/>
      <c r="N1072" t="s">
        <v>2863</v>
      </c>
    </row>
    <row r="1073" spans="1:14" x14ac:dyDescent="0.3">
      <c r="A1073" s="271">
        <v>1072</v>
      </c>
      <c r="B1073" s="264">
        <v>45866</v>
      </c>
      <c r="C1073" s="292" t="s">
        <v>3029</v>
      </c>
      <c r="E1073" s="292" t="s">
        <v>2181</v>
      </c>
      <c r="F1073" s="269" t="s">
        <v>1803</v>
      </c>
      <c r="G1073" s="265">
        <v>50000</v>
      </c>
      <c r="H1073" s="269">
        <v>1</v>
      </c>
      <c r="J1073" s="266">
        <v>5000</v>
      </c>
      <c r="K1073" s="265">
        <v>55000</v>
      </c>
      <c r="M1073" s="269"/>
      <c r="N1073" t="s">
        <v>2863</v>
      </c>
    </row>
    <row r="1074" spans="1:14" x14ac:dyDescent="0.3">
      <c r="A1074" s="271">
        <v>1073</v>
      </c>
      <c r="B1074" s="264">
        <v>45866</v>
      </c>
      <c r="C1074" s="292" t="s">
        <v>3029</v>
      </c>
      <c r="E1074" s="292" t="s">
        <v>1746</v>
      </c>
      <c r="L1074" s="265">
        <v>-1705000</v>
      </c>
      <c r="M1074" s="269"/>
    </row>
    <row r="1075" spans="1:14" x14ac:dyDescent="0.3">
      <c r="A1075" s="271">
        <v>1074</v>
      </c>
      <c r="B1075" s="264">
        <v>45866</v>
      </c>
      <c r="C1075" s="292" t="s">
        <v>1449</v>
      </c>
      <c r="E1075" s="292" t="s">
        <v>1746</v>
      </c>
      <c r="L1075" s="265">
        <v>-1320000</v>
      </c>
      <c r="M1075" s="269"/>
    </row>
    <row r="1076" spans="1:14" x14ac:dyDescent="0.3">
      <c r="A1076" s="271">
        <v>1075</v>
      </c>
      <c r="B1076" s="264">
        <v>45866</v>
      </c>
      <c r="C1076" s="292" t="s">
        <v>1671</v>
      </c>
      <c r="E1076" s="292" t="s">
        <v>1746</v>
      </c>
      <c r="L1076" s="265">
        <v>-1705000</v>
      </c>
      <c r="M1076" s="269"/>
    </row>
    <row r="1077" spans="1:14" x14ac:dyDescent="0.3">
      <c r="A1077" s="271">
        <v>1076</v>
      </c>
      <c r="B1077" s="264">
        <v>45866</v>
      </c>
      <c r="C1077" s="292" t="s">
        <v>1544</v>
      </c>
      <c r="E1077" s="292" t="s">
        <v>1746</v>
      </c>
      <c r="L1077" s="265">
        <v>-1400000</v>
      </c>
      <c r="M1077" s="269"/>
    </row>
    <row r="1078" spans="1:14" x14ac:dyDescent="0.3">
      <c r="A1078" s="271">
        <v>1077</v>
      </c>
      <c r="B1078" s="264">
        <v>45866</v>
      </c>
      <c r="C1078" s="292" t="s">
        <v>1458</v>
      </c>
      <c r="E1078" s="292" t="s">
        <v>1746</v>
      </c>
      <c r="L1078" s="265">
        <v>-1789000</v>
      </c>
      <c r="M1078" s="269"/>
    </row>
    <row r="1079" spans="1:14" x14ac:dyDescent="0.3">
      <c r="A1079" s="271">
        <v>1078</v>
      </c>
      <c r="B1079" s="264">
        <v>45866</v>
      </c>
      <c r="C1079" s="292" t="s">
        <v>1847</v>
      </c>
      <c r="E1079" s="292" t="s">
        <v>1746</v>
      </c>
      <c r="L1079" s="265">
        <v>-710000</v>
      </c>
      <c r="M1079" s="269"/>
    </row>
    <row r="1080" spans="1:14" x14ac:dyDescent="0.3">
      <c r="A1080" s="271">
        <v>1079</v>
      </c>
      <c r="B1080" s="264">
        <v>45866</v>
      </c>
      <c r="C1080" s="292" t="s">
        <v>1980</v>
      </c>
      <c r="E1080" s="292" t="s">
        <v>1746</v>
      </c>
      <c r="L1080" s="265">
        <v>-230000</v>
      </c>
      <c r="M1080" s="269"/>
    </row>
    <row r="1081" spans="1:14" x14ac:dyDescent="0.3">
      <c r="A1081" s="271">
        <v>1080</v>
      </c>
      <c r="B1081" s="264">
        <v>45867</v>
      </c>
      <c r="C1081" s="292" t="s">
        <v>1053</v>
      </c>
      <c r="E1081" s="292" t="s">
        <v>1746</v>
      </c>
      <c r="L1081" s="265">
        <v>-1000000</v>
      </c>
      <c r="M1081" s="269"/>
    </row>
    <row r="1082" spans="1:14" x14ac:dyDescent="0.3">
      <c r="A1082" s="271">
        <v>1081</v>
      </c>
      <c r="B1082" s="264">
        <v>45867</v>
      </c>
      <c r="C1082" s="292" t="s">
        <v>1015</v>
      </c>
      <c r="E1082" s="292" t="s">
        <v>1746</v>
      </c>
      <c r="L1082" s="265">
        <v>-1320000</v>
      </c>
      <c r="M1082" s="269"/>
    </row>
    <row r="1083" spans="1:14" x14ac:dyDescent="0.3">
      <c r="A1083" s="271">
        <v>1082</v>
      </c>
      <c r="B1083" s="264">
        <v>45867</v>
      </c>
      <c r="C1083" s="292" t="s">
        <v>1580</v>
      </c>
      <c r="E1083" s="292" t="s">
        <v>2984</v>
      </c>
      <c r="L1083" s="265">
        <v>-500000</v>
      </c>
      <c r="M1083" s="269"/>
    </row>
    <row r="1084" spans="1:14" x14ac:dyDescent="0.3">
      <c r="A1084" s="271">
        <v>1083</v>
      </c>
      <c r="B1084" s="264">
        <v>45867</v>
      </c>
      <c r="C1084" s="292" t="s">
        <v>1444</v>
      </c>
      <c r="E1084" s="292" t="s">
        <v>3060</v>
      </c>
      <c r="F1084" s="269" t="s">
        <v>3059</v>
      </c>
      <c r="G1084" s="265">
        <v>250000</v>
      </c>
      <c r="H1084" s="269">
        <v>1</v>
      </c>
      <c r="K1084" s="265">
        <v>250000</v>
      </c>
      <c r="M1084" s="269"/>
      <c r="N1084" t="s">
        <v>2863</v>
      </c>
    </row>
    <row r="1085" spans="1:14" x14ac:dyDescent="0.3">
      <c r="A1085" s="271">
        <v>1084</v>
      </c>
      <c r="B1085" s="264">
        <v>45867</v>
      </c>
      <c r="C1085" s="292" t="s">
        <v>1790</v>
      </c>
      <c r="E1085" s="292" t="s">
        <v>2180</v>
      </c>
      <c r="F1085" s="269" t="s">
        <v>1201</v>
      </c>
      <c r="G1085" s="265">
        <v>1500000</v>
      </c>
      <c r="H1085" s="269">
        <v>1</v>
      </c>
      <c r="K1085" s="265">
        <v>1500000</v>
      </c>
      <c r="M1085" s="269"/>
      <c r="N1085" t="s">
        <v>2863</v>
      </c>
    </row>
    <row r="1086" spans="1:14" x14ac:dyDescent="0.3">
      <c r="A1086" s="271">
        <v>1085</v>
      </c>
      <c r="B1086" s="264">
        <v>45867</v>
      </c>
      <c r="C1086" s="292" t="s">
        <v>1790</v>
      </c>
      <c r="E1086" s="292" t="s">
        <v>2181</v>
      </c>
      <c r="F1086" s="269" t="s">
        <v>1803</v>
      </c>
      <c r="G1086" s="265">
        <v>50000</v>
      </c>
      <c r="H1086" s="269">
        <v>1</v>
      </c>
      <c r="K1086" s="265">
        <v>50000</v>
      </c>
      <c r="M1086" s="269"/>
      <c r="N1086" t="s">
        <v>2863</v>
      </c>
    </row>
    <row r="1087" spans="1:14" x14ac:dyDescent="0.3">
      <c r="A1087" s="271">
        <v>1086</v>
      </c>
      <c r="B1087" s="264">
        <v>45867</v>
      </c>
      <c r="C1087" s="292" t="s">
        <v>1082</v>
      </c>
      <c r="E1087" s="292" t="s">
        <v>2186</v>
      </c>
      <c r="F1087" s="269" t="s">
        <v>1200</v>
      </c>
      <c r="G1087" s="265">
        <v>900000</v>
      </c>
      <c r="H1087" s="269">
        <v>1</v>
      </c>
      <c r="K1087" s="265">
        <v>900000</v>
      </c>
      <c r="M1087" s="269"/>
      <c r="N1087" t="s">
        <v>2863</v>
      </c>
    </row>
    <row r="1088" spans="1:14" x14ac:dyDescent="0.3">
      <c r="A1088" s="271">
        <v>1087</v>
      </c>
      <c r="B1088" s="264">
        <v>45867</v>
      </c>
      <c r="C1088" s="292" t="s">
        <v>1306</v>
      </c>
      <c r="E1088" s="292" t="s">
        <v>2187</v>
      </c>
      <c r="F1088" s="269" t="s">
        <v>1207</v>
      </c>
      <c r="G1088" s="265">
        <v>520000</v>
      </c>
      <c r="H1088" s="269">
        <v>1</v>
      </c>
      <c r="K1088" s="265">
        <v>520000</v>
      </c>
      <c r="M1088" s="269"/>
      <c r="N1088" t="s">
        <v>2863</v>
      </c>
    </row>
    <row r="1089" spans="1:14" x14ac:dyDescent="0.3">
      <c r="A1089" s="271">
        <v>1088</v>
      </c>
      <c r="B1089" s="264">
        <v>45867</v>
      </c>
      <c r="C1089" s="292" t="s">
        <v>1306</v>
      </c>
      <c r="E1089" s="292" t="s">
        <v>2190</v>
      </c>
      <c r="F1089" s="269">
        <v>50229</v>
      </c>
      <c r="G1089" s="265">
        <v>70000</v>
      </c>
      <c r="H1089" s="269">
        <v>1</v>
      </c>
      <c r="K1089" s="265">
        <v>70000</v>
      </c>
      <c r="M1089" s="269"/>
      <c r="N1089" t="s">
        <v>2863</v>
      </c>
    </row>
    <row r="1090" spans="1:14" x14ac:dyDescent="0.3">
      <c r="A1090" s="271">
        <v>1089</v>
      </c>
      <c r="B1090" s="264">
        <v>45867</v>
      </c>
      <c r="C1090" s="292" t="s">
        <v>1306</v>
      </c>
      <c r="E1090" s="292" t="s">
        <v>2191</v>
      </c>
      <c r="F1090" s="269" t="s">
        <v>1795</v>
      </c>
      <c r="G1090" s="265">
        <v>35000</v>
      </c>
      <c r="H1090" s="269">
        <v>1</v>
      </c>
      <c r="K1090" s="265">
        <v>35000</v>
      </c>
      <c r="M1090" s="269"/>
      <c r="N1090" t="s">
        <v>2863</v>
      </c>
    </row>
    <row r="1091" spans="1:14" x14ac:dyDescent="0.3">
      <c r="A1091" s="271">
        <v>1090</v>
      </c>
      <c r="B1091" s="264">
        <v>45867</v>
      </c>
      <c r="C1091" s="292" t="s">
        <v>1306</v>
      </c>
      <c r="E1091" s="292" t="s">
        <v>2522</v>
      </c>
      <c r="F1091" s="269">
        <v>4150862090</v>
      </c>
      <c r="G1091" s="265">
        <v>450000</v>
      </c>
      <c r="H1091" s="269">
        <v>1</v>
      </c>
      <c r="K1091" s="265">
        <v>450000</v>
      </c>
      <c r="M1091" s="269"/>
      <c r="N1091" t="s">
        <v>2863</v>
      </c>
    </row>
    <row r="1092" spans="1:14" x14ac:dyDescent="0.3">
      <c r="A1092" s="271">
        <v>1091</v>
      </c>
      <c r="B1092" s="264">
        <v>45867</v>
      </c>
      <c r="C1092" s="292" t="s">
        <v>1805</v>
      </c>
      <c r="E1092" s="292" t="s">
        <v>2616</v>
      </c>
      <c r="F1092" s="269" t="s">
        <v>2615</v>
      </c>
      <c r="G1092" s="265">
        <v>1600000</v>
      </c>
      <c r="H1092" s="269">
        <v>1</v>
      </c>
      <c r="J1092" s="266">
        <v>160000</v>
      </c>
      <c r="K1092" s="265">
        <v>1760000</v>
      </c>
      <c r="M1092" s="269"/>
      <c r="N1092" t="s">
        <v>2863</v>
      </c>
    </row>
    <row r="1093" spans="1:14" x14ac:dyDescent="0.3">
      <c r="A1093" s="271">
        <v>1092</v>
      </c>
      <c r="B1093" s="264">
        <v>45867</v>
      </c>
      <c r="C1093" s="292" t="s">
        <v>2916</v>
      </c>
      <c r="E1093" s="292" t="s">
        <v>1203</v>
      </c>
      <c r="F1093" s="269" t="s">
        <v>1752</v>
      </c>
      <c r="G1093" s="265">
        <v>1000000</v>
      </c>
      <c r="H1093" s="269">
        <v>1</v>
      </c>
      <c r="K1093" s="265">
        <v>1000000</v>
      </c>
      <c r="M1093" s="269"/>
      <c r="N1093" t="s">
        <v>2863</v>
      </c>
    </row>
    <row r="1094" spans="1:14" x14ac:dyDescent="0.3">
      <c r="A1094" s="271">
        <v>1093</v>
      </c>
      <c r="B1094" s="264">
        <v>45867</v>
      </c>
      <c r="C1094" s="292" t="s">
        <v>1722</v>
      </c>
      <c r="E1094" s="292" t="s">
        <v>3070</v>
      </c>
      <c r="F1094" s="269" t="s">
        <v>2327</v>
      </c>
      <c r="G1094" s="265">
        <v>900000</v>
      </c>
      <c r="H1094" s="269">
        <v>1</v>
      </c>
      <c r="K1094" s="265">
        <v>900000</v>
      </c>
      <c r="M1094" s="269"/>
      <c r="N1094" t="s">
        <v>2863</v>
      </c>
    </row>
    <row r="1095" spans="1:14" x14ac:dyDescent="0.3">
      <c r="A1095" s="271">
        <v>1094</v>
      </c>
      <c r="B1095" s="264">
        <v>45867</v>
      </c>
      <c r="C1095" s="292" t="s">
        <v>1444</v>
      </c>
      <c r="E1095" s="292" t="s">
        <v>2180</v>
      </c>
      <c r="F1095" s="269" t="s">
        <v>1201</v>
      </c>
      <c r="G1095" s="265">
        <v>1500000</v>
      </c>
      <c r="H1095" s="269">
        <v>1</v>
      </c>
      <c r="K1095" s="265">
        <v>1500000</v>
      </c>
      <c r="M1095" s="269"/>
      <c r="N1095" t="s">
        <v>2863</v>
      </c>
    </row>
    <row r="1096" spans="1:14" x14ac:dyDescent="0.3">
      <c r="A1096" s="271">
        <v>1095</v>
      </c>
      <c r="B1096" s="264">
        <v>45867</v>
      </c>
      <c r="C1096" s="292" t="s">
        <v>1444</v>
      </c>
      <c r="E1096" s="292" t="s">
        <v>2181</v>
      </c>
      <c r="F1096" s="269" t="s">
        <v>1803</v>
      </c>
      <c r="G1096" s="265">
        <v>50000</v>
      </c>
      <c r="H1096" s="269">
        <v>1</v>
      </c>
      <c r="K1096" s="265">
        <v>50000</v>
      </c>
      <c r="M1096" s="269"/>
      <c r="N1096" t="s">
        <v>2863</v>
      </c>
    </row>
    <row r="1097" spans="1:14" x14ac:dyDescent="0.3">
      <c r="A1097" s="271">
        <v>1096</v>
      </c>
      <c r="B1097" s="264">
        <v>45867</v>
      </c>
      <c r="C1097" s="292" t="s">
        <v>1444</v>
      </c>
      <c r="E1097" s="292" t="s">
        <v>1549</v>
      </c>
      <c r="F1097" s="269">
        <v>24152333907</v>
      </c>
      <c r="G1097" s="265">
        <v>50000</v>
      </c>
      <c r="H1097" s="269">
        <v>1</v>
      </c>
      <c r="K1097" s="265">
        <v>50000</v>
      </c>
      <c r="M1097" s="269"/>
      <c r="N1097" t="s">
        <v>2863</v>
      </c>
    </row>
    <row r="1098" spans="1:14" x14ac:dyDescent="0.3">
      <c r="A1098" s="271">
        <v>1097</v>
      </c>
      <c r="B1098" s="264">
        <v>45867</v>
      </c>
      <c r="C1098" s="292" t="s">
        <v>1805</v>
      </c>
      <c r="E1098" s="292" t="s">
        <v>1125</v>
      </c>
      <c r="L1098" s="265">
        <v>-132000</v>
      </c>
      <c r="M1098" s="269"/>
    </row>
    <row r="1099" spans="1:14" x14ac:dyDescent="0.3">
      <c r="A1099" s="271">
        <v>1098</v>
      </c>
      <c r="B1099" s="264">
        <v>45867</v>
      </c>
      <c r="C1099" s="292" t="s">
        <v>2916</v>
      </c>
      <c r="E1099" s="292" t="s">
        <v>1125</v>
      </c>
      <c r="L1099" s="265">
        <v>-1000000</v>
      </c>
      <c r="M1099" s="269"/>
    </row>
    <row r="1100" spans="1:14" x14ac:dyDescent="0.3">
      <c r="A1100" s="271">
        <v>1099</v>
      </c>
      <c r="B1100" s="264">
        <v>45868</v>
      </c>
      <c r="C1100" s="292" t="s">
        <v>1306</v>
      </c>
      <c r="E1100" s="292" t="s">
        <v>1746</v>
      </c>
      <c r="L1100" s="265">
        <v>-1075000</v>
      </c>
      <c r="M1100" s="269"/>
    </row>
    <row r="1101" spans="1:14" x14ac:dyDescent="0.3">
      <c r="A1101" s="271">
        <v>1100</v>
      </c>
      <c r="B1101" s="264">
        <v>45868</v>
      </c>
      <c r="C1101" s="292" t="s">
        <v>1977</v>
      </c>
      <c r="E1101" s="292" t="s">
        <v>2180</v>
      </c>
      <c r="F1101" s="269" t="s">
        <v>1201</v>
      </c>
      <c r="G1101" s="265">
        <v>1500000</v>
      </c>
      <c r="H1101" s="269">
        <v>1</v>
      </c>
      <c r="J1101" s="266">
        <v>150000</v>
      </c>
      <c r="K1101" s="265">
        <v>1650000</v>
      </c>
      <c r="M1101" s="269"/>
      <c r="N1101" t="s">
        <v>2863</v>
      </c>
    </row>
    <row r="1102" spans="1:14" x14ac:dyDescent="0.3">
      <c r="A1102" s="271">
        <v>1101</v>
      </c>
      <c r="B1102" s="264">
        <v>45868</v>
      </c>
      <c r="C1102" s="292" t="s">
        <v>1977</v>
      </c>
      <c r="E1102" s="292" t="s">
        <v>2181</v>
      </c>
      <c r="F1102" s="269" t="s">
        <v>1803</v>
      </c>
      <c r="G1102" s="265">
        <v>50000</v>
      </c>
      <c r="H1102" s="269">
        <v>1</v>
      </c>
      <c r="J1102" s="266">
        <v>5000</v>
      </c>
      <c r="K1102" s="265">
        <v>55000</v>
      </c>
      <c r="M1102" s="269"/>
      <c r="N1102" t="s">
        <v>2863</v>
      </c>
    </row>
    <row r="1103" spans="1:14" x14ac:dyDescent="0.3">
      <c r="A1103" s="271">
        <v>1102</v>
      </c>
      <c r="B1103" s="264">
        <v>45868</v>
      </c>
      <c r="C1103" s="292" t="s">
        <v>1809</v>
      </c>
      <c r="E1103" s="292" t="s">
        <v>2180</v>
      </c>
      <c r="F1103" s="269" t="s">
        <v>1201</v>
      </c>
      <c r="G1103" s="265">
        <v>1500000</v>
      </c>
      <c r="H1103" s="269">
        <v>1</v>
      </c>
      <c r="K1103" s="265">
        <v>1500000</v>
      </c>
      <c r="M1103" s="269"/>
      <c r="N1103" t="s">
        <v>2863</v>
      </c>
    </row>
    <row r="1104" spans="1:14" x14ac:dyDescent="0.3">
      <c r="A1104" s="271">
        <v>1103</v>
      </c>
      <c r="B1104" s="264">
        <v>45868</v>
      </c>
      <c r="C1104" s="292" t="s">
        <v>1809</v>
      </c>
      <c r="E1104" s="292" t="s">
        <v>2181</v>
      </c>
      <c r="F1104" s="269" t="s">
        <v>1803</v>
      </c>
      <c r="G1104" s="265">
        <v>50000</v>
      </c>
      <c r="H1104" s="269">
        <v>1</v>
      </c>
      <c r="K1104" s="265">
        <v>50000</v>
      </c>
      <c r="M1104" s="269"/>
      <c r="N1104" t="s">
        <v>2863</v>
      </c>
    </row>
    <row r="1105" spans="1:14" x14ac:dyDescent="0.3">
      <c r="A1105" s="271">
        <v>1104</v>
      </c>
      <c r="B1105" s="264">
        <v>45868</v>
      </c>
      <c r="C1105" s="292" t="s">
        <v>2789</v>
      </c>
      <c r="E1105" s="292" t="s">
        <v>2182</v>
      </c>
      <c r="F1105" s="269" t="s">
        <v>2217</v>
      </c>
      <c r="G1105" s="265">
        <v>250000</v>
      </c>
      <c r="H1105" s="269">
        <v>1</v>
      </c>
      <c r="K1105" s="265">
        <v>250000</v>
      </c>
      <c r="M1105" s="269"/>
      <c r="N1105" t="s">
        <v>2863</v>
      </c>
    </row>
    <row r="1106" spans="1:14" x14ac:dyDescent="0.3">
      <c r="A1106" s="271">
        <v>1105</v>
      </c>
      <c r="B1106" s="264">
        <v>45868</v>
      </c>
      <c r="C1106" s="292" t="s">
        <v>1805</v>
      </c>
      <c r="E1106" s="292" t="s">
        <v>3074</v>
      </c>
      <c r="G1106" s="265">
        <v>200000</v>
      </c>
      <c r="H1106" s="269">
        <v>1</v>
      </c>
      <c r="J1106" s="266">
        <v>20000</v>
      </c>
      <c r="K1106" s="265">
        <v>220000</v>
      </c>
      <c r="M1106" s="269"/>
      <c r="N1106" t="s">
        <v>2863</v>
      </c>
    </row>
    <row r="1107" spans="1:14" x14ac:dyDescent="0.3">
      <c r="A1107" s="271">
        <v>1106</v>
      </c>
      <c r="B1107" s="264">
        <v>45868</v>
      </c>
      <c r="C1107" s="292" t="s">
        <v>1577</v>
      </c>
      <c r="E1107" s="292" t="s">
        <v>2919</v>
      </c>
      <c r="F1107" s="269">
        <v>4150862090</v>
      </c>
      <c r="G1107" s="265">
        <v>450000</v>
      </c>
      <c r="H1107" s="269">
        <v>1</v>
      </c>
      <c r="J1107" s="266">
        <v>45000</v>
      </c>
      <c r="K1107" s="265">
        <v>495000</v>
      </c>
      <c r="M1107" s="269"/>
      <c r="N1107" t="s">
        <v>2863</v>
      </c>
    </row>
    <row r="1108" spans="1:14" x14ac:dyDescent="0.3">
      <c r="A1108" s="271">
        <v>1107</v>
      </c>
      <c r="B1108" s="264">
        <v>45868</v>
      </c>
      <c r="C1108" s="292" t="s">
        <v>3077</v>
      </c>
      <c r="E1108" s="292" t="s">
        <v>1203</v>
      </c>
      <c r="F1108" s="269" t="s">
        <v>1752</v>
      </c>
      <c r="G1108" s="265">
        <v>1200000</v>
      </c>
      <c r="H1108" s="269">
        <v>1</v>
      </c>
      <c r="J1108" s="266">
        <v>120000</v>
      </c>
      <c r="K1108" s="265">
        <v>1320000</v>
      </c>
      <c r="M1108" s="269"/>
      <c r="N1108" t="s">
        <v>2863</v>
      </c>
    </row>
    <row r="1109" spans="1:14" x14ac:dyDescent="0.3">
      <c r="A1109" s="271">
        <v>1108</v>
      </c>
      <c r="B1109" s="264">
        <v>45868</v>
      </c>
      <c r="C1109" s="292" t="s">
        <v>2319</v>
      </c>
      <c r="E1109" s="292" t="s">
        <v>2919</v>
      </c>
      <c r="F1109" s="269">
        <v>2212500301</v>
      </c>
      <c r="G1109" s="265">
        <v>863636</v>
      </c>
      <c r="H1109" s="269">
        <v>1</v>
      </c>
      <c r="J1109" s="266">
        <v>86364</v>
      </c>
      <c r="K1109" s="265">
        <v>950000</v>
      </c>
      <c r="M1109" s="269"/>
      <c r="N1109" t="s">
        <v>2863</v>
      </c>
    </row>
    <row r="1110" spans="1:14" x14ac:dyDescent="0.3">
      <c r="A1110" s="271">
        <v>1109</v>
      </c>
      <c r="B1110" s="264">
        <v>45868</v>
      </c>
      <c r="C1110" s="292" t="s">
        <v>1671</v>
      </c>
      <c r="E1110" s="292" t="s">
        <v>1125</v>
      </c>
      <c r="L1110" s="265">
        <v>-2750000</v>
      </c>
      <c r="M1110" s="269"/>
    </row>
    <row r="1111" spans="1:14" x14ac:dyDescent="0.3">
      <c r="A1111" s="271">
        <v>1110</v>
      </c>
      <c r="B1111" s="264">
        <v>45868</v>
      </c>
      <c r="C1111" s="292" t="s">
        <v>2725</v>
      </c>
      <c r="E1111" s="292" t="s">
        <v>1125</v>
      </c>
      <c r="L1111" s="265">
        <v>-2400000</v>
      </c>
      <c r="M1111" s="269"/>
    </row>
    <row r="1112" spans="1:14" x14ac:dyDescent="0.3">
      <c r="A1112" s="271">
        <v>1111</v>
      </c>
      <c r="B1112" s="264">
        <v>45868</v>
      </c>
      <c r="C1112" s="292" t="s">
        <v>2319</v>
      </c>
      <c r="E1112" s="292" t="s">
        <v>1125</v>
      </c>
      <c r="L1112" s="265">
        <v>-950000</v>
      </c>
      <c r="M1112" s="269"/>
    </row>
    <row r="1113" spans="1:14" x14ac:dyDescent="0.3">
      <c r="A1113" s="271">
        <v>1112</v>
      </c>
      <c r="B1113" s="264">
        <v>45868</v>
      </c>
      <c r="C1113" s="292" t="s">
        <v>1977</v>
      </c>
      <c r="E1113" s="292" t="s">
        <v>1125</v>
      </c>
      <c r="L1113" s="265">
        <v>-1705000</v>
      </c>
      <c r="M1113" s="269"/>
    </row>
    <row r="1114" spans="1:14" x14ac:dyDescent="0.3">
      <c r="A1114" s="271">
        <v>1113</v>
      </c>
      <c r="B1114" s="264">
        <v>45868</v>
      </c>
      <c r="C1114" s="292" t="s">
        <v>2789</v>
      </c>
      <c r="E1114" s="292" t="s">
        <v>1125</v>
      </c>
      <c r="L1114" s="265">
        <v>-250000</v>
      </c>
      <c r="M1114" s="269"/>
    </row>
    <row r="1115" spans="1:14" x14ac:dyDescent="0.3">
      <c r="A1115" s="271">
        <v>1114</v>
      </c>
      <c r="B1115" s="264">
        <v>45868</v>
      </c>
      <c r="C1115" s="292" t="s">
        <v>3077</v>
      </c>
      <c r="E1115" s="292" t="s">
        <v>1125</v>
      </c>
      <c r="L1115" s="265">
        <v>-1320000</v>
      </c>
      <c r="M1115" s="269"/>
    </row>
    <row r="1116" spans="1:14" x14ac:dyDescent="0.3">
      <c r="A1116" s="271">
        <v>1115</v>
      </c>
      <c r="B1116" s="264">
        <v>45869</v>
      </c>
      <c r="C1116" s="292" t="s">
        <v>1452</v>
      </c>
      <c r="E1116" s="292" t="s">
        <v>1125</v>
      </c>
      <c r="L1116" s="265">
        <v>-50000</v>
      </c>
      <c r="M1116" s="269"/>
    </row>
    <row r="1117" spans="1:14" x14ac:dyDescent="0.3">
      <c r="A1117" s="271">
        <v>1116</v>
      </c>
      <c r="B1117" s="264">
        <v>45869</v>
      </c>
      <c r="C1117" s="292" t="s">
        <v>1082</v>
      </c>
      <c r="E1117" s="292" t="s">
        <v>1125</v>
      </c>
      <c r="L1117" s="265">
        <v>-900000</v>
      </c>
      <c r="M1117" s="269"/>
    </row>
    <row r="1118" spans="1:14" x14ac:dyDescent="0.3">
      <c r="A1118" s="271">
        <v>1117</v>
      </c>
      <c r="B1118" s="264">
        <v>45869</v>
      </c>
      <c r="C1118" s="292" t="s">
        <v>2319</v>
      </c>
      <c r="E1118" s="292" t="s">
        <v>1125</v>
      </c>
      <c r="L1118" s="265">
        <v>-1650000</v>
      </c>
      <c r="M1118" s="269"/>
    </row>
    <row r="1119" spans="1:14" x14ac:dyDescent="0.3">
      <c r="A1119" s="271">
        <v>1118</v>
      </c>
      <c r="B1119" s="264">
        <v>45869</v>
      </c>
      <c r="C1119" s="292" t="s">
        <v>1473</v>
      </c>
      <c r="E1119" s="292" t="s">
        <v>2180</v>
      </c>
      <c r="F1119" s="269" t="s">
        <v>1201</v>
      </c>
      <c r="G1119" s="265">
        <v>1500000</v>
      </c>
      <c r="H1119" s="269">
        <v>1</v>
      </c>
      <c r="K1119" s="265">
        <v>1500000</v>
      </c>
      <c r="M1119" s="269"/>
      <c r="N1119" t="s">
        <v>2863</v>
      </c>
    </row>
    <row r="1120" spans="1:14" x14ac:dyDescent="0.3">
      <c r="A1120" s="271">
        <v>1119</v>
      </c>
      <c r="B1120" s="264">
        <v>45869</v>
      </c>
      <c r="C1120" s="292" t="s">
        <v>1790</v>
      </c>
      <c r="E1120" s="292" t="s">
        <v>2180</v>
      </c>
      <c r="F1120" s="269" t="s">
        <v>1201</v>
      </c>
      <c r="G1120" s="265">
        <v>1500000</v>
      </c>
      <c r="H1120" s="269">
        <v>1</v>
      </c>
      <c r="K1120" s="265">
        <v>1500000</v>
      </c>
      <c r="M1120" s="269"/>
      <c r="N1120" t="s">
        <v>2863</v>
      </c>
    </row>
    <row r="1121" spans="1:14" x14ac:dyDescent="0.3">
      <c r="A1121" s="271">
        <v>1120</v>
      </c>
      <c r="B1121" s="264">
        <v>45869</v>
      </c>
      <c r="C1121" s="292" t="s">
        <v>1790</v>
      </c>
      <c r="E1121" s="292" t="s">
        <v>2181</v>
      </c>
      <c r="F1121" s="269" t="s">
        <v>1803</v>
      </c>
      <c r="G1121" s="265">
        <v>50000</v>
      </c>
      <c r="H1121" s="269">
        <v>1</v>
      </c>
      <c r="K1121" s="265">
        <v>50000</v>
      </c>
      <c r="M1121" s="269"/>
      <c r="N1121" t="s">
        <v>2863</v>
      </c>
    </row>
    <row r="1122" spans="1:14" x14ac:dyDescent="0.3">
      <c r="A1122" s="271">
        <v>1121</v>
      </c>
      <c r="B1122" s="264">
        <v>45869</v>
      </c>
      <c r="C1122" s="292" t="s">
        <v>1498</v>
      </c>
      <c r="E1122" s="292" t="s">
        <v>1203</v>
      </c>
      <c r="F1122" s="269" t="s">
        <v>1752</v>
      </c>
      <c r="G1122" s="265">
        <v>1200000</v>
      </c>
      <c r="H1122" s="269">
        <v>1</v>
      </c>
      <c r="K1122" s="265">
        <v>1200000</v>
      </c>
      <c r="M1122" s="269"/>
      <c r="N1122" t="s">
        <v>2863</v>
      </c>
    </row>
    <row r="1123" spans="1:14" x14ac:dyDescent="0.3">
      <c r="A1123" s="271">
        <v>1122</v>
      </c>
      <c r="B1123" s="264">
        <v>45869</v>
      </c>
      <c r="C1123" s="292" t="s">
        <v>1498</v>
      </c>
      <c r="E1123" s="292" t="s">
        <v>1519</v>
      </c>
      <c r="G1123" s="265">
        <v>20000</v>
      </c>
      <c r="H1123" s="269">
        <v>1</v>
      </c>
      <c r="K1123" s="265">
        <v>20000</v>
      </c>
      <c r="M1123" s="269"/>
      <c r="N1123" t="s">
        <v>2863</v>
      </c>
    </row>
    <row r="1124" spans="1:14" x14ac:dyDescent="0.3">
      <c r="A1124" s="271">
        <v>1123</v>
      </c>
      <c r="B1124" s="264">
        <v>45869</v>
      </c>
      <c r="C1124" s="292" t="s">
        <v>1671</v>
      </c>
      <c r="E1124" s="292" t="s">
        <v>2566</v>
      </c>
      <c r="F1124" s="269" t="s">
        <v>2565</v>
      </c>
      <c r="G1124" s="265">
        <v>1000000</v>
      </c>
      <c r="H1124" s="269">
        <v>1</v>
      </c>
      <c r="J1124" s="266">
        <v>100000</v>
      </c>
      <c r="K1124" s="265">
        <v>1100000</v>
      </c>
      <c r="M1124" s="269"/>
      <c r="N1124" t="s">
        <v>2863</v>
      </c>
    </row>
    <row r="1125" spans="1:14" x14ac:dyDescent="0.3">
      <c r="A1125" s="271">
        <v>1124</v>
      </c>
      <c r="B1125" s="264">
        <v>45869</v>
      </c>
      <c r="C1125" s="292" t="s">
        <v>1580</v>
      </c>
      <c r="E1125" s="292" t="s">
        <v>1266</v>
      </c>
      <c r="F1125" s="269" t="s">
        <v>1265</v>
      </c>
      <c r="G1125" s="265">
        <v>50000</v>
      </c>
      <c r="H1125" s="269">
        <v>1</v>
      </c>
      <c r="J1125" s="266">
        <v>5000</v>
      </c>
      <c r="K1125" s="265">
        <v>55000</v>
      </c>
      <c r="M1125" s="269"/>
      <c r="N1125" t="s">
        <v>2863</v>
      </c>
    </row>
    <row r="1126" spans="1:14" x14ac:dyDescent="0.3">
      <c r="A1126" s="271">
        <v>1125</v>
      </c>
      <c r="B1126" s="264">
        <v>45869</v>
      </c>
      <c r="C1126" s="292" t="s">
        <v>1399</v>
      </c>
      <c r="E1126" s="292" t="s">
        <v>1125</v>
      </c>
      <c r="L1126" s="265">
        <v>-9010000</v>
      </c>
      <c r="M1126" s="269"/>
    </row>
    <row r="1127" spans="1:14" x14ac:dyDescent="0.3">
      <c r="A1127" s="271">
        <v>1126</v>
      </c>
      <c r="B1127" s="264">
        <v>45869</v>
      </c>
      <c r="C1127" s="292" t="s">
        <v>1861</v>
      </c>
      <c r="E1127" s="292" t="s">
        <v>1125</v>
      </c>
      <c r="L1127" s="265">
        <v>-1550000</v>
      </c>
      <c r="M1127" s="269"/>
    </row>
    <row r="1128" spans="1:14" x14ac:dyDescent="0.3">
      <c r="A1128" s="271">
        <v>1127</v>
      </c>
      <c r="B1128" s="264">
        <v>45869</v>
      </c>
      <c r="C1128" s="292" t="s">
        <v>1554</v>
      </c>
      <c r="E1128" s="292" t="s">
        <v>1125</v>
      </c>
      <c r="L1128" s="265">
        <v>-275000</v>
      </c>
      <c r="M1128" s="269"/>
    </row>
    <row r="1129" spans="1:14" x14ac:dyDescent="0.3">
      <c r="A1129" s="271">
        <v>1128</v>
      </c>
      <c r="B1129" s="264">
        <v>45869</v>
      </c>
      <c r="C1129" s="292" t="s">
        <v>1498</v>
      </c>
      <c r="E1129" s="292" t="s">
        <v>1125</v>
      </c>
      <c r="L1129" s="265">
        <v>-1220000</v>
      </c>
      <c r="M1129" s="269"/>
    </row>
    <row r="1130" spans="1:14" x14ac:dyDescent="0.3">
      <c r="A1130" s="271">
        <v>1129</v>
      </c>
      <c r="B1130" s="264">
        <v>45870</v>
      </c>
      <c r="C1130" s="292" t="s">
        <v>1577</v>
      </c>
      <c r="E1130" s="292" t="s">
        <v>1125</v>
      </c>
      <c r="L1130" s="265">
        <v>-2835000</v>
      </c>
      <c r="M1130" s="269"/>
    </row>
    <row r="1131" spans="1:14" x14ac:dyDescent="0.3">
      <c r="A1131" s="271">
        <v>1130</v>
      </c>
      <c r="B1131" s="264">
        <v>45870</v>
      </c>
      <c r="C1131" s="292" t="s">
        <v>1147</v>
      </c>
      <c r="E1131" s="292" t="s">
        <v>1125</v>
      </c>
      <c r="L1131" s="265">
        <v>-4750000</v>
      </c>
      <c r="M1131" s="269"/>
    </row>
    <row r="1132" spans="1:14" x14ac:dyDescent="0.3">
      <c r="A1132" s="271">
        <v>1131</v>
      </c>
      <c r="B1132" s="264">
        <v>45870</v>
      </c>
      <c r="C1132" s="292" t="s">
        <v>1473</v>
      </c>
      <c r="E1132" s="292" t="s">
        <v>2187</v>
      </c>
      <c r="F1132" s="269" t="s">
        <v>1207</v>
      </c>
      <c r="G1132" s="265">
        <v>500000</v>
      </c>
      <c r="H1132" s="269">
        <v>1</v>
      </c>
      <c r="K1132" s="265">
        <v>500000</v>
      </c>
      <c r="M1132" s="269"/>
    </row>
    <row r="1133" spans="1:14" x14ac:dyDescent="0.3">
      <c r="A1133" s="271">
        <v>1132</v>
      </c>
      <c r="B1133" s="264">
        <v>45870</v>
      </c>
      <c r="C1133" s="292" t="s">
        <v>3093</v>
      </c>
      <c r="E1133" s="292" t="s">
        <v>1205</v>
      </c>
      <c r="F1133" s="269" t="s">
        <v>1204</v>
      </c>
      <c r="G1133" s="265">
        <v>1250000</v>
      </c>
      <c r="H1133" s="269">
        <v>1</v>
      </c>
      <c r="J1133" s="266">
        <v>125000</v>
      </c>
      <c r="K1133" s="265">
        <v>1375000</v>
      </c>
      <c r="M1133" s="269"/>
    </row>
    <row r="1134" spans="1:14" x14ac:dyDescent="0.3">
      <c r="A1134" s="271">
        <v>1133</v>
      </c>
      <c r="B1134" s="264">
        <v>45870</v>
      </c>
      <c r="C1134" s="292" t="s">
        <v>1942</v>
      </c>
      <c r="E1134" s="292" t="s">
        <v>2180</v>
      </c>
      <c r="F1134" s="269" t="s">
        <v>1201</v>
      </c>
      <c r="G1134" s="265">
        <v>1600000</v>
      </c>
      <c r="H1134" s="269">
        <v>1</v>
      </c>
      <c r="K1134" s="265">
        <v>1600000</v>
      </c>
      <c r="M1134" s="269"/>
    </row>
    <row r="1135" spans="1:14" x14ac:dyDescent="0.3">
      <c r="A1135" s="271">
        <v>1134</v>
      </c>
      <c r="B1135" s="264">
        <v>45870</v>
      </c>
      <c r="C1135" s="292" t="s">
        <v>1942</v>
      </c>
      <c r="E1135" s="292" t="s">
        <v>2181</v>
      </c>
      <c r="F1135" s="269" t="s">
        <v>1803</v>
      </c>
      <c r="G1135" s="265">
        <v>50000</v>
      </c>
      <c r="H1135" s="269">
        <v>1</v>
      </c>
      <c r="K1135" s="265">
        <v>50000</v>
      </c>
      <c r="M1135" s="269"/>
    </row>
    <row r="1136" spans="1:14" x14ac:dyDescent="0.3">
      <c r="A1136" s="271">
        <v>1135</v>
      </c>
      <c r="B1136" s="264">
        <v>45870</v>
      </c>
      <c r="C1136" s="292" t="s">
        <v>1399</v>
      </c>
      <c r="E1136" s="292" t="s">
        <v>2180</v>
      </c>
      <c r="F1136" s="269" t="s">
        <v>1201</v>
      </c>
      <c r="G1136" s="265">
        <v>1500000</v>
      </c>
      <c r="H1136" s="269">
        <v>1</v>
      </c>
      <c r="K1136" s="265">
        <v>1500000</v>
      </c>
      <c r="M1136" s="269"/>
    </row>
    <row r="1137" spans="1:13" x14ac:dyDescent="0.3">
      <c r="A1137" s="271">
        <v>1136</v>
      </c>
      <c r="B1137" s="264">
        <v>45870</v>
      </c>
      <c r="C1137" s="292" t="s">
        <v>1399</v>
      </c>
      <c r="E1137" s="292" t="s">
        <v>2181</v>
      </c>
      <c r="F1137" s="269" t="s">
        <v>1803</v>
      </c>
      <c r="G1137" s="265">
        <v>50000</v>
      </c>
      <c r="H1137" s="269">
        <v>1</v>
      </c>
      <c r="K1137" s="265">
        <v>50000</v>
      </c>
      <c r="M1137" s="269"/>
    </row>
    <row r="1138" spans="1:13" x14ac:dyDescent="0.3">
      <c r="A1138" s="271">
        <v>1137</v>
      </c>
      <c r="B1138" s="264">
        <v>45870</v>
      </c>
      <c r="C1138" s="292" t="s">
        <v>1541</v>
      </c>
      <c r="E1138" s="292" t="s">
        <v>1125</v>
      </c>
      <c r="L1138" s="265">
        <v>-3785000</v>
      </c>
      <c r="M1138" s="269"/>
    </row>
    <row r="1139" spans="1:13" x14ac:dyDescent="0.3">
      <c r="A1139" s="271">
        <v>1138</v>
      </c>
      <c r="B1139" s="264">
        <v>45870</v>
      </c>
      <c r="C1139" s="292" t="s">
        <v>1942</v>
      </c>
      <c r="E1139" s="292" t="s">
        <v>1125</v>
      </c>
      <c r="L1139" s="265">
        <v>-1650000</v>
      </c>
      <c r="M1139" s="269"/>
    </row>
    <row r="1140" spans="1:13" x14ac:dyDescent="0.3">
      <c r="A1140" s="271">
        <v>1139</v>
      </c>
      <c r="B1140" s="264">
        <v>45870</v>
      </c>
      <c r="C1140" s="292" t="s">
        <v>1473</v>
      </c>
      <c r="E1140" s="292" t="s">
        <v>1125</v>
      </c>
      <c r="L1140" s="265">
        <v>-2000000</v>
      </c>
      <c r="M1140" s="269"/>
    </row>
    <row r="1141" spans="1:13" x14ac:dyDescent="0.3">
      <c r="A1141" s="271">
        <v>1140</v>
      </c>
      <c r="B1141" s="264">
        <v>45870</v>
      </c>
      <c r="C1141" s="292" t="s">
        <v>3093</v>
      </c>
      <c r="E1141" s="292" t="s">
        <v>1125</v>
      </c>
      <c r="L1141" s="265">
        <v>-1375000</v>
      </c>
      <c r="M1141" s="269"/>
    </row>
    <row r="1142" spans="1:13" x14ac:dyDescent="0.3">
      <c r="A1142" s="271">
        <v>1141</v>
      </c>
      <c r="B1142" s="264">
        <v>45868</v>
      </c>
      <c r="C1142" s="292" t="s">
        <v>1722</v>
      </c>
      <c r="E1142" s="292" t="s">
        <v>1716</v>
      </c>
      <c r="F1142" s="269" t="s">
        <v>1715</v>
      </c>
      <c r="G1142" s="265">
        <v>15000</v>
      </c>
      <c r="H1142" s="269">
        <v>3</v>
      </c>
      <c r="K1142" s="265">
        <v>45000</v>
      </c>
      <c r="M1142" s="269"/>
    </row>
    <row r="1143" spans="1:13" x14ac:dyDescent="0.3">
      <c r="A1143" s="271">
        <v>1142</v>
      </c>
      <c r="B1143" s="264">
        <v>45871</v>
      </c>
      <c r="C1143" s="292" t="s">
        <v>1330</v>
      </c>
      <c r="E1143" s="292" t="s">
        <v>3110</v>
      </c>
      <c r="L1143" s="265">
        <v>-1300000</v>
      </c>
      <c r="M1143" s="269"/>
    </row>
    <row r="1144" spans="1:13" x14ac:dyDescent="0.3">
      <c r="A1144" s="271">
        <v>1143</v>
      </c>
      <c r="B1144" s="264">
        <v>45873</v>
      </c>
      <c r="C1144" s="292" t="s">
        <v>1473</v>
      </c>
      <c r="E1144" s="292" t="s">
        <v>1125</v>
      </c>
      <c r="L1144" s="265">
        <v>-500000</v>
      </c>
      <c r="M1144" s="269"/>
    </row>
    <row r="1145" spans="1:13" x14ac:dyDescent="0.3">
      <c r="A1145" s="271">
        <v>1144</v>
      </c>
      <c r="B1145" s="264">
        <v>45873</v>
      </c>
      <c r="C1145" s="292" t="s">
        <v>1809</v>
      </c>
      <c r="E1145" s="292" t="s">
        <v>1125</v>
      </c>
      <c r="L1145" s="265">
        <v>-1550000</v>
      </c>
      <c r="M1145" s="269"/>
    </row>
    <row r="1146" spans="1:13" x14ac:dyDescent="0.3">
      <c r="A1146" s="271">
        <v>1145</v>
      </c>
      <c r="B1146" s="264">
        <v>45873</v>
      </c>
      <c r="C1146" s="292" t="s">
        <v>1805</v>
      </c>
      <c r="E1146" s="292" t="s">
        <v>1125</v>
      </c>
      <c r="L1146" s="265">
        <v>-1980000</v>
      </c>
      <c r="M1146" s="269"/>
    </row>
    <row r="1147" spans="1:13" x14ac:dyDescent="0.3">
      <c r="A1147" s="271">
        <v>1146</v>
      </c>
      <c r="B1147" s="264">
        <v>45873</v>
      </c>
      <c r="C1147" s="292" t="s">
        <v>1473</v>
      </c>
      <c r="E1147" s="292" t="s">
        <v>2180</v>
      </c>
      <c r="F1147" s="269" t="s">
        <v>1201</v>
      </c>
      <c r="G1147" s="265">
        <v>1500000</v>
      </c>
      <c r="H1147" s="269">
        <v>1</v>
      </c>
      <c r="K1147" s="265">
        <v>1500000</v>
      </c>
      <c r="M1147" s="269"/>
    </row>
    <row r="1148" spans="1:13" x14ac:dyDescent="0.3">
      <c r="A1148" s="271">
        <v>1147</v>
      </c>
      <c r="B1148" s="264">
        <v>45873</v>
      </c>
      <c r="C1148" s="292" t="s">
        <v>1473</v>
      </c>
      <c r="E1148" s="292" t="s">
        <v>2180</v>
      </c>
      <c r="F1148" s="269" t="s">
        <v>1201</v>
      </c>
      <c r="G1148" s="265">
        <v>1500000</v>
      </c>
      <c r="H1148" s="269">
        <v>1</v>
      </c>
      <c r="K1148" s="265">
        <v>1500000</v>
      </c>
      <c r="M1148" s="269"/>
    </row>
    <row r="1149" spans="1:13" x14ac:dyDescent="0.3">
      <c r="A1149" s="271">
        <v>1148</v>
      </c>
      <c r="B1149" s="264">
        <v>45873</v>
      </c>
      <c r="C1149" s="292" t="s">
        <v>2148</v>
      </c>
      <c r="E1149" s="292" t="s">
        <v>1717</v>
      </c>
      <c r="F1149" s="269">
        <v>2800802</v>
      </c>
      <c r="G1149" s="265">
        <v>150000</v>
      </c>
      <c r="H1149" s="269">
        <v>1</v>
      </c>
      <c r="K1149" s="265">
        <v>150000</v>
      </c>
      <c r="M1149" s="269"/>
    </row>
    <row r="1150" spans="1:13" x14ac:dyDescent="0.3">
      <c r="A1150" s="271">
        <v>1149</v>
      </c>
      <c r="B1150" s="264">
        <v>45873</v>
      </c>
      <c r="C1150" s="292" t="s">
        <v>1015</v>
      </c>
      <c r="E1150" s="292" t="s">
        <v>1859</v>
      </c>
      <c r="F1150" s="269" t="s">
        <v>3670</v>
      </c>
      <c r="G1150" s="265">
        <v>1100000</v>
      </c>
      <c r="H1150" s="269">
        <v>1</v>
      </c>
      <c r="J1150" s="266">
        <v>110000</v>
      </c>
      <c r="K1150" s="265">
        <v>1210000</v>
      </c>
      <c r="M1150" s="269"/>
    </row>
    <row r="1151" spans="1:13" x14ac:dyDescent="0.3">
      <c r="A1151" s="271">
        <v>1150</v>
      </c>
      <c r="B1151" s="264">
        <v>45874</v>
      </c>
      <c r="C1151" s="292" t="s">
        <v>1747</v>
      </c>
      <c r="E1151" s="292" t="s">
        <v>1746</v>
      </c>
      <c r="L1151" s="265">
        <v>-3212000</v>
      </c>
      <c r="M1151" s="269"/>
    </row>
    <row r="1152" spans="1:13" x14ac:dyDescent="0.3">
      <c r="A1152" s="271">
        <v>1151</v>
      </c>
      <c r="B1152" s="264">
        <v>45874</v>
      </c>
      <c r="C1152" s="292" t="s">
        <v>1747</v>
      </c>
      <c r="E1152" s="292" t="s">
        <v>2190</v>
      </c>
      <c r="F1152" s="269">
        <v>50229</v>
      </c>
      <c r="G1152" s="265">
        <v>75000</v>
      </c>
      <c r="H1152" s="269">
        <v>2</v>
      </c>
      <c r="J1152" s="266">
        <v>15000</v>
      </c>
      <c r="K1152" s="265">
        <v>165000</v>
      </c>
      <c r="M1152" s="269"/>
    </row>
    <row r="1153" spans="1:13" x14ac:dyDescent="0.3">
      <c r="A1153" s="271">
        <v>1152</v>
      </c>
      <c r="B1153" s="264">
        <v>45874</v>
      </c>
      <c r="C1153" s="292" t="s">
        <v>1747</v>
      </c>
      <c r="E1153" s="292" t="s">
        <v>2191</v>
      </c>
      <c r="F1153" s="269" t="s">
        <v>1795</v>
      </c>
      <c r="G1153" s="265">
        <v>35000</v>
      </c>
      <c r="H1153" s="269">
        <v>1</v>
      </c>
      <c r="J1153" s="266">
        <v>3500</v>
      </c>
      <c r="K1153" s="265">
        <v>38500</v>
      </c>
      <c r="M1153" s="269"/>
    </row>
    <row r="1154" spans="1:13" x14ac:dyDescent="0.3">
      <c r="A1154" s="271">
        <v>1153</v>
      </c>
      <c r="B1154" s="264">
        <v>45874</v>
      </c>
      <c r="C1154" s="292" t="s">
        <v>2145</v>
      </c>
      <c r="E1154" s="292" t="s">
        <v>2840</v>
      </c>
      <c r="F1154" s="269" t="s">
        <v>2750</v>
      </c>
      <c r="G1154" s="265">
        <v>129000</v>
      </c>
      <c r="H1154" s="269">
        <v>1</v>
      </c>
      <c r="K1154" s="265">
        <v>129000</v>
      </c>
      <c r="M1154" s="269"/>
    </row>
    <row r="1155" spans="1:13" x14ac:dyDescent="0.3">
      <c r="A1155" s="271">
        <v>1154</v>
      </c>
      <c r="B1155" s="264">
        <v>45874</v>
      </c>
      <c r="C1155" s="292" t="s">
        <v>1467</v>
      </c>
      <c r="E1155" s="292" t="s">
        <v>2194</v>
      </c>
      <c r="G1155" s="265">
        <v>600000</v>
      </c>
      <c r="H1155" s="269">
        <v>1</v>
      </c>
      <c r="J1155" s="266">
        <v>60000</v>
      </c>
      <c r="K1155" s="265">
        <v>660000</v>
      </c>
      <c r="M1155" s="269"/>
    </row>
    <row r="1156" spans="1:13" x14ac:dyDescent="0.3">
      <c r="A1156" s="271">
        <v>1155</v>
      </c>
      <c r="B1156" s="264">
        <v>45874</v>
      </c>
      <c r="C1156" s="292" t="s">
        <v>1596</v>
      </c>
      <c r="E1156" s="292" t="s">
        <v>1205</v>
      </c>
      <c r="F1156" s="269" t="s">
        <v>1206</v>
      </c>
      <c r="G1156" s="265">
        <v>1200000</v>
      </c>
      <c r="H1156" s="269">
        <v>1</v>
      </c>
      <c r="J1156" s="266">
        <v>120000</v>
      </c>
      <c r="K1156" s="265">
        <v>1320000</v>
      </c>
      <c r="M1156" s="269"/>
    </row>
    <row r="1157" spans="1:13" x14ac:dyDescent="0.3">
      <c r="A1157" s="271">
        <v>1156</v>
      </c>
      <c r="B1157" s="264">
        <v>45874</v>
      </c>
      <c r="C1157" s="292" t="s">
        <v>2410</v>
      </c>
      <c r="E1157" s="292" t="s">
        <v>2418</v>
      </c>
      <c r="F1157" s="269" t="s">
        <v>2748</v>
      </c>
      <c r="G1157" s="265">
        <v>1100000</v>
      </c>
      <c r="H1157" s="269">
        <v>1</v>
      </c>
      <c r="J1157" s="266">
        <v>110000</v>
      </c>
      <c r="K1157" s="265">
        <v>1210000</v>
      </c>
      <c r="M1157" s="269"/>
    </row>
    <row r="1158" spans="1:13" x14ac:dyDescent="0.3">
      <c r="A1158" s="271">
        <v>1157</v>
      </c>
      <c r="B1158" s="264">
        <v>45874</v>
      </c>
      <c r="C1158" s="292" t="s">
        <v>3115</v>
      </c>
      <c r="E1158" s="292" t="s">
        <v>2196</v>
      </c>
      <c r="F1158" s="269">
        <v>2820403</v>
      </c>
      <c r="G1158" s="265">
        <v>1500000</v>
      </c>
      <c r="H1158" s="269">
        <v>1</v>
      </c>
      <c r="K1158" s="265">
        <v>1500000</v>
      </c>
      <c r="M1158" s="269"/>
    </row>
    <row r="1159" spans="1:13" x14ac:dyDescent="0.3">
      <c r="A1159" s="271">
        <v>1158</v>
      </c>
      <c r="B1159" s="264">
        <v>45874</v>
      </c>
      <c r="C1159" s="292" t="s">
        <v>1399</v>
      </c>
      <c r="E1159" s="292" t="s">
        <v>1203</v>
      </c>
      <c r="F1159" s="269" t="s">
        <v>1752</v>
      </c>
      <c r="G1159" s="265">
        <v>1200000</v>
      </c>
      <c r="H1159" s="269">
        <v>1</v>
      </c>
      <c r="K1159" s="265">
        <v>1200000</v>
      </c>
      <c r="M1159" s="269"/>
    </row>
    <row r="1160" spans="1:13" x14ac:dyDescent="0.3">
      <c r="A1160" s="271">
        <v>1159</v>
      </c>
      <c r="B1160" s="264">
        <v>45874</v>
      </c>
      <c r="C1160" s="292" t="s">
        <v>1399</v>
      </c>
      <c r="E1160" s="292" t="s">
        <v>2187</v>
      </c>
      <c r="F1160" s="269" t="s">
        <v>1207</v>
      </c>
      <c r="G1160" s="265">
        <v>510000</v>
      </c>
      <c r="H1160" s="269">
        <v>1</v>
      </c>
      <c r="K1160" s="265">
        <v>510000</v>
      </c>
      <c r="M1160" s="269"/>
    </row>
    <row r="1161" spans="1:13" x14ac:dyDescent="0.3">
      <c r="A1161" s="271">
        <v>1160</v>
      </c>
      <c r="B1161" s="264">
        <v>45874</v>
      </c>
      <c r="C1161" s="292" t="s">
        <v>1399</v>
      </c>
      <c r="E1161" s="292" t="s">
        <v>2191</v>
      </c>
      <c r="F1161" s="269" t="s">
        <v>1795</v>
      </c>
      <c r="G1161" s="265">
        <v>30000</v>
      </c>
      <c r="H1161" s="269">
        <v>1</v>
      </c>
      <c r="K1161" s="265">
        <v>30000</v>
      </c>
      <c r="M1161" s="269"/>
    </row>
    <row r="1162" spans="1:13" x14ac:dyDescent="0.3">
      <c r="A1162" s="271">
        <v>1161</v>
      </c>
      <c r="B1162" s="264">
        <v>45874</v>
      </c>
      <c r="C1162" s="292" t="s">
        <v>1977</v>
      </c>
      <c r="E1162" s="292" t="s">
        <v>1203</v>
      </c>
      <c r="F1162" s="269" t="s">
        <v>1752</v>
      </c>
      <c r="G1162" s="265">
        <v>1200000</v>
      </c>
      <c r="H1162" s="269">
        <v>1</v>
      </c>
      <c r="J1162" s="266">
        <v>120000</v>
      </c>
      <c r="K1162" s="265">
        <v>1320000</v>
      </c>
      <c r="M1162" s="269"/>
    </row>
    <row r="1163" spans="1:13" x14ac:dyDescent="0.3">
      <c r="A1163" s="271">
        <v>1162</v>
      </c>
      <c r="B1163" s="264">
        <v>45874</v>
      </c>
      <c r="C1163" s="292" t="s">
        <v>1977</v>
      </c>
      <c r="E1163" s="292" t="s">
        <v>3116</v>
      </c>
      <c r="F1163" s="269" t="s">
        <v>1752</v>
      </c>
      <c r="G1163" s="265">
        <v>25000</v>
      </c>
      <c r="H1163" s="269">
        <v>1</v>
      </c>
      <c r="K1163" s="265">
        <v>25000</v>
      </c>
      <c r="M1163" s="269"/>
    </row>
    <row r="1164" spans="1:13" x14ac:dyDescent="0.3">
      <c r="A1164" s="271">
        <v>1163</v>
      </c>
      <c r="B1164" s="264">
        <v>45874</v>
      </c>
      <c r="C1164" s="292" t="s">
        <v>1554</v>
      </c>
      <c r="E1164" s="292" t="s">
        <v>3117</v>
      </c>
      <c r="G1164" s="265">
        <v>1200000</v>
      </c>
      <c r="H1164" s="269">
        <v>1</v>
      </c>
      <c r="J1164" s="266">
        <v>120000</v>
      </c>
      <c r="K1164" s="265">
        <v>1320000</v>
      </c>
      <c r="M1164" s="269"/>
    </row>
    <row r="1165" spans="1:13" x14ac:dyDescent="0.3">
      <c r="A1165" s="271">
        <v>1164</v>
      </c>
      <c r="B1165" s="264">
        <v>45874</v>
      </c>
      <c r="C1165" s="292" t="s">
        <v>1554</v>
      </c>
      <c r="E1165" s="292" t="s">
        <v>3118</v>
      </c>
      <c r="G1165" s="265">
        <v>50000</v>
      </c>
      <c r="H1165" s="269">
        <v>1</v>
      </c>
      <c r="J1165" s="266">
        <v>5000</v>
      </c>
      <c r="K1165" s="265">
        <v>55000</v>
      </c>
      <c r="M1165" s="269"/>
    </row>
    <row r="1166" spans="1:13" x14ac:dyDescent="0.3">
      <c r="A1166" s="271">
        <v>1165</v>
      </c>
      <c r="B1166" s="264">
        <v>45874</v>
      </c>
      <c r="C1166" s="292" t="s">
        <v>1554</v>
      </c>
      <c r="E1166" s="292" t="s">
        <v>3119</v>
      </c>
      <c r="G1166" s="265">
        <v>20000</v>
      </c>
      <c r="H1166" s="269">
        <v>1</v>
      </c>
      <c r="J1166" s="266">
        <v>2000</v>
      </c>
      <c r="K1166" s="265">
        <v>22000</v>
      </c>
      <c r="M1166" s="269"/>
    </row>
    <row r="1167" spans="1:13" x14ac:dyDescent="0.3">
      <c r="A1167" s="271">
        <v>1166</v>
      </c>
      <c r="B1167" s="264">
        <v>45874</v>
      </c>
      <c r="C1167" s="292" t="s">
        <v>1444</v>
      </c>
      <c r="E1167" s="292" t="s">
        <v>2180</v>
      </c>
      <c r="F1167" s="269" t="s">
        <v>1201</v>
      </c>
      <c r="G1167" s="265">
        <v>1500000</v>
      </c>
      <c r="H1167" s="269">
        <v>1</v>
      </c>
      <c r="K1167" s="265">
        <v>1500000</v>
      </c>
      <c r="M1167" s="269"/>
    </row>
    <row r="1168" spans="1:13" x14ac:dyDescent="0.3">
      <c r="A1168" s="271">
        <v>1167</v>
      </c>
      <c r="B1168" s="264">
        <v>45874</v>
      </c>
      <c r="C1168" s="292" t="s">
        <v>1444</v>
      </c>
      <c r="E1168" s="292" t="s">
        <v>2181</v>
      </c>
      <c r="F1168" s="269" t="s">
        <v>1803</v>
      </c>
      <c r="G1168" s="265">
        <v>50000</v>
      </c>
      <c r="H1168" s="269">
        <v>1</v>
      </c>
      <c r="K1168" s="265">
        <v>50000</v>
      </c>
      <c r="M1168" s="269"/>
    </row>
    <row r="1169" spans="1:13" x14ac:dyDescent="0.3">
      <c r="A1169" s="271">
        <v>1168</v>
      </c>
      <c r="B1169" s="264">
        <v>45874</v>
      </c>
      <c r="C1169" s="292" t="s">
        <v>1977</v>
      </c>
      <c r="E1169" s="292" t="s">
        <v>1125</v>
      </c>
      <c r="L1169" s="265">
        <v>-1345000</v>
      </c>
      <c r="M1169" s="269"/>
    </row>
    <row r="1170" spans="1:13" x14ac:dyDescent="0.3">
      <c r="A1170" s="271">
        <v>1169</v>
      </c>
      <c r="B1170" s="264">
        <v>45874</v>
      </c>
      <c r="C1170" s="292" t="s">
        <v>3115</v>
      </c>
      <c r="E1170" s="292" t="s">
        <v>1125</v>
      </c>
      <c r="L1170" s="265">
        <v>-1500000</v>
      </c>
      <c r="M1170" s="269"/>
    </row>
    <row r="1171" spans="1:13" x14ac:dyDescent="0.3">
      <c r="A1171" s="271">
        <v>1170</v>
      </c>
      <c r="B1171" s="264">
        <v>45874</v>
      </c>
      <c r="C1171" s="292" t="s">
        <v>2148</v>
      </c>
      <c r="E1171" s="292" t="s">
        <v>1125</v>
      </c>
      <c r="L1171" s="265">
        <v>-150000</v>
      </c>
      <c r="M1171" s="269"/>
    </row>
    <row r="1172" spans="1:13" x14ac:dyDescent="0.3">
      <c r="A1172" s="271">
        <v>1171</v>
      </c>
      <c r="B1172" s="264">
        <v>45874</v>
      </c>
      <c r="C1172" s="292" t="s">
        <v>1473</v>
      </c>
      <c r="E1172" s="292" t="s">
        <v>1125</v>
      </c>
      <c r="L1172" s="265">
        <v>-3000000</v>
      </c>
      <c r="M1172" s="269"/>
    </row>
    <row r="1173" spans="1:13" x14ac:dyDescent="0.3">
      <c r="A1173" s="271">
        <v>1172</v>
      </c>
      <c r="B1173" s="264">
        <v>45875</v>
      </c>
      <c r="C1173" s="292" t="s">
        <v>2410</v>
      </c>
      <c r="E1173" s="292" t="s">
        <v>1125</v>
      </c>
      <c r="L1173" s="265">
        <v>-1210000</v>
      </c>
      <c r="M1173" s="269"/>
    </row>
    <row r="1174" spans="1:13" x14ac:dyDescent="0.3">
      <c r="A1174" s="271">
        <v>1173</v>
      </c>
      <c r="B1174" s="264">
        <v>45875</v>
      </c>
      <c r="C1174" s="292" t="s">
        <v>1494</v>
      </c>
      <c r="E1174" s="292" t="s">
        <v>1203</v>
      </c>
      <c r="F1174" s="269" t="s">
        <v>1752</v>
      </c>
      <c r="G1174" s="265">
        <v>1200000</v>
      </c>
      <c r="H1174" s="269">
        <v>1</v>
      </c>
      <c r="K1174" s="265">
        <v>1200000</v>
      </c>
      <c r="M1174" s="269"/>
    </row>
    <row r="1175" spans="1:13" x14ac:dyDescent="0.3">
      <c r="A1175" s="271">
        <v>1174</v>
      </c>
      <c r="B1175" s="264">
        <v>45875</v>
      </c>
      <c r="C1175" s="292" t="s">
        <v>1026</v>
      </c>
      <c r="E1175" s="292" t="s">
        <v>2112</v>
      </c>
      <c r="F1175" s="269" t="s">
        <v>2582</v>
      </c>
      <c r="G1175" s="265">
        <v>70000</v>
      </c>
      <c r="H1175" s="269">
        <v>1</v>
      </c>
      <c r="K1175" s="265">
        <v>70000</v>
      </c>
      <c r="M1175" s="269"/>
    </row>
    <row r="1176" spans="1:13" x14ac:dyDescent="0.3">
      <c r="A1176" s="271">
        <v>1175</v>
      </c>
      <c r="B1176" s="264">
        <v>45875</v>
      </c>
      <c r="C1176" s="292" t="s">
        <v>3120</v>
      </c>
      <c r="E1176" s="292" t="s">
        <v>2180</v>
      </c>
      <c r="F1176" s="269" t="s">
        <v>1201</v>
      </c>
      <c r="G1176" s="265">
        <v>1500000</v>
      </c>
      <c r="H1176" s="269">
        <v>1</v>
      </c>
      <c r="J1176" s="266">
        <v>150000</v>
      </c>
      <c r="K1176" s="265">
        <v>1650000</v>
      </c>
      <c r="M1176" s="269"/>
    </row>
    <row r="1177" spans="1:13" x14ac:dyDescent="0.3">
      <c r="A1177" s="271">
        <v>1176</v>
      </c>
      <c r="B1177" s="264">
        <v>45875</v>
      </c>
      <c r="C1177" s="292" t="s">
        <v>3120</v>
      </c>
      <c r="E1177" s="292" t="s">
        <v>2181</v>
      </c>
      <c r="F1177" s="269" t="s">
        <v>1803</v>
      </c>
      <c r="G1177" s="265">
        <v>50000</v>
      </c>
      <c r="H1177" s="269">
        <v>1</v>
      </c>
      <c r="J1177" s="266">
        <v>5000</v>
      </c>
      <c r="K1177" s="265">
        <v>55000</v>
      </c>
      <c r="M1177" s="269"/>
    </row>
    <row r="1178" spans="1:13" x14ac:dyDescent="0.3">
      <c r="A1178" s="271">
        <v>1177</v>
      </c>
      <c r="B1178" s="264">
        <v>45875</v>
      </c>
      <c r="C1178" s="292" t="s">
        <v>1147</v>
      </c>
      <c r="E1178" s="292" t="s">
        <v>3133</v>
      </c>
      <c r="G1178" s="265">
        <v>1100000</v>
      </c>
      <c r="H1178" s="269">
        <v>1</v>
      </c>
      <c r="K1178" s="265">
        <v>1100000</v>
      </c>
      <c r="M1178" s="269"/>
    </row>
    <row r="1179" spans="1:13" x14ac:dyDescent="0.3">
      <c r="A1179" s="271">
        <v>1178</v>
      </c>
      <c r="B1179" s="264">
        <v>45875</v>
      </c>
      <c r="C1179" s="292" t="s">
        <v>1809</v>
      </c>
      <c r="E1179" s="292" t="s">
        <v>1496</v>
      </c>
      <c r="F1179" s="269" t="s">
        <v>2679</v>
      </c>
      <c r="G1179" s="265">
        <v>350000</v>
      </c>
      <c r="H1179" s="269">
        <v>1</v>
      </c>
      <c r="K1179" s="265">
        <v>350000</v>
      </c>
      <c r="M1179" s="269"/>
    </row>
    <row r="1180" spans="1:13" x14ac:dyDescent="0.3">
      <c r="A1180" s="271">
        <v>1179</v>
      </c>
      <c r="B1180" s="264">
        <v>45875</v>
      </c>
      <c r="C1180" s="292" t="s">
        <v>1316</v>
      </c>
      <c r="E1180" s="292" t="s">
        <v>1426</v>
      </c>
      <c r="F1180" s="269" t="s">
        <v>3142</v>
      </c>
      <c r="G1180" s="265">
        <v>1300000</v>
      </c>
      <c r="H1180" s="269">
        <v>1</v>
      </c>
      <c r="J1180" s="266" t="s">
        <v>3143</v>
      </c>
      <c r="K1180" s="265">
        <v>1430000</v>
      </c>
      <c r="M1180" s="269"/>
    </row>
    <row r="1181" spans="1:13" x14ac:dyDescent="0.3">
      <c r="A1181" s="271">
        <v>1180</v>
      </c>
      <c r="B1181" s="264">
        <v>45875</v>
      </c>
      <c r="C1181" s="292" t="s">
        <v>2145</v>
      </c>
      <c r="E1181" s="292" t="s">
        <v>2196</v>
      </c>
      <c r="F1181" s="269">
        <v>2820403</v>
      </c>
      <c r="G1181" s="265">
        <v>1600000</v>
      </c>
      <c r="H1181" s="269">
        <v>1</v>
      </c>
      <c r="K1181" s="265">
        <v>1600000</v>
      </c>
      <c r="M1181" s="269"/>
    </row>
    <row r="1182" spans="1:13" x14ac:dyDescent="0.3">
      <c r="A1182" s="271">
        <v>1181</v>
      </c>
      <c r="B1182" s="264">
        <v>45875</v>
      </c>
      <c r="C1182" s="292" t="s">
        <v>2145</v>
      </c>
      <c r="E1182" s="292" t="s">
        <v>2904</v>
      </c>
      <c r="G1182" s="265">
        <v>30000</v>
      </c>
      <c r="H1182" s="269">
        <v>1</v>
      </c>
      <c r="K1182" s="265">
        <v>30000</v>
      </c>
      <c r="M1182" s="269"/>
    </row>
    <row r="1183" spans="1:13" x14ac:dyDescent="0.3">
      <c r="A1183" s="271">
        <v>1182</v>
      </c>
      <c r="B1183" s="264">
        <v>45875</v>
      </c>
      <c r="C1183" s="292" t="s">
        <v>1577</v>
      </c>
      <c r="E1183" s="292" t="s">
        <v>3139</v>
      </c>
      <c r="G1183" s="265">
        <v>250000</v>
      </c>
      <c r="H1183" s="269">
        <v>1</v>
      </c>
      <c r="J1183" s="266">
        <v>25000</v>
      </c>
      <c r="K1183" s="265">
        <v>275000</v>
      </c>
      <c r="M1183" s="269"/>
    </row>
    <row r="1184" spans="1:13" x14ac:dyDescent="0.3">
      <c r="A1184" s="271">
        <v>1183</v>
      </c>
      <c r="B1184" s="264">
        <v>45875</v>
      </c>
      <c r="C1184" s="292" t="s">
        <v>1747</v>
      </c>
      <c r="E1184" s="292" t="s">
        <v>2196</v>
      </c>
      <c r="F1184" s="269">
        <v>2820403</v>
      </c>
      <c r="G1184" s="265">
        <v>1500000</v>
      </c>
      <c r="H1184" s="269">
        <v>1</v>
      </c>
      <c r="J1184" s="266">
        <v>150000</v>
      </c>
      <c r="K1184" s="265">
        <v>1650000</v>
      </c>
      <c r="M1184" s="269"/>
    </row>
    <row r="1185" spans="1:13" x14ac:dyDescent="0.3">
      <c r="A1185" s="271">
        <v>1184</v>
      </c>
      <c r="B1185" s="264">
        <v>45875</v>
      </c>
      <c r="C1185" s="292" t="s">
        <v>1747</v>
      </c>
      <c r="E1185" s="292" t="s">
        <v>1519</v>
      </c>
      <c r="G1185" s="265">
        <v>20000</v>
      </c>
      <c r="H1185" s="269">
        <v>1</v>
      </c>
      <c r="J1185" s="266">
        <v>2000</v>
      </c>
      <c r="K1185" s="265">
        <v>22000</v>
      </c>
      <c r="M1185" s="269"/>
    </row>
    <row r="1186" spans="1:13" x14ac:dyDescent="0.3">
      <c r="A1186" s="271">
        <v>1185</v>
      </c>
      <c r="B1186" s="264">
        <v>45875</v>
      </c>
      <c r="C1186" s="292" t="s">
        <v>3120</v>
      </c>
      <c r="E1186" s="292" t="s">
        <v>1125</v>
      </c>
      <c r="L1186" s="265">
        <v>-1705000</v>
      </c>
      <c r="M1186" s="269"/>
    </row>
    <row r="1187" spans="1:13" x14ac:dyDescent="0.3">
      <c r="A1187" s="271">
        <v>1186</v>
      </c>
      <c r="B1187" s="264">
        <v>45876</v>
      </c>
      <c r="C1187" s="292" t="s">
        <v>2145</v>
      </c>
      <c r="E1187" s="292" t="s">
        <v>1125</v>
      </c>
      <c r="L1187" s="265">
        <v>-1759000</v>
      </c>
      <c r="M1187" s="269"/>
    </row>
    <row r="1188" spans="1:13" x14ac:dyDescent="0.3">
      <c r="A1188" s="271">
        <v>1187</v>
      </c>
      <c r="B1188" s="264">
        <v>45876</v>
      </c>
      <c r="C1188" s="292" t="s">
        <v>3136</v>
      </c>
      <c r="E1188" s="292" t="s">
        <v>1125</v>
      </c>
      <c r="L1188" s="265">
        <v>-1430000</v>
      </c>
      <c r="M1188" s="269"/>
    </row>
    <row r="1189" spans="1:13" x14ac:dyDescent="0.3">
      <c r="A1189" s="271">
        <v>1188</v>
      </c>
      <c r="B1189" s="264">
        <v>45876</v>
      </c>
      <c r="C1189" s="292" t="s">
        <v>1444</v>
      </c>
      <c r="E1189" s="292" t="s">
        <v>2805</v>
      </c>
      <c r="F1189" s="269" t="s">
        <v>2804</v>
      </c>
      <c r="G1189" s="265">
        <v>250000</v>
      </c>
      <c r="H1189" s="269">
        <v>1</v>
      </c>
      <c r="K1189" s="265">
        <v>250000</v>
      </c>
      <c r="M1189" s="269" t="s">
        <v>3144</v>
      </c>
    </row>
    <row r="1190" spans="1:13" x14ac:dyDescent="0.3">
      <c r="A1190" s="271">
        <v>1189</v>
      </c>
      <c r="B1190" s="264">
        <v>45876</v>
      </c>
      <c r="C1190" s="292" t="s">
        <v>1444</v>
      </c>
      <c r="E1190" s="292" t="s">
        <v>2183</v>
      </c>
      <c r="F1190" s="269" t="s">
        <v>1720</v>
      </c>
      <c r="G1190" s="265">
        <v>50000</v>
      </c>
      <c r="H1190" s="269">
        <v>1</v>
      </c>
      <c r="K1190" s="265">
        <v>50000</v>
      </c>
      <c r="M1190" s="269"/>
    </row>
    <row r="1191" spans="1:13" x14ac:dyDescent="0.3">
      <c r="A1191" s="271">
        <v>1190</v>
      </c>
      <c r="B1191" s="264">
        <v>45876</v>
      </c>
      <c r="C1191" s="292" t="s">
        <v>2783</v>
      </c>
      <c r="E1191" s="292" t="s">
        <v>2180</v>
      </c>
      <c r="F1191" s="269" t="s">
        <v>1201</v>
      </c>
      <c r="G1191" s="265">
        <v>1500000</v>
      </c>
      <c r="H1191" s="269">
        <v>1</v>
      </c>
      <c r="K1191" s="265">
        <v>1500000</v>
      </c>
      <c r="M1191" s="269"/>
    </row>
    <row r="1192" spans="1:13" x14ac:dyDescent="0.3">
      <c r="A1192" s="271">
        <v>1191</v>
      </c>
      <c r="B1192" s="264">
        <v>45876</v>
      </c>
      <c r="C1192" s="292" t="s">
        <v>2783</v>
      </c>
      <c r="E1192" s="292" t="s">
        <v>2181</v>
      </c>
      <c r="F1192" s="269" t="s">
        <v>1803</v>
      </c>
      <c r="G1192" s="265">
        <v>50000</v>
      </c>
      <c r="H1192" s="269">
        <v>1</v>
      </c>
      <c r="K1192" s="265">
        <v>50000</v>
      </c>
      <c r="M1192" s="269"/>
    </row>
    <row r="1193" spans="1:13" x14ac:dyDescent="0.3">
      <c r="A1193" s="271">
        <v>1192</v>
      </c>
      <c r="B1193" s="264">
        <v>45876</v>
      </c>
      <c r="C1193" s="292" t="s">
        <v>2410</v>
      </c>
      <c r="E1193" s="292" t="s">
        <v>2418</v>
      </c>
      <c r="F1193" s="269" t="s">
        <v>2748</v>
      </c>
      <c r="G1193" s="265">
        <v>1100000</v>
      </c>
      <c r="H1193" s="269">
        <v>1</v>
      </c>
      <c r="J1193" s="266">
        <v>110000</v>
      </c>
      <c r="K1193" s="265">
        <v>1210000</v>
      </c>
      <c r="M1193" s="269"/>
    </row>
    <row r="1194" spans="1:13" x14ac:dyDescent="0.3">
      <c r="A1194" s="271">
        <v>1193</v>
      </c>
      <c r="B1194" s="264">
        <v>45876</v>
      </c>
      <c r="C1194" s="292" t="s">
        <v>2410</v>
      </c>
      <c r="E1194" s="292" t="s">
        <v>3148</v>
      </c>
      <c r="F1194" s="269" t="s">
        <v>2748</v>
      </c>
      <c r="G1194" s="265">
        <v>200000</v>
      </c>
      <c r="H1194" s="269">
        <v>1</v>
      </c>
      <c r="J1194" s="266">
        <v>20000</v>
      </c>
      <c r="K1194" s="265">
        <v>220000</v>
      </c>
      <c r="M1194" s="269"/>
    </row>
    <row r="1195" spans="1:13" x14ac:dyDescent="0.3">
      <c r="A1195" s="271">
        <v>1194</v>
      </c>
      <c r="B1195" s="264">
        <v>45876</v>
      </c>
      <c r="C1195" s="292" t="s">
        <v>1494</v>
      </c>
      <c r="E1195" s="292" t="s">
        <v>1125</v>
      </c>
      <c r="L1195" s="265">
        <v>-1200000</v>
      </c>
      <c r="M1195" s="269"/>
    </row>
    <row r="1196" spans="1:13" x14ac:dyDescent="0.3">
      <c r="A1196" s="271">
        <v>1195</v>
      </c>
      <c r="B1196" s="264">
        <v>45877</v>
      </c>
      <c r="C1196" s="292" t="s">
        <v>1479</v>
      </c>
      <c r="E1196" s="292" t="s">
        <v>1125</v>
      </c>
      <c r="L1196" s="265">
        <v>-4338000</v>
      </c>
      <c r="M1196" s="269"/>
    </row>
    <row r="1197" spans="1:13" x14ac:dyDescent="0.3">
      <c r="A1197" s="271">
        <v>1196</v>
      </c>
      <c r="B1197" s="264">
        <v>45877</v>
      </c>
      <c r="C1197" s="292" t="s">
        <v>1722</v>
      </c>
      <c r="E1197" s="292" t="s">
        <v>1125</v>
      </c>
      <c r="L1197" s="265">
        <v>-4045000</v>
      </c>
      <c r="M1197" s="269"/>
    </row>
    <row r="1198" spans="1:13" x14ac:dyDescent="0.3">
      <c r="A1198" s="271">
        <v>1197</v>
      </c>
      <c r="B1198" s="264">
        <v>45877</v>
      </c>
      <c r="C1198" s="292" t="s">
        <v>2783</v>
      </c>
      <c r="E1198" s="292" t="s">
        <v>1125</v>
      </c>
      <c r="L1198" s="265">
        <v>-1550000</v>
      </c>
      <c r="M1198" s="269"/>
    </row>
    <row r="1199" spans="1:13" x14ac:dyDescent="0.3">
      <c r="A1199" s="271">
        <v>1198</v>
      </c>
      <c r="B1199" s="264">
        <v>45877</v>
      </c>
      <c r="C1199" s="292" t="s">
        <v>2410</v>
      </c>
      <c r="E1199" s="292" t="s">
        <v>1125</v>
      </c>
      <c r="L1199" s="265">
        <v>-1430000</v>
      </c>
      <c r="M1199" s="269"/>
    </row>
    <row r="1200" spans="1:13" x14ac:dyDescent="0.3">
      <c r="A1200" s="271">
        <v>1199</v>
      </c>
      <c r="B1200" s="264">
        <v>45877</v>
      </c>
      <c r="C1200" s="292" t="s">
        <v>3149</v>
      </c>
      <c r="E1200" s="292" t="s">
        <v>1496</v>
      </c>
      <c r="F1200" s="269" t="s">
        <v>2679</v>
      </c>
      <c r="G1200" s="265">
        <v>350000</v>
      </c>
      <c r="H1200" s="269">
        <v>1</v>
      </c>
      <c r="K1200" s="265">
        <v>350000</v>
      </c>
      <c r="M1200" s="269"/>
    </row>
    <row r="1201" spans="1:13" x14ac:dyDescent="0.3">
      <c r="A1201" s="271">
        <v>1200</v>
      </c>
      <c r="B1201" s="264">
        <v>45877</v>
      </c>
      <c r="C1201" s="292" t="s">
        <v>3149</v>
      </c>
      <c r="E1201" s="292" t="s">
        <v>1519</v>
      </c>
      <c r="G1201" s="265">
        <v>20000</v>
      </c>
      <c r="H1201" s="269">
        <v>1</v>
      </c>
      <c r="K1201" s="265">
        <v>20000</v>
      </c>
      <c r="M1201" s="269"/>
    </row>
    <row r="1202" spans="1:13" x14ac:dyDescent="0.3">
      <c r="A1202" s="271">
        <v>1201</v>
      </c>
      <c r="B1202" s="264">
        <v>45877</v>
      </c>
      <c r="C1202" s="292" t="s">
        <v>3149</v>
      </c>
      <c r="E1202" s="292" t="s">
        <v>1125</v>
      </c>
      <c r="L1202" s="265">
        <v>-370000</v>
      </c>
      <c r="M1202" s="269"/>
    </row>
    <row r="1203" spans="1:13" x14ac:dyDescent="0.3">
      <c r="A1203" s="271">
        <v>1202</v>
      </c>
      <c r="B1203" s="264">
        <v>45877</v>
      </c>
      <c r="C1203" s="292" t="s">
        <v>3151</v>
      </c>
      <c r="E1203" s="292" t="s">
        <v>2299</v>
      </c>
      <c r="G1203" s="265">
        <v>650000</v>
      </c>
      <c r="H1203" s="269">
        <v>1</v>
      </c>
      <c r="K1203" s="265">
        <v>650000</v>
      </c>
      <c r="M1203" s="269"/>
    </row>
    <row r="1204" spans="1:13" x14ac:dyDescent="0.3">
      <c r="A1204" s="271">
        <v>1203</v>
      </c>
      <c r="B1204" s="264">
        <v>45877</v>
      </c>
      <c r="C1204" s="292" t="s">
        <v>3151</v>
      </c>
      <c r="E1204" s="292" t="s">
        <v>1125</v>
      </c>
      <c r="L1204" s="265">
        <v>-650000</v>
      </c>
      <c r="M1204" s="269"/>
    </row>
    <row r="1205" spans="1:13" x14ac:dyDescent="0.3">
      <c r="A1205" s="271">
        <v>1204</v>
      </c>
      <c r="B1205" s="264">
        <v>45878</v>
      </c>
      <c r="C1205" s="292" t="s">
        <v>1018</v>
      </c>
      <c r="E1205" s="292" t="s">
        <v>2833</v>
      </c>
      <c r="F1205" s="269">
        <v>1087298388</v>
      </c>
      <c r="G1205" s="265">
        <v>550000</v>
      </c>
      <c r="H1205" s="269">
        <v>1</v>
      </c>
      <c r="K1205" s="265">
        <v>550000</v>
      </c>
      <c r="M1205" s="269"/>
    </row>
    <row r="1206" spans="1:13" x14ac:dyDescent="0.3">
      <c r="A1206" s="271">
        <v>1205</v>
      </c>
      <c r="B1206" s="264">
        <v>45878</v>
      </c>
      <c r="C1206" s="292" t="s">
        <v>1018</v>
      </c>
      <c r="E1206" s="292" t="s">
        <v>3159</v>
      </c>
      <c r="F1206" s="269">
        <v>1087327175</v>
      </c>
      <c r="G1206" s="265">
        <v>70000</v>
      </c>
      <c r="H1206" s="269">
        <v>1</v>
      </c>
      <c r="K1206" s="265">
        <v>70000</v>
      </c>
      <c r="M1206" s="269"/>
    </row>
    <row r="1207" spans="1:13" x14ac:dyDescent="0.3">
      <c r="A1207" s="271">
        <v>1206</v>
      </c>
      <c r="B1207" s="264">
        <v>45878</v>
      </c>
      <c r="C1207" s="292" t="s">
        <v>1018</v>
      </c>
      <c r="E1207" s="292" t="s">
        <v>1266</v>
      </c>
      <c r="F1207" s="269" t="s">
        <v>1265</v>
      </c>
      <c r="G1207" s="265">
        <v>50000</v>
      </c>
      <c r="H1207" s="269">
        <v>1</v>
      </c>
      <c r="K1207" s="265">
        <v>50000</v>
      </c>
      <c r="M1207" s="269"/>
    </row>
    <row r="1208" spans="1:13" x14ac:dyDescent="0.3">
      <c r="A1208" s="271">
        <v>1207</v>
      </c>
      <c r="B1208" s="264">
        <v>45878</v>
      </c>
      <c r="C1208" s="292" t="s">
        <v>3161</v>
      </c>
      <c r="E1208" s="292" t="s">
        <v>2180</v>
      </c>
      <c r="F1208" s="269" t="s">
        <v>1201</v>
      </c>
      <c r="G1208" s="265">
        <v>1500000</v>
      </c>
      <c r="H1208" s="269">
        <v>1</v>
      </c>
      <c r="K1208" s="265">
        <v>1500000</v>
      </c>
      <c r="M1208" s="269"/>
    </row>
    <row r="1209" spans="1:13" x14ac:dyDescent="0.3">
      <c r="A1209" s="271">
        <v>1208</v>
      </c>
      <c r="B1209" s="264">
        <v>45878</v>
      </c>
      <c r="C1209" s="292" t="s">
        <v>3161</v>
      </c>
      <c r="E1209" s="292" t="s">
        <v>2181</v>
      </c>
      <c r="F1209" s="269" t="s">
        <v>1803</v>
      </c>
      <c r="G1209" s="265">
        <v>50000</v>
      </c>
      <c r="H1209" s="269">
        <v>1</v>
      </c>
      <c r="K1209" s="265">
        <v>50000</v>
      </c>
      <c r="M1209" s="269"/>
    </row>
    <row r="1210" spans="1:13" x14ac:dyDescent="0.3">
      <c r="A1210" s="271">
        <v>1209</v>
      </c>
      <c r="B1210" s="264">
        <v>45880</v>
      </c>
      <c r="C1210" s="292" t="s">
        <v>1467</v>
      </c>
      <c r="E1210" s="292" t="s">
        <v>1125</v>
      </c>
      <c r="L1210" s="265">
        <v>-4345000</v>
      </c>
      <c r="M1210" s="269"/>
    </row>
    <row r="1211" spans="1:13" x14ac:dyDescent="0.3">
      <c r="A1211" s="271">
        <v>1210</v>
      </c>
      <c r="B1211" s="264">
        <v>45880</v>
      </c>
      <c r="C1211" s="292" t="s">
        <v>2319</v>
      </c>
      <c r="E1211" s="292" t="s">
        <v>1205</v>
      </c>
      <c r="F1211" s="269" t="s">
        <v>1206</v>
      </c>
      <c r="G1211" s="265">
        <v>1200000</v>
      </c>
      <c r="H1211" s="269">
        <v>1</v>
      </c>
      <c r="J1211" s="266">
        <v>120000</v>
      </c>
      <c r="K1211" s="265">
        <v>1320000</v>
      </c>
      <c r="M1211" s="269"/>
    </row>
    <row r="1212" spans="1:13" x14ac:dyDescent="0.3">
      <c r="A1212" s="271">
        <v>1211</v>
      </c>
      <c r="B1212" s="264">
        <v>45880</v>
      </c>
      <c r="C1212" s="292" t="s">
        <v>1747</v>
      </c>
      <c r="E1212" s="292" t="s">
        <v>2188</v>
      </c>
      <c r="F1212" s="269" t="s">
        <v>1259</v>
      </c>
      <c r="G1212" s="265">
        <v>130000</v>
      </c>
      <c r="H1212" s="269">
        <v>1</v>
      </c>
      <c r="J1212" s="266">
        <v>13000</v>
      </c>
      <c r="K1212" s="265">
        <v>143000</v>
      </c>
      <c r="M1212" s="269"/>
    </row>
    <row r="1213" spans="1:13" x14ac:dyDescent="0.3">
      <c r="A1213" s="271">
        <v>1212</v>
      </c>
      <c r="B1213" s="264">
        <v>45880</v>
      </c>
      <c r="C1213" s="292" t="s">
        <v>1747</v>
      </c>
      <c r="E1213" s="292" t="s">
        <v>2192</v>
      </c>
      <c r="F1213" s="269" t="s">
        <v>1822</v>
      </c>
      <c r="G1213" s="265">
        <v>10000</v>
      </c>
      <c r="H1213" s="269">
        <v>1</v>
      </c>
      <c r="J1213" s="266">
        <v>1000</v>
      </c>
      <c r="K1213" s="265">
        <v>11000</v>
      </c>
      <c r="M1213" s="269"/>
    </row>
    <row r="1214" spans="1:13" x14ac:dyDescent="0.3">
      <c r="A1214" s="271">
        <v>1213</v>
      </c>
      <c r="B1214" s="264">
        <v>45880</v>
      </c>
      <c r="C1214" s="292" t="s">
        <v>1580</v>
      </c>
      <c r="E1214" s="292" t="s">
        <v>1205</v>
      </c>
      <c r="F1214" s="269" t="s">
        <v>1563</v>
      </c>
      <c r="G1214" s="265">
        <v>1200000</v>
      </c>
      <c r="H1214" s="269">
        <v>1</v>
      </c>
      <c r="J1214" s="266">
        <v>120000</v>
      </c>
      <c r="K1214" s="265">
        <v>1320000</v>
      </c>
      <c r="M1214" s="269"/>
    </row>
    <row r="1215" spans="1:13" x14ac:dyDescent="0.3">
      <c r="A1215" s="271">
        <v>1214</v>
      </c>
      <c r="B1215" s="264">
        <v>45880</v>
      </c>
      <c r="C1215" s="292" t="s">
        <v>1494</v>
      </c>
      <c r="E1215" s="292" t="s">
        <v>2384</v>
      </c>
      <c r="F1215" s="269" t="s">
        <v>3166</v>
      </c>
      <c r="G1215" s="265">
        <v>1550000</v>
      </c>
      <c r="H1215" s="269">
        <v>1</v>
      </c>
      <c r="K1215" s="265">
        <v>1550000</v>
      </c>
      <c r="M1215" s="269"/>
    </row>
    <row r="1216" spans="1:13" x14ac:dyDescent="0.3">
      <c r="A1216" s="271">
        <v>1215</v>
      </c>
      <c r="B1216" s="264">
        <v>45880</v>
      </c>
      <c r="C1216" s="292" t="s">
        <v>1399</v>
      </c>
      <c r="E1216" s="292" t="s">
        <v>1203</v>
      </c>
      <c r="F1216" s="269" t="s">
        <v>1752</v>
      </c>
      <c r="G1216" s="265">
        <v>1200000</v>
      </c>
      <c r="H1216" s="269">
        <v>1</v>
      </c>
      <c r="K1216" s="265">
        <v>1200000</v>
      </c>
      <c r="M1216" s="269"/>
    </row>
    <row r="1217" spans="1:13" x14ac:dyDescent="0.3">
      <c r="A1217" s="271">
        <v>1216</v>
      </c>
      <c r="B1217" s="264">
        <v>45880</v>
      </c>
      <c r="C1217" s="292" t="s">
        <v>1399</v>
      </c>
      <c r="E1217" s="292" t="s">
        <v>1496</v>
      </c>
      <c r="F1217" s="269" t="s">
        <v>2679</v>
      </c>
      <c r="G1217" s="265">
        <v>350000</v>
      </c>
      <c r="H1217" s="269">
        <v>1</v>
      </c>
      <c r="K1217" s="265">
        <v>350000</v>
      </c>
      <c r="M1217" s="269"/>
    </row>
    <row r="1218" spans="1:13" x14ac:dyDescent="0.3">
      <c r="A1218" s="271">
        <v>1217</v>
      </c>
      <c r="B1218" s="264">
        <v>45880</v>
      </c>
      <c r="C1218" s="292" t="s">
        <v>1399</v>
      </c>
      <c r="E1218" s="292" t="s">
        <v>2840</v>
      </c>
      <c r="F1218" s="269" t="s">
        <v>2750</v>
      </c>
      <c r="G1218" s="265">
        <v>129000</v>
      </c>
      <c r="H1218" s="269">
        <v>1</v>
      </c>
      <c r="K1218" s="265">
        <v>129000</v>
      </c>
      <c r="M1218" s="269"/>
    </row>
    <row r="1219" spans="1:13" x14ac:dyDescent="0.3">
      <c r="A1219" s="271">
        <v>1218</v>
      </c>
      <c r="B1219" s="264">
        <v>45880</v>
      </c>
      <c r="C1219" s="292" t="s">
        <v>1894</v>
      </c>
      <c r="E1219" s="292" t="s">
        <v>1203</v>
      </c>
      <c r="F1219" s="269" t="s">
        <v>1752</v>
      </c>
      <c r="G1219" s="265">
        <v>1300000</v>
      </c>
      <c r="H1219" s="269">
        <v>1</v>
      </c>
      <c r="K1219" s="265">
        <v>1300000</v>
      </c>
      <c r="M1219" s="269"/>
    </row>
    <row r="1220" spans="1:13" x14ac:dyDescent="0.3">
      <c r="A1220" s="271">
        <v>1219</v>
      </c>
      <c r="B1220" s="264">
        <v>45880</v>
      </c>
      <c r="C1220" s="292" t="s">
        <v>2916</v>
      </c>
      <c r="E1220" s="292" t="s">
        <v>2180</v>
      </c>
      <c r="F1220" s="269" t="s">
        <v>1201</v>
      </c>
      <c r="G1220" s="265">
        <v>1500000</v>
      </c>
      <c r="H1220" s="269">
        <v>1</v>
      </c>
      <c r="K1220" s="265">
        <v>1500000</v>
      </c>
      <c r="M1220" s="269"/>
    </row>
    <row r="1221" spans="1:13" x14ac:dyDescent="0.3">
      <c r="A1221" s="271">
        <v>1220</v>
      </c>
      <c r="B1221" s="264">
        <v>45880</v>
      </c>
      <c r="C1221" s="292" t="s">
        <v>2916</v>
      </c>
      <c r="E1221" s="292" t="s">
        <v>1125</v>
      </c>
      <c r="L1221" s="265">
        <v>-1500000</v>
      </c>
      <c r="M1221" s="269"/>
    </row>
    <row r="1222" spans="1:13" x14ac:dyDescent="0.3">
      <c r="A1222" s="271">
        <v>1221</v>
      </c>
      <c r="B1222" s="264">
        <v>45881</v>
      </c>
      <c r="C1222" s="292" t="s">
        <v>1467</v>
      </c>
      <c r="E1222" s="292" t="s">
        <v>2027</v>
      </c>
      <c r="F1222" s="269" t="s">
        <v>1216</v>
      </c>
      <c r="G1222" s="265">
        <v>1500000</v>
      </c>
      <c r="H1222" s="269">
        <v>1</v>
      </c>
      <c r="J1222" s="266">
        <v>150000</v>
      </c>
      <c r="K1222" s="265">
        <v>1650000</v>
      </c>
      <c r="M1222" s="269"/>
    </row>
    <row r="1223" spans="1:13" x14ac:dyDescent="0.3">
      <c r="A1223" s="271">
        <v>1222</v>
      </c>
      <c r="B1223" s="264">
        <v>45881</v>
      </c>
      <c r="C1223" s="292" t="s">
        <v>1473</v>
      </c>
      <c r="E1223" s="292" t="s">
        <v>2187</v>
      </c>
      <c r="F1223" s="269" t="s">
        <v>1207</v>
      </c>
      <c r="G1223" s="265">
        <v>500000</v>
      </c>
      <c r="H1223" s="269">
        <v>2</v>
      </c>
      <c r="K1223" s="265">
        <v>1000000</v>
      </c>
      <c r="M1223" s="269"/>
    </row>
    <row r="1224" spans="1:13" x14ac:dyDescent="0.3">
      <c r="A1224" s="271">
        <v>1223</v>
      </c>
      <c r="B1224" s="264">
        <v>45881</v>
      </c>
      <c r="C1224" s="292" t="s">
        <v>2319</v>
      </c>
      <c r="E1224" s="292" t="s">
        <v>2775</v>
      </c>
      <c r="F1224" s="269" t="s">
        <v>1213</v>
      </c>
      <c r="G1224" s="265">
        <v>1500000</v>
      </c>
      <c r="H1224" s="269">
        <v>1</v>
      </c>
      <c r="K1224" s="265">
        <v>1500000</v>
      </c>
      <c r="M1224" s="269" t="s">
        <v>3175</v>
      </c>
    </row>
    <row r="1225" spans="1:13" x14ac:dyDescent="0.3">
      <c r="A1225" s="271">
        <v>1224</v>
      </c>
      <c r="B1225" s="264">
        <v>45881</v>
      </c>
      <c r="C1225" s="292" t="s">
        <v>1023</v>
      </c>
      <c r="E1225" s="292" t="s">
        <v>2466</v>
      </c>
      <c r="F1225" s="269" t="s">
        <v>1212</v>
      </c>
      <c r="G1225" s="265">
        <v>1500000</v>
      </c>
      <c r="H1225" s="269">
        <v>1</v>
      </c>
      <c r="K1225" s="265">
        <v>1500000</v>
      </c>
      <c r="M1225" s="284" t="s">
        <v>3177</v>
      </c>
    </row>
    <row r="1226" spans="1:13" x14ac:dyDescent="0.3">
      <c r="A1226" s="271">
        <v>1225</v>
      </c>
      <c r="B1226" s="264">
        <v>45881</v>
      </c>
      <c r="C1226" s="292" t="s">
        <v>1671</v>
      </c>
      <c r="E1226" s="292" t="s">
        <v>1125</v>
      </c>
      <c r="L1226" s="265">
        <v>-1100000</v>
      </c>
      <c r="M1226" s="269"/>
    </row>
    <row r="1227" spans="1:13" x14ac:dyDescent="0.3">
      <c r="A1227" s="271">
        <v>1226</v>
      </c>
      <c r="B1227" s="264">
        <v>45881</v>
      </c>
      <c r="C1227" s="292" t="s">
        <v>2319</v>
      </c>
      <c r="E1227" s="292" t="s">
        <v>1125</v>
      </c>
      <c r="L1227" s="265">
        <v>-2820000</v>
      </c>
      <c r="M1227" s="269"/>
    </row>
    <row r="1228" spans="1:13" x14ac:dyDescent="0.3">
      <c r="A1228" s="271">
        <v>1227</v>
      </c>
      <c r="B1228" s="264">
        <v>45881</v>
      </c>
      <c r="C1228" s="292" t="s">
        <v>1809</v>
      </c>
      <c r="E1228" s="292" t="s">
        <v>1125</v>
      </c>
      <c r="L1228" s="265">
        <v>-350000</v>
      </c>
      <c r="M1228" s="269"/>
    </row>
    <row r="1229" spans="1:13" x14ac:dyDescent="0.3">
      <c r="A1229" s="271">
        <v>1228</v>
      </c>
      <c r="B1229" s="264">
        <v>45881</v>
      </c>
      <c r="C1229" s="292" t="s">
        <v>3161</v>
      </c>
      <c r="E1229" s="292" t="s">
        <v>1125</v>
      </c>
      <c r="L1229" s="265">
        <v>-1550000</v>
      </c>
      <c r="M1229" s="269"/>
    </row>
    <row r="1230" spans="1:13" x14ac:dyDescent="0.3">
      <c r="A1230" s="271">
        <v>1229</v>
      </c>
      <c r="B1230" s="264">
        <v>45882</v>
      </c>
      <c r="C1230" s="292" t="s">
        <v>1805</v>
      </c>
      <c r="E1230" s="292" t="s">
        <v>2187</v>
      </c>
      <c r="F1230" s="269" t="s">
        <v>1207</v>
      </c>
      <c r="G1230" s="265">
        <v>526364</v>
      </c>
      <c r="H1230" s="269">
        <v>1</v>
      </c>
      <c r="J1230" s="266">
        <v>52636</v>
      </c>
      <c r="K1230" s="265">
        <v>579000</v>
      </c>
      <c r="M1230" s="269"/>
    </row>
    <row r="1231" spans="1:13" x14ac:dyDescent="0.3">
      <c r="A1231" s="271">
        <v>1230</v>
      </c>
      <c r="B1231" s="264">
        <v>45882</v>
      </c>
      <c r="C1231" s="292" t="s">
        <v>1805</v>
      </c>
      <c r="E1231" s="292" t="s">
        <v>2188</v>
      </c>
      <c r="F1231" s="269" t="s">
        <v>1259</v>
      </c>
      <c r="G1231" s="265">
        <v>130000</v>
      </c>
      <c r="H1231" s="269">
        <v>1</v>
      </c>
      <c r="J1231" s="266">
        <v>13000</v>
      </c>
      <c r="K1231" s="265">
        <v>143000</v>
      </c>
      <c r="M1231" s="269"/>
    </row>
    <row r="1232" spans="1:13" x14ac:dyDescent="0.3">
      <c r="A1232" s="271">
        <v>1231</v>
      </c>
      <c r="B1232" s="264">
        <v>45882</v>
      </c>
      <c r="C1232" s="292" t="s">
        <v>1580</v>
      </c>
      <c r="E1232" s="292" t="s">
        <v>2187</v>
      </c>
      <c r="F1232" s="269" t="s">
        <v>1207</v>
      </c>
      <c r="G1232" s="265">
        <v>526364</v>
      </c>
      <c r="H1232" s="269">
        <v>1</v>
      </c>
      <c r="J1232" s="266">
        <v>52636</v>
      </c>
      <c r="K1232" s="265">
        <v>579000</v>
      </c>
      <c r="M1232" s="269"/>
    </row>
    <row r="1233" spans="1:13" x14ac:dyDescent="0.3">
      <c r="A1233" s="271">
        <v>1232</v>
      </c>
      <c r="B1233" s="264">
        <v>45882</v>
      </c>
      <c r="C1233" s="292" t="s">
        <v>1399</v>
      </c>
      <c r="E1233" s="292" t="s">
        <v>2418</v>
      </c>
      <c r="F1233" s="269" t="s">
        <v>2748</v>
      </c>
      <c r="G1233" s="265">
        <v>1100000</v>
      </c>
      <c r="H1233" s="269">
        <v>1</v>
      </c>
      <c r="K1233" s="265">
        <v>1100000</v>
      </c>
      <c r="M1233" s="269"/>
    </row>
    <row r="1234" spans="1:13" x14ac:dyDescent="0.3">
      <c r="A1234" s="271">
        <v>1233</v>
      </c>
      <c r="B1234" s="264">
        <v>45882</v>
      </c>
      <c r="C1234" s="292" t="s">
        <v>1399</v>
      </c>
      <c r="E1234" s="292" t="s">
        <v>2187</v>
      </c>
      <c r="F1234" s="269" t="s">
        <v>1207</v>
      </c>
      <c r="G1234" s="265">
        <v>510000</v>
      </c>
      <c r="H1234" s="269">
        <v>1</v>
      </c>
      <c r="K1234" s="265">
        <v>510000</v>
      </c>
      <c r="M1234" s="269"/>
    </row>
    <row r="1235" spans="1:13" x14ac:dyDescent="0.3">
      <c r="A1235" s="271">
        <v>1234</v>
      </c>
      <c r="B1235" s="264">
        <v>45882</v>
      </c>
      <c r="C1235" s="292" t="s">
        <v>1399</v>
      </c>
      <c r="E1235" s="292" t="s">
        <v>2192</v>
      </c>
      <c r="F1235" s="269" t="s">
        <v>1822</v>
      </c>
      <c r="G1235" s="265">
        <v>10000</v>
      </c>
      <c r="H1235" s="269">
        <v>1</v>
      </c>
      <c r="K1235" s="265">
        <v>10000</v>
      </c>
      <c r="M1235" s="269"/>
    </row>
    <row r="1236" spans="1:13" x14ac:dyDescent="0.3">
      <c r="A1236" s="271">
        <v>1235</v>
      </c>
      <c r="B1236" s="264">
        <v>45882</v>
      </c>
      <c r="C1236" s="292" t="s">
        <v>1399</v>
      </c>
      <c r="E1236" s="292" t="s">
        <v>2191</v>
      </c>
      <c r="F1236" s="269" t="s">
        <v>1795</v>
      </c>
      <c r="G1236" s="265">
        <v>30000</v>
      </c>
      <c r="H1236" s="269">
        <v>1</v>
      </c>
      <c r="K1236" s="265">
        <v>30000</v>
      </c>
      <c r="M1236" s="269"/>
    </row>
    <row r="1237" spans="1:13" x14ac:dyDescent="0.3">
      <c r="A1237" s="271">
        <v>1236</v>
      </c>
      <c r="B1237" s="264">
        <v>45882</v>
      </c>
      <c r="C1237" s="292" t="s">
        <v>1577</v>
      </c>
      <c r="E1237" s="292" t="s">
        <v>2187</v>
      </c>
      <c r="F1237" s="269" t="s">
        <v>1207</v>
      </c>
      <c r="G1237" s="265">
        <v>526364</v>
      </c>
      <c r="H1237" s="269">
        <v>1</v>
      </c>
      <c r="J1237" s="266">
        <v>52636</v>
      </c>
      <c r="K1237" s="265">
        <v>579000</v>
      </c>
      <c r="M1237" s="269"/>
    </row>
    <row r="1238" spans="1:13" x14ac:dyDescent="0.3">
      <c r="A1238" s="271">
        <v>1237</v>
      </c>
      <c r="B1238" s="264">
        <v>45882</v>
      </c>
      <c r="C1238" s="292" t="s">
        <v>1577</v>
      </c>
      <c r="E1238" s="292" t="s">
        <v>2190</v>
      </c>
      <c r="F1238" s="269">
        <v>50229</v>
      </c>
      <c r="G1238" s="265">
        <v>72727</v>
      </c>
      <c r="H1238" s="269">
        <v>1</v>
      </c>
      <c r="J1238" s="266">
        <v>7273</v>
      </c>
      <c r="K1238" s="265">
        <v>80000</v>
      </c>
      <c r="M1238" s="269"/>
    </row>
    <row r="1239" spans="1:13" x14ac:dyDescent="0.3">
      <c r="A1239" s="271">
        <v>1238</v>
      </c>
      <c r="B1239" s="264">
        <v>45882</v>
      </c>
      <c r="C1239" s="292" t="s">
        <v>1577</v>
      </c>
      <c r="E1239" s="292" t="s">
        <v>2191</v>
      </c>
      <c r="F1239" s="269" t="s">
        <v>1795</v>
      </c>
      <c r="G1239" s="265">
        <v>32000</v>
      </c>
      <c r="H1239" s="269">
        <v>1</v>
      </c>
      <c r="J1239" s="266">
        <v>3200</v>
      </c>
      <c r="K1239" s="265">
        <v>35200</v>
      </c>
      <c r="M1239" s="269"/>
    </row>
    <row r="1240" spans="1:13" x14ac:dyDescent="0.3">
      <c r="A1240" s="271">
        <v>1239</v>
      </c>
      <c r="B1240" s="264">
        <v>45882</v>
      </c>
      <c r="C1240" s="292" t="s">
        <v>1577</v>
      </c>
      <c r="E1240" s="292" t="s">
        <v>2192</v>
      </c>
      <c r="F1240" s="269" t="s">
        <v>1822</v>
      </c>
      <c r="G1240" s="265">
        <v>10000</v>
      </c>
      <c r="H1240" s="269">
        <v>1</v>
      </c>
      <c r="J1240" s="266">
        <v>1000</v>
      </c>
      <c r="K1240" s="265">
        <v>11000</v>
      </c>
      <c r="M1240" s="269"/>
    </row>
    <row r="1241" spans="1:13" x14ac:dyDescent="0.3">
      <c r="A1241" s="271">
        <v>1240</v>
      </c>
      <c r="B1241" s="264">
        <v>45882</v>
      </c>
      <c r="C1241" s="292" t="s">
        <v>1577</v>
      </c>
      <c r="E1241" s="292" t="s">
        <v>2194</v>
      </c>
      <c r="G1241" s="265">
        <v>600000</v>
      </c>
      <c r="H1241" s="269">
        <v>1</v>
      </c>
      <c r="J1241" s="266">
        <v>60000</v>
      </c>
      <c r="K1241" s="265">
        <v>660000</v>
      </c>
      <c r="M1241" s="269"/>
    </row>
    <row r="1242" spans="1:13" x14ac:dyDescent="0.3">
      <c r="A1242" s="271">
        <v>1241</v>
      </c>
      <c r="B1242" s="264">
        <v>45882</v>
      </c>
      <c r="C1242" s="292" t="s">
        <v>1018</v>
      </c>
      <c r="E1242" s="292" t="s">
        <v>2188</v>
      </c>
      <c r="F1242" s="269" t="s">
        <v>1259</v>
      </c>
      <c r="G1242" s="265">
        <v>130000</v>
      </c>
      <c r="H1242" s="269">
        <v>1</v>
      </c>
      <c r="K1242" s="265">
        <v>130000</v>
      </c>
      <c r="M1242" s="269"/>
    </row>
    <row r="1243" spans="1:13" x14ac:dyDescent="0.3">
      <c r="A1243" s="271">
        <v>1242</v>
      </c>
      <c r="B1243" s="264">
        <v>45882</v>
      </c>
      <c r="C1243" s="292" t="s">
        <v>1018</v>
      </c>
      <c r="E1243" s="292" t="s">
        <v>2190</v>
      </c>
      <c r="F1243" s="269">
        <v>50229</v>
      </c>
      <c r="G1243" s="265">
        <v>80000</v>
      </c>
      <c r="H1243" s="269">
        <v>1</v>
      </c>
      <c r="K1243" s="265">
        <v>80000</v>
      </c>
      <c r="M1243" s="269"/>
    </row>
    <row r="1244" spans="1:13" x14ac:dyDescent="0.3">
      <c r="A1244" s="271">
        <v>1243</v>
      </c>
      <c r="B1244" s="264">
        <v>45882</v>
      </c>
      <c r="C1244" s="292" t="s">
        <v>1018</v>
      </c>
      <c r="E1244" s="292" t="s">
        <v>2192</v>
      </c>
      <c r="F1244" s="269" t="s">
        <v>1822</v>
      </c>
      <c r="G1244" s="265">
        <v>10000</v>
      </c>
      <c r="H1244" s="269">
        <v>1</v>
      </c>
      <c r="K1244" s="265">
        <v>10000</v>
      </c>
      <c r="M1244" s="269"/>
    </row>
    <row r="1245" spans="1:13" x14ac:dyDescent="0.3">
      <c r="A1245" s="271">
        <v>1244</v>
      </c>
      <c r="B1245" s="264">
        <v>45882</v>
      </c>
      <c r="C1245" s="292" t="s">
        <v>1018</v>
      </c>
      <c r="E1245" s="292" t="s">
        <v>2191</v>
      </c>
      <c r="F1245" s="269" t="s">
        <v>1795</v>
      </c>
      <c r="G1245" s="265">
        <v>35000</v>
      </c>
      <c r="H1245" s="269">
        <v>1</v>
      </c>
      <c r="K1245" s="265">
        <v>35000</v>
      </c>
      <c r="M1245" s="269"/>
    </row>
    <row r="1246" spans="1:13" x14ac:dyDescent="0.3">
      <c r="A1246" s="271">
        <v>1245</v>
      </c>
      <c r="B1246" s="264">
        <v>45882</v>
      </c>
      <c r="C1246" s="292" t="s">
        <v>3186</v>
      </c>
      <c r="E1246" s="292" t="s">
        <v>1203</v>
      </c>
      <c r="F1246" s="269" t="s">
        <v>1752</v>
      </c>
      <c r="G1246" s="265">
        <v>1200000</v>
      </c>
      <c r="H1246" s="269">
        <v>1</v>
      </c>
      <c r="K1246" s="265">
        <v>1200000</v>
      </c>
      <c r="M1246" s="269"/>
    </row>
    <row r="1247" spans="1:13" x14ac:dyDescent="0.3">
      <c r="A1247" s="271">
        <v>1246</v>
      </c>
      <c r="B1247" s="264">
        <v>45882</v>
      </c>
      <c r="C1247" s="292" t="s">
        <v>3186</v>
      </c>
      <c r="E1247" s="292" t="s">
        <v>1496</v>
      </c>
      <c r="F1247" s="269" t="s">
        <v>2679</v>
      </c>
      <c r="G1247" s="265">
        <v>350000</v>
      </c>
      <c r="H1247" s="269">
        <v>1</v>
      </c>
      <c r="K1247" s="265">
        <v>350000</v>
      </c>
      <c r="M1247" s="269"/>
    </row>
    <row r="1248" spans="1:13" x14ac:dyDescent="0.3">
      <c r="A1248" s="271">
        <v>1247</v>
      </c>
      <c r="B1248" s="264">
        <v>45882</v>
      </c>
      <c r="C1248" s="292" t="s">
        <v>3183</v>
      </c>
      <c r="E1248" s="292" t="s">
        <v>3191</v>
      </c>
      <c r="G1248" s="265">
        <v>100000</v>
      </c>
      <c r="H1248" s="269">
        <v>1</v>
      </c>
      <c r="K1248" s="265">
        <v>100000</v>
      </c>
      <c r="M1248" s="269"/>
    </row>
    <row r="1249" spans="1:13" x14ac:dyDescent="0.3">
      <c r="A1249" s="271">
        <v>1248</v>
      </c>
      <c r="B1249" s="264">
        <v>45882</v>
      </c>
      <c r="C1249" s="292" t="s">
        <v>3186</v>
      </c>
      <c r="E1249" s="292" t="s">
        <v>1125</v>
      </c>
      <c r="L1249" s="265">
        <v>-1550000</v>
      </c>
      <c r="M1249" s="269"/>
    </row>
    <row r="1250" spans="1:13" x14ac:dyDescent="0.3">
      <c r="A1250" s="271">
        <v>1249</v>
      </c>
      <c r="B1250" s="264">
        <v>45882</v>
      </c>
      <c r="C1250" s="292" t="s">
        <v>3183</v>
      </c>
      <c r="E1250" s="292" t="s">
        <v>1125</v>
      </c>
      <c r="L1250" s="265">
        <v>-100000</v>
      </c>
      <c r="M1250" s="269"/>
    </row>
    <row r="1251" spans="1:13" x14ac:dyDescent="0.3">
      <c r="A1251" s="271">
        <v>1250</v>
      </c>
      <c r="B1251" s="264">
        <v>45881</v>
      </c>
      <c r="C1251" s="292" t="s">
        <v>1290</v>
      </c>
      <c r="E1251" s="292" t="s">
        <v>1646</v>
      </c>
      <c r="F1251" s="269" t="s">
        <v>2348</v>
      </c>
      <c r="G1251" s="265">
        <v>1500000</v>
      </c>
      <c r="H1251" s="269">
        <v>-1</v>
      </c>
      <c r="J1251" s="265">
        <v>-150000</v>
      </c>
      <c r="K1251" s="265">
        <v>-1650000</v>
      </c>
      <c r="M1251" s="269" t="s">
        <v>3207</v>
      </c>
    </row>
    <row r="1252" spans="1:13" x14ac:dyDescent="0.3">
      <c r="A1252" s="271">
        <v>1251</v>
      </c>
      <c r="B1252" s="264">
        <v>45883</v>
      </c>
      <c r="C1252" s="292" t="s">
        <v>1494</v>
      </c>
      <c r="E1252" s="292" t="s">
        <v>1125</v>
      </c>
      <c r="L1252" s="265">
        <v>-1550000</v>
      </c>
      <c r="M1252" s="269"/>
    </row>
    <row r="1253" spans="1:13" x14ac:dyDescent="0.3">
      <c r="A1253" s="271">
        <v>1252</v>
      </c>
      <c r="B1253" s="264">
        <v>45883</v>
      </c>
      <c r="C1253" s="292" t="s">
        <v>1479</v>
      </c>
      <c r="E1253" s="292" t="s">
        <v>2187</v>
      </c>
      <c r="F1253" s="269" t="s">
        <v>1207</v>
      </c>
      <c r="G1253" s="265">
        <v>550000</v>
      </c>
      <c r="H1253" s="269">
        <v>1</v>
      </c>
      <c r="K1253" s="265">
        <v>550000</v>
      </c>
      <c r="M1253" s="269"/>
    </row>
    <row r="1254" spans="1:13" x14ac:dyDescent="0.3">
      <c r="A1254" s="271">
        <v>1253</v>
      </c>
      <c r="B1254" s="264">
        <v>45883</v>
      </c>
      <c r="C1254" s="292" t="s">
        <v>1479</v>
      </c>
      <c r="E1254" s="292" t="s">
        <v>2188</v>
      </c>
      <c r="F1254" s="269" t="s">
        <v>1259</v>
      </c>
      <c r="G1254" s="265">
        <v>130000</v>
      </c>
      <c r="H1254" s="269">
        <v>1</v>
      </c>
      <c r="K1254" s="265">
        <v>130000</v>
      </c>
      <c r="M1254" s="269"/>
    </row>
    <row r="1255" spans="1:13" x14ac:dyDescent="0.3">
      <c r="A1255" s="271">
        <v>1254</v>
      </c>
      <c r="B1255" s="264">
        <v>45883</v>
      </c>
      <c r="C1255" s="292" t="s">
        <v>1479</v>
      </c>
      <c r="E1255" s="292" t="s">
        <v>2192</v>
      </c>
      <c r="F1255" s="269" t="s">
        <v>1822</v>
      </c>
      <c r="G1255" s="265">
        <v>10000</v>
      </c>
      <c r="H1255" s="269">
        <v>1</v>
      </c>
      <c r="K1255" s="265">
        <v>10000</v>
      </c>
      <c r="M1255" s="269"/>
    </row>
    <row r="1256" spans="1:13" x14ac:dyDescent="0.3">
      <c r="A1256" s="271">
        <v>1255</v>
      </c>
      <c r="B1256" s="264">
        <v>45883</v>
      </c>
      <c r="C1256" s="292" t="s">
        <v>1580</v>
      </c>
      <c r="E1256" s="292" t="s">
        <v>3196</v>
      </c>
      <c r="L1256" s="265">
        <v>-2000000</v>
      </c>
      <c r="M1256" s="269"/>
    </row>
    <row r="1257" spans="1:13" x14ac:dyDescent="0.3">
      <c r="A1257" s="271">
        <v>1256</v>
      </c>
      <c r="B1257" s="264">
        <v>45883</v>
      </c>
      <c r="C1257" s="292" t="s">
        <v>987</v>
      </c>
      <c r="E1257" s="292" t="s">
        <v>2180</v>
      </c>
      <c r="F1257" s="269" t="s">
        <v>1201</v>
      </c>
      <c r="G1257" s="265">
        <v>1500000</v>
      </c>
      <c r="H1257" s="269">
        <v>1</v>
      </c>
      <c r="J1257" s="266">
        <v>150000</v>
      </c>
      <c r="K1257" s="265">
        <v>1650000</v>
      </c>
      <c r="M1257" s="269"/>
    </row>
    <row r="1258" spans="1:13" x14ac:dyDescent="0.3">
      <c r="A1258" s="271">
        <v>1257</v>
      </c>
      <c r="B1258" s="264">
        <v>45883</v>
      </c>
      <c r="C1258" s="292" t="s">
        <v>1026</v>
      </c>
      <c r="E1258" s="292" t="s">
        <v>2187</v>
      </c>
      <c r="F1258" s="269" t="s">
        <v>1207</v>
      </c>
      <c r="G1258" s="265">
        <v>600000</v>
      </c>
      <c r="H1258" s="269">
        <v>1</v>
      </c>
      <c r="K1258" s="265">
        <v>600000</v>
      </c>
      <c r="M1258" s="269"/>
    </row>
    <row r="1259" spans="1:13" x14ac:dyDescent="0.3">
      <c r="A1259" s="271">
        <v>1258</v>
      </c>
      <c r="B1259" s="264">
        <v>45883</v>
      </c>
      <c r="C1259" s="292" t="s">
        <v>1228</v>
      </c>
      <c r="E1259" s="292" t="s">
        <v>2186</v>
      </c>
      <c r="F1259" s="269" t="s">
        <v>1200</v>
      </c>
      <c r="G1259" s="265">
        <v>1000000</v>
      </c>
      <c r="H1259" s="269">
        <v>1</v>
      </c>
      <c r="J1259" s="266">
        <v>100000</v>
      </c>
      <c r="K1259" s="265">
        <v>1100000</v>
      </c>
      <c r="M1259" s="269" t="s">
        <v>3199</v>
      </c>
    </row>
    <row r="1260" spans="1:13" x14ac:dyDescent="0.3">
      <c r="A1260" s="271">
        <v>1259</v>
      </c>
      <c r="B1260" s="264">
        <v>45883</v>
      </c>
      <c r="C1260" s="292" t="s">
        <v>3201</v>
      </c>
      <c r="E1260" s="292" t="s">
        <v>1743</v>
      </c>
      <c r="G1260" s="265">
        <v>600000</v>
      </c>
      <c r="H1260" s="269">
        <v>1</v>
      </c>
      <c r="K1260" s="265">
        <v>600000</v>
      </c>
      <c r="M1260" s="269" t="s">
        <v>3202</v>
      </c>
    </row>
    <row r="1261" spans="1:13" x14ac:dyDescent="0.3">
      <c r="A1261" s="271">
        <v>1260</v>
      </c>
      <c r="B1261" s="264">
        <v>45883</v>
      </c>
      <c r="C1261" s="292" t="s">
        <v>1321</v>
      </c>
      <c r="E1261" s="292" t="s">
        <v>3331</v>
      </c>
      <c r="F1261" s="269" t="s">
        <v>3332</v>
      </c>
      <c r="G1261" s="265">
        <v>1000000</v>
      </c>
      <c r="H1261" s="269">
        <v>1</v>
      </c>
      <c r="J1261" s="266">
        <v>100000</v>
      </c>
      <c r="K1261" s="265">
        <v>1100000</v>
      </c>
      <c r="M1261" s="269"/>
    </row>
    <row r="1262" spans="1:13" x14ac:dyDescent="0.3">
      <c r="A1262" s="271">
        <v>1261</v>
      </c>
      <c r="B1262" s="264">
        <v>45883</v>
      </c>
      <c r="C1262" s="292" t="s">
        <v>1018</v>
      </c>
      <c r="E1262" s="292" t="s">
        <v>1125</v>
      </c>
      <c r="L1262" s="265">
        <v>-1181000</v>
      </c>
      <c r="M1262" s="269"/>
    </row>
    <row r="1263" spans="1:13" x14ac:dyDescent="0.3">
      <c r="A1263" s="271">
        <v>1262</v>
      </c>
      <c r="B1263" s="264">
        <v>45883</v>
      </c>
      <c r="C1263" s="292" t="s">
        <v>1228</v>
      </c>
      <c r="E1263" s="292" t="s">
        <v>1125</v>
      </c>
      <c r="L1263" s="265">
        <v>-1100000</v>
      </c>
      <c r="M1263" s="269"/>
    </row>
    <row r="1264" spans="1:13" x14ac:dyDescent="0.3">
      <c r="A1264" s="271">
        <v>1263</v>
      </c>
      <c r="B1264" s="264">
        <v>45883</v>
      </c>
      <c r="C1264" s="292" t="s">
        <v>987</v>
      </c>
      <c r="E1264" s="292" t="s">
        <v>1125</v>
      </c>
      <c r="L1264" s="265">
        <v>-1650000</v>
      </c>
      <c r="M1264" s="269"/>
    </row>
    <row r="1265" spans="1:13" x14ac:dyDescent="0.3">
      <c r="A1265" s="271">
        <v>1264</v>
      </c>
      <c r="B1265" s="264">
        <v>45883</v>
      </c>
      <c r="C1265" s="292" t="s">
        <v>2410</v>
      </c>
      <c r="E1265" s="292" t="s">
        <v>2680</v>
      </c>
      <c r="G1265" s="265">
        <v>200000</v>
      </c>
      <c r="H1265" s="269">
        <v>1</v>
      </c>
      <c r="K1265" s="265">
        <v>200000</v>
      </c>
      <c r="M1265" s="269"/>
    </row>
    <row r="1266" spans="1:13" x14ac:dyDescent="0.3">
      <c r="A1266" s="271">
        <v>1265</v>
      </c>
      <c r="B1266" s="264">
        <v>45883</v>
      </c>
      <c r="C1266" s="292" t="s">
        <v>1894</v>
      </c>
      <c r="E1266" s="292" t="s">
        <v>1125</v>
      </c>
      <c r="L1266" s="265">
        <v>-1300000</v>
      </c>
      <c r="M1266" s="269"/>
    </row>
    <row r="1267" spans="1:13" x14ac:dyDescent="0.3">
      <c r="A1267" s="271">
        <v>1266</v>
      </c>
      <c r="B1267" s="264">
        <v>45884</v>
      </c>
      <c r="C1267" s="292" t="s">
        <v>1334</v>
      </c>
      <c r="E1267" s="292" t="s">
        <v>3218</v>
      </c>
      <c r="G1267" s="265">
        <v>1000000</v>
      </c>
      <c r="H1267" s="269">
        <v>1</v>
      </c>
      <c r="J1267" s="266">
        <v>100000</v>
      </c>
      <c r="K1267" s="265">
        <v>1100000</v>
      </c>
      <c r="M1267" s="270">
        <v>6058008163</v>
      </c>
    </row>
    <row r="1268" spans="1:13" x14ac:dyDescent="0.3">
      <c r="A1268" s="271">
        <v>1267</v>
      </c>
      <c r="B1268" s="264">
        <v>45884</v>
      </c>
      <c r="C1268" s="292" t="s">
        <v>1399</v>
      </c>
      <c r="E1268" s="292" t="s">
        <v>2651</v>
      </c>
      <c r="G1268" s="265">
        <v>1750000</v>
      </c>
      <c r="H1268" s="269">
        <v>1</v>
      </c>
      <c r="K1268" s="265">
        <v>1750000</v>
      </c>
      <c r="M1268" s="269"/>
    </row>
    <row r="1269" spans="1:13" x14ac:dyDescent="0.3">
      <c r="A1269" s="271">
        <v>1268</v>
      </c>
      <c r="B1269" s="264">
        <v>45884</v>
      </c>
      <c r="C1269" s="292" t="s">
        <v>3210</v>
      </c>
      <c r="E1269" s="292" t="s">
        <v>2299</v>
      </c>
      <c r="G1269" s="265">
        <v>650000</v>
      </c>
      <c r="H1269" s="269">
        <v>1</v>
      </c>
      <c r="J1269" s="266">
        <v>65000</v>
      </c>
      <c r="K1269" s="265">
        <v>715000</v>
      </c>
      <c r="M1269" s="269"/>
    </row>
    <row r="1270" spans="1:13" x14ac:dyDescent="0.3">
      <c r="A1270" s="271">
        <v>1269</v>
      </c>
      <c r="B1270" s="264">
        <v>45884</v>
      </c>
      <c r="C1270" s="292" t="s">
        <v>3210</v>
      </c>
      <c r="E1270" s="292" t="s">
        <v>2840</v>
      </c>
      <c r="F1270" s="269" t="s">
        <v>2750</v>
      </c>
      <c r="G1270" s="265">
        <v>129000</v>
      </c>
      <c r="H1270" s="269">
        <v>1</v>
      </c>
      <c r="J1270" s="266">
        <v>12900</v>
      </c>
      <c r="K1270" s="265">
        <v>141900</v>
      </c>
      <c r="M1270" s="269"/>
    </row>
    <row r="1271" spans="1:13" x14ac:dyDescent="0.3">
      <c r="A1271" s="271">
        <v>1270</v>
      </c>
      <c r="B1271" s="264">
        <v>45885</v>
      </c>
      <c r="C1271" s="292" t="s">
        <v>1722</v>
      </c>
      <c r="E1271" s="292" t="s">
        <v>2187</v>
      </c>
      <c r="F1271" s="269" t="s">
        <v>1207</v>
      </c>
      <c r="G1271" s="265">
        <v>510000</v>
      </c>
      <c r="H1271" s="269">
        <v>5</v>
      </c>
      <c r="K1271" s="265">
        <v>2550000</v>
      </c>
      <c r="M1271" s="269"/>
    </row>
    <row r="1272" spans="1:13" x14ac:dyDescent="0.3">
      <c r="A1272" s="271">
        <v>1271</v>
      </c>
      <c r="B1272" s="264">
        <v>45885</v>
      </c>
      <c r="C1272" s="292" t="s">
        <v>1722</v>
      </c>
      <c r="E1272" s="292" t="s">
        <v>2188</v>
      </c>
      <c r="F1272" s="269" t="s">
        <v>1259</v>
      </c>
      <c r="G1272" s="265">
        <v>130000</v>
      </c>
      <c r="H1272" s="269">
        <v>2</v>
      </c>
      <c r="K1272" s="265">
        <v>260000</v>
      </c>
      <c r="M1272" s="269"/>
    </row>
    <row r="1273" spans="1:13" x14ac:dyDescent="0.3">
      <c r="A1273" s="271">
        <v>1272</v>
      </c>
      <c r="B1273" s="264">
        <v>45885</v>
      </c>
      <c r="C1273" s="292" t="s">
        <v>3201</v>
      </c>
      <c r="E1273" s="292" t="s">
        <v>1125</v>
      </c>
      <c r="L1273" s="265">
        <v>-600000</v>
      </c>
      <c r="M1273" s="269"/>
    </row>
    <row r="1274" spans="1:13" x14ac:dyDescent="0.3">
      <c r="A1274" s="271">
        <v>1273</v>
      </c>
      <c r="B1274" s="264">
        <v>45885</v>
      </c>
      <c r="C1274" s="292" t="s">
        <v>2410</v>
      </c>
      <c r="E1274" s="292" t="s">
        <v>1125</v>
      </c>
      <c r="L1274" s="265">
        <v>-200000</v>
      </c>
      <c r="M1274" s="269"/>
    </row>
    <row r="1275" spans="1:13" x14ac:dyDescent="0.3">
      <c r="A1275" s="271">
        <v>1274</v>
      </c>
      <c r="B1275" s="264">
        <v>45887</v>
      </c>
      <c r="C1275" s="292" t="s">
        <v>1449</v>
      </c>
      <c r="E1275" s="292" t="s">
        <v>1125</v>
      </c>
      <c r="L1275" s="265">
        <v>-1100000</v>
      </c>
      <c r="M1275" s="269"/>
    </row>
    <row r="1276" spans="1:13" x14ac:dyDescent="0.3">
      <c r="A1276" s="271">
        <v>1275</v>
      </c>
      <c r="B1276" s="264">
        <v>45887</v>
      </c>
      <c r="C1276" s="292" t="s">
        <v>1399</v>
      </c>
      <c r="E1276" s="292" t="s">
        <v>1743</v>
      </c>
      <c r="G1276" s="265">
        <v>650000</v>
      </c>
      <c r="H1276" s="269">
        <v>1</v>
      </c>
      <c r="K1276" s="265">
        <v>650000</v>
      </c>
      <c r="M1276" s="269"/>
    </row>
    <row r="1277" spans="1:13" x14ac:dyDescent="0.3">
      <c r="A1277" s="271">
        <v>1276</v>
      </c>
      <c r="B1277" s="264">
        <v>45887</v>
      </c>
      <c r="C1277" s="292" t="s">
        <v>1479</v>
      </c>
      <c r="E1277" s="292" t="s">
        <v>2187</v>
      </c>
      <c r="F1277" s="269" t="s">
        <v>1207</v>
      </c>
      <c r="G1277" s="265">
        <v>550000</v>
      </c>
      <c r="H1277" s="269">
        <v>1</v>
      </c>
      <c r="K1277" s="265">
        <v>550000</v>
      </c>
      <c r="M1277" s="269"/>
    </row>
    <row r="1278" spans="1:13" x14ac:dyDescent="0.3">
      <c r="A1278" s="271">
        <v>1277</v>
      </c>
      <c r="B1278" s="264">
        <v>45887</v>
      </c>
      <c r="C1278" s="292" t="s">
        <v>1479</v>
      </c>
      <c r="E1278" s="292" t="s">
        <v>2188</v>
      </c>
      <c r="F1278" s="269" t="s">
        <v>1259</v>
      </c>
      <c r="G1278" s="265">
        <v>130000</v>
      </c>
      <c r="H1278" s="269">
        <v>1</v>
      </c>
      <c r="K1278" s="265">
        <v>130000</v>
      </c>
      <c r="M1278" s="269"/>
    </row>
    <row r="1279" spans="1:13" x14ac:dyDescent="0.3">
      <c r="A1279" s="271">
        <v>1278</v>
      </c>
      <c r="B1279" s="264">
        <v>45887</v>
      </c>
      <c r="C1279" s="292" t="s">
        <v>1479</v>
      </c>
      <c r="E1279" s="292" t="s">
        <v>2192</v>
      </c>
      <c r="F1279" s="269" t="s">
        <v>1822</v>
      </c>
      <c r="G1279" s="265">
        <v>10000</v>
      </c>
      <c r="H1279" s="269">
        <v>1</v>
      </c>
      <c r="K1279" s="265">
        <v>10000</v>
      </c>
      <c r="M1279" s="269"/>
    </row>
    <row r="1280" spans="1:13" x14ac:dyDescent="0.3">
      <c r="A1280" s="271">
        <v>1279</v>
      </c>
      <c r="B1280" s="264">
        <v>45887</v>
      </c>
      <c r="C1280" s="292" t="s">
        <v>1479</v>
      </c>
      <c r="E1280" s="292" t="s">
        <v>2191</v>
      </c>
      <c r="F1280" s="269" t="s">
        <v>1795</v>
      </c>
      <c r="G1280" s="265">
        <v>15000</v>
      </c>
      <c r="H1280" s="269">
        <v>2</v>
      </c>
      <c r="K1280" s="265">
        <v>30000</v>
      </c>
      <c r="M1280" s="269"/>
    </row>
    <row r="1281" spans="1:13" x14ac:dyDescent="0.3">
      <c r="A1281" s="271">
        <v>1280</v>
      </c>
      <c r="B1281" s="264">
        <v>45887</v>
      </c>
      <c r="C1281" s="292" t="s">
        <v>1479</v>
      </c>
      <c r="E1281" s="292" t="s">
        <v>1203</v>
      </c>
      <c r="F1281" s="269" t="s">
        <v>1752</v>
      </c>
      <c r="G1281" s="265">
        <v>1200000</v>
      </c>
      <c r="H1281" s="269">
        <v>1</v>
      </c>
      <c r="K1281" s="265">
        <v>1200000</v>
      </c>
      <c r="M1281" s="269"/>
    </row>
    <row r="1282" spans="1:13" x14ac:dyDescent="0.3">
      <c r="A1282" s="271">
        <v>1281</v>
      </c>
      <c r="B1282" s="264">
        <v>45887</v>
      </c>
      <c r="C1282" s="292" t="s">
        <v>1479</v>
      </c>
      <c r="E1282" s="292" t="s">
        <v>1496</v>
      </c>
      <c r="F1282" s="269" t="s">
        <v>2679</v>
      </c>
      <c r="G1282" s="265">
        <v>350000</v>
      </c>
      <c r="H1282" s="269">
        <v>1</v>
      </c>
      <c r="K1282" s="265">
        <v>350000</v>
      </c>
      <c r="M1282" s="269"/>
    </row>
    <row r="1283" spans="1:13" x14ac:dyDescent="0.3">
      <c r="A1283" s="271">
        <v>1282</v>
      </c>
      <c r="B1283" s="264">
        <v>45887</v>
      </c>
      <c r="C1283" s="292" t="s">
        <v>1444</v>
      </c>
      <c r="E1283" s="292" t="s">
        <v>2196</v>
      </c>
      <c r="F1283" s="269">
        <v>2820403</v>
      </c>
      <c r="G1283" s="265">
        <v>1500000</v>
      </c>
      <c r="H1283" s="269">
        <v>1</v>
      </c>
      <c r="K1283" s="265">
        <v>1500000</v>
      </c>
      <c r="M1283" s="269"/>
    </row>
    <row r="1284" spans="1:13" x14ac:dyDescent="0.3">
      <c r="A1284" s="271">
        <v>1283</v>
      </c>
      <c r="B1284" s="264">
        <v>45887</v>
      </c>
      <c r="C1284" s="292" t="s">
        <v>1444</v>
      </c>
      <c r="E1284" s="292" t="s">
        <v>2056</v>
      </c>
      <c r="L1284" s="265">
        <v>-11507000</v>
      </c>
      <c r="M1284" s="269"/>
    </row>
    <row r="1285" spans="1:13" x14ac:dyDescent="0.3">
      <c r="A1285" s="271">
        <v>1284</v>
      </c>
      <c r="B1285" s="264">
        <v>45887</v>
      </c>
      <c r="C1285" s="292" t="s">
        <v>1467</v>
      </c>
      <c r="E1285" s="292" t="s">
        <v>3222</v>
      </c>
      <c r="G1285" s="265">
        <v>1100000</v>
      </c>
      <c r="H1285" s="269">
        <v>1</v>
      </c>
      <c r="J1285" s="266">
        <v>110000</v>
      </c>
      <c r="K1285" s="265">
        <v>1210000</v>
      </c>
      <c r="M1285" s="269"/>
    </row>
    <row r="1286" spans="1:13" x14ac:dyDescent="0.3">
      <c r="A1286" s="271">
        <v>1285</v>
      </c>
      <c r="B1286" s="264">
        <v>45887</v>
      </c>
      <c r="C1286" s="292" t="s">
        <v>1467</v>
      </c>
      <c r="E1286" s="292" t="s">
        <v>3222</v>
      </c>
      <c r="G1286" s="265">
        <v>1100000</v>
      </c>
      <c r="H1286" s="269">
        <v>1</v>
      </c>
      <c r="J1286" s="266">
        <v>110000</v>
      </c>
      <c r="K1286" s="265">
        <v>1210000</v>
      </c>
      <c r="M1286" s="269" t="s">
        <v>3223</v>
      </c>
    </row>
    <row r="1287" spans="1:13" x14ac:dyDescent="0.3">
      <c r="A1287" s="271">
        <v>1286</v>
      </c>
      <c r="B1287" s="264">
        <v>45887</v>
      </c>
      <c r="C1287" s="292" t="s">
        <v>1334</v>
      </c>
      <c r="E1287" s="292" t="s">
        <v>1219</v>
      </c>
      <c r="F1287" s="269" t="s">
        <v>2162</v>
      </c>
      <c r="G1287" s="265">
        <v>1200000</v>
      </c>
      <c r="H1287" s="269">
        <v>1</v>
      </c>
      <c r="J1287" s="266">
        <v>120000</v>
      </c>
      <c r="K1287" s="265">
        <v>1320000</v>
      </c>
      <c r="M1287" s="269"/>
    </row>
    <row r="1288" spans="1:13" x14ac:dyDescent="0.3">
      <c r="A1288" s="271">
        <v>1287</v>
      </c>
      <c r="B1288" s="264">
        <v>45887</v>
      </c>
      <c r="C1288" s="292" t="s">
        <v>1977</v>
      </c>
      <c r="E1288" s="292" t="s">
        <v>2180</v>
      </c>
      <c r="F1288" s="269" t="s">
        <v>1201</v>
      </c>
      <c r="G1288" s="265">
        <v>1500000</v>
      </c>
      <c r="H1288" s="269">
        <v>1</v>
      </c>
      <c r="J1288" s="266">
        <v>150000</v>
      </c>
      <c r="K1288" s="265">
        <v>1650000</v>
      </c>
      <c r="M1288" s="269" t="s">
        <v>3227</v>
      </c>
    </row>
    <row r="1289" spans="1:13" x14ac:dyDescent="0.3">
      <c r="A1289" s="271">
        <v>1288</v>
      </c>
      <c r="B1289" s="264">
        <v>45887</v>
      </c>
      <c r="C1289" s="292" t="s">
        <v>1319</v>
      </c>
      <c r="E1289" s="292" t="s">
        <v>1723</v>
      </c>
      <c r="F1289" s="270">
        <v>2800802</v>
      </c>
      <c r="G1289" s="265">
        <v>200000</v>
      </c>
      <c r="H1289" s="269">
        <v>1</v>
      </c>
      <c r="J1289" s="266">
        <v>20000</v>
      </c>
      <c r="K1289" s="265">
        <v>220000</v>
      </c>
      <c r="M1289" s="269"/>
    </row>
    <row r="1290" spans="1:13" x14ac:dyDescent="0.3">
      <c r="A1290" s="271">
        <v>1289</v>
      </c>
      <c r="B1290" s="264">
        <v>45887</v>
      </c>
      <c r="C1290" s="292" t="s">
        <v>1598</v>
      </c>
      <c r="E1290" s="292" t="s">
        <v>2180</v>
      </c>
      <c r="F1290" s="269" t="s">
        <v>1201</v>
      </c>
      <c r="G1290" s="265">
        <v>1500000</v>
      </c>
      <c r="H1290" s="269">
        <v>1</v>
      </c>
      <c r="K1290" s="265">
        <v>1500000</v>
      </c>
      <c r="M1290" s="269" t="s">
        <v>3229</v>
      </c>
    </row>
    <row r="1291" spans="1:13" x14ac:dyDescent="0.3">
      <c r="A1291" s="271">
        <v>1290</v>
      </c>
      <c r="B1291" s="264">
        <v>45887</v>
      </c>
      <c r="C1291" s="292" t="s">
        <v>1977</v>
      </c>
      <c r="E1291" s="292" t="s">
        <v>1125</v>
      </c>
      <c r="L1291" s="265">
        <v>-1650000</v>
      </c>
      <c r="M1291" s="269"/>
    </row>
    <row r="1292" spans="1:13" x14ac:dyDescent="0.3">
      <c r="A1292" s="271">
        <v>1291</v>
      </c>
      <c r="B1292" s="264">
        <v>45887</v>
      </c>
      <c r="C1292" s="292" t="s">
        <v>1454</v>
      </c>
      <c r="E1292" s="292" t="s">
        <v>2180</v>
      </c>
      <c r="F1292" s="269" t="s">
        <v>1201</v>
      </c>
      <c r="G1292" s="265">
        <v>1550000</v>
      </c>
      <c r="H1292" s="269">
        <v>1</v>
      </c>
      <c r="K1292" s="265">
        <v>1550000</v>
      </c>
      <c r="M1292" s="269" t="s">
        <v>3231</v>
      </c>
    </row>
    <row r="1293" spans="1:13" x14ac:dyDescent="0.3">
      <c r="A1293" s="271">
        <v>1292</v>
      </c>
      <c r="B1293" s="264">
        <v>45887</v>
      </c>
      <c r="C1293" s="292" t="s">
        <v>3210</v>
      </c>
      <c r="E1293" s="292" t="s">
        <v>1125</v>
      </c>
      <c r="L1293" s="265">
        <v>-856900</v>
      </c>
      <c r="M1293" s="269"/>
    </row>
    <row r="1294" spans="1:13" x14ac:dyDescent="0.3">
      <c r="A1294" s="271">
        <v>1293</v>
      </c>
      <c r="B1294" s="264">
        <v>45888</v>
      </c>
      <c r="C1294" s="292" t="s">
        <v>1449</v>
      </c>
      <c r="E1294" s="292" t="s">
        <v>1125</v>
      </c>
      <c r="L1294" s="265">
        <v>-1320000</v>
      </c>
      <c r="M1294" s="269"/>
    </row>
    <row r="1295" spans="1:13" x14ac:dyDescent="0.3">
      <c r="A1295" s="271">
        <v>1294</v>
      </c>
      <c r="B1295" s="264">
        <v>45888</v>
      </c>
      <c r="C1295" s="292" t="s">
        <v>1577</v>
      </c>
      <c r="E1295" s="292" t="s">
        <v>2846</v>
      </c>
      <c r="G1295" s="265">
        <v>13000</v>
      </c>
      <c r="H1295" s="269">
        <v>1</v>
      </c>
      <c r="J1295" s="266">
        <v>1300</v>
      </c>
      <c r="K1295" s="265">
        <v>14300</v>
      </c>
      <c r="M1295" s="269"/>
    </row>
    <row r="1296" spans="1:13" x14ac:dyDescent="0.3">
      <c r="A1296" s="271">
        <v>1295</v>
      </c>
      <c r="B1296" s="264">
        <v>45888</v>
      </c>
      <c r="C1296" s="292" t="s">
        <v>1577</v>
      </c>
      <c r="E1296" s="292" t="s">
        <v>2775</v>
      </c>
      <c r="F1296" s="269" t="s">
        <v>1213</v>
      </c>
      <c r="G1296" s="265">
        <v>1600000</v>
      </c>
      <c r="H1296" s="269">
        <v>1</v>
      </c>
      <c r="J1296" s="266">
        <v>160000</v>
      </c>
      <c r="K1296" s="265">
        <v>1760000</v>
      </c>
      <c r="M1296" s="269" t="s">
        <v>3233</v>
      </c>
    </row>
    <row r="1297" spans="1:14" x14ac:dyDescent="0.3">
      <c r="A1297" s="271">
        <v>1296</v>
      </c>
      <c r="B1297" s="264">
        <v>45888</v>
      </c>
      <c r="C1297" s="292" t="s">
        <v>1577</v>
      </c>
      <c r="E1297" s="292" t="s">
        <v>1519</v>
      </c>
      <c r="G1297" s="265">
        <v>20000</v>
      </c>
      <c r="H1297" s="269">
        <v>1</v>
      </c>
      <c r="J1297" s="266">
        <v>2000</v>
      </c>
      <c r="K1297" s="265">
        <v>22000</v>
      </c>
      <c r="M1297" s="269"/>
    </row>
    <row r="1298" spans="1:14" x14ac:dyDescent="0.3">
      <c r="A1298" s="271">
        <v>1297</v>
      </c>
      <c r="B1298" s="264">
        <v>45888</v>
      </c>
      <c r="C1298" s="292" t="s">
        <v>1399</v>
      </c>
      <c r="E1298" s="292" t="s">
        <v>2027</v>
      </c>
      <c r="F1298" s="269" t="s">
        <v>1216</v>
      </c>
      <c r="G1298" s="265">
        <v>700000</v>
      </c>
      <c r="H1298" s="269">
        <v>1</v>
      </c>
      <c r="K1298" s="265">
        <v>700000</v>
      </c>
      <c r="M1298" s="269"/>
    </row>
    <row r="1299" spans="1:14" x14ac:dyDescent="0.3">
      <c r="A1299" s="271">
        <v>1298</v>
      </c>
      <c r="B1299" s="264">
        <v>45888</v>
      </c>
      <c r="C1299" s="292" t="s">
        <v>1473</v>
      </c>
      <c r="E1299" s="292" t="s">
        <v>2290</v>
      </c>
      <c r="G1299" s="265">
        <v>1500000</v>
      </c>
      <c r="H1299" s="269">
        <v>1</v>
      </c>
      <c r="K1299" s="265">
        <v>1500000</v>
      </c>
      <c r="M1299" s="269"/>
    </row>
    <row r="1300" spans="1:14" x14ac:dyDescent="0.3">
      <c r="A1300" s="271">
        <v>1299</v>
      </c>
      <c r="B1300" s="264">
        <v>45888</v>
      </c>
      <c r="C1300" s="292" t="s">
        <v>1598</v>
      </c>
      <c r="E1300" s="292" t="s">
        <v>1203</v>
      </c>
      <c r="F1300" s="269" t="s">
        <v>1752</v>
      </c>
      <c r="G1300" s="265">
        <v>1000000</v>
      </c>
      <c r="H1300" s="269">
        <v>1</v>
      </c>
      <c r="K1300" s="265">
        <v>1000000</v>
      </c>
      <c r="M1300" s="269">
        <v>7252709011</v>
      </c>
    </row>
    <row r="1301" spans="1:14" x14ac:dyDescent="0.3">
      <c r="A1301" s="271">
        <v>1300</v>
      </c>
      <c r="B1301" s="264">
        <v>45888</v>
      </c>
      <c r="C1301" s="292" t="s">
        <v>1399</v>
      </c>
      <c r="E1301" s="292" t="s">
        <v>1743</v>
      </c>
      <c r="G1301" s="265">
        <v>650000</v>
      </c>
      <c r="H1301" s="269">
        <v>1</v>
      </c>
      <c r="K1301" s="265">
        <v>650000</v>
      </c>
      <c r="M1301" s="269" t="s">
        <v>3238</v>
      </c>
    </row>
    <row r="1302" spans="1:14" x14ac:dyDescent="0.3">
      <c r="A1302" s="271">
        <v>1301</v>
      </c>
      <c r="B1302" s="264">
        <v>45888</v>
      </c>
      <c r="C1302" s="292" t="s">
        <v>1598</v>
      </c>
      <c r="E1302" s="292" t="s">
        <v>1125</v>
      </c>
      <c r="L1302" s="265">
        <v>-2500000</v>
      </c>
      <c r="M1302" s="269"/>
    </row>
    <row r="1303" spans="1:14" x14ac:dyDescent="0.3">
      <c r="A1303" s="271">
        <v>1302</v>
      </c>
      <c r="B1303" s="264">
        <v>45889</v>
      </c>
      <c r="C1303" s="292" t="s">
        <v>2610</v>
      </c>
      <c r="E1303" s="292" t="s">
        <v>1125</v>
      </c>
      <c r="L1303" s="265">
        <v>-220000</v>
      </c>
      <c r="M1303" s="269"/>
    </row>
    <row r="1304" spans="1:14" x14ac:dyDescent="0.3">
      <c r="A1304" s="271">
        <v>1303</v>
      </c>
      <c r="B1304" s="264">
        <v>45889</v>
      </c>
      <c r="C1304" s="292" t="s">
        <v>1026</v>
      </c>
      <c r="E1304" s="292" t="s">
        <v>2186</v>
      </c>
      <c r="F1304" s="269" t="s">
        <v>1200</v>
      </c>
      <c r="G1304" s="265">
        <v>1400000</v>
      </c>
      <c r="H1304" s="269">
        <v>1</v>
      </c>
      <c r="K1304" s="265">
        <v>1400000</v>
      </c>
      <c r="M1304" s="269" t="s">
        <v>3240</v>
      </c>
    </row>
    <row r="1305" spans="1:14" x14ac:dyDescent="0.3">
      <c r="A1305" s="271">
        <v>1304</v>
      </c>
      <c r="B1305" s="264">
        <v>45889</v>
      </c>
      <c r="C1305" s="292" t="s">
        <v>1541</v>
      </c>
      <c r="E1305" s="292" t="s">
        <v>1743</v>
      </c>
      <c r="G1305" s="265">
        <v>650000</v>
      </c>
      <c r="H1305" s="269">
        <v>1</v>
      </c>
      <c r="K1305" s="265">
        <v>650000</v>
      </c>
      <c r="M1305" s="269"/>
    </row>
    <row r="1306" spans="1:14" x14ac:dyDescent="0.3">
      <c r="A1306" s="271">
        <v>1305</v>
      </c>
      <c r="B1306" s="264">
        <v>45889</v>
      </c>
      <c r="C1306" s="292" t="s">
        <v>1046</v>
      </c>
      <c r="E1306" s="292" t="s">
        <v>2180</v>
      </c>
      <c r="F1306" s="269" t="s">
        <v>1201</v>
      </c>
      <c r="G1306" s="265">
        <v>1500000</v>
      </c>
      <c r="H1306" s="269">
        <v>1</v>
      </c>
      <c r="K1306" s="265">
        <v>1500000</v>
      </c>
      <c r="M1306" s="269"/>
    </row>
    <row r="1307" spans="1:14" x14ac:dyDescent="0.3">
      <c r="A1307" s="271">
        <v>1306</v>
      </c>
      <c r="B1307" s="264">
        <v>45889</v>
      </c>
      <c r="C1307" s="292" t="s">
        <v>1046</v>
      </c>
      <c r="E1307" s="292" t="s">
        <v>2181</v>
      </c>
      <c r="F1307" s="269" t="s">
        <v>1803</v>
      </c>
      <c r="G1307" s="265">
        <v>50000</v>
      </c>
      <c r="H1307" s="269">
        <v>1</v>
      </c>
      <c r="K1307" s="265">
        <v>50000</v>
      </c>
      <c r="M1307" s="269" t="s">
        <v>3244</v>
      </c>
    </row>
    <row r="1308" spans="1:14" x14ac:dyDescent="0.3">
      <c r="A1308" s="271">
        <v>1307</v>
      </c>
      <c r="B1308" s="264">
        <v>45889</v>
      </c>
      <c r="C1308" s="292" t="s">
        <v>2558</v>
      </c>
      <c r="E1308" s="292" t="s">
        <v>1743</v>
      </c>
      <c r="G1308" s="265">
        <v>1100000</v>
      </c>
      <c r="H1308" s="269">
        <v>1</v>
      </c>
      <c r="K1308" s="265">
        <v>1100000</v>
      </c>
      <c r="M1308" s="269"/>
    </row>
    <row r="1309" spans="1:14" x14ac:dyDescent="0.3">
      <c r="A1309" s="271">
        <v>1308</v>
      </c>
      <c r="B1309" s="264">
        <v>45889</v>
      </c>
      <c r="C1309" s="292" t="s">
        <v>2261</v>
      </c>
      <c r="E1309" s="292" t="s">
        <v>1203</v>
      </c>
      <c r="F1309" s="269" t="s">
        <v>1752</v>
      </c>
      <c r="G1309" s="265">
        <v>1200000</v>
      </c>
      <c r="H1309" s="269">
        <v>1</v>
      </c>
      <c r="K1309" s="265">
        <v>1200000</v>
      </c>
      <c r="M1309" s="269"/>
    </row>
    <row r="1310" spans="1:14" x14ac:dyDescent="0.3">
      <c r="A1310" s="271">
        <v>1309</v>
      </c>
      <c r="B1310" s="264">
        <v>45889</v>
      </c>
      <c r="C1310" s="292" t="s">
        <v>2367</v>
      </c>
      <c r="E1310" s="292" t="s">
        <v>3247</v>
      </c>
      <c r="G1310" s="265">
        <v>3600000</v>
      </c>
      <c r="H1310" s="269">
        <v>1</v>
      </c>
      <c r="J1310" s="266">
        <v>360000</v>
      </c>
      <c r="K1310" s="265">
        <v>3960000</v>
      </c>
      <c r="M1310" s="269"/>
    </row>
    <row r="1311" spans="1:14" x14ac:dyDescent="0.3">
      <c r="A1311" s="271">
        <v>1310</v>
      </c>
      <c r="B1311" s="264">
        <v>45890</v>
      </c>
      <c r="C1311" s="292" t="s">
        <v>1378</v>
      </c>
      <c r="E1311" s="292" t="s">
        <v>1717</v>
      </c>
      <c r="F1311" s="269">
        <v>2800802</v>
      </c>
      <c r="G1311" s="265">
        <v>150000</v>
      </c>
      <c r="H1311" s="269">
        <v>2</v>
      </c>
      <c r="K1311" s="265">
        <v>300000</v>
      </c>
      <c r="M1311" s="269"/>
      <c r="N1311" t="s">
        <v>3484</v>
      </c>
    </row>
    <row r="1312" spans="1:14" x14ac:dyDescent="0.3">
      <c r="A1312" s="271">
        <v>1311</v>
      </c>
      <c r="B1312" s="264">
        <v>45890</v>
      </c>
      <c r="C1312" s="292" t="s">
        <v>2916</v>
      </c>
      <c r="E1312" s="292" t="s">
        <v>2290</v>
      </c>
      <c r="G1312" s="265">
        <v>1500000</v>
      </c>
      <c r="H1312" s="269">
        <v>1</v>
      </c>
      <c r="K1312" s="265">
        <v>1500000</v>
      </c>
      <c r="M1312" s="269"/>
      <c r="N1312" t="s">
        <v>3484</v>
      </c>
    </row>
    <row r="1313" spans="1:14" x14ac:dyDescent="0.3">
      <c r="A1313" s="271">
        <v>1312</v>
      </c>
      <c r="B1313" s="264">
        <v>45890</v>
      </c>
      <c r="C1313" s="292" t="s">
        <v>1580</v>
      </c>
      <c r="E1313" s="292" t="s">
        <v>1744</v>
      </c>
      <c r="F1313" s="269">
        <v>2830501</v>
      </c>
      <c r="G1313" s="265">
        <v>1550000</v>
      </c>
      <c r="H1313" s="269">
        <v>1</v>
      </c>
      <c r="J1313" s="266">
        <v>155000</v>
      </c>
      <c r="K1313" s="265">
        <v>1705000</v>
      </c>
      <c r="M1313" s="269"/>
    </row>
    <row r="1314" spans="1:14" x14ac:dyDescent="0.3">
      <c r="A1314" s="271">
        <v>1313</v>
      </c>
      <c r="B1314" s="264">
        <v>45890</v>
      </c>
      <c r="C1314" s="292" t="s">
        <v>1580</v>
      </c>
      <c r="E1314" s="292" t="s">
        <v>1266</v>
      </c>
      <c r="F1314" s="269" t="s">
        <v>1265</v>
      </c>
      <c r="G1314" s="265">
        <v>50000</v>
      </c>
      <c r="H1314" s="269">
        <v>3</v>
      </c>
      <c r="J1314" s="266">
        <v>15000</v>
      </c>
      <c r="K1314" s="265">
        <v>165000</v>
      </c>
      <c r="M1314" s="269"/>
    </row>
    <row r="1315" spans="1:14" x14ac:dyDescent="0.3">
      <c r="A1315" s="271">
        <v>1314</v>
      </c>
      <c r="B1315" s="264">
        <v>45890</v>
      </c>
      <c r="C1315" s="292" t="s">
        <v>2558</v>
      </c>
      <c r="E1315" s="292" t="s">
        <v>2178</v>
      </c>
      <c r="F1315" s="269" t="s">
        <v>1464</v>
      </c>
      <c r="G1315" s="265">
        <v>1500000</v>
      </c>
      <c r="H1315" s="269">
        <v>1</v>
      </c>
      <c r="K1315" s="265">
        <v>1500000</v>
      </c>
      <c r="M1315" s="269"/>
      <c r="N1315" t="s">
        <v>3484</v>
      </c>
    </row>
    <row r="1316" spans="1:14" x14ac:dyDescent="0.3">
      <c r="A1316" s="271">
        <v>1315</v>
      </c>
      <c r="B1316" s="264">
        <v>45890</v>
      </c>
      <c r="C1316" s="292" t="s">
        <v>1722</v>
      </c>
      <c r="E1316" s="292" t="s">
        <v>1205</v>
      </c>
      <c r="F1316" s="269" t="s">
        <v>1206</v>
      </c>
      <c r="G1316" s="265">
        <v>1200000</v>
      </c>
      <c r="H1316" s="269">
        <v>1</v>
      </c>
      <c r="K1316" s="265">
        <v>1200000</v>
      </c>
      <c r="M1316" s="269" t="s">
        <v>3253</v>
      </c>
    </row>
    <row r="1317" spans="1:14" x14ac:dyDescent="0.3">
      <c r="A1317" s="271">
        <v>1316</v>
      </c>
      <c r="B1317" s="264">
        <v>45890</v>
      </c>
      <c r="C1317" s="292" t="s">
        <v>1399</v>
      </c>
      <c r="E1317" s="292" t="s">
        <v>2180</v>
      </c>
      <c r="F1317" s="269" t="s">
        <v>1201</v>
      </c>
      <c r="G1317" s="265">
        <v>1500000</v>
      </c>
      <c r="H1317" s="269">
        <v>1</v>
      </c>
      <c r="K1317" s="265">
        <v>1500000</v>
      </c>
      <c r="M1317" s="269"/>
    </row>
    <row r="1318" spans="1:14" x14ac:dyDescent="0.3">
      <c r="A1318" s="271">
        <v>1317</v>
      </c>
      <c r="B1318" s="264">
        <v>45890</v>
      </c>
      <c r="C1318" s="292" t="s">
        <v>1399</v>
      </c>
      <c r="E1318" s="292" t="s">
        <v>3255</v>
      </c>
      <c r="H1318" s="269">
        <v>1</v>
      </c>
      <c r="L1318" s="265">
        <v>-600000</v>
      </c>
      <c r="M1318" s="269" t="s">
        <v>3256</v>
      </c>
    </row>
    <row r="1319" spans="1:14" x14ac:dyDescent="0.3">
      <c r="A1319" s="271">
        <v>1318</v>
      </c>
      <c r="B1319" s="264">
        <v>45890</v>
      </c>
      <c r="C1319" s="292" t="s">
        <v>1399</v>
      </c>
      <c r="E1319" s="292" t="s">
        <v>2181</v>
      </c>
      <c r="F1319" s="269" t="s">
        <v>1803</v>
      </c>
      <c r="G1319" s="265">
        <v>50000</v>
      </c>
      <c r="H1319" s="269">
        <v>1</v>
      </c>
      <c r="K1319" s="265">
        <v>50000</v>
      </c>
      <c r="M1319" s="269"/>
    </row>
    <row r="1320" spans="1:14" x14ac:dyDescent="0.3">
      <c r="A1320" s="271">
        <v>1319</v>
      </c>
      <c r="B1320" s="264">
        <v>45890</v>
      </c>
      <c r="C1320" s="292" t="s">
        <v>3120</v>
      </c>
      <c r="E1320" s="292" t="s">
        <v>2418</v>
      </c>
      <c r="F1320" s="269" t="s">
        <v>2748</v>
      </c>
      <c r="G1320" s="265">
        <v>1100000</v>
      </c>
      <c r="H1320" s="269">
        <v>1</v>
      </c>
      <c r="J1320" s="266">
        <v>110000</v>
      </c>
      <c r="K1320" s="265">
        <v>1210000</v>
      </c>
      <c r="M1320" s="269"/>
      <c r="N1320" t="s">
        <v>3484</v>
      </c>
    </row>
    <row r="1321" spans="1:14" x14ac:dyDescent="0.3">
      <c r="A1321" s="271">
        <v>1320</v>
      </c>
      <c r="B1321" s="264">
        <v>45890</v>
      </c>
      <c r="C1321" s="292" t="s">
        <v>2916</v>
      </c>
      <c r="E1321" s="292" t="s">
        <v>1125</v>
      </c>
      <c r="L1321" s="265">
        <v>-1500000</v>
      </c>
      <c r="M1321" s="269"/>
    </row>
    <row r="1322" spans="1:14" x14ac:dyDescent="0.3">
      <c r="A1322" s="271">
        <v>1321</v>
      </c>
      <c r="B1322" s="264">
        <v>45890</v>
      </c>
      <c r="C1322" s="292" t="s">
        <v>3120</v>
      </c>
      <c r="E1322" s="292" t="s">
        <v>1125</v>
      </c>
      <c r="L1322" s="265">
        <v>-1210000</v>
      </c>
      <c r="M1322" s="269"/>
    </row>
    <row r="1323" spans="1:14" x14ac:dyDescent="0.3">
      <c r="A1323" s="271">
        <v>1322</v>
      </c>
      <c r="B1323" s="264">
        <v>45889</v>
      </c>
      <c r="C1323" s="292" t="s">
        <v>2261</v>
      </c>
      <c r="E1323" s="292" t="s">
        <v>1125</v>
      </c>
      <c r="L1323" s="265">
        <v>-1200000</v>
      </c>
      <c r="M1323" s="269"/>
    </row>
    <row r="1324" spans="1:14" x14ac:dyDescent="0.3">
      <c r="A1324" s="271">
        <v>1323</v>
      </c>
      <c r="B1324" s="264">
        <v>45889</v>
      </c>
      <c r="C1324" s="292" t="s">
        <v>2558</v>
      </c>
      <c r="E1324" s="292" t="s">
        <v>1125</v>
      </c>
      <c r="L1324" s="265">
        <v>-1100000</v>
      </c>
      <c r="M1324" s="269"/>
    </row>
    <row r="1325" spans="1:14" x14ac:dyDescent="0.3">
      <c r="A1325" s="271">
        <v>1324</v>
      </c>
      <c r="B1325" s="264">
        <v>45891</v>
      </c>
      <c r="C1325" s="292" t="s">
        <v>1454</v>
      </c>
      <c r="E1325" s="292" t="s">
        <v>1125</v>
      </c>
      <c r="L1325" s="265">
        <v>-1550000</v>
      </c>
      <c r="M1325" s="269"/>
    </row>
    <row r="1326" spans="1:14" x14ac:dyDescent="0.3">
      <c r="A1326" s="271">
        <v>1325</v>
      </c>
      <c r="B1326" s="264">
        <v>45891</v>
      </c>
      <c r="C1326" s="292" t="s">
        <v>2858</v>
      </c>
      <c r="E1326" s="292" t="s">
        <v>2814</v>
      </c>
      <c r="F1326" s="269">
        <v>28120504</v>
      </c>
      <c r="G1326" s="265">
        <v>1000000</v>
      </c>
      <c r="H1326" s="269">
        <v>1</v>
      </c>
      <c r="J1326" s="266">
        <v>100000</v>
      </c>
      <c r="K1326" s="265">
        <v>1100000</v>
      </c>
      <c r="M1326" s="269"/>
      <c r="N1326" t="s">
        <v>3484</v>
      </c>
    </row>
    <row r="1327" spans="1:14" x14ac:dyDescent="0.3">
      <c r="A1327" s="271">
        <v>1326</v>
      </c>
      <c r="B1327" s="264">
        <v>45891</v>
      </c>
      <c r="C1327" s="292" t="s">
        <v>1812</v>
      </c>
      <c r="E1327" s="292">
        <v>-1</v>
      </c>
      <c r="G1327" s="265">
        <v>-1</v>
      </c>
      <c r="H1327" s="269">
        <v>1</v>
      </c>
      <c r="K1327" s="265">
        <v>-1</v>
      </c>
      <c r="M1327" s="269"/>
      <c r="N1327" t="s">
        <v>3484</v>
      </c>
    </row>
    <row r="1328" spans="1:14" x14ac:dyDescent="0.3">
      <c r="A1328" s="271">
        <v>1327</v>
      </c>
      <c r="B1328" s="264">
        <v>45891</v>
      </c>
      <c r="C1328" s="292" t="s">
        <v>1812</v>
      </c>
      <c r="E1328" s="292" t="s">
        <v>2187</v>
      </c>
      <c r="F1328" s="269" t="s">
        <v>1207</v>
      </c>
      <c r="G1328" s="265">
        <v>545455</v>
      </c>
      <c r="H1328" s="269">
        <v>1</v>
      </c>
      <c r="J1328" s="266">
        <v>54546</v>
      </c>
      <c r="K1328" s="265">
        <v>600001</v>
      </c>
      <c r="M1328" s="269" t="s">
        <v>3261</v>
      </c>
      <c r="N1328" t="s">
        <v>3484</v>
      </c>
    </row>
    <row r="1329" spans="1:14" x14ac:dyDescent="0.3">
      <c r="A1329" s="271">
        <v>1328</v>
      </c>
      <c r="B1329" s="264">
        <v>45891</v>
      </c>
      <c r="C1329" s="292" t="s">
        <v>3263</v>
      </c>
      <c r="E1329" s="292" t="s">
        <v>3266</v>
      </c>
      <c r="G1329" s="265">
        <v>200000</v>
      </c>
      <c r="H1329" s="269">
        <v>1</v>
      </c>
      <c r="K1329" s="265">
        <v>200000</v>
      </c>
      <c r="M1329" s="269"/>
      <c r="N1329" t="s">
        <v>3484</v>
      </c>
    </row>
    <row r="1330" spans="1:14" x14ac:dyDescent="0.3">
      <c r="A1330" s="271">
        <v>1329</v>
      </c>
      <c r="B1330" s="264">
        <v>45891</v>
      </c>
      <c r="C1330" s="292" t="s">
        <v>1319</v>
      </c>
      <c r="E1330" s="292" t="s">
        <v>1723</v>
      </c>
      <c r="F1330" s="270">
        <v>2800802</v>
      </c>
      <c r="G1330" s="265">
        <v>200000</v>
      </c>
      <c r="H1330" s="269">
        <v>1</v>
      </c>
      <c r="J1330" s="266">
        <v>20000</v>
      </c>
      <c r="K1330" s="265">
        <v>220000</v>
      </c>
      <c r="M1330" s="269"/>
      <c r="N1330" t="s">
        <v>3484</v>
      </c>
    </row>
    <row r="1331" spans="1:14" x14ac:dyDescent="0.3">
      <c r="A1331" s="271">
        <v>1330</v>
      </c>
      <c r="B1331" s="264">
        <v>45891</v>
      </c>
      <c r="C1331" s="292" t="s">
        <v>3269</v>
      </c>
      <c r="E1331" s="292" t="s">
        <v>3270</v>
      </c>
      <c r="F1331" s="269">
        <v>2830502</v>
      </c>
      <c r="G1331" s="265">
        <v>1750000</v>
      </c>
      <c r="H1331" s="269">
        <v>1</v>
      </c>
      <c r="K1331" s="265">
        <v>1750000</v>
      </c>
      <c r="M1331" s="269" t="s">
        <v>3271</v>
      </c>
      <c r="N1331" t="s">
        <v>3484</v>
      </c>
    </row>
    <row r="1332" spans="1:14" x14ac:dyDescent="0.3">
      <c r="A1332" s="271">
        <v>1331</v>
      </c>
      <c r="B1332" s="264">
        <v>45891</v>
      </c>
      <c r="C1332" s="292" t="s">
        <v>3263</v>
      </c>
      <c r="E1332" s="292" t="s">
        <v>1125</v>
      </c>
      <c r="L1332" s="265">
        <v>-200000</v>
      </c>
      <c r="M1332" s="269"/>
    </row>
    <row r="1333" spans="1:14" x14ac:dyDescent="0.3">
      <c r="A1333" s="271">
        <v>1332</v>
      </c>
      <c r="B1333" s="264">
        <v>45891</v>
      </c>
      <c r="C1333" s="292" t="s">
        <v>3269</v>
      </c>
      <c r="E1333" s="292" t="s">
        <v>1125</v>
      </c>
      <c r="L1333" s="265">
        <v>-1750000</v>
      </c>
      <c r="M1333" s="269"/>
    </row>
    <row r="1334" spans="1:14" x14ac:dyDescent="0.3">
      <c r="A1334" s="271">
        <v>1333</v>
      </c>
      <c r="B1334" s="264">
        <v>45891</v>
      </c>
      <c r="C1334" s="292" t="s">
        <v>2858</v>
      </c>
      <c r="E1334" s="292" t="s">
        <v>1125</v>
      </c>
      <c r="L1334" s="265">
        <v>-1100000</v>
      </c>
      <c r="M1334" s="269"/>
    </row>
    <row r="1335" spans="1:14" x14ac:dyDescent="0.3">
      <c r="A1335" s="271">
        <v>1334</v>
      </c>
      <c r="B1335" s="264">
        <v>45891</v>
      </c>
      <c r="C1335" s="292" t="s">
        <v>2558</v>
      </c>
      <c r="E1335" s="292" t="s">
        <v>1125</v>
      </c>
      <c r="L1335" s="265">
        <v>-1500000</v>
      </c>
      <c r="M1335" s="269"/>
    </row>
    <row r="1336" spans="1:14" x14ac:dyDescent="0.3">
      <c r="A1336" s="271">
        <v>1335</v>
      </c>
      <c r="B1336" s="264">
        <v>45892</v>
      </c>
      <c r="C1336" s="292" t="s">
        <v>1007</v>
      </c>
      <c r="E1336" s="292" t="s">
        <v>1717</v>
      </c>
      <c r="F1336" s="269">
        <v>2800802</v>
      </c>
      <c r="G1336" s="265">
        <v>150000</v>
      </c>
      <c r="H1336" s="269">
        <v>1</v>
      </c>
      <c r="K1336" s="265">
        <v>150000</v>
      </c>
      <c r="M1336" s="269"/>
      <c r="N1336" t="s">
        <v>3484</v>
      </c>
    </row>
    <row r="1337" spans="1:14" x14ac:dyDescent="0.3">
      <c r="A1337" s="271">
        <v>1336</v>
      </c>
      <c r="B1337" s="264">
        <v>45892</v>
      </c>
      <c r="C1337" s="292" t="s">
        <v>2610</v>
      </c>
      <c r="E1337" s="292" t="s">
        <v>1746</v>
      </c>
      <c r="L1337" s="265">
        <v>-220000</v>
      </c>
      <c r="M1337" s="269"/>
    </row>
    <row r="1338" spans="1:14" x14ac:dyDescent="0.3">
      <c r="A1338" s="271">
        <v>1337</v>
      </c>
      <c r="B1338" s="264">
        <v>45892</v>
      </c>
      <c r="C1338" s="292" t="s">
        <v>1378</v>
      </c>
      <c r="E1338" s="292" t="s">
        <v>1746</v>
      </c>
      <c r="L1338" s="265">
        <v>-300000</v>
      </c>
      <c r="M1338" s="269"/>
    </row>
    <row r="1339" spans="1:14" x14ac:dyDescent="0.3">
      <c r="A1339" s="271">
        <v>1338</v>
      </c>
      <c r="B1339" s="264">
        <v>45891</v>
      </c>
      <c r="C1339" s="292" t="s">
        <v>1026</v>
      </c>
      <c r="E1339" s="292" t="s">
        <v>1125</v>
      </c>
      <c r="L1339" s="265">
        <v>-2070000</v>
      </c>
      <c r="M1339" s="269"/>
    </row>
    <row r="1340" spans="1:14" x14ac:dyDescent="0.3">
      <c r="A1340" s="271">
        <v>1339</v>
      </c>
      <c r="B1340" s="264">
        <v>45894</v>
      </c>
      <c r="C1340" s="292" t="s">
        <v>1007</v>
      </c>
      <c r="E1340" s="292" t="s">
        <v>1125</v>
      </c>
      <c r="L1340" s="265">
        <v>-150000</v>
      </c>
      <c r="M1340" s="269"/>
    </row>
    <row r="1341" spans="1:14" x14ac:dyDescent="0.3">
      <c r="A1341" s="271">
        <v>1340</v>
      </c>
      <c r="B1341" s="264">
        <v>45894</v>
      </c>
      <c r="C1341" s="292" t="s">
        <v>1399</v>
      </c>
      <c r="E1341" s="292" t="s">
        <v>1744</v>
      </c>
      <c r="F1341" s="269">
        <v>2830501</v>
      </c>
      <c r="G1341" s="265">
        <v>1550000</v>
      </c>
      <c r="H1341" s="269">
        <v>1</v>
      </c>
      <c r="K1341" s="265">
        <v>1550000</v>
      </c>
      <c r="M1341" s="269"/>
      <c r="N1341" t="s">
        <v>3484</v>
      </c>
    </row>
    <row r="1342" spans="1:14" x14ac:dyDescent="0.3">
      <c r="A1342" s="271">
        <v>1341</v>
      </c>
      <c r="B1342" s="264">
        <v>45894</v>
      </c>
      <c r="C1342" s="292" t="s">
        <v>1399</v>
      </c>
      <c r="E1342" s="292" t="s">
        <v>1203</v>
      </c>
      <c r="F1342" s="269" t="s">
        <v>1752</v>
      </c>
      <c r="G1342" s="265">
        <v>1200000</v>
      </c>
      <c r="H1342" s="269">
        <v>1</v>
      </c>
      <c r="K1342" s="265">
        <v>1200000</v>
      </c>
      <c r="M1342" s="269"/>
      <c r="N1342" t="s">
        <v>3484</v>
      </c>
    </row>
    <row r="1343" spans="1:14" x14ac:dyDescent="0.3">
      <c r="A1343" s="271">
        <v>1342</v>
      </c>
      <c r="B1343" s="264">
        <v>45894</v>
      </c>
      <c r="C1343" s="292" t="s">
        <v>1399</v>
      </c>
      <c r="E1343" s="292" t="s">
        <v>2840</v>
      </c>
      <c r="F1343" s="269" t="s">
        <v>2750</v>
      </c>
      <c r="G1343" s="265">
        <v>129000</v>
      </c>
      <c r="H1343" s="269">
        <v>1</v>
      </c>
      <c r="K1343" s="265">
        <v>129000</v>
      </c>
      <c r="M1343" s="269"/>
    </row>
    <row r="1344" spans="1:14" x14ac:dyDescent="0.3">
      <c r="A1344" s="271">
        <v>1343</v>
      </c>
      <c r="B1344" s="264">
        <v>45894</v>
      </c>
      <c r="C1344" s="292" t="s">
        <v>1399</v>
      </c>
      <c r="E1344" s="292" t="s">
        <v>2187</v>
      </c>
      <c r="F1344" s="269" t="s">
        <v>1207</v>
      </c>
      <c r="G1344" s="265">
        <v>510000</v>
      </c>
      <c r="H1344" s="269">
        <v>1</v>
      </c>
      <c r="K1344" s="265">
        <v>510000</v>
      </c>
      <c r="M1344" s="269"/>
      <c r="N1344" t="s">
        <v>3484</v>
      </c>
    </row>
    <row r="1345" spans="1:14" x14ac:dyDescent="0.3">
      <c r="A1345" s="271">
        <v>1344</v>
      </c>
      <c r="B1345" s="264">
        <v>45894</v>
      </c>
      <c r="C1345" s="292" t="s">
        <v>1399</v>
      </c>
      <c r="E1345" s="292" t="s">
        <v>2188</v>
      </c>
      <c r="F1345" s="269" t="s">
        <v>1259</v>
      </c>
      <c r="G1345" s="265">
        <v>130000</v>
      </c>
      <c r="H1345" s="269">
        <v>1</v>
      </c>
      <c r="K1345" s="265">
        <v>130000</v>
      </c>
      <c r="M1345" s="269"/>
      <c r="N1345" t="s">
        <v>3484</v>
      </c>
    </row>
    <row r="1346" spans="1:14" x14ac:dyDescent="0.3">
      <c r="A1346" s="271">
        <v>1345</v>
      </c>
      <c r="B1346" s="264">
        <v>45894</v>
      </c>
      <c r="C1346" s="292" t="s">
        <v>1399</v>
      </c>
      <c r="E1346" s="292" t="s">
        <v>2191</v>
      </c>
      <c r="F1346" s="269" t="s">
        <v>1795</v>
      </c>
      <c r="G1346" s="265">
        <v>30000</v>
      </c>
      <c r="H1346" s="269">
        <v>1</v>
      </c>
      <c r="K1346" s="265">
        <v>30000</v>
      </c>
      <c r="M1346" s="269"/>
      <c r="N1346" t="s">
        <v>3484</v>
      </c>
    </row>
    <row r="1347" spans="1:14" x14ac:dyDescent="0.3">
      <c r="A1347" s="271">
        <v>1346</v>
      </c>
      <c r="B1347" s="264">
        <v>45894</v>
      </c>
      <c r="C1347" s="292" t="s">
        <v>1399</v>
      </c>
      <c r="E1347" s="292" t="s">
        <v>2192</v>
      </c>
      <c r="F1347" s="269" t="s">
        <v>1822</v>
      </c>
      <c r="G1347" s="265">
        <v>10000</v>
      </c>
      <c r="H1347" s="269">
        <v>1</v>
      </c>
      <c r="K1347" s="265">
        <v>10000</v>
      </c>
      <c r="M1347" s="269"/>
      <c r="N1347" t="s">
        <v>3484</v>
      </c>
    </row>
    <row r="1348" spans="1:14" x14ac:dyDescent="0.3">
      <c r="A1348" s="271">
        <v>1347</v>
      </c>
      <c r="B1348" s="264">
        <v>45894</v>
      </c>
      <c r="C1348" s="292" t="s">
        <v>1805</v>
      </c>
      <c r="E1348" s="292" t="s">
        <v>2187</v>
      </c>
      <c r="F1348" s="269" t="s">
        <v>1207</v>
      </c>
      <c r="G1348" s="265">
        <v>526364</v>
      </c>
      <c r="H1348" s="269">
        <v>1</v>
      </c>
      <c r="J1348" s="266">
        <v>52636</v>
      </c>
      <c r="K1348" s="265">
        <v>579000</v>
      </c>
      <c r="M1348" s="269"/>
    </row>
    <row r="1349" spans="1:14" x14ac:dyDescent="0.3">
      <c r="A1349" s="271">
        <v>1348</v>
      </c>
      <c r="B1349" s="264">
        <v>45894</v>
      </c>
      <c r="C1349" s="292" t="s">
        <v>1805</v>
      </c>
      <c r="E1349" s="292" t="s">
        <v>2188</v>
      </c>
      <c r="F1349" s="269" t="s">
        <v>1259</v>
      </c>
      <c r="G1349" s="265">
        <v>130000</v>
      </c>
      <c r="H1349" s="269">
        <v>1</v>
      </c>
      <c r="J1349" s="266">
        <v>13000</v>
      </c>
      <c r="K1349" s="265">
        <v>143000</v>
      </c>
      <c r="M1349" s="269"/>
    </row>
    <row r="1350" spans="1:14" x14ac:dyDescent="0.3">
      <c r="A1350" s="271">
        <v>1349</v>
      </c>
      <c r="B1350" s="264">
        <v>45894</v>
      </c>
      <c r="C1350" s="292" t="s">
        <v>1805</v>
      </c>
      <c r="E1350" s="292" t="s">
        <v>2191</v>
      </c>
      <c r="F1350" s="269" t="s">
        <v>1795</v>
      </c>
      <c r="G1350" s="265">
        <v>32000</v>
      </c>
      <c r="H1350" s="269">
        <v>2</v>
      </c>
      <c r="J1350" s="266">
        <v>6400</v>
      </c>
      <c r="K1350" s="265">
        <v>70400</v>
      </c>
      <c r="M1350" s="269"/>
    </row>
    <row r="1351" spans="1:14" x14ac:dyDescent="0.3">
      <c r="A1351" s="271">
        <v>1350</v>
      </c>
      <c r="B1351" s="264">
        <v>45894</v>
      </c>
      <c r="C1351" s="292" t="s">
        <v>1805</v>
      </c>
      <c r="E1351" s="292" t="s">
        <v>2192</v>
      </c>
      <c r="F1351" s="269" t="s">
        <v>1822</v>
      </c>
      <c r="G1351" s="265">
        <v>10000</v>
      </c>
      <c r="H1351" s="269">
        <v>1</v>
      </c>
      <c r="J1351" s="266">
        <v>1000</v>
      </c>
      <c r="K1351" s="265">
        <v>11000</v>
      </c>
      <c r="M1351" s="269"/>
    </row>
    <row r="1352" spans="1:14" x14ac:dyDescent="0.3">
      <c r="A1352" s="271">
        <v>1351</v>
      </c>
      <c r="B1352" s="264">
        <v>45894</v>
      </c>
      <c r="C1352" s="292" t="s">
        <v>3120</v>
      </c>
      <c r="E1352" s="292" t="s">
        <v>3283</v>
      </c>
      <c r="F1352" s="269" t="s">
        <v>3284</v>
      </c>
      <c r="G1352" s="265">
        <v>300000</v>
      </c>
      <c r="H1352" s="269">
        <v>1</v>
      </c>
      <c r="J1352" s="266">
        <v>30000</v>
      </c>
      <c r="K1352" s="265">
        <v>330000</v>
      </c>
      <c r="M1352" s="269"/>
      <c r="N1352" t="s">
        <v>3484</v>
      </c>
    </row>
    <row r="1353" spans="1:14" x14ac:dyDescent="0.3">
      <c r="A1353" s="271">
        <v>1352</v>
      </c>
      <c r="B1353" s="264">
        <v>45894</v>
      </c>
      <c r="C1353" s="292" t="s">
        <v>2916</v>
      </c>
      <c r="E1353" s="292" t="s">
        <v>2137</v>
      </c>
      <c r="F1353" s="269">
        <v>2830502</v>
      </c>
      <c r="G1353" s="265">
        <v>1650000</v>
      </c>
      <c r="H1353" s="269">
        <v>1</v>
      </c>
      <c r="K1353" s="265">
        <v>1650000</v>
      </c>
      <c r="M1353" s="269"/>
      <c r="N1353" t="s">
        <v>3484</v>
      </c>
    </row>
    <row r="1354" spans="1:14" x14ac:dyDescent="0.3">
      <c r="A1354" s="271">
        <v>1353</v>
      </c>
      <c r="B1354" s="264">
        <v>45894</v>
      </c>
      <c r="C1354" s="292" t="s">
        <v>1577</v>
      </c>
      <c r="E1354" s="292" t="s">
        <v>2919</v>
      </c>
      <c r="F1354" s="269">
        <v>4150862090</v>
      </c>
      <c r="G1354" s="265">
        <v>450000</v>
      </c>
      <c r="H1354" s="269">
        <v>1</v>
      </c>
      <c r="J1354" s="266">
        <v>45000</v>
      </c>
      <c r="K1354" s="265">
        <v>495000</v>
      </c>
      <c r="M1354" s="269"/>
      <c r="N1354" t="s">
        <v>3484</v>
      </c>
    </row>
    <row r="1355" spans="1:14" x14ac:dyDescent="0.3">
      <c r="A1355" s="271">
        <v>1354</v>
      </c>
      <c r="B1355" s="264">
        <v>45894</v>
      </c>
      <c r="C1355" s="292" t="s">
        <v>2292</v>
      </c>
      <c r="E1355" s="292" t="s">
        <v>3070</v>
      </c>
      <c r="F1355" s="269" t="s">
        <v>2327</v>
      </c>
      <c r="G1355" s="265">
        <v>900000</v>
      </c>
      <c r="H1355" s="269">
        <v>1</v>
      </c>
      <c r="J1355" s="266">
        <v>90000</v>
      </c>
      <c r="K1355" s="265">
        <v>990000</v>
      </c>
      <c r="M1355" s="269"/>
      <c r="N1355" t="s">
        <v>3484</v>
      </c>
    </row>
    <row r="1356" spans="1:14" x14ac:dyDescent="0.3">
      <c r="A1356" s="271">
        <v>1355</v>
      </c>
      <c r="B1356" s="264">
        <v>45894</v>
      </c>
      <c r="C1356" s="292" t="s">
        <v>2558</v>
      </c>
      <c r="E1356" s="292" t="s">
        <v>2027</v>
      </c>
      <c r="F1356" s="269" t="s">
        <v>1216</v>
      </c>
      <c r="G1356" s="265">
        <v>1500000</v>
      </c>
      <c r="H1356" s="269">
        <v>1</v>
      </c>
      <c r="K1356" s="265">
        <v>1500000</v>
      </c>
      <c r="M1356" s="269"/>
      <c r="N1356" t="s">
        <v>3484</v>
      </c>
    </row>
    <row r="1357" spans="1:14" x14ac:dyDescent="0.3">
      <c r="A1357" s="271">
        <v>1356</v>
      </c>
      <c r="B1357" s="264">
        <v>45894</v>
      </c>
      <c r="C1357" s="292" t="s">
        <v>2558</v>
      </c>
      <c r="E1357" s="292" t="s">
        <v>1740</v>
      </c>
      <c r="F1357" s="269">
        <v>2801701</v>
      </c>
      <c r="G1357" s="265">
        <v>25000</v>
      </c>
      <c r="H1357" s="269">
        <v>2</v>
      </c>
      <c r="K1357" s="265">
        <v>50000</v>
      </c>
      <c r="M1357" s="269"/>
      <c r="N1357" t="s">
        <v>3484</v>
      </c>
    </row>
    <row r="1358" spans="1:14" x14ac:dyDescent="0.3">
      <c r="A1358" s="271">
        <v>1357</v>
      </c>
      <c r="B1358" s="264">
        <v>45894</v>
      </c>
      <c r="C1358" s="292" t="s">
        <v>3291</v>
      </c>
      <c r="E1358" s="292" t="s">
        <v>2180</v>
      </c>
      <c r="F1358" s="269" t="s">
        <v>1201</v>
      </c>
      <c r="G1358" s="265">
        <v>1500000</v>
      </c>
      <c r="H1358" s="269">
        <v>1</v>
      </c>
      <c r="K1358" s="265">
        <v>1500000</v>
      </c>
      <c r="M1358" s="269"/>
      <c r="N1358" t="s">
        <v>3484</v>
      </c>
    </row>
    <row r="1359" spans="1:14" x14ac:dyDescent="0.3">
      <c r="A1359" s="271">
        <v>1358</v>
      </c>
      <c r="B1359" s="264">
        <v>45894</v>
      </c>
      <c r="C1359" s="292" t="s">
        <v>3291</v>
      </c>
      <c r="E1359" s="292" t="s">
        <v>2180</v>
      </c>
      <c r="F1359" s="269" t="s">
        <v>1201</v>
      </c>
      <c r="G1359" s="265">
        <v>1500000</v>
      </c>
      <c r="H1359" s="269">
        <v>1</v>
      </c>
      <c r="K1359" s="265">
        <v>1500000</v>
      </c>
      <c r="M1359" s="269"/>
      <c r="N1359" t="s">
        <v>3484</v>
      </c>
    </row>
    <row r="1360" spans="1:14" x14ac:dyDescent="0.3">
      <c r="A1360" s="271">
        <v>1359</v>
      </c>
      <c r="B1360" s="264">
        <v>45894</v>
      </c>
      <c r="C1360" s="292" t="s">
        <v>987</v>
      </c>
      <c r="E1360" s="292" t="s">
        <v>1743</v>
      </c>
      <c r="G1360" s="265">
        <v>650000</v>
      </c>
      <c r="H1360" s="269">
        <v>1</v>
      </c>
      <c r="J1360" s="266">
        <v>65000</v>
      </c>
      <c r="K1360" s="265">
        <v>715000</v>
      </c>
      <c r="M1360" s="269"/>
      <c r="N1360" t="s">
        <v>3484</v>
      </c>
    </row>
    <row r="1361" spans="1:14" x14ac:dyDescent="0.3">
      <c r="A1361" s="271">
        <v>1360</v>
      </c>
      <c r="B1361" s="264">
        <v>45894</v>
      </c>
      <c r="C1361" s="292" t="s">
        <v>2410</v>
      </c>
      <c r="E1361" s="292" t="s">
        <v>3298</v>
      </c>
      <c r="G1361" s="265">
        <v>300000</v>
      </c>
      <c r="H1361" s="269">
        <v>1</v>
      </c>
      <c r="K1361" s="265">
        <v>300000</v>
      </c>
      <c r="M1361" s="269"/>
      <c r="N1361" t="s">
        <v>3484</v>
      </c>
    </row>
    <row r="1362" spans="1:14" x14ac:dyDescent="0.3">
      <c r="A1362" s="271">
        <v>1361</v>
      </c>
      <c r="B1362" s="264">
        <v>45894</v>
      </c>
      <c r="C1362" s="292" t="s">
        <v>2306</v>
      </c>
      <c r="E1362" s="292" t="s">
        <v>2299</v>
      </c>
      <c r="G1362" s="265">
        <v>650000</v>
      </c>
      <c r="H1362" s="269">
        <v>1</v>
      </c>
      <c r="J1362" s="266">
        <v>65000</v>
      </c>
      <c r="K1362" s="265">
        <v>715000</v>
      </c>
      <c r="M1362" s="269"/>
      <c r="N1362" t="s">
        <v>3484</v>
      </c>
    </row>
    <row r="1363" spans="1:14" x14ac:dyDescent="0.3">
      <c r="A1363" s="271">
        <v>1362</v>
      </c>
      <c r="B1363" s="264">
        <v>45894</v>
      </c>
      <c r="C1363" s="292" t="s">
        <v>1577</v>
      </c>
      <c r="E1363" s="292" t="s">
        <v>2187</v>
      </c>
      <c r="F1363" s="269" t="s">
        <v>1207</v>
      </c>
      <c r="G1363" s="265">
        <v>526364</v>
      </c>
      <c r="H1363" s="269">
        <v>1</v>
      </c>
      <c r="J1363" s="266">
        <v>52636</v>
      </c>
      <c r="K1363" s="265">
        <v>579000</v>
      </c>
      <c r="M1363" s="269"/>
      <c r="N1363" t="s">
        <v>3484</v>
      </c>
    </row>
    <row r="1364" spans="1:14" x14ac:dyDescent="0.3">
      <c r="A1364" s="271">
        <v>1363</v>
      </c>
      <c r="B1364" s="264">
        <v>45894</v>
      </c>
      <c r="C1364" s="292" t="s">
        <v>1274</v>
      </c>
      <c r="E1364" s="292" t="s">
        <v>2986</v>
      </c>
      <c r="F1364" s="270">
        <v>50229</v>
      </c>
      <c r="G1364" s="265">
        <v>72728</v>
      </c>
      <c r="H1364" s="269">
        <v>1</v>
      </c>
      <c r="J1364" s="266">
        <v>7273</v>
      </c>
      <c r="K1364" s="265">
        <v>80000</v>
      </c>
      <c r="M1364" s="269"/>
      <c r="N1364" t="s">
        <v>3484</v>
      </c>
    </row>
    <row r="1365" spans="1:14" x14ac:dyDescent="0.3">
      <c r="A1365" s="271">
        <v>1364</v>
      </c>
      <c r="B1365" s="264">
        <v>45894</v>
      </c>
      <c r="C1365" s="292" t="s">
        <v>1577</v>
      </c>
      <c r="E1365" s="292" t="s">
        <v>2191</v>
      </c>
      <c r="F1365" s="269" t="s">
        <v>1795</v>
      </c>
      <c r="G1365" s="265">
        <v>32000</v>
      </c>
      <c r="H1365" s="269">
        <v>1</v>
      </c>
      <c r="J1365" s="266">
        <v>3200</v>
      </c>
      <c r="K1365" s="265">
        <v>35200</v>
      </c>
      <c r="M1365" s="269"/>
      <c r="N1365" t="s">
        <v>3484</v>
      </c>
    </row>
    <row r="1366" spans="1:14" x14ac:dyDescent="0.3">
      <c r="A1366" s="271">
        <v>1365</v>
      </c>
      <c r="B1366" s="264">
        <v>45894</v>
      </c>
      <c r="C1366" s="292" t="s">
        <v>1577</v>
      </c>
      <c r="E1366" s="292" t="s">
        <v>2192</v>
      </c>
      <c r="F1366" s="269" t="s">
        <v>1822</v>
      </c>
      <c r="G1366" s="265">
        <v>10000</v>
      </c>
      <c r="H1366" s="269">
        <v>1</v>
      </c>
      <c r="J1366" s="266">
        <v>1000</v>
      </c>
      <c r="K1366" s="265">
        <v>11000</v>
      </c>
      <c r="M1366" s="269"/>
      <c r="N1366" t="s">
        <v>3484</v>
      </c>
    </row>
    <row r="1367" spans="1:14" x14ac:dyDescent="0.3">
      <c r="A1367" s="271">
        <v>1366</v>
      </c>
      <c r="B1367" s="264">
        <v>45894</v>
      </c>
      <c r="C1367" s="292" t="s">
        <v>1577</v>
      </c>
      <c r="E1367" s="292" t="s">
        <v>2194</v>
      </c>
      <c r="G1367" s="265">
        <v>600000</v>
      </c>
      <c r="H1367" s="269">
        <v>1</v>
      </c>
      <c r="J1367" s="266">
        <v>60000</v>
      </c>
      <c r="K1367" s="265">
        <v>660000</v>
      </c>
      <c r="M1367" s="269"/>
      <c r="N1367" t="s">
        <v>3484</v>
      </c>
    </row>
    <row r="1368" spans="1:14" x14ac:dyDescent="0.3">
      <c r="A1368" s="271">
        <v>1367</v>
      </c>
      <c r="B1368" s="264">
        <v>45894</v>
      </c>
      <c r="C1368" s="292" t="s">
        <v>1577</v>
      </c>
      <c r="E1368" s="292" t="s">
        <v>2187</v>
      </c>
      <c r="F1368" s="269" t="s">
        <v>1207</v>
      </c>
      <c r="G1368" s="265">
        <v>526364</v>
      </c>
      <c r="H1368" s="269">
        <v>1</v>
      </c>
      <c r="J1368" s="266">
        <v>52636</v>
      </c>
      <c r="K1368" s="265">
        <v>579000</v>
      </c>
      <c r="M1368" s="269"/>
      <c r="N1368" t="s">
        <v>3484</v>
      </c>
    </row>
    <row r="1369" spans="1:14" x14ac:dyDescent="0.3">
      <c r="A1369" s="271">
        <v>1368</v>
      </c>
      <c r="B1369" s="264">
        <v>45894</v>
      </c>
      <c r="C1369" s="292" t="s">
        <v>1577</v>
      </c>
      <c r="E1369" s="292" t="s">
        <v>2190</v>
      </c>
      <c r="F1369" s="269">
        <v>50229</v>
      </c>
      <c r="G1369" s="265">
        <v>72728</v>
      </c>
      <c r="H1369" s="269">
        <v>1</v>
      </c>
      <c r="J1369" s="266">
        <v>7273</v>
      </c>
      <c r="K1369" s="265">
        <v>80001</v>
      </c>
      <c r="M1369" s="269"/>
      <c r="N1369" t="s">
        <v>3484</v>
      </c>
    </row>
    <row r="1370" spans="1:14" x14ac:dyDescent="0.3">
      <c r="A1370" s="271">
        <v>1369</v>
      </c>
      <c r="B1370" s="264">
        <v>45894</v>
      </c>
      <c r="C1370" s="292" t="s">
        <v>1577</v>
      </c>
      <c r="E1370" s="292" t="s">
        <v>2191</v>
      </c>
      <c r="F1370" s="269" t="s">
        <v>1795</v>
      </c>
      <c r="G1370" s="265">
        <v>32000</v>
      </c>
      <c r="H1370" s="269">
        <v>1</v>
      </c>
      <c r="J1370" s="266">
        <v>3200</v>
      </c>
      <c r="K1370" s="265">
        <v>35200</v>
      </c>
      <c r="M1370" s="269"/>
      <c r="N1370" t="s">
        <v>3484</v>
      </c>
    </row>
    <row r="1371" spans="1:14" x14ac:dyDescent="0.3">
      <c r="A1371" s="271">
        <v>1370</v>
      </c>
      <c r="B1371" s="264">
        <v>45894</v>
      </c>
      <c r="C1371" s="292" t="s">
        <v>1577</v>
      </c>
      <c r="E1371" s="292" t="s">
        <v>2192</v>
      </c>
      <c r="F1371" s="269" t="s">
        <v>1822</v>
      </c>
      <c r="G1371" s="265">
        <v>10000</v>
      </c>
      <c r="H1371" s="269">
        <v>1</v>
      </c>
      <c r="J1371" s="266">
        <v>1000</v>
      </c>
      <c r="K1371" s="265">
        <v>11000</v>
      </c>
      <c r="M1371" s="269"/>
      <c r="N1371" t="s">
        <v>3484</v>
      </c>
    </row>
    <row r="1372" spans="1:14" x14ac:dyDescent="0.3">
      <c r="A1372" s="271">
        <v>1371</v>
      </c>
      <c r="B1372" s="264">
        <v>45894</v>
      </c>
      <c r="C1372" s="292" t="s">
        <v>1577</v>
      </c>
      <c r="E1372" s="292" t="s">
        <v>2194</v>
      </c>
      <c r="G1372" s="265">
        <v>600000</v>
      </c>
      <c r="H1372" s="269">
        <v>1</v>
      </c>
      <c r="J1372" s="266">
        <v>60000</v>
      </c>
      <c r="K1372" s="265">
        <v>660000</v>
      </c>
      <c r="M1372" s="269"/>
      <c r="N1372" t="s">
        <v>3484</v>
      </c>
    </row>
    <row r="1373" spans="1:14" x14ac:dyDescent="0.3">
      <c r="A1373" s="271">
        <v>1372</v>
      </c>
      <c r="B1373" s="264">
        <v>45894</v>
      </c>
      <c r="C1373" s="292" t="s">
        <v>1015</v>
      </c>
      <c r="E1373" s="292" t="s">
        <v>2187</v>
      </c>
      <c r="F1373" s="269" t="s">
        <v>1207</v>
      </c>
      <c r="G1373" s="265">
        <v>526364</v>
      </c>
      <c r="H1373" s="269">
        <v>1</v>
      </c>
      <c r="J1373" s="266">
        <v>52636</v>
      </c>
      <c r="K1373" s="265">
        <v>579000</v>
      </c>
      <c r="M1373" s="269"/>
    </row>
    <row r="1374" spans="1:14" x14ac:dyDescent="0.3">
      <c r="A1374" s="271">
        <v>1373</v>
      </c>
      <c r="B1374" s="264">
        <v>45894</v>
      </c>
      <c r="C1374" s="292" t="s">
        <v>2215</v>
      </c>
      <c r="E1374" s="292" t="s">
        <v>2986</v>
      </c>
      <c r="F1374" s="270">
        <v>50229</v>
      </c>
      <c r="G1374" s="265">
        <v>70000</v>
      </c>
      <c r="H1374" s="269">
        <v>1</v>
      </c>
      <c r="J1374" s="266">
        <v>7000</v>
      </c>
      <c r="K1374" s="265">
        <v>77000</v>
      </c>
      <c r="M1374" s="269"/>
    </row>
    <row r="1375" spans="1:14" x14ac:dyDescent="0.3">
      <c r="A1375" s="271">
        <v>1374</v>
      </c>
      <c r="B1375" s="264">
        <v>45894</v>
      </c>
      <c r="C1375" s="292" t="s">
        <v>1444</v>
      </c>
      <c r="E1375" s="292" t="s">
        <v>3304</v>
      </c>
      <c r="L1375" s="265">
        <v>-600000</v>
      </c>
      <c r="M1375" s="269"/>
    </row>
    <row r="1376" spans="1:14" x14ac:dyDescent="0.3">
      <c r="A1376" s="271">
        <v>1375</v>
      </c>
      <c r="B1376" s="264">
        <v>45894</v>
      </c>
      <c r="C1376" s="292" t="s">
        <v>1444</v>
      </c>
      <c r="E1376" s="292" t="s">
        <v>3305</v>
      </c>
      <c r="L1376" s="265">
        <v>-1000000</v>
      </c>
      <c r="M1376" s="269"/>
    </row>
    <row r="1377" spans="1:14" x14ac:dyDescent="0.3">
      <c r="A1377" s="271">
        <v>1376</v>
      </c>
      <c r="B1377" s="264">
        <v>45893</v>
      </c>
      <c r="C1377" s="292" t="s">
        <v>1580</v>
      </c>
      <c r="E1377" s="292" t="s">
        <v>1125</v>
      </c>
      <c r="L1377" s="265">
        <v>-1000000</v>
      </c>
      <c r="M1377" s="269"/>
    </row>
    <row r="1378" spans="1:14" x14ac:dyDescent="0.3">
      <c r="A1378" s="271">
        <v>1377</v>
      </c>
      <c r="B1378" s="264">
        <v>45894</v>
      </c>
      <c r="C1378" s="292" t="s">
        <v>2410</v>
      </c>
      <c r="E1378" s="292" t="s">
        <v>1125</v>
      </c>
      <c r="L1378" s="265">
        <v>-300000</v>
      </c>
      <c r="M1378" s="269"/>
    </row>
    <row r="1379" spans="1:14" x14ac:dyDescent="0.3">
      <c r="A1379" s="271">
        <v>1378</v>
      </c>
      <c r="B1379" s="264">
        <v>45894</v>
      </c>
      <c r="C1379" s="292" t="s">
        <v>987</v>
      </c>
      <c r="E1379" s="292" t="s">
        <v>1125</v>
      </c>
      <c r="L1379" s="265">
        <v>-715000</v>
      </c>
      <c r="M1379" s="269"/>
    </row>
    <row r="1380" spans="1:14" x14ac:dyDescent="0.3">
      <c r="A1380" s="271">
        <v>1379</v>
      </c>
      <c r="B1380" s="264">
        <v>45894</v>
      </c>
      <c r="C1380" s="292" t="s">
        <v>2292</v>
      </c>
      <c r="E1380" s="292" t="s">
        <v>1125</v>
      </c>
      <c r="L1380" s="265">
        <v>-990000</v>
      </c>
      <c r="M1380" s="269"/>
    </row>
    <row r="1381" spans="1:14" x14ac:dyDescent="0.3">
      <c r="A1381" s="271">
        <v>1380</v>
      </c>
      <c r="B1381" s="264">
        <v>45894</v>
      </c>
      <c r="C1381" s="292" t="s">
        <v>2916</v>
      </c>
      <c r="E1381" s="292" t="s">
        <v>1125</v>
      </c>
      <c r="L1381" s="265">
        <v>-1650000</v>
      </c>
      <c r="M1381" s="269"/>
    </row>
    <row r="1382" spans="1:14" x14ac:dyDescent="0.3">
      <c r="A1382" s="271">
        <v>1381</v>
      </c>
      <c r="B1382" s="264">
        <v>45894</v>
      </c>
      <c r="C1382" s="292" t="s">
        <v>3291</v>
      </c>
      <c r="E1382" s="292" t="s">
        <v>1125</v>
      </c>
      <c r="L1382" s="265">
        <v>-3000000</v>
      </c>
      <c r="M1382" s="269"/>
    </row>
    <row r="1383" spans="1:14" x14ac:dyDescent="0.3">
      <c r="A1383" s="271">
        <v>1382</v>
      </c>
      <c r="B1383" s="264">
        <v>45895</v>
      </c>
      <c r="C1383" s="292" t="s">
        <v>1541</v>
      </c>
      <c r="E1383" s="292" t="s">
        <v>1919</v>
      </c>
      <c r="G1383" s="265">
        <v>2500000</v>
      </c>
      <c r="H1383" s="269">
        <v>1</v>
      </c>
      <c r="K1383" s="265">
        <v>2500000</v>
      </c>
      <c r="M1383" s="269"/>
      <c r="N1383" t="s">
        <v>3484</v>
      </c>
    </row>
    <row r="1384" spans="1:14" x14ac:dyDescent="0.3">
      <c r="A1384" s="271">
        <v>1383</v>
      </c>
      <c r="B1384" s="264">
        <v>45895</v>
      </c>
      <c r="C1384" s="292" t="s">
        <v>1469</v>
      </c>
      <c r="E1384" s="292" t="s">
        <v>1916</v>
      </c>
      <c r="F1384" s="269" t="s">
        <v>2054</v>
      </c>
      <c r="G1384" s="265">
        <v>1500000</v>
      </c>
      <c r="H1384" s="269">
        <v>1</v>
      </c>
      <c r="K1384" s="265">
        <v>1500000</v>
      </c>
      <c r="M1384" s="269"/>
      <c r="N1384" t="s">
        <v>3484</v>
      </c>
    </row>
    <row r="1385" spans="1:14" x14ac:dyDescent="0.3">
      <c r="A1385" s="271">
        <v>1384</v>
      </c>
      <c r="B1385" s="264">
        <v>45895</v>
      </c>
      <c r="C1385" s="292" t="s">
        <v>1015</v>
      </c>
      <c r="E1385" s="292" t="s">
        <v>2186</v>
      </c>
      <c r="F1385" s="269" t="s">
        <v>1200</v>
      </c>
      <c r="G1385" s="265">
        <v>1400000</v>
      </c>
      <c r="H1385" s="269">
        <v>1</v>
      </c>
      <c r="J1385" s="266">
        <v>140000</v>
      </c>
      <c r="K1385" s="265">
        <v>1540000</v>
      </c>
      <c r="M1385" s="269"/>
    </row>
    <row r="1386" spans="1:14" x14ac:dyDescent="0.3">
      <c r="A1386" s="271">
        <v>1385</v>
      </c>
      <c r="B1386" s="264">
        <v>45895</v>
      </c>
      <c r="C1386" s="292" t="s">
        <v>1580</v>
      </c>
      <c r="E1386" s="292" t="s">
        <v>3310</v>
      </c>
      <c r="G1386" s="265">
        <v>700000</v>
      </c>
      <c r="H1386" s="269">
        <v>1</v>
      </c>
      <c r="K1386" s="265">
        <v>700000</v>
      </c>
      <c r="M1386" s="269"/>
    </row>
    <row r="1387" spans="1:14" x14ac:dyDescent="0.3">
      <c r="A1387" s="271">
        <v>1386</v>
      </c>
      <c r="B1387" s="264">
        <v>45895</v>
      </c>
      <c r="C1387" s="292" t="s">
        <v>1444</v>
      </c>
      <c r="E1387" s="292" t="s">
        <v>2187</v>
      </c>
      <c r="F1387" s="269" t="s">
        <v>1207</v>
      </c>
      <c r="G1387" s="265">
        <v>510000</v>
      </c>
      <c r="H1387" s="269">
        <v>1</v>
      </c>
      <c r="K1387" s="265">
        <v>510000</v>
      </c>
      <c r="M1387" s="269"/>
      <c r="N1387" t="s">
        <v>3484</v>
      </c>
    </row>
    <row r="1388" spans="1:14" x14ac:dyDescent="0.3">
      <c r="A1388" s="271">
        <v>1387</v>
      </c>
      <c r="B1388" s="264">
        <v>45895</v>
      </c>
      <c r="C1388" s="292" t="s">
        <v>1444</v>
      </c>
      <c r="E1388" s="292" t="s">
        <v>2190</v>
      </c>
      <c r="F1388" s="269">
        <v>50229</v>
      </c>
      <c r="G1388" s="265">
        <v>70000</v>
      </c>
      <c r="H1388" s="269">
        <v>1</v>
      </c>
      <c r="K1388" s="265">
        <v>70000</v>
      </c>
      <c r="M1388" s="269"/>
      <c r="N1388" t="s">
        <v>3484</v>
      </c>
    </row>
    <row r="1389" spans="1:14" x14ac:dyDescent="0.3">
      <c r="A1389" s="271">
        <v>1388</v>
      </c>
      <c r="B1389" s="264">
        <v>45895</v>
      </c>
      <c r="C1389" s="292" t="s">
        <v>1444</v>
      </c>
      <c r="E1389" s="292" t="s">
        <v>2191</v>
      </c>
      <c r="F1389" s="269" t="s">
        <v>1795</v>
      </c>
      <c r="G1389" s="265">
        <v>35000</v>
      </c>
      <c r="H1389" s="269">
        <v>1</v>
      </c>
      <c r="K1389" s="265">
        <v>35000</v>
      </c>
      <c r="M1389" s="269"/>
      <c r="N1389" t="s">
        <v>3484</v>
      </c>
    </row>
    <row r="1390" spans="1:14" x14ac:dyDescent="0.3">
      <c r="A1390" s="271">
        <v>1389</v>
      </c>
      <c r="B1390" s="264">
        <v>45895</v>
      </c>
      <c r="C1390" s="292" t="s">
        <v>1444</v>
      </c>
      <c r="E1390" s="292" t="s">
        <v>1717</v>
      </c>
      <c r="F1390" s="269">
        <v>2800802</v>
      </c>
      <c r="G1390" s="265">
        <v>150000</v>
      </c>
      <c r="H1390" s="269">
        <v>2</v>
      </c>
      <c r="K1390" s="265">
        <v>300000</v>
      </c>
      <c r="M1390" s="269"/>
      <c r="N1390" t="s">
        <v>3484</v>
      </c>
    </row>
    <row r="1391" spans="1:14" x14ac:dyDescent="0.3">
      <c r="A1391" s="271">
        <v>1390</v>
      </c>
      <c r="B1391" s="264">
        <v>45895</v>
      </c>
      <c r="C1391" s="292" t="s">
        <v>2858</v>
      </c>
      <c r="E1391" s="292" t="s">
        <v>3314</v>
      </c>
      <c r="F1391" s="269">
        <v>6058008114</v>
      </c>
      <c r="G1391" s="265">
        <v>650000</v>
      </c>
      <c r="H1391" s="269">
        <v>1</v>
      </c>
      <c r="J1391" s="266">
        <v>65000</v>
      </c>
      <c r="K1391" s="265">
        <v>715000</v>
      </c>
      <c r="M1391" s="269"/>
      <c r="N1391" t="s">
        <v>3484</v>
      </c>
    </row>
    <row r="1392" spans="1:14" x14ac:dyDescent="0.3">
      <c r="A1392" s="271">
        <v>1391</v>
      </c>
      <c r="B1392" s="264">
        <v>45895</v>
      </c>
      <c r="C1392" s="292" t="s">
        <v>2858</v>
      </c>
      <c r="E1392" s="292" t="s">
        <v>1519</v>
      </c>
      <c r="G1392" s="265">
        <v>25000</v>
      </c>
      <c r="H1392" s="269">
        <v>1</v>
      </c>
      <c r="K1392" s="265">
        <v>25000</v>
      </c>
      <c r="M1392" s="269"/>
      <c r="N1392" t="s">
        <v>3484</v>
      </c>
    </row>
    <row r="1393" spans="1:14" x14ac:dyDescent="0.3">
      <c r="A1393" s="271">
        <v>1392</v>
      </c>
      <c r="B1393" s="264">
        <v>45895</v>
      </c>
      <c r="C1393" s="292" t="s">
        <v>2858</v>
      </c>
      <c r="E1393" s="292" t="s">
        <v>1125</v>
      </c>
      <c r="L1393" s="265">
        <v>-740000</v>
      </c>
      <c r="M1393" s="269"/>
    </row>
    <row r="1394" spans="1:14" x14ac:dyDescent="0.3">
      <c r="A1394" s="271">
        <v>1393</v>
      </c>
      <c r="B1394" s="264">
        <v>45895</v>
      </c>
      <c r="C1394" s="292" t="s">
        <v>1790</v>
      </c>
      <c r="E1394" s="292" t="s">
        <v>1125</v>
      </c>
      <c r="L1394" s="265">
        <v>-3100000</v>
      </c>
      <c r="M1394" s="269"/>
    </row>
    <row r="1395" spans="1:14" x14ac:dyDescent="0.3">
      <c r="A1395" s="271">
        <v>1394</v>
      </c>
      <c r="B1395" s="264">
        <v>45895</v>
      </c>
      <c r="C1395" s="292" t="s">
        <v>2306</v>
      </c>
      <c r="E1395" s="292" t="s">
        <v>1125</v>
      </c>
      <c r="L1395" s="265">
        <v>-715000</v>
      </c>
      <c r="M1395" s="269"/>
    </row>
    <row r="1396" spans="1:14" x14ac:dyDescent="0.3">
      <c r="A1396" s="271">
        <v>1395</v>
      </c>
      <c r="B1396" s="264">
        <v>45896</v>
      </c>
      <c r="C1396" s="292" t="s">
        <v>1341</v>
      </c>
      <c r="E1396" s="292" t="s">
        <v>1219</v>
      </c>
      <c r="F1396" s="269" t="s">
        <v>2162</v>
      </c>
      <c r="G1396" s="265">
        <v>1100000</v>
      </c>
      <c r="H1396" s="269">
        <v>1</v>
      </c>
      <c r="K1396" s="265">
        <v>1100000</v>
      </c>
      <c r="M1396" s="269"/>
      <c r="N1396" t="s">
        <v>3484</v>
      </c>
    </row>
    <row r="1397" spans="1:14" x14ac:dyDescent="0.3">
      <c r="A1397" s="271">
        <v>1396</v>
      </c>
      <c r="B1397" s="264">
        <v>45896</v>
      </c>
      <c r="C1397" s="292" t="s">
        <v>1473</v>
      </c>
      <c r="E1397" s="292" t="s">
        <v>3318</v>
      </c>
      <c r="F1397" s="269" t="s">
        <v>3319</v>
      </c>
      <c r="M1397" s="269"/>
      <c r="N1397" t="s">
        <v>3484</v>
      </c>
    </row>
    <row r="1398" spans="1:14" x14ac:dyDescent="0.3">
      <c r="A1398" s="271">
        <v>1397</v>
      </c>
      <c r="B1398" s="264">
        <v>45896</v>
      </c>
      <c r="C1398" s="292" t="s">
        <v>3115</v>
      </c>
      <c r="E1398" s="292" t="s">
        <v>2178</v>
      </c>
      <c r="F1398" s="269" t="s">
        <v>1464</v>
      </c>
      <c r="G1398" s="265">
        <v>2500000</v>
      </c>
      <c r="H1398" s="269">
        <v>1</v>
      </c>
      <c r="K1398" s="265">
        <v>2500000</v>
      </c>
      <c r="M1398" s="269" t="s">
        <v>3321</v>
      </c>
      <c r="N1398" t="s">
        <v>3484</v>
      </c>
    </row>
    <row r="1399" spans="1:14" x14ac:dyDescent="0.3">
      <c r="A1399" s="271">
        <v>1398</v>
      </c>
      <c r="B1399" s="264">
        <v>45896</v>
      </c>
      <c r="C1399" s="292" t="s">
        <v>1747</v>
      </c>
      <c r="E1399" s="292" t="s">
        <v>2196</v>
      </c>
      <c r="F1399" s="269">
        <v>2820403</v>
      </c>
      <c r="G1399" s="265">
        <v>1500000</v>
      </c>
      <c r="H1399" s="269">
        <v>1</v>
      </c>
      <c r="J1399" s="266">
        <v>150000</v>
      </c>
      <c r="K1399" s="265">
        <v>1650000</v>
      </c>
      <c r="M1399" s="269"/>
    </row>
    <row r="1400" spans="1:14" x14ac:dyDescent="0.3">
      <c r="A1400" s="271">
        <v>1399</v>
      </c>
      <c r="B1400" s="264">
        <v>45896</v>
      </c>
      <c r="C1400" s="292" t="s">
        <v>1082</v>
      </c>
      <c r="E1400" s="292" t="s">
        <v>2418</v>
      </c>
      <c r="F1400" s="269" t="s">
        <v>2748</v>
      </c>
      <c r="G1400" s="265">
        <v>1100000</v>
      </c>
      <c r="H1400" s="269">
        <v>1</v>
      </c>
      <c r="K1400" s="265">
        <v>1100000</v>
      </c>
      <c r="M1400" s="269"/>
      <c r="N1400" t="s">
        <v>3484</v>
      </c>
    </row>
    <row r="1401" spans="1:14" x14ac:dyDescent="0.3">
      <c r="A1401" s="271">
        <v>1400</v>
      </c>
      <c r="B1401" s="264">
        <v>45896</v>
      </c>
      <c r="C1401" s="292" t="s">
        <v>2468</v>
      </c>
      <c r="E1401" s="292" t="s">
        <v>1723</v>
      </c>
      <c r="F1401" s="270">
        <v>2800802</v>
      </c>
      <c r="G1401" s="265">
        <v>200000</v>
      </c>
      <c r="H1401" s="269">
        <v>1</v>
      </c>
      <c r="J1401" s="266">
        <v>20000</v>
      </c>
      <c r="K1401" s="265">
        <v>220000</v>
      </c>
      <c r="M1401" s="269"/>
      <c r="N1401" t="s">
        <v>3484</v>
      </c>
    </row>
    <row r="1402" spans="1:14" x14ac:dyDescent="0.3">
      <c r="A1402" s="271">
        <v>1401</v>
      </c>
      <c r="B1402" s="264">
        <v>45896</v>
      </c>
      <c r="C1402" s="292" t="s">
        <v>2558</v>
      </c>
      <c r="E1402" s="292" t="s">
        <v>3326</v>
      </c>
      <c r="L1402" s="265">
        <v>-1550000</v>
      </c>
      <c r="M1402" s="269"/>
    </row>
    <row r="1403" spans="1:14" x14ac:dyDescent="0.3">
      <c r="A1403" s="271">
        <v>1402</v>
      </c>
      <c r="B1403" s="264">
        <v>45896</v>
      </c>
      <c r="C1403" s="292" t="s">
        <v>3115</v>
      </c>
      <c r="E1403" s="292" t="s">
        <v>1125</v>
      </c>
      <c r="L1403" s="265">
        <v>-2500000</v>
      </c>
      <c r="M1403" s="269"/>
    </row>
    <row r="1404" spans="1:14" x14ac:dyDescent="0.3">
      <c r="A1404" s="271">
        <v>1403</v>
      </c>
      <c r="B1404" s="264">
        <v>45896</v>
      </c>
      <c r="C1404" s="292" t="s">
        <v>1341</v>
      </c>
      <c r="E1404" s="292" t="s">
        <v>1670</v>
      </c>
      <c r="L1404" s="265">
        <v>-2500000</v>
      </c>
      <c r="M1404" s="269"/>
    </row>
    <row r="1405" spans="1:14" x14ac:dyDescent="0.3">
      <c r="A1405" s="271">
        <v>1404</v>
      </c>
      <c r="B1405" s="264">
        <v>45896</v>
      </c>
      <c r="C1405" s="292" t="s">
        <v>2467</v>
      </c>
      <c r="E1405" s="292" t="s">
        <v>1125</v>
      </c>
      <c r="L1405" s="265">
        <v>-220000</v>
      </c>
      <c r="M1405" s="269"/>
    </row>
    <row r="1406" spans="1:14" x14ac:dyDescent="0.3">
      <c r="A1406" s="271">
        <v>1405</v>
      </c>
      <c r="B1406" s="264">
        <v>45897</v>
      </c>
      <c r="C1406" s="292" t="s">
        <v>3120</v>
      </c>
      <c r="E1406" s="292" t="s">
        <v>1125</v>
      </c>
      <c r="L1406" s="265">
        <v>-330000</v>
      </c>
      <c r="M1406" s="269"/>
    </row>
    <row r="1407" spans="1:14" x14ac:dyDescent="0.3">
      <c r="A1407" s="271">
        <v>1406</v>
      </c>
      <c r="B1407" s="264">
        <v>45897</v>
      </c>
      <c r="C1407" s="292" t="s">
        <v>2597</v>
      </c>
      <c r="E1407" s="292" t="s">
        <v>1125</v>
      </c>
      <c r="L1407" s="265">
        <v>-1100000</v>
      </c>
      <c r="M1407" s="269"/>
    </row>
    <row r="1408" spans="1:14" x14ac:dyDescent="0.3">
      <c r="A1408" s="271">
        <v>1407</v>
      </c>
      <c r="B1408" s="264">
        <v>45897</v>
      </c>
      <c r="C1408" s="292" t="s">
        <v>1287</v>
      </c>
      <c r="E1408" s="292" t="s">
        <v>3340</v>
      </c>
      <c r="G1408" s="265">
        <v>2500000</v>
      </c>
      <c r="H1408" s="269">
        <v>1</v>
      </c>
      <c r="J1408" s="266" t="s">
        <v>3341</v>
      </c>
      <c r="K1408" s="265">
        <v>2750000</v>
      </c>
      <c r="M1408" s="269"/>
    </row>
    <row r="1409" spans="1:14" x14ac:dyDescent="0.3">
      <c r="A1409" s="271">
        <v>1408</v>
      </c>
      <c r="B1409" s="264">
        <v>45897</v>
      </c>
      <c r="C1409" s="292" t="s">
        <v>1790</v>
      </c>
      <c r="E1409" s="292" t="s">
        <v>1743</v>
      </c>
      <c r="G1409" s="265">
        <v>650000</v>
      </c>
      <c r="H1409" s="269">
        <v>1</v>
      </c>
      <c r="K1409" s="265">
        <v>650000</v>
      </c>
      <c r="M1409" s="269"/>
      <c r="N1409" t="s">
        <v>3484</v>
      </c>
    </row>
    <row r="1410" spans="1:14" x14ac:dyDescent="0.3">
      <c r="A1410" s="271">
        <v>1409</v>
      </c>
      <c r="B1410" s="264">
        <v>45897</v>
      </c>
      <c r="C1410" s="292" t="s">
        <v>1147</v>
      </c>
      <c r="E1410" s="292" t="s">
        <v>2413</v>
      </c>
      <c r="F1410" s="269">
        <v>1087298441</v>
      </c>
      <c r="G1410" s="265">
        <v>50000</v>
      </c>
      <c r="H1410" s="269">
        <v>1</v>
      </c>
      <c r="K1410" s="265">
        <v>50000</v>
      </c>
      <c r="M1410" s="269"/>
      <c r="N1410" t="s">
        <v>3484</v>
      </c>
    </row>
    <row r="1411" spans="1:14" x14ac:dyDescent="0.3">
      <c r="A1411" s="271">
        <v>1410</v>
      </c>
      <c r="B1411" s="264">
        <v>45897</v>
      </c>
      <c r="C1411" s="292" t="s">
        <v>1046</v>
      </c>
      <c r="E1411" s="292" t="s">
        <v>2197</v>
      </c>
      <c r="F1411" s="269" t="s">
        <v>1198</v>
      </c>
      <c r="G1411" s="265">
        <v>1100000</v>
      </c>
      <c r="H1411" s="269">
        <v>1</v>
      </c>
      <c r="K1411" s="265">
        <v>1100000</v>
      </c>
      <c r="M1411" s="269"/>
      <c r="N1411" t="s">
        <v>3484</v>
      </c>
    </row>
    <row r="1412" spans="1:14" x14ac:dyDescent="0.3">
      <c r="A1412" s="271">
        <v>1411</v>
      </c>
      <c r="B1412" s="264">
        <v>45897</v>
      </c>
      <c r="C1412" s="292" t="s">
        <v>1173</v>
      </c>
      <c r="E1412" s="292" t="s">
        <v>1561</v>
      </c>
      <c r="F1412" s="269" t="s">
        <v>1768</v>
      </c>
      <c r="G1412" s="265">
        <v>1300000</v>
      </c>
      <c r="H1412" s="269">
        <v>1</v>
      </c>
      <c r="K1412" s="265">
        <v>1300000</v>
      </c>
      <c r="M1412" s="269"/>
      <c r="N1412" t="s">
        <v>3484</v>
      </c>
    </row>
    <row r="1413" spans="1:14" x14ac:dyDescent="0.3">
      <c r="A1413" s="271">
        <v>1412</v>
      </c>
      <c r="B1413" s="264">
        <v>45897</v>
      </c>
      <c r="C1413" s="292" t="s">
        <v>1173</v>
      </c>
      <c r="E1413" s="292" t="s">
        <v>1519</v>
      </c>
      <c r="G1413" s="265">
        <v>20000</v>
      </c>
      <c r="H1413" s="269">
        <v>1</v>
      </c>
      <c r="K1413" s="265">
        <v>20000</v>
      </c>
      <c r="M1413" s="269"/>
      <c r="N1413" t="s">
        <v>3484</v>
      </c>
    </row>
    <row r="1414" spans="1:14" x14ac:dyDescent="0.3">
      <c r="A1414" s="271">
        <v>1413</v>
      </c>
      <c r="B1414" s="264">
        <v>45897</v>
      </c>
      <c r="C1414" s="292" t="s">
        <v>1577</v>
      </c>
      <c r="E1414" s="292" t="s">
        <v>2919</v>
      </c>
      <c r="F1414" s="269">
        <v>4150862090</v>
      </c>
      <c r="G1414" s="265">
        <v>450000</v>
      </c>
      <c r="H1414" s="269">
        <v>1</v>
      </c>
      <c r="J1414" s="266">
        <v>45000</v>
      </c>
      <c r="K1414" s="265">
        <v>495000</v>
      </c>
      <c r="M1414" s="269"/>
      <c r="N1414" t="s">
        <v>3484</v>
      </c>
    </row>
    <row r="1415" spans="1:14" x14ac:dyDescent="0.3">
      <c r="A1415" s="271">
        <v>1414</v>
      </c>
      <c r="B1415" s="264">
        <v>45897</v>
      </c>
      <c r="C1415" s="292" t="s">
        <v>1722</v>
      </c>
      <c r="E1415" s="292" t="s">
        <v>2180</v>
      </c>
      <c r="F1415" s="269" t="s">
        <v>1201</v>
      </c>
      <c r="G1415" s="265">
        <v>1500000</v>
      </c>
      <c r="H1415" s="269">
        <v>1</v>
      </c>
      <c r="K1415" s="265">
        <v>1500000</v>
      </c>
      <c r="M1415" s="269"/>
      <c r="N1415" t="s">
        <v>3484</v>
      </c>
    </row>
    <row r="1416" spans="1:14" x14ac:dyDescent="0.3">
      <c r="A1416" s="271">
        <v>1415</v>
      </c>
      <c r="B1416" s="264">
        <v>45897</v>
      </c>
      <c r="C1416" s="292" t="s">
        <v>1722</v>
      </c>
      <c r="E1416" s="292" t="s">
        <v>2181</v>
      </c>
      <c r="F1416" s="269" t="s">
        <v>1803</v>
      </c>
      <c r="G1416" s="265">
        <v>50000</v>
      </c>
      <c r="H1416" s="269">
        <v>1</v>
      </c>
      <c r="K1416" s="265">
        <v>50000</v>
      </c>
      <c r="M1416" s="269"/>
      <c r="N1416" t="s">
        <v>3484</v>
      </c>
    </row>
    <row r="1417" spans="1:14" x14ac:dyDescent="0.3">
      <c r="A1417" s="271">
        <v>1416</v>
      </c>
      <c r="B1417" s="264">
        <v>45897</v>
      </c>
      <c r="C1417" s="292" t="s">
        <v>1473</v>
      </c>
      <c r="E1417" s="292" t="s">
        <v>1125</v>
      </c>
      <c r="L1417" s="265">
        <v>-1100000</v>
      </c>
      <c r="M1417" s="269"/>
    </row>
    <row r="1418" spans="1:14" x14ac:dyDescent="0.3">
      <c r="A1418" s="271">
        <v>1417</v>
      </c>
      <c r="B1418" s="264">
        <v>45898</v>
      </c>
      <c r="C1418" s="292" t="s">
        <v>1541</v>
      </c>
      <c r="E1418" s="292" t="s">
        <v>1125</v>
      </c>
      <c r="L1418" s="265">
        <v>-3150000</v>
      </c>
      <c r="M1418" s="269"/>
    </row>
    <row r="1419" spans="1:14" x14ac:dyDescent="0.3">
      <c r="A1419" s="271">
        <v>1418</v>
      </c>
      <c r="B1419" s="264">
        <v>45859</v>
      </c>
      <c r="C1419" s="292" t="s">
        <v>1469</v>
      </c>
      <c r="E1419" s="292" t="s">
        <v>2404</v>
      </c>
      <c r="G1419" s="265">
        <v>150000</v>
      </c>
      <c r="H1419" s="269">
        <v>1</v>
      </c>
      <c r="K1419" s="265">
        <v>-150000</v>
      </c>
      <c r="M1419" s="269"/>
    </row>
    <row r="1420" spans="1:14" x14ac:dyDescent="0.3">
      <c r="A1420" s="271">
        <v>1419</v>
      </c>
      <c r="B1420" s="264">
        <v>45898</v>
      </c>
      <c r="C1420" s="292" t="s">
        <v>1469</v>
      </c>
      <c r="E1420" s="292" t="s">
        <v>1125</v>
      </c>
      <c r="L1420" s="265">
        <v>-1500000</v>
      </c>
      <c r="M1420" s="269"/>
    </row>
    <row r="1421" spans="1:14" x14ac:dyDescent="0.3">
      <c r="A1421" s="271">
        <v>1420</v>
      </c>
      <c r="B1421" s="264">
        <v>45898</v>
      </c>
      <c r="C1421" s="292" t="s">
        <v>1147</v>
      </c>
      <c r="E1421" s="292" t="s">
        <v>1125</v>
      </c>
      <c r="L1421" s="265">
        <v>-1150000</v>
      </c>
      <c r="M1421" s="269"/>
    </row>
    <row r="1422" spans="1:14" x14ac:dyDescent="0.3">
      <c r="A1422" s="271">
        <v>1421</v>
      </c>
      <c r="B1422" s="264">
        <v>45898</v>
      </c>
      <c r="C1422" s="292" t="s">
        <v>1479</v>
      </c>
      <c r="E1422" s="292" t="s">
        <v>1125</v>
      </c>
      <c r="L1422" s="265">
        <v>-2960000</v>
      </c>
      <c r="M1422" s="269"/>
    </row>
    <row r="1423" spans="1:14" x14ac:dyDescent="0.3">
      <c r="A1423" s="271">
        <v>1422</v>
      </c>
      <c r="B1423" s="264">
        <v>45898</v>
      </c>
      <c r="C1423" s="292" t="s">
        <v>1812</v>
      </c>
      <c r="E1423" s="292" t="s">
        <v>1125</v>
      </c>
      <c r="L1423" s="265">
        <v>-600000</v>
      </c>
      <c r="M1423" s="269"/>
    </row>
    <row r="1424" spans="1:14" x14ac:dyDescent="0.3">
      <c r="A1424" s="271">
        <v>1423</v>
      </c>
      <c r="B1424" s="264">
        <v>45898</v>
      </c>
      <c r="C1424" s="292" t="s">
        <v>1023</v>
      </c>
      <c r="E1424" s="292" t="s">
        <v>2216</v>
      </c>
      <c r="F1424" s="269" t="s">
        <v>1760</v>
      </c>
      <c r="G1424" s="265">
        <v>546000</v>
      </c>
      <c r="H1424" s="269">
        <v>1</v>
      </c>
      <c r="K1424" s="265">
        <v>546000</v>
      </c>
      <c r="M1424" s="269"/>
      <c r="N1424" t="s">
        <v>3484</v>
      </c>
    </row>
    <row r="1425" spans="1:14" x14ac:dyDescent="0.3">
      <c r="A1425" s="271">
        <v>1424</v>
      </c>
      <c r="B1425" s="264">
        <v>45898</v>
      </c>
      <c r="C1425" s="292" t="s">
        <v>2998</v>
      </c>
      <c r="E1425" s="292" t="s">
        <v>3342</v>
      </c>
      <c r="G1425" s="265">
        <v>-1</v>
      </c>
      <c r="H1425" s="269">
        <v>1</v>
      </c>
      <c r="K1425" s="265">
        <v>-1</v>
      </c>
      <c r="M1425" s="269"/>
    </row>
    <row r="1426" spans="1:14" x14ac:dyDescent="0.3">
      <c r="A1426" s="271">
        <v>1425</v>
      </c>
      <c r="B1426" s="264">
        <v>45898</v>
      </c>
      <c r="C1426" s="292" t="s">
        <v>1023</v>
      </c>
      <c r="E1426" s="292" t="s">
        <v>2986</v>
      </c>
      <c r="F1426" s="270">
        <v>50229</v>
      </c>
      <c r="G1426" s="265">
        <v>70000</v>
      </c>
      <c r="H1426" s="269">
        <v>1</v>
      </c>
      <c r="K1426" s="265">
        <v>70000</v>
      </c>
      <c r="M1426" s="269"/>
      <c r="N1426" t="s">
        <v>3484</v>
      </c>
    </row>
    <row r="1427" spans="1:14" x14ac:dyDescent="0.3">
      <c r="A1427" s="271">
        <v>1426</v>
      </c>
      <c r="B1427" s="264">
        <v>45898</v>
      </c>
      <c r="C1427" s="292" t="s">
        <v>1023</v>
      </c>
      <c r="E1427" s="292" t="s">
        <v>3364</v>
      </c>
      <c r="F1427" s="269" t="s">
        <v>1732</v>
      </c>
      <c r="G1427" s="265">
        <v>35000</v>
      </c>
      <c r="H1427" s="269">
        <v>1</v>
      </c>
      <c r="K1427" s="265">
        <v>35000</v>
      </c>
      <c r="M1427" s="269"/>
      <c r="N1427" t="s">
        <v>3484</v>
      </c>
    </row>
    <row r="1428" spans="1:14" x14ac:dyDescent="0.3">
      <c r="A1428" s="271">
        <v>1427</v>
      </c>
      <c r="B1428" s="264">
        <v>45898</v>
      </c>
      <c r="C1428" s="292" t="s">
        <v>1023</v>
      </c>
      <c r="E1428" s="292" t="s">
        <v>2663</v>
      </c>
      <c r="F1428" s="269" t="s">
        <v>1733</v>
      </c>
      <c r="G1428" s="265">
        <v>10000</v>
      </c>
      <c r="H1428" s="269">
        <v>2</v>
      </c>
      <c r="K1428" s="265">
        <v>20000</v>
      </c>
      <c r="M1428" s="269"/>
      <c r="N1428" t="s">
        <v>3484</v>
      </c>
    </row>
    <row r="1429" spans="1:14" x14ac:dyDescent="0.3">
      <c r="A1429" s="271">
        <v>1428</v>
      </c>
      <c r="B1429" s="264">
        <v>45898</v>
      </c>
      <c r="C1429" s="292" t="s">
        <v>1023</v>
      </c>
      <c r="E1429" s="292" t="s">
        <v>2435</v>
      </c>
      <c r="G1429" s="265">
        <v>600000</v>
      </c>
      <c r="H1429" s="269">
        <v>1</v>
      </c>
      <c r="K1429" s="265">
        <v>600000</v>
      </c>
      <c r="M1429" s="269"/>
      <c r="N1429" t="s">
        <v>3484</v>
      </c>
    </row>
    <row r="1430" spans="1:14" x14ac:dyDescent="0.3">
      <c r="A1430" s="271">
        <v>1429</v>
      </c>
      <c r="B1430" s="264">
        <v>45898</v>
      </c>
      <c r="C1430" s="292" t="s">
        <v>3485</v>
      </c>
      <c r="E1430" s="292" t="s">
        <v>3486</v>
      </c>
      <c r="G1430" s="265">
        <v>2100000</v>
      </c>
      <c r="H1430" s="269">
        <v>1</v>
      </c>
      <c r="K1430" s="265">
        <v>2100000</v>
      </c>
      <c r="M1430" s="269"/>
    </row>
    <row r="1431" spans="1:14" x14ac:dyDescent="0.3">
      <c r="A1431" s="271">
        <v>1430</v>
      </c>
      <c r="B1431" s="264">
        <v>45898</v>
      </c>
      <c r="C1431" s="292" t="s">
        <v>3485</v>
      </c>
      <c r="E1431" s="292" t="s">
        <v>3487</v>
      </c>
      <c r="F1431" s="270">
        <v>50229</v>
      </c>
      <c r="G1431" s="265">
        <v>80000</v>
      </c>
      <c r="H1431" s="269">
        <v>1</v>
      </c>
      <c r="K1431" s="265">
        <v>80000</v>
      </c>
      <c r="M1431" s="269"/>
    </row>
    <row r="1432" spans="1:14" x14ac:dyDescent="0.3">
      <c r="A1432" s="271">
        <v>1431</v>
      </c>
      <c r="B1432" s="264">
        <v>45898</v>
      </c>
      <c r="C1432" s="292" t="s">
        <v>3485</v>
      </c>
      <c r="E1432" s="292" t="s">
        <v>3488</v>
      </c>
      <c r="F1432" s="269" t="s">
        <v>3489</v>
      </c>
      <c r="G1432" s="265">
        <v>30000</v>
      </c>
      <c r="H1432" s="269">
        <v>1</v>
      </c>
      <c r="K1432" s="265">
        <v>30000</v>
      </c>
      <c r="M1432" s="269"/>
    </row>
    <row r="1433" spans="1:14" x14ac:dyDescent="0.3">
      <c r="A1433" s="271">
        <v>1432</v>
      </c>
      <c r="B1433" s="264">
        <v>45898</v>
      </c>
      <c r="C1433" s="292" t="s">
        <v>3485</v>
      </c>
      <c r="E1433" s="292" t="s">
        <v>3490</v>
      </c>
      <c r="G1433" s="265">
        <v>30000</v>
      </c>
      <c r="H1433" s="269">
        <v>1</v>
      </c>
      <c r="K1433" s="265">
        <v>30000</v>
      </c>
      <c r="M1433" s="269"/>
    </row>
    <row r="1434" spans="1:14" x14ac:dyDescent="0.3">
      <c r="A1434" s="271">
        <v>1433</v>
      </c>
      <c r="B1434" s="264">
        <v>45898</v>
      </c>
      <c r="C1434" s="292" t="s">
        <v>3485</v>
      </c>
      <c r="E1434" s="292" t="s">
        <v>3491</v>
      </c>
      <c r="F1434" s="270">
        <v>2801702</v>
      </c>
      <c r="G1434" s="265">
        <v>10000</v>
      </c>
      <c r="H1434" s="269">
        <v>4</v>
      </c>
      <c r="K1434" s="265">
        <v>40000</v>
      </c>
      <c r="M1434" s="269"/>
    </row>
    <row r="1435" spans="1:14" x14ac:dyDescent="0.3">
      <c r="A1435" s="271">
        <v>1434</v>
      </c>
      <c r="B1435" s="264">
        <v>45898</v>
      </c>
      <c r="C1435" s="292" t="s">
        <v>1722</v>
      </c>
      <c r="E1435" s="292" t="s">
        <v>2178</v>
      </c>
      <c r="F1435" s="269" t="s">
        <v>1464</v>
      </c>
      <c r="G1435" s="265">
        <v>1500000</v>
      </c>
      <c r="H1435" s="269">
        <v>1</v>
      </c>
      <c r="K1435" s="265">
        <v>1500000</v>
      </c>
      <c r="M1435" s="269"/>
      <c r="N1435" t="s">
        <v>3484</v>
      </c>
    </row>
    <row r="1436" spans="1:14" x14ac:dyDescent="0.3">
      <c r="A1436" s="271">
        <v>1435</v>
      </c>
      <c r="B1436" s="264">
        <v>45898</v>
      </c>
      <c r="C1436" s="292" t="s">
        <v>3201</v>
      </c>
      <c r="E1436" s="292" t="s">
        <v>1743</v>
      </c>
      <c r="G1436" s="265">
        <v>1100000</v>
      </c>
      <c r="H1436" s="269">
        <v>1</v>
      </c>
      <c r="K1436" s="265">
        <v>1100000</v>
      </c>
      <c r="M1436" s="269"/>
      <c r="N1436" t="s">
        <v>3484</v>
      </c>
    </row>
    <row r="1437" spans="1:14" x14ac:dyDescent="0.3">
      <c r="A1437" s="271">
        <v>1436</v>
      </c>
      <c r="B1437" s="264">
        <v>45898</v>
      </c>
      <c r="C1437" s="292" t="s">
        <v>3201</v>
      </c>
      <c r="E1437" s="292" t="s">
        <v>1125</v>
      </c>
      <c r="L1437" s="265">
        <v>-1100000</v>
      </c>
      <c r="M1437" s="269"/>
    </row>
    <row r="1438" spans="1:14" x14ac:dyDescent="0.3">
      <c r="A1438" s="271">
        <v>1437</v>
      </c>
      <c r="B1438" s="264">
        <v>45899</v>
      </c>
      <c r="C1438" s="292" t="s">
        <v>2908</v>
      </c>
      <c r="E1438" s="292" t="s">
        <v>2657</v>
      </c>
      <c r="G1438" s="265">
        <v>1100000</v>
      </c>
      <c r="H1438" s="269">
        <v>1</v>
      </c>
      <c r="J1438" s="266">
        <v>110000</v>
      </c>
      <c r="K1438" s="265">
        <v>1210000</v>
      </c>
      <c r="M1438" s="269" t="s">
        <v>3365</v>
      </c>
      <c r="N1438" t="s">
        <v>3484</v>
      </c>
    </row>
    <row r="1439" spans="1:14" x14ac:dyDescent="0.3">
      <c r="A1439" s="271">
        <v>1438</v>
      </c>
      <c r="B1439" s="264">
        <v>45899</v>
      </c>
      <c r="C1439" s="292" t="s">
        <v>1747</v>
      </c>
      <c r="E1439" s="292" t="s">
        <v>2299</v>
      </c>
      <c r="G1439" s="265">
        <v>650000</v>
      </c>
      <c r="H1439" s="269">
        <v>1</v>
      </c>
      <c r="J1439" s="266">
        <v>65000</v>
      </c>
      <c r="K1439" s="265">
        <v>715000</v>
      </c>
      <c r="M1439" s="269"/>
      <c r="N1439" t="s">
        <v>3484</v>
      </c>
    </row>
    <row r="1440" spans="1:14" x14ac:dyDescent="0.3">
      <c r="A1440" s="271">
        <v>1439</v>
      </c>
      <c r="B1440" s="264">
        <v>45899</v>
      </c>
      <c r="C1440" s="292" t="s">
        <v>1554</v>
      </c>
      <c r="E1440" s="292" t="s">
        <v>1125</v>
      </c>
      <c r="L1440" s="265">
        <v>-1397000</v>
      </c>
      <c r="M1440" s="269"/>
    </row>
    <row r="1441" spans="1:14" x14ac:dyDescent="0.3">
      <c r="A1441" s="271">
        <v>1440</v>
      </c>
      <c r="B1441" s="264">
        <v>45899</v>
      </c>
      <c r="C1441" s="292" t="s">
        <v>1577</v>
      </c>
      <c r="E1441" s="292" t="s">
        <v>1746</v>
      </c>
      <c r="L1441" s="265">
        <v>-7156901</v>
      </c>
      <c r="M1441" s="269"/>
    </row>
    <row r="1442" spans="1:14" x14ac:dyDescent="0.3">
      <c r="A1442" s="271">
        <v>1441</v>
      </c>
      <c r="B1442" s="264">
        <v>45899</v>
      </c>
      <c r="C1442" s="292" t="s">
        <v>1173</v>
      </c>
      <c r="E1442" s="292" t="s">
        <v>1746</v>
      </c>
      <c r="L1442" s="265">
        <v>-1320000</v>
      </c>
      <c r="M1442" s="269"/>
    </row>
    <row r="1443" spans="1:14" x14ac:dyDescent="0.3">
      <c r="A1443" s="271">
        <v>1442</v>
      </c>
      <c r="B1443" s="264">
        <v>45901</v>
      </c>
      <c r="C1443" s="292" t="s">
        <v>1399</v>
      </c>
      <c r="E1443" s="292" t="s">
        <v>1125</v>
      </c>
      <c r="L1443" s="265">
        <v>-14878000</v>
      </c>
      <c r="M1443" s="269"/>
    </row>
    <row r="1444" spans="1:14" x14ac:dyDescent="0.3">
      <c r="A1444" s="271">
        <v>1443</v>
      </c>
      <c r="B1444" s="264">
        <v>45901</v>
      </c>
      <c r="C1444" s="292" t="s">
        <v>1082</v>
      </c>
      <c r="E1444" s="292" t="s">
        <v>1125</v>
      </c>
      <c r="L1444" s="265">
        <v>-1100000</v>
      </c>
      <c r="M1444" s="269"/>
    </row>
    <row r="1445" spans="1:14" x14ac:dyDescent="0.3">
      <c r="A1445" s="271">
        <v>1444</v>
      </c>
      <c r="B1445" s="264">
        <v>45901</v>
      </c>
      <c r="C1445" s="292" t="s">
        <v>1722</v>
      </c>
      <c r="E1445" s="292" t="s">
        <v>1125</v>
      </c>
      <c r="L1445" s="265">
        <v>-7060000</v>
      </c>
      <c r="M1445" s="269"/>
    </row>
    <row r="1446" spans="1:14" x14ac:dyDescent="0.3">
      <c r="A1446" s="271">
        <v>1445</v>
      </c>
      <c r="B1446" s="264">
        <v>45901</v>
      </c>
      <c r="C1446" s="292" t="s">
        <v>1805</v>
      </c>
      <c r="E1446" s="292" t="s">
        <v>1125</v>
      </c>
      <c r="L1446" s="265">
        <v>-1525400</v>
      </c>
      <c r="M1446" s="269"/>
    </row>
    <row r="1447" spans="1:14" x14ac:dyDescent="0.3">
      <c r="A1447" s="271">
        <v>1446</v>
      </c>
      <c r="B1447" s="264">
        <v>45901</v>
      </c>
      <c r="C1447" s="292" t="s">
        <v>1399</v>
      </c>
      <c r="E1447" s="292" t="s">
        <v>1203</v>
      </c>
      <c r="F1447" s="269" t="s">
        <v>1752</v>
      </c>
      <c r="G1447" s="265">
        <v>1200000</v>
      </c>
      <c r="H1447" s="269">
        <v>1</v>
      </c>
      <c r="K1447" s="265">
        <v>1200000</v>
      </c>
      <c r="M1447" s="269"/>
      <c r="N1447" t="s">
        <v>3916</v>
      </c>
    </row>
    <row r="1448" spans="1:14" x14ac:dyDescent="0.3">
      <c r="A1448" s="271">
        <v>1447</v>
      </c>
      <c r="B1448" s="264">
        <v>45901</v>
      </c>
      <c r="C1448" s="292" t="s">
        <v>1399</v>
      </c>
      <c r="E1448" s="292" t="s">
        <v>1496</v>
      </c>
      <c r="F1448" s="269" t="s">
        <v>2679</v>
      </c>
      <c r="G1448" s="265">
        <v>350000</v>
      </c>
      <c r="H1448" s="269">
        <v>1</v>
      </c>
      <c r="K1448" s="265">
        <v>350000</v>
      </c>
      <c r="M1448" s="269"/>
      <c r="N1448" t="s">
        <v>3916</v>
      </c>
    </row>
    <row r="1449" spans="1:14" x14ac:dyDescent="0.3">
      <c r="A1449" s="271">
        <v>1448</v>
      </c>
      <c r="B1449" s="264">
        <v>45901</v>
      </c>
      <c r="C1449" s="292" t="s">
        <v>1399</v>
      </c>
      <c r="E1449" s="292" t="s">
        <v>2840</v>
      </c>
      <c r="F1449" s="269" t="s">
        <v>2750</v>
      </c>
      <c r="G1449" s="265">
        <v>129000</v>
      </c>
      <c r="H1449" s="269">
        <v>1</v>
      </c>
      <c r="K1449" s="265">
        <v>129000</v>
      </c>
      <c r="M1449" s="269"/>
      <c r="N1449" t="s">
        <v>3916</v>
      </c>
    </row>
    <row r="1450" spans="1:14" x14ac:dyDescent="0.3">
      <c r="A1450" s="271">
        <v>1449</v>
      </c>
      <c r="B1450" s="264">
        <v>45901</v>
      </c>
      <c r="C1450" s="292" t="s">
        <v>1399</v>
      </c>
      <c r="E1450" s="292" t="s">
        <v>2299</v>
      </c>
      <c r="G1450" s="265">
        <v>650000</v>
      </c>
      <c r="H1450" s="269">
        <v>1</v>
      </c>
      <c r="K1450" s="265">
        <v>650000</v>
      </c>
      <c r="M1450" s="269"/>
      <c r="N1450" t="s">
        <v>3916</v>
      </c>
    </row>
    <row r="1451" spans="1:14" x14ac:dyDescent="0.3">
      <c r="A1451" s="271">
        <v>1450</v>
      </c>
      <c r="B1451" s="264">
        <v>45901</v>
      </c>
      <c r="C1451" s="292" t="s">
        <v>1399</v>
      </c>
      <c r="E1451" s="292" t="s">
        <v>1266</v>
      </c>
      <c r="F1451" s="269" t="s">
        <v>1265</v>
      </c>
      <c r="G1451" s="265">
        <v>50000</v>
      </c>
      <c r="H1451" s="269">
        <v>1</v>
      </c>
      <c r="K1451" s="265">
        <v>50000</v>
      </c>
      <c r="M1451" s="269"/>
      <c r="N1451" t="s">
        <v>3916</v>
      </c>
    </row>
    <row r="1452" spans="1:14" x14ac:dyDescent="0.3">
      <c r="A1452" s="271">
        <v>1451</v>
      </c>
      <c r="B1452" s="264">
        <v>45901</v>
      </c>
      <c r="C1452" s="292" t="s">
        <v>1399</v>
      </c>
      <c r="E1452" s="292" t="s">
        <v>1705</v>
      </c>
      <c r="F1452" s="269" t="s">
        <v>1704</v>
      </c>
      <c r="G1452" s="265">
        <v>50000</v>
      </c>
      <c r="H1452" s="269">
        <v>1</v>
      </c>
      <c r="K1452" s="265">
        <v>50000</v>
      </c>
      <c r="M1452" s="269"/>
      <c r="N1452" t="s">
        <v>3916</v>
      </c>
    </row>
    <row r="1453" spans="1:14" x14ac:dyDescent="0.3">
      <c r="A1453" s="271">
        <v>1452</v>
      </c>
      <c r="B1453" s="264">
        <v>45901</v>
      </c>
      <c r="C1453" s="292" t="s">
        <v>3485</v>
      </c>
      <c r="E1453" s="292" t="s">
        <v>3492</v>
      </c>
      <c r="F1453" s="269" t="s">
        <v>3493</v>
      </c>
      <c r="G1453" s="265">
        <v>800000</v>
      </c>
      <c r="H1453" s="269">
        <v>1</v>
      </c>
      <c r="K1453" s="265">
        <v>800000</v>
      </c>
      <c r="M1453" s="269" t="s">
        <v>3494</v>
      </c>
      <c r="N1453" t="s">
        <v>3916</v>
      </c>
    </row>
    <row r="1454" spans="1:14" x14ac:dyDescent="0.3">
      <c r="A1454" s="271">
        <v>1453</v>
      </c>
      <c r="B1454" s="264">
        <v>45901</v>
      </c>
      <c r="C1454" s="292" t="s">
        <v>1473</v>
      </c>
      <c r="E1454" s="292" t="s">
        <v>2180</v>
      </c>
      <c r="F1454" s="269" t="s">
        <v>1201</v>
      </c>
      <c r="G1454" s="265">
        <v>1500000</v>
      </c>
      <c r="H1454" s="269">
        <v>1</v>
      </c>
      <c r="K1454" s="265">
        <v>1500000</v>
      </c>
      <c r="M1454" s="269"/>
      <c r="N1454" t="s">
        <v>3916</v>
      </c>
    </row>
    <row r="1455" spans="1:14" x14ac:dyDescent="0.3">
      <c r="A1455" s="271">
        <v>1454</v>
      </c>
      <c r="B1455" s="264">
        <v>45901</v>
      </c>
      <c r="C1455" s="292" t="s">
        <v>1812</v>
      </c>
      <c r="E1455" s="292" t="s">
        <v>1205</v>
      </c>
      <c r="F1455" s="269" t="s">
        <v>1563</v>
      </c>
      <c r="G1455" s="265">
        <v>1090910</v>
      </c>
      <c r="H1455" s="269">
        <v>1</v>
      </c>
      <c r="J1455" s="266">
        <v>109091</v>
      </c>
      <c r="K1455" s="265">
        <v>1200001</v>
      </c>
      <c r="M1455" s="269"/>
      <c r="N1455" t="s">
        <v>3916</v>
      </c>
    </row>
    <row r="1456" spans="1:14" x14ac:dyDescent="0.3">
      <c r="A1456" s="271">
        <v>1455</v>
      </c>
      <c r="B1456" s="264">
        <v>45901</v>
      </c>
      <c r="C1456" s="292" t="s">
        <v>1812</v>
      </c>
      <c r="E1456" s="292">
        <v>-1</v>
      </c>
      <c r="G1456" s="265">
        <v>-1</v>
      </c>
      <c r="H1456" s="269">
        <v>1</v>
      </c>
      <c r="K1456" s="265">
        <v>-1</v>
      </c>
      <c r="M1456" s="269"/>
      <c r="N1456" t="s">
        <v>3916</v>
      </c>
    </row>
    <row r="1457" spans="1:14" x14ac:dyDescent="0.3">
      <c r="A1457" s="271">
        <v>1456</v>
      </c>
      <c r="B1457" s="264">
        <v>45901</v>
      </c>
      <c r="C1457" s="292" t="s">
        <v>1444</v>
      </c>
      <c r="E1457" s="292" t="s">
        <v>2196</v>
      </c>
      <c r="F1457" s="269">
        <v>2820403</v>
      </c>
      <c r="G1457" s="265">
        <v>1500000</v>
      </c>
      <c r="H1457" s="269">
        <v>1</v>
      </c>
      <c r="K1457" s="265">
        <v>1500000</v>
      </c>
      <c r="M1457" s="269"/>
      <c r="N1457" t="s">
        <v>3916</v>
      </c>
    </row>
    <row r="1458" spans="1:14" x14ac:dyDescent="0.3">
      <c r="A1458" s="271">
        <v>1457</v>
      </c>
      <c r="B1458" s="264">
        <v>45901</v>
      </c>
      <c r="C1458" s="292" t="s">
        <v>2762</v>
      </c>
      <c r="E1458" s="292" t="s">
        <v>2805</v>
      </c>
      <c r="F1458" s="269" t="s">
        <v>2804</v>
      </c>
      <c r="G1458" s="265">
        <v>350000</v>
      </c>
      <c r="H1458" s="269">
        <v>1</v>
      </c>
      <c r="J1458" s="266">
        <v>35000</v>
      </c>
      <c r="K1458" s="265">
        <v>385000</v>
      </c>
      <c r="M1458" s="269"/>
      <c r="N1458" t="s">
        <v>3916</v>
      </c>
    </row>
    <row r="1459" spans="1:14" x14ac:dyDescent="0.3">
      <c r="A1459" s="271">
        <v>1458</v>
      </c>
      <c r="B1459" s="264">
        <v>45901</v>
      </c>
      <c r="C1459" s="292" t="s">
        <v>2762</v>
      </c>
      <c r="E1459" s="292" t="s">
        <v>2183</v>
      </c>
      <c r="F1459" s="269" t="s">
        <v>1720</v>
      </c>
      <c r="G1459" s="265">
        <v>70000</v>
      </c>
      <c r="H1459" s="269">
        <v>1</v>
      </c>
      <c r="J1459" s="266">
        <v>7000</v>
      </c>
      <c r="K1459" s="265">
        <v>77000</v>
      </c>
      <c r="M1459" s="269"/>
      <c r="N1459" t="s">
        <v>3916</v>
      </c>
    </row>
    <row r="1460" spans="1:14" x14ac:dyDescent="0.3">
      <c r="A1460" s="271">
        <v>1459</v>
      </c>
      <c r="B1460" s="264">
        <v>45901</v>
      </c>
      <c r="C1460" s="292" t="s">
        <v>3349</v>
      </c>
      <c r="E1460" s="292" t="s">
        <v>3060</v>
      </c>
      <c r="F1460" s="269" t="s">
        <v>3059</v>
      </c>
      <c r="G1460" s="265">
        <v>250000</v>
      </c>
      <c r="H1460" s="269">
        <v>1</v>
      </c>
      <c r="K1460" s="265">
        <v>250000</v>
      </c>
      <c r="M1460" s="269"/>
      <c r="N1460" t="s">
        <v>3916</v>
      </c>
    </row>
    <row r="1461" spans="1:14" x14ac:dyDescent="0.3">
      <c r="A1461" s="271">
        <v>1460</v>
      </c>
      <c r="B1461" s="264">
        <v>45901</v>
      </c>
      <c r="C1461" s="292" t="s">
        <v>1444</v>
      </c>
      <c r="E1461" s="292" t="s">
        <v>2180</v>
      </c>
      <c r="F1461" s="269" t="s">
        <v>1201</v>
      </c>
      <c r="G1461" s="265">
        <v>1500000</v>
      </c>
      <c r="H1461" s="269">
        <v>1</v>
      </c>
      <c r="K1461" s="265">
        <v>1500000</v>
      </c>
      <c r="M1461" s="269"/>
      <c r="N1461" t="s">
        <v>3916</v>
      </c>
    </row>
    <row r="1462" spans="1:14" x14ac:dyDescent="0.3">
      <c r="A1462" s="271">
        <v>1461</v>
      </c>
      <c r="B1462" s="264">
        <v>45901</v>
      </c>
      <c r="C1462" s="292" t="s">
        <v>2998</v>
      </c>
      <c r="E1462" s="292" t="s">
        <v>1125</v>
      </c>
      <c r="L1462" s="265">
        <v>-2770999</v>
      </c>
      <c r="M1462" s="269"/>
    </row>
    <row r="1463" spans="1:14" x14ac:dyDescent="0.3">
      <c r="A1463" s="271">
        <v>1462</v>
      </c>
      <c r="B1463" s="264">
        <v>45901</v>
      </c>
      <c r="C1463" s="292" t="s">
        <v>2762</v>
      </c>
      <c r="E1463" s="292" t="s">
        <v>1125</v>
      </c>
      <c r="L1463" s="265">
        <v>-462000</v>
      </c>
      <c r="M1463" s="269"/>
    </row>
    <row r="1464" spans="1:14" x14ac:dyDescent="0.3">
      <c r="A1464" s="271">
        <v>1463</v>
      </c>
      <c r="B1464" s="264">
        <v>45901</v>
      </c>
      <c r="C1464" s="292" t="s">
        <v>3349</v>
      </c>
      <c r="E1464" s="292" t="s">
        <v>1125</v>
      </c>
      <c r="L1464" s="265">
        <v>-250000</v>
      </c>
      <c r="M1464" s="269"/>
    </row>
    <row r="1465" spans="1:14" x14ac:dyDescent="0.3">
      <c r="A1465" s="271">
        <v>1464</v>
      </c>
      <c r="B1465" s="264">
        <v>45901</v>
      </c>
      <c r="C1465" s="292" t="s">
        <v>2869</v>
      </c>
      <c r="E1465" s="292" t="s">
        <v>1125</v>
      </c>
      <c r="L1465" s="265">
        <v>-1210000</v>
      </c>
      <c r="M1465" s="269"/>
    </row>
    <row r="1466" spans="1:14" x14ac:dyDescent="0.3">
      <c r="A1466" s="271">
        <v>1465</v>
      </c>
      <c r="B1466" s="264">
        <v>45902</v>
      </c>
      <c r="C1466" s="292" t="s">
        <v>1046</v>
      </c>
      <c r="E1466" s="292" t="s">
        <v>1125</v>
      </c>
      <c r="L1466" s="265">
        <v>-2650000</v>
      </c>
      <c r="M1466" s="269"/>
    </row>
    <row r="1467" spans="1:14" x14ac:dyDescent="0.3">
      <c r="A1467" s="271">
        <v>1466</v>
      </c>
      <c r="B1467" s="264">
        <v>45902</v>
      </c>
      <c r="C1467" s="292" t="s">
        <v>1173</v>
      </c>
      <c r="E1467" s="292" t="s">
        <v>2299</v>
      </c>
      <c r="G1467" s="265">
        <v>650000</v>
      </c>
      <c r="H1467" s="269">
        <v>1</v>
      </c>
      <c r="K1467" s="265">
        <v>650000</v>
      </c>
      <c r="M1467" s="269"/>
      <c r="N1467" t="s">
        <v>3916</v>
      </c>
    </row>
    <row r="1468" spans="1:14" x14ac:dyDescent="0.3">
      <c r="A1468" s="271">
        <v>1467</v>
      </c>
      <c r="B1468" s="264">
        <v>45902</v>
      </c>
      <c r="C1468" s="292" t="s">
        <v>1977</v>
      </c>
      <c r="E1468" s="292" t="s">
        <v>2196</v>
      </c>
      <c r="F1468" s="269">
        <v>2820403</v>
      </c>
      <c r="G1468" s="265">
        <v>1600000</v>
      </c>
      <c r="H1468" s="269">
        <v>2</v>
      </c>
      <c r="J1468" s="266">
        <v>320000</v>
      </c>
      <c r="K1468" s="265">
        <v>3520000</v>
      </c>
      <c r="M1468" s="269"/>
      <c r="N1468" t="s">
        <v>3916</v>
      </c>
    </row>
    <row r="1469" spans="1:14" x14ac:dyDescent="0.3">
      <c r="A1469" s="271">
        <v>1468</v>
      </c>
      <c r="B1469" s="264">
        <v>45902</v>
      </c>
      <c r="C1469" s="292" t="s">
        <v>2998</v>
      </c>
      <c r="E1469" s="292" t="s">
        <v>2180</v>
      </c>
      <c r="F1469" s="269" t="s">
        <v>1201</v>
      </c>
      <c r="G1469" s="265">
        <v>1500000</v>
      </c>
      <c r="H1469" s="269">
        <v>1</v>
      </c>
      <c r="K1469" s="265">
        <v>1500000</v>
      </c>
      <c r="M1469" s="269"/>
      <c r="N1469" t="s">
        <v>3916</v>
      </c>
    </row>
    <row r="1470" spans="1:14" x14ac:dyDescent="0.3">
      <c r="A1470" s="271">
        <v>1469</v>
      </c>
      <c r="B1470" s="264">
        <v>45902</v>
      </c>
      <c r="C1470" s="292" t="s">
        <v>2998</v>
      </c>
      <c r="E1470" s="292" t="s">
        <v>2181</v>
      </c>
      <c r="F1470" s="269" t="s">
        <v>1803</v>
      </c>
      <c r="G1470" s="265">
        <v>50000</v>
      </c>
      <c r="H1470" s="269">
        <v>1</v>
      </c>
      <c r="K1470" s="265">
        <v>50000</v>
      </c>
      <c r="M1470" s="269"/>
      <c r="N1470" t="s">
        <v>3916</v>
      </c>
    </row>
    <row r="1471" spans="1:14" x14ac:dyDescent="0.3">
      <c r="A1471" s="271">
        <v>1470</v>
      </c>
      <c r="B1471" s="264">
        <v>45902</v>
      </c>
      <c r="C1471" s="292" t="s">
        <v>1147</v>
      </c>
      <c r="E1471" s="292" t="s">
        <v>2192</v>
      </c>
      <c r="F1471" s="269" t="s">
        <v>1822</v>
      </c>
      <c r="G1471" s="265">
        <v>10000</v>
      </c>
      <c r="H1471" s="269">
        <v>2</v>
      </c>
      <c r="K1471" s="265">
        <v>20000</v>
      </c>
      <c r="M1471" s="269"/>
      <c r="N1471" t="s">
        <v>3916</v>
      </c>
    </row>
    <row r="1472" spans="1:14" x14ac:dyDescent="0.3">
      <c r="A1472" s="271">
        <v>1471</v>
      </c>
      <c r="B1472" s="264">
        <v>45902</v>
      </c>
      <c r="C1472" s="292" t="s">
        <v>1577</v>
      </c>
      <c r="E1472" s="292" t="s">
        <v>1743</v>
      </c>
      <c r="G1472" s="265">
        <v>650000</v>
      </c>
      <c r="H1472" s="269">
        <v>1</v>
      </c>
      <c r="J1472" s="266">
        <v>65000</v>
      </c>
      <c r="K1472" s="265">
        <v>715000</v>
      </c>
      <c r="M1472" s="269"/>
      <c r="N1472" t="s">
        <v>3916</v>
      </c>
    </row>
    <row r="1473" spans="1:14" x14ac:dyDescent="0.3">
      <c r="A1473" s="271">
        <v>1472</v>
      </c>
      <c r="B1473" s="264">
        <v>45902</v>
      </c>
      <c r="C1473" s="292" t="s">
        <v>1494</v>
      </c>
      <c r="E1473" s="292" t="s">
        <v>3371</v>
      </c>
      <c r="F1473" s="269" t="s">
        <v>1206</v>
      </c>
      <c r="G1473" s="265">
        <v>100000</v>
      </c>
      <c r="H1473" s="269">
        <v>1</v>
      </c>
      <c r="K1473" s="265">
        <v>100000</v>
      </c>
      <c r="M1473" s="269"/>
      <c r="N1473" t="s">
        <v>3916</v>
      </c>
    </row>
    <row r="1474" spans="1:14" x14ac:dyDescent="0.3">
      <c r="A1474" s="271">
        <v>1473</v>
      </c>
      <c r="B1474" s="264">
        <v>45902</v>
      </c>
      <c r="C1474" s="292" t="s">
        <v>1007</v>
      </c>
      <c r="E1474" s="292" t="s">
        <v>1717</v>
      </c>
      <c r="F1474" s="269">
        <v>2800802</v>
      </c>
      <c r="G1474" s="265">
        <v>150000</v>
      </c>
      <c r="H1474" s="269">
        <v>1</v>
      </c>
      <c r="K1474" s="265">
        <v>150000</v>
      </c>
      <c r="M1474" s="269"/>
      <c r="N1474" t="s">
        <v>3916</v>
      </c>
    </row>
    <row r="1475" spans="1:14" x14ac:dyDescent="0.3">
      <c r="A1475" s="271">
        <v>1474</v>
      </c>
      <c r="B1475" s="264">
        <v>45902</v>
      </c>
      <c r="C1475" s="292" t="s">
        <v>1977</v>
      </c>
      <c r="E1475" s="292" t="s">
        <v>1125</v>
      </c>
      <c r="L1475" s="265">
        <v>-3520000</v>
      </c>
      <c r="M1475" s="269"/>
    </row>
    <row r="1476" spans="1:14" x14ac:dyDescent="0.3">
      <c r="A1476" s="271">
        <v>1475</v>
      </c>
      <c r="B1476" s="264">
        <v>45902</v>
      </c>
      <c r="C1476" s="292" t="s">
        <v>1812</v>
      </c>
      <c r="E1476" s="292" t="s">
        <v>1125</v>
      </c>
      <c r="L1476" s="265">
        <v>-1200000</v>
      </c>
      <c r="M1476" s="269"/>
    </row>
    <row r="1477" spans="1:14" x14ac:dyDescent="0.3">
      <c r="A1477" s="271">
        <v>1476</v>
      </c>
      <c r="B1477" s="264">
        <v>45903</v>
      </c>
      <c r="C1477" s="292" t="s">
        <v>1018</v>
      </c>
      <c r="E1477" s="292" t="s">
        <v>1746</v>
      </c>
      <c r="L1477" s="265">
        <v>-925000</v>
      </c>
      <c r="M1477" s="269"/>
    </row>
    <row r="1478" spans="1:14" x14ac:dyDescent="0.3">
      <c r="A1478" s="271">
        <v>1477</v>
      </c>
      <c r="B1478" s="264">
        <v>45903</v>
      </c>
      <c r="C1478" s="292" t="s">
        <v>1790</v>
      </c>
      <c r="E1478" s="292" t="s">
        <v>2180</v>
      </c>
      <c r="F1478" s="269" t="s">
        <v>1201</v>
      </c>
      <c r="G1478" s="265">
        <v>1500000</v>
      </c>
      <c r="H1478" s="269">
        <v>1</v>
      </c>
      <c r="K1478" s="265">
        <v>1500000</v>
      </c>
      <c r="M1478" s="269"/>
      <c r="N1478" t="s">
        <v>3916</v>
      </c>
    </row>
    <row r="1479" spans="1:14" x14ac:dyDescent="0.3">
      <c r="A1479" s="271">
        <v>1478</v>
      </c>
      <c r="B1479" s="264">
        <v>45903</v>
      </c>
      <c r="C1479" s="292" t="s">
        <v>1790</v>
      </c>
      <c r="E1479" s="292" t="s">
        <v>2181</v>
      </c>
      <c r="F1479" s="269" t="s">
        <v>1803</v>
      </c>
      <c r="G1479" s="265">
        <v>50000</v>
      </c>
      <c r="H1479" s="269">
        <v>1</v>
      </c>
      <c r="K1479" s="265">
        <v>50000</v>
      </c>
      <c r="M1479" s="269"/>
      <c r="N1479" t="s">
        <v>3916</v>
      </c>
    </row>
    <row r="1480" spans="1:14" x14ac:dyDescent="0.3">
      <c r="A1480" s="271">
        <v>1479</v>
      </c>
      <c r="B1480" s="264">
        <v>45903</v>
      </c>
      <c r="C1480" s="292" t="s">
        <v>1467</v>
      </c>
      <c r="E1480" s="292" t="s">
        <v>1496</v>
      </c>
      <c r="F1480" s="269" t="s">
        <v>2679</v>
      </c>
      <c r="G1480" s="265">
        <v>350000</v>
      </c>
      <c r="H1480" s="269">
        <v>1</v>
      </c>
      <c r="J1480" s="266">
        <v>35000</v>
      </c>
      <c r="K1480" s="265">
        <v>385000</v>
      </c>
      <c r="M1480" s="269"/>
    </row>
    <row r="1481" spans="1:14" x14ac:dyDescent="0.3">
      <c r="A1481" s="271">
        <v>1480</v>
      </c>
      <c r="B1481" s="264">
        <v>45903</v>
      </c>
      <c r="C1481" s="292" t="s">
        <v>1444</v>
      </c>
      <c r="E1481" s="292" t="s">
        <v>2187</v>
      </c>
      <c r="F1481" s="269" t="s">
        <v>1207</v>
      </c>
      <c r="G1481" s="265">
        <v>510000</v>
      </c>
      <c r="H1481" s="269">
        <v>1</v>
      </c>
      <c r="K1481" s="265">
        <v>510000</v>
      </c>
      <c r="M1481" s="269"/>
      <c r="N1481" t="s">
        <v>3916</v>
      </c>
    </row>
    <row r="1482" spans="1:14" x14ac:dyDescent="0.3">
      <c r="A1482" s="271">
        <v>1481</v>
      </c>
      <c r="B1482" s="264">
        <v>45903</v>
      </c>
      <c r="C1482" s="292" t="s">
        <v>1444</v>
      </c>
      <c r="E1482" s="292" t="s">
        <v>2190</v>
      </c>
      <c r="F1482" s="269">
        <v>50229</v>
      </c>
      <c r="G1482" s="265">
        <v>70000</v>
      </c>
      <c r="H1482" s="269">
        <v>1</v>
      </c>
      <c r="K1482" s="265">
        <v>70000</v>
      </c>
      <c r="M1482" s="269"/>
      <c r="N1482" t="s">
        <v>3916</v>
      </c>
    </row>
    <row r="1483" spans="1:14" x14ac:dyDescent="0.3">
      <c r="A1483" s="271">
        <v>1482</v>
      </c>
      <c r="B1483" s="264">
        <v>45903</v>
      </c>
      <c r="C1483" s="292" t="s">
        <v>1173</v>
      </c>
      <c r="E1483" s="292" t="s">
        <v>1561</v>
      </c>
      <c r="F1483" s="269" t="s">
        <v>1768</v>
      </c>
      <c r="G1483" s="265">
        <v>1300000</v>
      </c>
      <c r="H1483" s="269">
        <v>1</v>
      </c>
      <c r="K1483" s="265">
        <v>1300000</v>
      </c>
      <c r="M1483" s="269"/>
      <c r="N1483" t="s">
        <v>3916</v>
      </c>
    </row>
    <row r="1484" spans="1:14" x14ac:dyDescent="0.3">
      <c r="A1484" s="271">
        <v>1483</v>
      </c>
      <c r="B1484" s="264">
        <v>45903</v>
      </c>
      <c r="C1484" s="292" t="s">
        <v>1173</v>
      </c>
      <c r="E1484" s="292" t="s">
        <v>3377</v>
      </c>
      <c r="G1484" s="265">
        <v>150000</v>
      </c>
      <c r="H1484" s="269">
        <v>1</v>
      </c>
      <c r="K1484" s="265">
        <v>150000</v>
      </c>
      <c r="M1484" s="269"/>
      <c r="N1484" t="s">
        <v>3916</v>
      </c>
    </row>
    <row r="1485" spans="1:14" x14ac:dyDescent="0.3">
      <c r="A1485" s="271">
        <v>1484</v>
      </c>
      <c r="B1485" s="264">
        <v>45903</v>
      </c>
      <c r="C1485" s="292" t="s">
        <v>1498</v>
      </c>
      <c r="E1485" s="292" t="s">
        <v>3379</v>
      </c>
      <c r="G1485" s="265">
        <v>450000</v>
      </c>
      <c r="H1485" s="269">
        <v>1</v>
      </c>
      <c r="K1485" s="265">
        <v>450000</v>
      </c>
      <c r="M1485" s="269"/>
      <c r="N1485" t="s">
        <v>3916</v>
      </c>
    </row>
    <row r="1486" spans="1:14" x14ac:dyDescent="0.3">
      <c r="A1486" s="271">
        <v>1485</v>
      </c>
      <c r="B1486" s="264">
        <v>45903</v>
      </c>
      <c r="C1486" s="292" t="s">
        <v>1580</v>
      </c>
      <c r="E1486" s="292" t="s">
        <v>2187</v>
      </c>
      <c r="F1486" s="269" t="s">
        <v>1207</v>
      </c>
      <c r="G1486" s="265">
        <v>526364</v>
      </c>
      <c r="H1486" s="269">
        <v>1</v>
      </c>
      <c r="J1486" s="266">
        <v>52636</v>
      </c>
      <c r="K1486" s="265">
        <v>579000</v>
      </c>
      <c r="M1486" s="269"/>
    </row>
    <row r="1487" spans="1:14" x14ac:dyDescent="0.3">
      <c r="A1487" s="271">
        <v>1486</v>
      </c>
      <c r="B1487" s="264">
        <v>45903</v>
      </c>
      <c r="C1487" s="292" t="s">
        <v>1580</v>
      </c>
      <c r="E1487" s="292" t="s">
        <v>2190</v>
      </c>
      <c r="F1487" s="269">
        <v>50229</v>
      </c>
      <c r="G1487" s="265">
        <v>70000</v>
      </c>
      <c r="H1487" s="269">
        <v>1</v>
      </c>
      <c r="J1487" s="266">
        <v>7000</v>
      </c>
      <c r="K1487" s="265">
        <v>77000</v>
      </c>
      <c r="M1487" s="269"/>
    </row>
    <row r="1488" spans="1:14" x14ac:dyDescent="0.3">
      <c r="A1488" s="271">
        <v>1487</v>
      </c>
      <c r="B1488" s="264">
        <v>45903</v>
      </c>
      <c r="C1488" s="292" t="s">
        <v>3291</v>
      </c>
      <c r="E1488" s="292" t="s">
        <v>2180</v>
      </c>
      <c r="F1488" s="269" t="s">
        <v>1201</v>
      </c>
      <c r="G1488" s="265">
        <v>1500000</v>
      </c>
      <c r="H1488" s="269">
        <v>1</v>
      </c>
      <c r="J1488" s="266">
        <v>150000</v>
      </c>
      <c r="K1488" s="265">
        <v>1650000</v>
      </c>
      <c r="M1488" s="269"/>
      <c r="N1488" t="s">
        <v>3916</v>
      </c>
    </row>
    <row r="1489" spans="1:14" x14ac:dyDescent="0.3">
      <c r="A1489" s="271">
        <v>1488</v>
      </c>
      <c r="B1489" s="264">
        <v>45903</v>
      </c>
      <c r="C1489" s="292" t="s">
        <v>3447</v>
      </c>
      <c r="E1489" s="292" t="s">
        <v>3448</v>
      </c>
      <c r="F1489" s="269" t="s">
        <v>3449</v>
      </c>
      <c r="G1489" s="265">
        <v>1850000</v>
      </c>
      <c r="H1489" s="269">
        <v>1</v>
      </c>
      <c r="J1489" s="266" t="s">
        <v>3450</v>
      </c>
      <c r="K1489" s="265">
        <v>2035000</v>
      </c>
      <c r="M1489" s="269"/>
      <c r="N1489" t="s">
        <v>3916</v>
      </c>
    </row>
    <row r="1490" spans="1:14" x14ac:dyDescent="0.3">
      <c r="A1490" s="271">
        <v>1489</v>
      </c>
      <c r="B1490" s="264">
        <v>45903</v>
      </c>
      <c r="C1490" s="292" t="s">
        <v>3617</v>
      </c>
      <c r="E1490" s="292" t="s">
        <v>3618</v>
      </c>
      <c r="F1490" s="269" t="s">
        <v>3619</v>
      </c>
      <c r="G1490" s="265">
        <v>1850000</v>
      </c>
      <c r="H1490" s="269">
        <v>1</v>
      </c>
      <c r="J1490" s="266">
        <v>185000</v>
      </c>
      <c r="K1490" s="265">
        <v>2035000</v>
      </c>
      <c r="M1490" s="269"/>
      <c r="N1490" t="s">
        <v>3916</v>
      </c>
    </row>
    <row r="1491" spans="1:14" x14ac:dyDescent="0.3">
      <c r="A1491" s="271">
        <v>1490</v>
      </c>
      <c r="B1491" s="264">
        <v>45903</v>
      </c>
      <c r="C1491" s="292" t="s">
        <v>3390</v>
      </c>
      <c r="E1491" s="292">
        <v>7252830701</v>
      </c>
      <c r="G1491" s="265">
        <v>500000</v>
      </c>
      <c r="H1491" s="269">
        <v>1</v>
      </c>
      <c r="J1491" s="266">
        <v>50000</v>
      </c>
      <c r="K1491" s="265">
        <v>550000</v>
      </c>
      <c r="M1491" s="269"/>
      <c r="N1491" t="s">
        <v>3916</v>
      </c>
    </row>
    <row r="1492" spans="1:14" x14ac:dyDescent="0.3">
      <c r="A1492" s="271">
        <v>1491</v>
      </c>
      <c r="B1492" s="264">
        <v>45903</v>
      </c>
      <c r="C1492" s="292" t="s">
        <v>1747</v>
      </c>
      <c r="E1492" s="292" t="s">
        <v>1862</v>
      </c>
      <c r="F1492" s="269">
        <v>501218962</v>
      </c>
      <c r="G1492" s="265">
        <v>1600000</v>
      </c>
      <c r="H1492" s="269">
        <v>1</v>
      </c>
      <c r="J1492" s="266">
        <v>160000</v>
      </c>
      <c r="K1492" s="265">
        <v>1760000</v>
      </c>
      <c r="M1492" s="269"/>
      <c r="N1492" t="s">
        <v>3916</v>
      </c>
    </row>
    <row r="1493" spans="1:14" x14ac:dyDescent="0.3">
      <c r="A1493" s="271">
        <v>1492</v>
      </c>
      <c r="B1493" s="264">
        <v>45903</v>
      </c>
      <c r="C1493" s="292" t="s">
        <v>3617</v>
      </c>
      <c r="E1493" s="292" t="s">
        <v>3620</v>
      </c>
      <c r="G1493" s="265">
        <v>150000</v>
      </c>
      <c r="H1493" s="269">
        <v>1</v>
      </c>
      <c r="J1493" s="266" t="s">
        <v>3621</v>
      </c>
      <c r="K1493" s="265">
        <v>165000</v>
      </c>
      <c r="M1493" s="269"/>
      <c r="N1493" t="s">
        <v>3916</v>
      </c>
    </row>
    <row r="1494" spans="1:14" x14ac:dyDescent="0.3">
      <c r="A1494" s="271">
        <v>1493</v>
      </c>
      <c r="B1494" s="264">
        <v>45903</v>
      </c>
      <c r="C1494" s="292" t="s">
        <v>1847</v>
      </c>
      <c r="E1494" s="292" t="s">
        <v>2814</v>
      </c>
      <c r="F1494" s="269">
        <v>28120504</v>
      </c>
      <c r="G1494" s="265">
        <v>1150000</v>
      </c>
      <c r="H1494" s="269">
        <v>1</v>
      </c>
      <c r="K1494" s="265">
        <v>1150000</v>
      </c>
      <c r="M1494" s="269" t="s">
        <v>3397</v>
      </c>
      <c r="N1494" t="s">
        <v>3916</v>
      </c>
    </row>
    <row r="1495" spans="1:14" x14ac:dyDescent="0.3">
      <c r="A1495" s="271">
        <v>1494</v>
      </c>
      <c r="B1495" s="264">
        <v>45903</v>
      </c>
      <c r="C1495" s="292" t="s">
        <v>1747</v>
      </c>
      <c r="E1495" s="292" t="s">
        <v>1519</v>
      </c>
      <c r="G1495" s="265">
        <v>20000</v>
      </c>
      <c r="H1495" s="269">
        <v>1</v>
      </c>
      <c r="J1495" s="266">
        <v>2000</v>
      </c>
      <c r="K1495" s="265">
        <v>22000</v>
      </c>
      <c r="M1495" s="269"/>
      <c r="N1495" t="s">
        <v>3916</v>
      </c>
    </row>
    <row r="1496" spans="1:14" x14ac:dyDescent="0.3">
      <c r="A1496" s="271">
        <v>1495</v>
      </c>
      <c r="B1496" s="264">
        <v>45899</v>
      </c>
      <c r="C1496" s="292" t="s">
        <v>1747</v>
      </c>
      <c r="E1496" s="292" t="s">
        <v>1519</v>
      </c>
      <c r="G1496" s="265">
        <v>20000</v>
      </c>
      <c r="H1496" s="269">
        <v>1</v>
      </c>
      <c r="J1496" s="266">
        <v>2000</v>
      </c>
      <c r="K1496" s="265">
        <v>22000</v>
      </c>
      <c r="N1496" t="s">
        <v>3484</v>
      </c>
    </row>
    <row r="1497" spans="1:14" x14ac:dyDescent="0.3">
      <c r="A1497" s="271">
        <v>1496</v>
      </c>
      <c r="B1497" s="264">
        <v>45904</v>
      </c>
      <c r="C1497" s="292" t="s">
        <v>3430</v>
      </c>
      <c r="E1497" s="292" t="s">
        <v>3431</v>
      </c>
      <c r="L1497" s="265">
        <v>-550000</v>
      </c>
      <c r="M1497" s="269"/>
    </row>
    <row r="1498" spans="1:14" x14ac:dyDescent="0.3">
      <c r="A1498" s="271">
        <v>1497</v>
      </c>
      <c r="B1498" s="264">
        <v>45904</v>
      </c>
      <c r="C1498" s="292" t="s">
        <v>1498</v>
      </c>
      <c r="E1498" s="292" t="s">
        <v>1800</v>
      </c>
      <c r="L1498" s="265">
        <v>-450000</v>
      </c>
      <c r="M1498" s="269"/>
    </row>
    <row r="1499" spans="1:14" x14ac:dyDescent="0.3">
      <c r="A1499" s="271">
        <v>1498</v>
      </c>
      <c r="B1499" s="264">
        <v>45904</v>
      </c>
      <c r="C1499" s="292" t="s">
        <v>3291</v>
      </c>
      <c r="E1499" s="292" t="s">
        <v>1800</v>
      </c>
      <c r="L1499" s="265">
        <v>-1650000</v>
      </c>
      <c r="M1499" s="269"/>
    </row>
    <row r="1500" spans="1:14" x14ac:dyDescent="0.3">
      <c r="A1500" s="271">
        <v>1499</v>
      </c>
      <c r="B1500" s="264">
        <v>45904</v>
      </c>
      <c r="C1500" s="292" t="s">
        <v>2319</v>
      </c>
      <c r="E1500" s="292" t="s">
        <v>1800</v>
      </c>
      <c r="L1500" s="265">
        <v>-2200000</v>
      </c>
      <c r="M1500" s="269"/>
    </row>
    <row r="1501" spans="1:14" x14ac:dyDescent="0.3">
      <c r="A1501" s="271">
        <v>1500</v>
      </c>
      <c r="B1501" s="264">
        <v>45904</v>
      </c>
      <c r="C1501" s="292" t="s">
        <v>3399</v>
      </c>
      <c r="E1501" s="292" t="s">
        <v>1561</v>
      </c>
      <c r="F1501" s="269" t="s">
        <v>1768</v>
      </c>
      <c r="G1501" s="265">
        <v>1300000</v>
      </c>
      <c r="H1501" s="269">
        <v>1</v>
      </c>
      <c r="K1501" s="265">
        <v>1300000</v>
      </c>
      <c r="N1501" t="s">
        <v>3916</v>
      </c>
    </row>
    <row r="1502" spans="1:14" x14ac:dyDescent="0.3">
      <c r="A1502" s="271">
        <v>1501</v>
      </c>
      <c r="B1502" s="264">
        <v>45904</v>
      </c>
      <c r="C1502" s="292" t="s">
        <v>1473</v>
      </c>
      <c r="E1502" s="292" t="s">
        <v>1668</v>
      </c>
      <c r="G1502" s="265">
        <v>100000</v>
      </c>
      <c r="H1502" s="269">
        <v>1</v>
      </c>
      <c r="K1502" s="265">
        <v>100000</v>
      </c>
      <c r="N1502" t="s">
        <v>3916</v>
      </c>
    </row>
    <row r="1503" spans="1:14" x14ac:dyDescent="0.3">
      <c r="A1503" s="271">
        <v>1502</v>
      </c>
      <c r="B1503" s="264">
        <v>45904</v>
      </c>
      <c r="C1503" s="292" t="s">
        <v>1494</v>
      </c>
      <c r="E1503" s="292" t="s">
        <v>2299</v>
      </c>
      <c r="G1503" s="265">
        <v>650000</v>
      </c>
      <c r="H1503" s="269">
        <v>1</v>
      </c>
      <c r="K1503" s="265">
        <v>650000</v>
      </c>
      <c r="N1503" t="s">
        <v>3916</v>
      </c>
    </row>
    <row r="1504" spans="1:14" x14ac:dyDescent="0.3">
      <c r="A1504" s="271">
        <v>1503</v>
      </c>
      <c r="B1504" s="264">
        <v>45904</v>
      </c>
      <c r="C1504" s="292" t="s">
        <v>1494</v>
      </c>
      <c r="E1504" s="292" t="s">
        <v>1496</v>
      </c>
      <c r="F1504" s="269" t="s">
        <v>2679</v>
      </c>
      <c r="G1504" s="265">
        <v>350000</v>
      </c>
      <c r="H1504" s="269">
        <v>1</v>
      </c>
      <c r="K1504" s="265">
        <v>350000</v>
      </c>
      <c r="N1504" t="s">
        <v>3916</v>
      </c>
    </row>
    <row r="1505" spans="1:14" x14ac:dyDescent="0.3">
      <c r="A1505" s="271">
        <v>1504</v>
      </c>
      <c r="B1505" s="264">
        <v>45904</v>
      </c>
      <c r="C1505" s="292" t="s">
        <v>1494</v>
      </c>
      <c r="E1505" s="292" t="s">
        <v>3416</v>
      </c>
      <c r="F1505" s="269" t="s">
        <v>3415</v>
      </c>
      <c r="G1505" s="265">
        <v>1500000</v>
      </c>
      <c r="H1505" s="269">
        <v>1</v>
      </c>
      <c r="K1505" s="265">
        <v>1500000</v>
      </c>
      <c r="N1505" t="s">
        <v>3916</v>
      </c>
    </row>
    <row r="1506" spans="1:14" x14ac:dyDescent="0.3">
      <c r="A1506" s="271">
        <v>1505</v>
      </c>
      <c r="B1506" s="264">
        <v>45904</v>
      </c>
      <c r="C1506" s="292" t="s">
        <v>3406</v>
      </c>
      <c r="E1506" s="292" t="s">
        <v>2413</v>
      </c>
      <c r="F1506" s="269">
        <v>1087298441</v>
      </c>
      <c r="G1506" s="265">
        <v>35000</v>
      </c>
      <c r="H1506" s="269">
        <v>1</v>
      </c>
      <c r="K1506" s="265">
        <v>35000</v>
      </c>
      <c r="N1506" t="s">
        <v>3916</v>
      </c>
    </row>
    <row r="1507" spans="1:14" x14ac:dyDescent="0.3">
      <c r="A1507" s="271">
        <v>1506</v>
      </c>
      <c r="B1507" s="264">
        <v>45904</v>
      </c>
      <c r="C1507" s="292" t="s">
        <v>3406</v>
      </c>
      <c r="E1507" s="292" t="s">
        <v>1266</v>
      </c>
      <c r="F1507" s="269" t="s">
        <v>1265</v>
      </c>
      <c r="G1507" s="265">
        <v>50000</v>
      </c>
      <c r="H1507" s="269">
        <v>1</v>
      </c>
      <c r="K1507" s="265">
        <v>50000</v>
      </c>
      <c r="N1507" t="s">
        <v>3916</v>
      </c>
    </row>
    <row r="1508" spans="1:14" x14ac:dyDescent="0.3">
      <c r="A1508" s="271">
        <v>1507</v>
      </c>
      <c r="B1508" s="264">
        <v>45904</v>
      </c>
      <c r="C1508" s="292" t="s">
        <v>1479</v>
      </c>
      <c r="E1508" s="292" t="s">
        <v>1743</v>
      </c>
      <c r="G1508" s="265">
        <v>1100000</v>
      </c>
      <c r="H1508" s="269">
        <v>1</v>
      </c>
      <c r="K1508" s="265">
        <v>1100000</v>
      </c>
      <c r="N1508" t="s">
        <v>3916</v>
      </c>
    </row>
    <row r="1509" spans="1:14" x14ac:dyDescent="0.3">
      <c r="A1509" s="271">
        <v>1508</v>
      </c>
      <c r="B1509" s="264">
        <v>45904</v>
      </c>
      <c r="C1509" s="292" t="s">
        <v>2916</v>
      </c>
      <c r="E1509" s="292" t="s">
        <v>2137</v>
      </c>
      <c r="F1509" s="269">
        <v>2830502</v>
      </c>
      <c r="G1509" s="265">
        <v>1650000</v>
      </c>
      <c r="H1509" s="269">
        <v>1</v>
      </c>
      <c r="K1509" s="265">
        <v>1650000</v>
      </c>
      <c r="N1509" t="s">
        <v>3916</v>
      </c>
    </row>
    <row r="1510" spans="1:14" x14ac:dyDescent="0.3">
      <c r="A1510" s="271">
        <v>1509</v>
      </c>
      <c r="B1510" s="264">
        <v>45904</v>
      </c>
      <c r="C1510" s="292" t="s">
        <v>1473</v>
      </c>
      <c r="E1510" s="292" t="s">
        <v>2180</v>
      </c>
      <c r="F1510" s="269" t="s">
        <v>1201</v>
      </c>
      <c r="G1510" s="265">
        <v>1500000</v>
      </c>
      <c r="H1510" s="269">
        <v>1</v>
      </c>
      <c r="K1510" s="265">
        <v>1500000</v>
      </c>
      <c r="N1510" t="s">
        <v>3916</v>
      </c>
    </row>
    <row r="1511" spans="1:14" x14ac:dyDescent="0.3">
      <c r="A1511" s="271">
        <v>1510</v>
      </c>
      <c r="B1511" s="264">
        <v>45904</v>
      </c>
      <c r="C1511" s="292" t="s">
        <v>1722</v>
      </c>
      <c r="E1511" s="292" t="s">
        <v>2091</v>
      </c>
      <c r="F1511" s="269">
        <v>1068298044</v>
      </c>
      <c r="G1511" s="265">
        <v>400000</v>
      </c>
      <c r="H1511" s="269">
        <v>1</v>
      </c>
      <c r="K1511" s="265">
        <v>400000</v>
      </c>
      <c r="N1511" t="s">
        <v>3916</v>
      </c>
    </row>
    <row r="1512" spans="1:14" x14ac:dyDescent="0.3">
      <c r="A1512" s="271">
        <v>1511</v>
      </c>
      <c r="B1512" s="264">
        <v>45904</v>
      </c>
      <c r="C1512" s="292" t="s">
        <v>1479</v>
      </c>
      <c r="E1512" s="292" t="s">
        <v>1125</v>
      </c>
      <c r="L1512" s="265">
        <v>-1100000</v>
      </c>
    </row>
    <row r="1513" spans="1:14" x14ac:dyDescent="0.3">
      <c r="A1513" s="271">
        <v>1512</v>
      </c>
      <c r="B1513" s="264">
        <v>45904</v>
      </c>
      <c r="C1513" s="292" t="s">
        <v>3399</v>
      </c>
      <c r="E1513" s="292" t="s">
        <v>1125</v>
      </c>
      <c r="L1513" s="265">
        <v>-1300000</v>
      </c>
    </row>
    <row r="1514" spans="1:14" x14ac:dyDescent="0.3">
      <c r="A1514" s="271">
        <v>1513</v>
      </c>
      <c r="B1514" s="264">
        <v>45904</v>
      </c>
      <c r="C1514" s="292" t="s">
        <v>2916</v>
      </c>
      <c r="E1514" s="292" t="s">
        <v>1125</v>
      </c>
      <c r="L1514" s="265">
        <v>-1650000</v>
      </c>
    </row>
    <row r="1515" spans="1:14" x14ac:dyDescent="0.3">
      <c r="A1515" s="271">
        <v>1514</v>
      </c>
      <c r="B1515" s="264">
        <v>45904</v>
      </c>
      <c r="C1515" s="292" t="s">
        <v>1494</v>
      </c>
      <c r="E1515" s="292" t="s">
        <v>3432</v>
      </c>
      <c r="L1515" s="265">
        <v>-2300000</v>
      </c>
    </row>
    <row r="1516" spans="1:14" x14ac:dyDescent="0.3">
      <c r="A1516" s="271">
        <v>1515</v>
      </c>
      <c r="B1516" s="264">
        <v>45905</v>
      </c>
      <c r="C1516" s="292" t="s">
        <v>1847</v>
      </c>
      <c r="E1516" s="292" t="s">
        <v>1746</v>
      </c>
      <c r="L1516" s="265">
        <v>-1150000</v>
      </c>
    </row>
    <row r="1517" spans="1:14" x14ac:dyDescent="0.3">
      <c r="A1517" s="271">
        <v>1516</v>
      </c>
      <c r="B1517" s="264">
        <v>45905</v>
      </c>
      <c r="C1517" s="292" t="s">
        <v>1747</v>
      </c>
      <c r="E1517" s="292" t="s">
        <v>3433</v>
      </c>
      <c r="L1517" s="265">
        <v>-3679500</v>
      </c>
    </row>
    <row r="1518" spans="1:14" x14ac:dyDescent="0.3">
      <c r="A1518" s="271">
        <v>1517</v>
      </c>
      <c r="B1518" s="264">
        <v>45905</v>
      </c>
      <c r="C1518" s="292" t="s">
        <v>1015</v>
      </c>
      <c r="E1518" s="292" t="s">
        <v>3434</v>
      </c>
      <c r="L1518" s="265">
        <v>-1866000</v>
      </c>
    </row>
    <row r="1519" spans="1:14" x14ac:dyDescent="0.3">
      <c r="A1519" s="271">
        <v>1518</v>
      </c>
      <c r="B1519" s="264">
        <v>45895</v>
      </c>
      <c r="C1519" s="292" t="s">
        <v>1015</v>
      </c>
      <c r="E1519" s="292" t="s">
        <v>2186</v>
      </c>
      <c r="F1519" s="269" t="s">
        <v>1200</v>
      </c>
      <c r="G1519" s="265">
        <v>1400000</v>
      </c>
      <c r="H1519" s="269">
        <v>1</v>
      </c>
      <c r="J1519" s="266">
        <v>140000</v>
      </c>
      <c r="K1519" s="265">
        <v>-1540000</v>
      </c>
      <c r="M1519" s="292" t="s">
        <v>3435</v>
      </c>
      <c r="N1519" t="s">
        <v>3484</v>
      </c>
    </row>
    <row r="1520" spans="1:14" x14ac:dyDescent="0.3">
      <c r="A1520" s="271">
        <v>1519</v>
      </c>
      <c r="B1520" s="264">
        <v>45905</v>
      </c>
      <c r="C1520" s="292" t="s">
        <v>1467</v>
      </c>
      <c r="E1520" s="292" t="s">
        <v>2158</v>
      </c>
      <c r="G1520" s="265">
        <v>1000000</v>
      </c>
      <c r="H1520" s="269">
        <v>1</v>
      </c>
      <c r="J1520" s="266">
        <v>100000</v>
      </c>
      <c r="K1520" s="265">
        <v>1100000</v>
      </c>
    </row>
    <row r="1521" spans="1:14" x14ac:dyDescent="0.3">
      <c r="A1521" s="271">
        <v>1520</v>
      </c>
      <c r="B1521" s="264">
        <v>45905</v>
      </c>
      <c r="C1521" s="292" t="s">
        <v>1018</v>
      </c>
      <c r="E1521" s="292" t="s">
        <v>1203</v>
      </c>
      <c r="F1521" s="269" t="s">
        <v>1752</v>
      </c>
      <c r="G1521" s="265">
        <v>1200000</v>
      </c>
      <c r="H1521" s="269">
        <v>1</v>
      </c>
      <c r="K1521" s="265">
        <v>1200000</v>
      </c>
      <c r="N1521" t="s">
        <v>3916</v>
      </c>
    </row>
    <row r="1522" spans="1:14" x14ac:dyDescent="0.3">
      <c r="A1522" s="271">
        <v>1521</v>
      </c>
      <c r="B1522" s="264">
        <v>45905</v>
      </c>
      <c r="C1522" s="292" t="s">
        <v>1444</v>
      </c>
      <c r="E1522" s="292" t="s">
        <v>2032</v>
      </c>
      <c r="G1522" s="265">
        <v>1000000</v>
      </c>
      <c r="H1522" s="269">
        <v>1</v>
      </c>
      <c r="K1522" s="265">
        <v>1000000</v>
      </c>
      <c r="N1522" t="s">
        <v>3916</v>
      </c>
    </row>
    <row r="1523" spans="1:14" x14ac:dyDescent="0.3">
      <c r="A1523" s="271">
        <v>1522</v>
      </c>
      <c r="B1523" s="264">
        <v>45905</v>
      </c>
      <c r="C1523" s="292" t="s">
        <v>1444</v>
      </c>
      <c r="E1523" s="292" t="s">
        <v>2833</v>
      </c>
      <c r="F1523" s="269">
        <v>1087298388</v>
      </c>
      <c r="G1523" s="265">
        <v>500000</v>
      </c>
      <c r="H1523" s="269">
        <v>1</v>
      </c>
      <c r="K1523" s="265">
        <v>500000</v>
      </c>
      <c r="N1523" t="s">
        <v>3916</v>
      </c>
    </row>
    <row r="1524" spans="1:14" x14ac:dyDescent="0.3">
      <c r="A1524" s="271">
        <v>1523</v>
      </c>
      <c r="B1524" s="264">
        <v>45905</v>
      </c>
      <c r="C1524" s="292" t="s">
        <v>1444</v>
      </c>
      <c r="E1524" s="292" t="s">
        <v>3438</v>
      </c>
      <c r="F1524" s="269">
        <v>1087298437</v>
      </c>
      <c r="G1524" s="265">
        <v>80000</v>
      </c>
      <c r="H1524" s="269">
        <v>1</v>
      </c>
      <c r="K1524" s="265">
        <v>80000</v>
      </c>
      <c r="N1524" t="s">
        <v>3916</v>
      </c>
    </row>
    <row r="1525" spans="1:14" x14ac:dyDescent="0.3">
      <c r="A1525" s="271">
        <v>1524</v>
      </c>
      <c r="B1525" s="264">
        <v>45905</v>
      </c>
      <c r="C1525" s="292" t="s">
        <v>1306</v>
      </c>
      <c r="E1525" s="292" t="s">
        <v>3051</v>
      </c>
      <c r="F1525" s="269" t="s">
        <v>1952</v>
      </c>
      <c r="G1525" s="265">
        <v>1000000</v>
      </c>
      <c r="H1525" s="269">
        <v>1</v>
      </c>
      <c r="K1525" s="265">
        <v>1000000</v>
      </c>
      <c r="N1525" t="s">
        <v>3916</v>
      </c>
    </row>
    <row r="1526" spans="1:14" x14ac:dyDescent="0.3">
      <c r="A1526" s="271">
        <v>1525</v>
      </c>
      <c r="B1526" s="264">
        <v>45905</v>
      </c>
      <c r="C1526" s="292" t="s">
        <v>1722</v>
      </c>
      <c r="E1526" s="292" t="s">
        <v>3441</v>
      </c>
      <c r="G1526" s="265">
        <v>750000</v>
      </c>
      <c r="H1526" s="269">
        <v>1</v>
      </c>
      <c r="K1526" s="265">
        <v>750000</v>
      </c>
      <c r="N1526" t="s">
        <v>3916</v>
      </c>
    </row>
    <row r="1527" spans="1:14" x14ac:dyDescent="0.3">
      <c r="A1527" s="271">
        <v>1526</v>
      </c>
      <c r="B1527" s="264">
        <v>45905</v>
      </c>
      <c r="C1527" s="292" t="s">
        <v>1722</v>
      </c>
      <c r="E1527" s="292" t="s">
        <v>1549</v>
      </c>
      <c r="F1527" s="269">
        <v>24152333903</v>
      </c>
      <c r="G1527" s="265">
        <v>50000</v>
      </c>
      <c r="H1527" s="269">
        <v>2</v>
      </c>
      <c r="K1527" s="265">
        <v>100000</v>
      </c>
      <c r="N1527" t="s">
        <v>3916</v>
      </c>
    </row>
    <row r="1528" spans="1:14" x14ac:dyDescent="0.3">
      <c r="A1528" s="271">
        <v>1527</v>
      </c>
      <c r="B1528" s="264">
        <v>45905</v>
      </c>
      <c r="C1528" s="292" t="s">
        <v>3149</v>
      </c>
      <c r="E1528" s="292" t="s">
        <v>1759</v>
      </c>
      <c r="F1528" s="269">
        <v>501220639</v>
      </c>
      <c r="G1528" s="265">
        <v>250000</v>
      </c>
      <c r="H1528" s="269">
        <v>1</v>
      </c>
      <c r="K1528" s="265">
        <v>250000</v>
      </c>
      <c r="N1528" t="s">
        <v>3916</v>
      </c>
    </row>
    <row r="1529" spans="1:14" x14ac:dyDescent="0.3">
      <c r="A1529" s="271">
        <v>1528</v>
      </c>
      <c r="B1529" s="264">
        <v>45905</v>
      </c>
      <c r="C1529" s="292" t="s">
        <v>3149</v>
      </c>
      <c r="E1529" s="292" t="s">
        <v>2112</v>
      </c>
      <c r="F1529" s="269" t="s">
        <v>2582</v>
      </c>
      <c r="G1529" s="265">
        <v>65000</v>
      </c>
      <c r="H1529" s="269">
        <v>1</v>
      </c>
      <c r="K1529" s="265">
        <v>65000</v>
      </c>
      <c r="N1529" t="s">
        <v>3916</v>
      </c>
    </row>
    <row r="1530" spans="1:14" x14ac:dyDescent="0.3">
      <c r="A1530" s="271">
        <v>1529</v>
      </c>
      <c r="B1530" s="264">
        <v>45905</v>
      </c>
      <c r="C1530" s="290" t="s">
        <v>3452</v>
      </c>
      <c r="E1530" s="292" t="s">
        <v>2182</v>
      </c>
      <c r="F1530" s="269" t="s">
        <v>2217</v>
      </c>
      <c r="G1530" s="265">
        <v>250000</v>
      </c>
      <c r="H1530" s="269">
        <v>1</v>
      </c>
      <c r="K1530" s="265">
        <v>250000</v>
      </c>
      <c r="N1530" t="s">
        <v>3916</v>
      </c>
    </row>
    <row r="1531" spans="1:14" x14ac:dyDescent="0.3">
      <c r="A1531" s="271">
        <v>1530</v>
      </c>
      <c r="B1531" s="264">
        <v>45905</v>
      </c>
      <c r="C1531" s="292" t="s">
        <v>1399</v>
      </c>
      <c r="E1531" s="292" t="s">
        <v>1203</v>
      </c>
      <c r="F1531" s="269" t="s">
        <v>1752</v>
      </c>
      <c r="G1531" s="265">
        <v>1200000</v>
      </c>
      <c r="H1531" s="269">
        <v>1</v>
      </c>
      <c r="K1531" s="265">
        <v>1200000</v>
      </c>
      <c r="N1531" t="s">
        <v>3916</v>
      </c>
    </row>
    <row r="1532" spans="1:14" x14ac:dyDescent="0.3">
      <c r="A1532" s="271">
        <v>1531</v>
      </c>
      <c r="B1532" s="264">
        <v>45905</v>
      </c>
      <c r="C1532" s="292" t="s">
        <v>1399</v>
      </c>
      <c r="E1532" s="292" t="s">
        <v>2840</v>
      </c>
      <c r="F1532" s="269" t="s">
        <v>2750</v>
      </c>
      <c r="G1532" s="265">
        <v>129000</v>
      </c>
      <c r="H1532" s="269">
        <v>1</v>
      </c>
      <c r="K1532" s="265">
        <v>129000</v>
      </c>
      <c r="N1532" t="s">
        <v>3916</v>
      </c>
    </row>
    <row r="1533" spans="1:14" x14ac:dyDescent="0.3">
      <c r="A1533" s="271">
        <v>1532</v>
      </c>
      <c r="B1533" s="264">
        <v>45905</v>
      </c>
      <c r="C1533" s="292" t="s">
        <v>1449</v>
      </c>
      <c r="E1533" s="292" t="s">
        <v>1125</v>
      </c>
      <c r="L1533" s="265">
        <v>-2035000</v>
      </c>
    </row>
    <row r="1534" spans="1:14" x14ac:dyDescent="0.3">
      <c r="A1534" s="271">
        <v>1533</v>
      </c>
      <c r="B1534" s="264">
        <v>45905</v>
      </c>
      <c r="C1534" s="292" t="s">
        <v>1473</v>
      </c>
      <c r="E1534" s="292" t="s">
        <v>1746</v>
      </c>
      <c r="L1534" s="265">
        <v>-3100000</v>
      </c>
    </row>
    <row r="1535" spans="1:14" x14ac:dyDescent="0.3">
      <c r="A1535" s="271">
        <v>1534</v>
      </c>
      <c r="B1535" s="264">
        <v>45905</v>
      </c>
      <c r="C1535" s="292" t="s">
        <v>3149</v>
      </c>
      <c r="E1535" s="292" t="s">
        <v>1746</v>
      </c>
      <c r="L1535" s="265">
        <v>-315000</v>
      </c>
    </row>
    <row r="1536" spans="1:14" x14ac:dyDescent="0.3">
      <c r="A1536" s="271">
        <v>1535</v>
      </c>
      <c r="B1536" s="264">
        <v>45905</v>
      </c>
      <c r="C1536" s="290" t="s">
        <v>3452</v>
      </c>
      <c r="E1536" s="292" t="s">
        <v>1746</v>
      </c>
      <c r="L1536" s="265">
        <v>-250000</v>
      </c>
    </row>
    <row r="1537" spans="1:14" x14ac:dyDescent="0.3">
      <c r="A1537" s="271">
        <v>1536</v>
      </c>
      <c r="B1537" s="264">
        <v>45905</v>
      </c>
      <c r="C1537" s="292" t="s">
        <v>1473</v>
      </c>
      <c r="E1537" s="292" t="s">
        <v>2187</v>
      </c>
      <c r="F1537" s="269" t="s">
        <v>1207</v>
      </c>
      <c r="G1537" s="265">
        <v>520000</v>
      </c>
      <c r="H1537" s="269">
        <v>2</v>
      </c>
      <c r="K1537" s="265">
        <v>1040000</v>
      </c>
      <c r="N1537" t="s">
        <v>3916</v>
      </c>
    </row>
    <row r="1538" spans="1:14" x14ac:dyDescent="0.3">
      <c r="A1538" s="271">
        <v>1537</v>
      </c>
      <c r="B1538" s="264">
        <v>45904</v>
      </c>
      <c r="C1538" s="292" t="s">
        <v>3406</v>
      </c>
      <c r="E1538" s="292" t="s">
        <v>1746</v>
      </c>
      <c r="L1538" s="265">
        <v>-85000</v>
      </c>
    </row>
    <row r="1539" spans="1:14" x14ac:dyDescent="0.3">
      <c r="A1539" s="271">
        <v>1538</v>
      </c>
      <c r="B1539" s="264">
        <v>45906</v>
      </c>
      <c r="C1539" s="292" t="s">
        <v>3459</v>
      </c>
      <c r="E1539" s="292" t="s">
        <v>3466</v>
      </c>
      <c r="F1539" s="269" t="s">
        <v>1207</v>
      </c>
      <c r="G1539" s="265">
        <v>530000</v>
      </c>
      <c r="H1539" s="269">
        <v>1</v>
      </c>
      <c r="K1539" s="265">
        <v>530000</v>
      </c>
      <c r="N1539" t="s">
        <v>3916</v>
      </c>
    </row>
    <row r="1540" spans="1:14" x14ac:dyDescent="0.3">
      <c r="A1540" s="271">
        <v>1539</v>
      </c>
      <c r="B1540" s="264">
        <v>45906</v>
      </c>
      <c r="C1540" s="292" t="s">
        <v>3459</v>
      </c>
      <c r="E1540" s="292" t="s">
        <v>2190</v>
      </c>
      <c r="F1540" s="269">
        <v>50229</v>
      </c>
      <c r="G1540" s="265">
        <v>70000</v>
      </c>
      <c r="H1540" s="269">
        <v>1</v>
      </c>
      <c r="K1540" s="265">
        <v>70000</v>
      </c>
      <c r="N1540" t="s">
        <v>3916</v>
      </c>
    </row>
    <row r="1541" spans="1:14" x14ac:dyDescent="0.3">
      <c r="A1541" s="271">
        <v>1540</v>
      </c>
      <c r="B1541" s="264">
        <v>45906</v>
      </c>
      <c r="C1541" s="292" t="s">
        <v>3459</v>
      </c>
      <c r="E1541" s="292" t="s">
        <v>2191</v>
      </c>
      <c r="F1541" s="269" t="s">
        <v>1795</v>
      </c>
      <c r="G1541" s="265">
        <v>35000</v>
      </c>
      <c r="H1541" s="269">
        <v>1</v>
      </c>
      <c r="K1541" s="265">
        <v>35000</v>
      </c>
      <c r="N1541" t="s">
        <v>3916</v>
      </c>
    </row>
    <row r="1542" spans="1:14" x14ac:dyDescent="0.3">
      <c r="A1542" s="271">
        <v>1541</v>
      </c>
      <c r="B1542" s="264">
        <v>45906</v>
      </c>
      <c r="C1542" s="292" t="s">
        <v>3459</v>
      </c>
      <c r="E1542" s="292" t="s">
        <v>2192</v>
      </c>
      <c r="F1542" s="269" t="s">
        <v>1822</v>
      </c>
      <c r="G1542" s="265">
        <v>10000</v>
      </c>
      <c r="H1542" s="269">
        <v>1</v>
      </c>
      <c r="K1542" s="265">
        <v>10000</v>
      </c>
      <c r="N1542" t="s">
        <v>3916</v>
      </c>
    </row>
    <row r="1543" spans="1:14" x14ac:dyDescent="0.3">
      <c r="A1543" s="271">
        <v>1542</v>
      </c>
      <c r="B1543" s="264">
        <v>45906</v>
      </c>
      <c r="C1543" s="292" t="s">
        <v>2998</v>
      </c>
      <c r="E1543" s="292" t="s">
        <v>3469</v>
      </c>
      <c r="G1543" s="265">
        <v>100000</v>
      </c>
      <c r="H1543" s="269">
        <v>1</v>
      </c>
      <c r="K1543" s="265">
        <v>100000</v>
      </c>
      <c r="N1543" t="s">
        <v>3916</v>
      </c>
    </row>
    <row r="1544" spans="1:14" x14ac:dyDescent="0.3">
      <c r="A1544" s="271">
        <v>1543</v>
      </c>
      <c r="B1544" s="264">
        <v>45906</v>
      </c>
      <c r="C1544" s="292" t="s">
        <v>3462</v>
      </c>
      <c r="E1544" s="292" t="s">
        <v>3471</v>
      </c>
      <c r="F1544" s="269" t="s">
        <v>1563</v>
      </c>
      <c r="G1544" s="265">
        <v>600000</v>
      </c>
      <c r="H1544" s="269">
        <v>1</v>
      </c>
      <c r="K1544" s="265">
        <v>600000</v>
      </c>
      <c r="N1544" t="s">
        <v>3916</v>
      </c>
    </row>
    <row r="1545" spans="1:14" x14ac:dyDescent="0.3">
      <c r="A1545" s="271">
        <v>1544</v>
      </c>
      <c r="B1545" s="264">
        <v>45906</v>
      </c>
      <c r="C1545" s="292" t="s">
        <v>3459</v>
      </c>
      <c r="E1545" s="292" t="s">
        <v>1125</v>
      </c>
      <c r="L1545" s="265">
        <v>-645000</v>
      </c>
    </row>
    <row r="1546" spans="1:14" x14ac:dyDescent="0.3">
      <c r="A1546" s="271">
        <v>1545</v>
      </c>
      <c r="B1546" s="264">
        <v>45906</v>
      </c>
      <c r="C1546" s="292" t="s">
        <v>3462</v>
      </c>
      <c r="E1546" s="292" t="s">
        <v>1800</v>
      </c>
      <c r="L1546" s="265">
        <v>-600000</v>
      </c>
    </row>
    <row r="1547" spans="1:14" x14ac:dyDescent="0.3">
      <c r="A1547" s="271">
        <v>1546</v>
      </c>
      <c r="B1547" s="264">
        <v>45908</v>
      </c>
      <c r="C1547" s="292" t="s">
        <v>1306</v>
      </c>
      <c r="E1547" s="292" t="s">
        <v>1800</v>
      </c>
      <c r="L1547" s="265">
        <v>-1000000</v>
      </c>
    </row>
    <row r="1548" spans="1:14" x14ac:dyDescent="0.3">
      <c r="A1548" s="271">
        <v>1547</v>
      </c>
      <c r="B1548" s="264">
        <v>45908</v>
      </c>
      <c r="C1548" s="292" t="s">
        <v>1596</v>
      </c>
      <c r="E1548" s="292" t="s">
        <v>1800</v>
      </c>
      <c r="L1548" s="265">
        <v>-1320000</v>
      </c>
    </row>
    <row r="1549" spans="1:14" x14ac:dyDescent="0.3">
      <c r="A1549" s="271">
        <v>1548</v>
      </c>
      <c r="B1549" s="264">
        <v>45908</v>
      </c>
      <c r="C1549" s="292" t="s">
        <v>1494</v>
      </c>
      <c r="E1549" s="292" t="s">
        <v>3473</v>
      </c>
      <c r="F1549" s="269" t="s">
        <v>1206</v>
      </c>
      <c r="G1549" s="265">
        <v>100000</v>
      </c>
      <c r="H1549" s="269">
        <v>1</v>
      </c>
      <c r="K1549" s="265">
        <v>100000</v>
      </c>
      <c r="N1549" t="s">
        <v>3916</v>
      </c>
    </row>
    <row r="1550" spans="1:14" x14ac:dyDescent="0.3">
      <c r="A1550" s="271">
        <v>1549</v>
      </c>
      <c r="B1550" s="264">
        <v>45908</v>
      </c>
      <c r="C1550" s="292" t="s">
        <v>1586</v>
      </c>
      <c r="E1550" s="292" t="s">
        <v>2107</v>
      </c>
      <c r="F1550" s="269">
        <v>36050661</v>
      </c>
      <c r="G1550" s="265">
        <v>1200000</v>
      </c>
      <c r="H1550" s="269">
        <v>1</v>
      </c>
      <c r="J1550" s="266">
        <v>120000</v>
      </c>
      <c r="K1550" s="265">
        <v>1320000</v>
      </c>
      <c r="N1550" t="s">
        <v>3916</v>
      </c>
    </row>
    <row r="1551" spans="1:14" x14ac:dyDescent="0.3">
      <c r="A1551" s="271">
        <v>1550</v>
      </c>
      <c r="B1551" s="264">
        <v>45908</v>
      </c>
      <c r="C1551" s="292" t="s">
        <v>1306</v>
      </c>
      <c r="E1551" s="292" t="s">
        <v>3466</v>
      </c>
      <c r="F1551" s="269" t="s">
        <v>1207</v>
      </c>
      <c r="G1551" s="265">
        <v>530000</v>
      </c>
      <c r="H1551" s="269">
        <v>1</v>
      </c>
      <c r="K1551" s="265">
        <v>530000</v>
      </c>
      <c r="N1551" t="s">
        <v>3916</v>
      </c>
    </row>
    <row r="1552" spans="1:14" x14ac:dyDescent="0.3">
      <c r="A1552" s="271">
        <v>1551</v>
      </c>
      <c r="B1552" s="264">
        <v>45908</v>
      </c>
      <c r="C1552" s="292" t="s">
        <v>1306</v>
      </c>
      <c r="E1552" s="292" t="s">
        <v>2190</v>
      </c>
      <c r="F1552" s="269">
        <v>50229</v>
      </c>
      <c r="G1552" s="265">
        <v>70000</v>
      </c>
      <c r="H1552" s="269">
        <v>1</v>
      </c>
      <c r="K1552" s="265">
        <v>70000</v>
      </c>
      <c r="N1552" t="s">
        <v>3916</v>
      </c>
    </row>
    <row r="1553" spans="1:14" x14ac:dyDescent="0.3">
      <c r="A1553" s="271">
        <v>1552</v>
      </c>
      <c r="B1553" s="264">
        <v>45908</v>
      </c>
      <c r="C1553" s="292" t="s">
        <v>1306</v>
      </c>
      <c r="E1553" s="292" t="s">
        <v>2191</v>
      </c>
      <c r="F1553" s="269" t="s">
        <v>1795</v>
      </c>
      <c r="G1553" s="265">
        <v>35000</v>
      </c>
      <c r="H1553" s="269">
        <v>1</v>
      </c>
      <c r="K1553" s="265">
        <v>35000</v>
      </c>
      <c r="N1553" t="s">
        <v>3916</v>
      </c>
    </row>
    <row r="1554" spans="1:14" x14ac:dyDescent="0.3">
      <c r="A1554" s="271">
        <v>1553</v>
      </c>
      <c r="B1554" s="264">
        <v>45908</v>
      </c>
      <c r="C1554" s="292" t="s">
        <v>1306</v>
      </c>
      <c r="E1554" s="292" t="s">
        <v>2192</v>
      </c>
      <c r="F1554" s="269" t="s">
        <v>1822</v>
      </c>
      <c r="G1554" s="265">
        <v>10000</v>
      </c>
      <c r="H1554" s="269">
        <v>2</v>
      </c>
      <c r="K1554" s="265">
        <v>20000</v>
      </c>
      <c r="N1554" t="s">
        <v>3916</v>
      </c>
    </row>
    <row r="1555" spans="1:14" x14ac:dyDescent="0.3">
      <c r="A1555" s="271">
        <v>1554</v>
      </c>
      <c r="B1555" s="264">
        <v>45908</v>
      </c>
      <c r="C1555" s="292" t="s">
        <v>1580</v>
      </c>
      <c r="E1555" s="292" t="s">
        <v>3466</v>
      </c>
      <c r="F1555" s="269" t="s">
        <v>1207</v>
      </c>
      <c r="G1555" s="265">
        <v>526364</v>
      </c>
      <c r="H1555" s="269">
        <v>1</v>
      </c>
      <c r="J1555" s="266">
        <v>52636</v>
      </c>
      <c r="K1555" s="265">
        <v>579000</v>
      </c>
    </row>
    <row r="1556" spans="1:14" x14ac:dyDescent="0.3">
      <c r="A1556" s="271">
        <v>1555</v>
      </c>
      <c r="B1556" s="264">
        <v>45908</v>
      </c>
      <c r="C1556" s="292" t="s">
        <v>1671</v>
      </c>
      <c r="E1556" s="292" t="s">
        <v>3479</v>
      </c>
      <c r="F1556" s="269">
        <v>2202701006</v>
      </c>
      <c r="G1556" s="265">
        <v>3500000</v>
      </c>
      <c r="H1556" s="269">
        <v>1</v>
      </c>
      <c r="J1556" s="266">
        <v>350000</v>
      </c>
      <c r="K1556" s="265">
        <v>3850000</v>
      </c>
      <c r="N1556" t="s">
        <v>3916</v>
      </c>
    </row>
    <row r="1557" spans="1:14" x14ac:dyDescent="0.3">
      <c r="A1557" s="271">
        <v>1556</v>
      </c>
      <c r="B1557" s="264">
        <v>45908</v>
      </c>
      <c r="C1557" s="292" t="s">
        <v>1053</v>
      </c>
      <c r="E1557" s="292" t="s">
        <v>2137</v>
      </c>
      <c r="F1557" s="269">
        <v>2830502</v>
      </c>
      <c r="G1557" s="265">
        <v>1650000</v>
      </c>
      <c r="H1557" s="269">
        <v>1</v>
      </c>
      <c r="K1557" s="265">
        <v>1650000</v>
      </c>
      <c r="N1557" t="s">
        <v>3916</v>
      </c>
    </row>
    <row r="1558" spans="1:14" x14ac:dyDescent="0.3">
      <c r="A1558" s="271">
        <v>1557</v>
      </c>
      <c r="B1558" s="264">
        <v>45908</v>
      </c>
      <c r="C1558" s="292" t="s">
        <v>1479</v>
      </c>
      <c r="E1558" s="292" t="s">
        <v>3466</v>
      </c>
      <c r="F1558" s="269" t="s">
        <v>1207</v>
      </c>
      <c r="G1558" s="265">
        <v>550000</v>
      </c>
      <c r="H1558" s="269">
        <v>2</v>
      </c>
      <c r="K1558" s="265">
        <v>1100000</v>
      </c>
      <c r="N1558" t="s">
        <v>3916</v>
      </c>
    </row>
    <row r="1559" spans="1:14" x14ac:dyDescent="0.3">
      <c r="A1559" s="271">
        <v>1558</v>
      </c>
      <c r="B1559" s="264">
        <v>45908</v>
      </c>
      <c r="C1559" s="292" t="s">
        <v>1479</v>
      </c>
      <c r="E1559" s="292" t="s">
        <v>2188</v>
      </c>
      <c r="F1559" s="269" t="s">
        <v>1259</v>
      </c>
      <c r="G1559" s="265">
        <v>130000</v>
      </c>
      <c r="H1559" s="269">
        <v>2</v>
      </c>
      <c r="K1559" s="265">
        <v>260000</v>
      </c>
      <c r="N1559" t="s">
        <v>3916</v>
      </c>
    </row>
    <row r="1560" spans="1:14" x14ac:dyDescent="0.3">
      <c r="A1560" s="271">
        <v>1559</v>
      </c>
      <c r="B1560" s="264">
        <v>45908</v>
      </c>
      <c r="C1560" s="292" t="s">
        <v>1479</v>
      </c>
      <c r="E1560" s="292" t="s">
        <v>2192</v>
      </c>
      <c r="F1560" s="269" t="s">
        <v>1822</v>
      </c>
      <c r="G1560" s="265">
        <v>10000</v>
      </c>
      <c r="H1560" s="269">
        <v>2</v>
      </c>
      <c r="K1560" s="265">
        <v>20000</v>
      </c>
      <c r="N1560" t="s">
        <v>3916</v>
      </c>
    </row>
    <row r="1561" spans="1:14" x14ac:dyDescent="0.3">
      <c r="A1561" s="271">
        <v>1560</v>
      </c>
      <c r="B1561" s="264">
        <v>45908</v>
      </c>
      <c r="C1561" s="292" t="s">
        <v>1479</v>
      </c>
      <c r="E1561" s="292" t="s">
        <v>2191</v>
      </c>
      <c r="F1561" s="269" t="s">
        <v>1795</v>
      </c>
      <c r="G1561" s="265">
        <v>35000</v>
      </c>
      <c r="H1561" s="269">
        <v>2</v>
      </c>
      <c r="K1561" s="265">
        <v>70000</v>
      </c>
      <c r="N1561" t="s">
        <v>3916</v>
      </c>
    </row>
    <row r="1562" spans="1:14" x14ac:dyDescent="0.3">
      <c r="A1562" s="271">
        <v>1561</v>
      </c>
      <c r="B1562" s="264">
        <v>45908</v>
      </c>
      <c r="C1562" s="292" t="s">
        <v>1399</v>
      </c>
      <c r="E1562" s="292" t="s">
        <v>1743</v>
      </c>
      <c r="G1562" s="265">
        <v>650000</v>
      </c>
      <c r="H1562" s="269">
        <v>1</v>
      </c>
      <c r="K1562" s="265">
        <v>650000</v>
      </c>
      <c r="N1562" t="s">
        <v>3916</v>
      </c>
    </row>
    <row r="1563" spans="1:14" x14ac:dyDescent="0.3">
      <c r="A1563" s="271">
        <v>1562</v>
      </c>
      <c r="B1563" s="264">
        <v>45908</v>
      </c>
      <c r="C1563" s="292" t="s">
        <v>1053</v>
      </c>
      <c r="E1563" s="292" t="s">
        <v>1800</v>
      </c>
      <c r="L1563" s="265">
        <v>-1650000</v>
      </c>
    </row>
    <row r="1564" spans="1:14" x14ac:dyDescent="0.3">
      <c r="A1564" s="271">
        <v>1563</v>
      </c>
      <c r="B1564" s="264">
        <v>45909</v>
      </c>
      <c r="C1564" s="292" t="s">
        <v>1554</v>
      </c>
      <c r="E1564" s="292" t="s">
        <v>1125</v>
      </c>
      <c r="L1564" s="265">
        <v>-3080000</v>
      </c>
    </row>
    <row r="1565" spans="1:14" x14ac:dyDescent="0.3">
      <c r="A1565" s="271">
        <v>1564</v>
      </c>
      <c r="B1565" s="264">
        <v>45909</v>
      </c>
      <c r="C1565" s="292" t="s">
        <v>1306</v>
      </c>
      <c r="E1565" s="292" t="s">
        <v>1125</v>
      </c>
      <c r="L1565" s="265">
        <v>-655000</v>
      </c>
    </row>
    <row r="1566" spans="1:14" x14ac:dyDescent="0.3">
      <c r="A1566" s="271">
        <v>1565</v>
      </c>
      <c r="B1566" s="264">
        <v>45909</v>
      </c>
      <c r="C1566" s="292" t="s">
        <v>1173</v>
      </c>
      <c r="E1566" s="292" t="s">
        <v>1125</v>
      </c>
      <c r="L1566" s="265">
        <v>-2100000</v>
      </c>
    </row>
    <row r="1567" spans="1:14" x14ac:dyDescent="0.3">
      <c r="A1567" s="271">
        <v>1566</v>
      </c>
      <c r="B1567" s="264">
        <v>45909</v>
      </c>
      <c r="C1567" s="292" t="s">
        <v>3521</v>
      </c>
      <c r="E1567" s="292" t="s">
        <v>3522</v>
      </c>
      <c r="G1567" s="265">
        <v>1100000</v>
      </c>
      <c r="H1567" s="269">
        <v>1</v>
      </c>
      <c r="J1567" s="266" t="s">
        <v>3523</v>
      </c>
      <c r="K1567" s="265">
        <v>1210000</v>
      </c>
      <c r="N1567" t="s">
        <v>3916</v>
      </c>
    </row>
    <row r="1568" spans="1:14" x14ac:dyDescent="0.3">
      <c r="A1568" s="271">
        <v>1567</v>
      </c>
      <c r="B1568" s="264">
        <v>45909</v>
      </c>
      <c r="C1568" s="292" t="s">
        <v>2410</v>
      </c>
      <c r="E1568" s="292" t="s">
        <v>2189</v>
      </c>
      <c r="G1568" s="265">
        <v>200000</v>
      </c>
      <c r="H1568" s="269">
        <v>1</v>
      </c>
      <c r="K1568" s="265">
        <v>200000</v>
      </c>
      <c r="N1568" t="s">
        <v>3916</v>
      </c>
    </row>
    <row r="1569" spans="1:14" x14ac:dyDescent="0.3">
      <c r="A1569" s="271">
        <v>1568</v>
      </c>
      <c r="B1569" s="264">
        <v>45909</v>
      </c>
      <c r="C1569" s="292" t="s">
        <v>987</v>
      </c>
      <c r="E1569" s="292" t="s">
        <v>2186</v>
      </c>
      <c r="F1569" s="269" t="s">
        <v>1200</v>
      </c>
      <c r="G1569" s="265">
        <v>900000</v>
      </c>
      <c r="H1569" s="269">
        <v>1</v>
      </c>
      <c r="J1569" s="266">
        <v>90000</v>
      </c>
      <c r="K1569" s="265">
        <v>990000</v>
      </c>
      <c r="N1569" t="s">
        <v>3916</v>
      </c>
    </row>
    <row r="1570" spans="1:14" x14ac:dyDescent="0.3">
      <c r="A1570" s="271">
        <v>1569</v>
      </c>
      <c r="B1570" s="264">
        <v>45909</v>
      </c>
      <c r="C1570" s="292" t="s">
        <v>2467</v>
      </c>
      <c r="E1570" s="292" t="s">
        <v>1717</v>
      </c>
      <c r="F1570" s="269">
        <v>2800802</v>
      </c>
      <c r="G1570" s="265">
        <v>200000</v>
      </c>
      <c r="H1570" s="269">
        <v>1</v>
      </c>
      <c r="J1570" s="266">
        <v>20000</v>
      </c>
      <c r="K1570" s="265">
        <v>220000</v>
      </c>
      <c r="N1570" t="s">
        <v>3916</v>
      </c>
    </row>
    <row r="1571" spans="1:14" x14ac:dyDescent="0.3">
      <c r="A1571" s="271">
        <v>1570</v>
      </c>
      <c r="B1571" s="264">
        <v>45909</v>
      </c>
      <c r="C1571" s="292" t="s">
        <v>1867</v>
      </c>
      <c r="E1571" s="292" t="s">
        <v>2197</v>
      </c>
      <c r="F1571" s="269" t="s">
        <v>1198</v>
      </c>
      <c r="G1571" s="265">
        <v>1100000</v>
      </c>
      <c r="H1571" s="269">
        <v>1</v>
      </c>
      <c r="K1571" s="265">
        <v>1100000</v>
      </c>
      <c r="N1571" t="s">
        <v>3916</v>
      </c>
    </row>
    <row r="1572" spans="1:14" x14ac:dyDescent="0.3">
      <c r="A1572" s="271">
        <v>1571</v>
      </c>
      <c r="B1572" s="264">
        <v>45909</v>
      </c>
      <c r="C1572" s="292" t="s">
        <v>1867</v>
      </c>
      <c r="E1572" s="292" t="s">
        <v>1125</v>
      </c>
      <c r="L1572" s="265">
        <v>-1100000</v>
      </c>
    </row>
    <row r="1573" spans="1:14" x14ac:dyDescent="0.3">
      <c r="A1573" s="271">
        <v>1572</v>
      </c>
      <c r="B1573" s="264">
        <v>45909</v>
      </c>
      <c r="C1573" s="292" t="s">
        <v>2467</v>
      </c>
      <c r="E1573" s="292" t="s">
        <v>1125</v>
      </c>
      <c r="L1573" s="265">
        <v>-220000</v>
      </c>
    </row>
    <row r="1574" spans="1:14" x14ac:dyDescent="0.3">
      <c r="A1574" s="271">
        <v>1573</v>
      </c>
      <c r="B1574" s="264">
        <v>45909</v>
      </c>
      <c r="C1574" s="292" t="s">
        <v>987</v>
      </c>
      <c r="E1574" s="292" t="s">
        <v>1125</v>
      </c>
      <c r="L1574" s="265">
        <v>-990000</v>
      </c>
    </row>
    <row r="1575" spans="1:14" x14ac:dyDescent="0.3">
      <c r="A1575" s="271">
        <v>1574</v>
      </c>
      <c r="B1575" s="264">
        <v>45910</v>
      </c>
      <c r="C1575" s="292" t="s">
        <v>1449</v>
      </c>
      <c r="E1575" s="292" t="s">
        <v>3508</v>
      </c>
      <c r="F1575" s="269" t="s">
        <v>1207</v>
      </c>
      <c r="G1575" s="265">
        <v>526364</v>
      </c>
      <c r="H1575" s="269">
        <v>1</v>
      </c>
      <c r="J1575" s="266">
        <v>52636</v>
      </c>
      <c r="K1575" s="265">
        <v>579000</v>
      </c>
      <c r="N1575" t="s">
        <v>3916</v>
      </c>
    </row>
    <row r="1576" spans="1:14" x14ac:dyDescent="0.3">
      <c r="A1576" s="271">
        <v>1575</v>
      </c>
      <c r="B1576" s="264">
        <v>45910</v>
      </c>
      <c r="C1576" s="292" t="s">
        <v>1671</v>
      </c>
      <c r="E1576" s="292" t="s">
        <v>1203</v>
      </c>
      <c r="F1576" s="269" t="s">
        <v>1752</v>
      </c>
      <c r="G1576" s="265">
        <v>1200000</v>
      </c>
      <c r="H1576" s="269">
        <v>2</v>
      </c>
      <c r="J1576" s="266">
        <v>240000</v>
      </c>
      <c r="K1576" s="265">
        <v>2640000</v>
      </c>
      <c r="N1576" t="s">
        <v>3916</v>
      </c>
    </row>
    <row r="1577" spans="1:14" x14ac:dyDescent="0.3">
      <c r="A1577" s="271">
        <v>1576</v>
      </c>
      <c r="B1577" s="264">
        <v>45910</v>
      </c>
      <c r="C1577" s="292" t="s">
        <v>1671</v>
      </c>
      <c r="E1577" s="292" t="s">
        <v>1496</v>
      </c>
      <c r="F1577" s="269" t="s">
        <v>2679</v>
      </c>
      <c r="G1577" s="265">
        <v>350000</v>
      </c>
      <c r="H1577" s="269">
        <v>2</v>
      </c>
      <c r="J1577" s="266">
        <v>70000</v>
      </c>
      <c r="K1577" s="265">
        <v>770000</v>
      </c>
      <c r="N1577" t="s">
        <v>3916</v>
      </c>
    </row>
    <row r="1578" spans="1:14" x14ac:dyDescent="0.3">
      <c r="A1578" s="271">
        <v>1577</v>
      </c>
      <c r="B1578" s="264">
        <v>45910</v>
      </c>
      <c r="C1578" s="292" t="s">
        <v>3664</v>
      </c>
      <c r="E1578" s="292" t="s">
        <v>3666</v>
      </c>
      <c r="F1578" s="269" t="s">
        <v>3667</v>
      </c>
      <c r="G1578" s="265">
        <v>150000</v>
      </c>
      <c r="H1578" s="269">
        <v>1</v>
      </c>
      <c r="K1578" s="265">
        <v>150000</v>
      </c>
      <c r="M1578" s="292" t="s">
        <v>3668</v>
      </c>
    </row>
    <row r="1579" spans="1:14" x14ac:dyDescent="0.3">
      <c r="A1579" s="271">
        <v>1578</v>
      </c>
      <c r="B1579" s="264">
        <v>45910</v>
      </c>
      <c r="C1579" s="292" t="s">
        <v>1541</v>
      </c>
      <c r="E1579" s="292" t="s">
        <v>1203</v>
      </c>
      <c r="F1579" s="269" t="s">
        <v>1752</v>
      </c>
      <c r="G1579" s="265">
        <v>1200000</v>
      </c>
      <c r="H1579" s="269">
        <v>1</v>
      </c>
      <c r="K1579" s="265">
        <v>1200000</v>
      </c>
      <c r="N1579" t="s">
        <v>3916</v>
      </c>
    </row>
    <row r="1580" spans="1:14" x14ac:dyDescent="0.3">
      <c r="A1580" s="271">
        <v>1579</v>
      </c>
      <c r="B1580" s="264">
        <v>45910</v>
      </c>
      <c r="C1580" s="292" t="s">
        <v>1541</v>
      </c>
      <c r="E1580" s="292" t="s">
        <v>3507</v>
      </c>
      <c r="F1580" s="269">
        <v>1087298437</v>
      </c>
      <c r="G1580" s="265">
        <v>80000</v>
      </c>
      <c r="H1580" s="269">
        <v>1</v>
      </c>
      <c r="K1580" s="265">
        <v>80000</v>
      </c>
      <c r="N1580" t="s">
        <v>3916</v>
      </c>
    </row>
    <row r="1581" spans="1:14" x14ac:dyDescent="0.3">
      <c r="A1581" s="271">
        <v>1580</v>
      </c>
      <c r="B1581" s="264">
        <v>45910</v>
      </c>
      <c r="C1581" s="292" t="s">
        <v>3504</v>
      </c>
      <c r="E1581" s="292" t="s">
        <v>3466</v>
      </c>
      <c r="F1581" s="269" t="s">
        <v>1207</v>
      </c>
      <c r="G1581" s="265">
        <v>540000</v>
      </c>
      <c r="H1581" s="269">
        <v>1</v>
      </c>
      <c r="K1581" s="265">
        <v>540000</v>
      </c>
      <c r="N1581" t="s">
        <v>3916</v>
      </c>
    </row>
    <row r="1582" spans="1:14" x14ac:dyDescent="0.3">
      <c r="A1582" s="271">
        <v>1581</v>
      </c>
      <c r="B1582" s="264">
        <v>45910</v>
      </c>
      <c r="C1582" s="292" t="s">
        <v>1444</v>
      </c>
      <c r="E1582" s="292" t="s">
        <v>3438</v>
      </c>
      <c r="F1582" s="269">
        <v>1087298437</v>
      </c>
      <c r="G1582" s="265">
        <v>80000</v>
      </c>
      <c r="H1582" s="269">
        <v>3</v>
      </c>
      <c r="K1582" s="265">
        <v>240000</v>
      </c>
      <c r="N1582" t="s">
        <v>3916</v>
      </c>
    </row>
    <row r="1583" spans="1:14" x14ac:dyDescent="0.3">
      <c r="A1583" s="271">
        <v>1582</v>
      </c>
      <c r="B1583" s="264">
        <v>45910</v>
      </c>
      <c r="C1583" s="292" t="s">
        <v>3390</v>
      </c>
      <c r="E1583" s="292" t="s">
        <v>2180</v>
      </c>
      <c r="F1583" s="269" t="s">
        <v>1201</v>
      </c>
      <c r="G1583" s="265">
        <v>1500000</v>
      </c>
      <c r="H1583" s="269">
        <v>1</v>
      </c>
      <c r="J1583" s="266">
        <v>150000</v>
      </c>
      <c r="K1583" s="265">
        <v>1650000</v>
      </c>
      <c r="N1583" t="s">
        <v>3916</v>
      </c>
    </row>
    <row r="1584" spans="1:14" x14ac:dyDescent="0.3">
      <c r="A1584" s="271">
        <v>1583</v>
      </c>
      <c r="B1584" s="264">
        <v>45910</v>
      </c>
      <c r="C1584" s="292" t="s">
        <v>3390</v>
      </c>
      <c r="E1584" s="292" t="s">
        <v>2181</v>
      </c>
      <c r="F1584" s="269" t="s">
        <v>1803</v>
      </c>
      <c r="G1584" s="265">
        <v>50000</v>
      </c>
      <c r="H1584" s="269">
        <v>1</v>
      </c>
      <c r="J1584" s="266">
        <v>5000</v>
      </c>
      <c r="K1584" s="265">
        <v>55000</v>
      </c>
      <c r="N1584" t="s">
        <v>3916</v>
      </c>
    </row>
    <row r="1585" spans="1:14" x14ac:dyDescent="0.3">
      <c r="A1585" s="271">
        <v>1584</v>
      </c>
      <c r="B1585" s="264">
        <v>45910</v>
      </c>
      <c r="C1585" s="292" t="s">
        <v>1444</v>
      </c>
      <c r="E1585" s="292" t="s">
        <v>3304</v>
      </c>
      <c r="G1585" s="265">
        <v>-300000</v>
      </c>
      <c r="H1585" s="269">
        <v>2</v>
      </c>
      <c r="L1585" s="265">
        <v>-600000</v>
      </c>
      <c r="N1585" t="s">
        <v>3916</v>
      </c>
    </row>
    <row r="1586" spans="1:14" x14ac:dyDescent="0.3">
      <c r="A1586" s="271">
        <v>1585</v>
      </c>
      <c r="B1586" s="264">
        <v>45910</v>
      </c>
      <c r="C1586" s="292" t="s">
        <v>1306</v>
      </c>
      <c r="E1586" s="292" t="s">
        <v>2194</v>
      </c>
      <c r="G1586" s="265">
        <v>600000</v>
      </c>
      <c r="H1586" s="269">
        <v>1</v>
      </c>
      <c r="K1586" s="265">
        <v>600000</v>
      </c>
      <c r="N1586" t="s">
        <v>3916</v>
      </c>
    </row>
    <row r="1587" spans="1:14" x14ac:dyDescent="0.3">
      <c r="A1587" s="271">
        <v>1586</v>
      </c>
      <c r="B1587" s="264">
        <v>45910</v>
      </c>
      <c r="C1587" s="292" t="s">
        <v>2783</v>
      </c>
      <c r="E1587" s="292" t="s">
        <v>2290</v>
      </c>
      <c r="G1587" s="265">
        <v>1600000</v>
      </c>
      <c r="H1587" s="269">
        <v>1</v>
      </c>
      <c r="J1587" s="266">
        <v>160000</v>
      </c>
      <c r="K1587" s="265">
        <v>1760000</v>
      </c>
      <c r="N1587" t="s">
        <v>3916</v>
      </c>
    </row>
    <row r="1588" spans="1:14" x14ac:dyDescent="0.3">
      <c r="A1588" s="271">
        <v>1587</v>
      </c>
      <c r="B1588" s="264">
        <v>45910</v>
      </c>
      <c r="C1588" s="292" t="s">
        <v>1790</v>
      </c>
      <c r="E1588" s="292" t="s">
        <v>2194</v>
      </c>
      <c r="G1588" s="265">
        <v>600000</v>
      </c>
      <c r="H1588" s="269">
        <v>1</v>
      </c>
      <c r="K1588" s="265">
        <v>600000</v>
      </c>
      <c r="N1588" t="s">
        <v>3916</v>
      </c>
    </row>
    <row r="1589" spans="1:14" x14ac:dyDescent="0.3">
      <c r="A1589" s="271">
        <v>1588</v>
      </c>
      <c r="B1589" s="264">
        <v>45910</v>
      </c>
      <c r="C1589" s="292" t="s">
        <v>1790</v>
      </c>
      <c r="E1589" s="292" t="s">
        <v>3466</v>
      </c>
      <c r="F1589" s="269" t="s">
        <v>1207</v>
      </c>
      <c r="G1589" s="265">
        <v>540000</v>
      </c>
      <c r="H1589" s="269">
        <v>1</v>
      </c>
      <c r="K1589" s="265">
        <v>540000</v>
      </c>
      <c r="N1589" t="s">
        <v>3916</v>
      </c>
    </row>
    <row r="1590" spans="1:14" x14ac:dyDescent="0.3">
      <c r="A1590" s="271">
        <v>1589</v>
      </c>
      <c r="B1590" s="264">
        <v>45910</v>
      </c>
      <c r="C1590" s="292" t="s">
        <v>1790</v>
      </c>
      <c r="E1590" s="292" t="s">
        <v>2192</v>
      </c>
      <c r="F1590" s="269" t="s">
        <v>1822</v>
      </c>
      <c r="G1590" s="265">
        <v>10000</v>
      </c>
      <c r="H1590" s="269">
        <v>1</v>
      </c>
      <c r="K1590" s="265">
        <v>10000</v>
      </c>
      <c r="N1590" t="s">
        <v>3916</v>
      </c>
    </row>
    <row r="1591" spans="1:14" x14ac:dyDescent="0.3">
      <c r="A1591" s="271">
        <v>1590</v>
      </c>
      <c r="B1591" s="264">
        <v>45910</v>
      </c>
      <c r="C1591" s="292" t="s">
        <v>1790</v>
      </c>
      <c r="E1591" s="292" t="s">
        <v>2191</v>
      </c>
      <c r="F1591" s="269" t="s">
        <v>1795</v>
      </c>
      <c r="G1591" s="265">
        <v>35000</v>
      </c>
      <c r="H1591" s="269">
        <v>1</v>
      </c>
      <c r="K1591" s="265">
        <v>35000</v>
      </c>
      <c r="N1591" t="s">
        <v>3916</v>
      </c>
    </row>
    <row r="1592" spans="1:14" x14ac:dyDescent="0.3">
      <c r="A1592" s="271">
        <v>1591</v>
      </c>
      <c r="B1592" s="264">
        <v>45910</v>
      </c>
      <c r="C1592" s="292" t="s">
        <v>1790</v>
      </c>
      <c r="E1592" s="292" t="s">
        <v>1519</v>
      </c>
      <c r="G1592" s="265">
        <v>20000</v>
      </c>
      <c r="H1592" s="269">
        <v>1</v>
      </c>
      <c r="K1592" s="265">
        <v>20000</v>
      </c>
      <c r="N1592" t="s">
        <v>3916</v>
      </c>
    </row>
    <row r="1593" spans="1:14" x14ac:dyDescent="0.3">
      <c r="A1593" s="271">
        <v>1592</v>
      </c>
      <c r="B1593" s="264">
        <v>45910</v>
      </c>
      <c r="C1593" s="292" t="s">
        <v>1467</v>
      </c>
      <c r="E1593" s="292" t="s">
        <v>1125</v>
      </c>
      <c r="L1593" s="265">
        <v>-3080000</v>
      </c>
    </row>
    <row r="1594" spans="1:14" x14ac:dyDescent="0.3">
      <c r="A1594" s="271">
        <v>1593</v>
      </c>
      <c r="B1594" s="264">
        <v>45910</v>
      </c>
      <c r="C1594" s="292" t="s">
        <v>3390</v>
      </c>
      <c r="E1594" s="292" t="s">
        <v>1125</v>
      </c>
      <c r="L1594" s="265">
        <v>-1705000</v>
      </c>
    </row>
    <row r="1595" spans="1:14" x14ac:dyDescent="0.3">
      <c r="A1595" s="271">
        <v>1594</v>
      </c>
      <c r="B1595" s="264">
        <v>45910</v>
      </c>
      <c r="C1595" s="292" t="s">
        <v>1306</v>
      </c>
      <c r="E1595" s="292" t="s">
        <v>1125</v>
      </c>
      <c r="L1595" s="265">
        <v>-600000</v>
      </c>
    </row>
    <row r="1596" spans="1:14" x14ac:dyDescent="0.3">
      <c r="A1596" s="271">
        <v>1595</v>
      </c>
      <c r="B1596" s="264">
        <v>45910</v>
      </c>
      <c r="C1596" s="292" t="s">
        <v>1449</v>
      </c>
      <c r="E1596" s="292" t="s">
        <v>1125</v>
      </c>
      <c r="L1596" s="265">
        <v>-579000</v>
      </c>
    </row>
    <row r="1597" spans="1:14" x14ac:dyDescent="0.3">
      <c r="A1597" s="271">
        <v>1596</v>
      </c>
      <c r="B1597" s="264">
        <v>45910</v>
      </c>
      <c r="C1597" s="292" t="s">
        <v>2410</v>
      </c>
      <c r="E1597" s="292" t="s">
        <v>1125</v>
      </c>
      <c r="L1597" s="265">
        <v>-200000</v>
      </c>
    </row>
    <row r="1598" spans="1:14" x14ac:dyDescent="0.3">
      <c r="A1598" s="271">
        <v>1597</v>
      </c>
      <c r="B1598" s="264">
        <v>45910</v>
      </c>
      <c r="C1598" s="292" t="s">
        <v>1586</v>
      </c>
      <c r="E1598" s="292" t="s">
        <v>1125</v>
      </c>
      <c r="L1598" s="265">
        <v>-1320000</v>
      </c>
    </row>
    <row r="1599" spans="1:14" x14ac:dyDescent="0.3">
      <c r="A1599" s="271">
        <v>1598</v>
      </c>
      <c r="B1599" s="264">
        <v>45910</v>
      </c>
      <c r="C1599" s="292" t="s">
        <v>2783</v>
      </c>
      <c r="E1599" s="292" t="s">
        <v>1125</v>
      </c>
      <c r="L1599" s="265">
        <v>-1760000</v>
      </c>
    </row>
    <row r="1600" spans="1:14" x14ac:dyDescent="0.3">
      <c r="A1600" s="271">
        <v>1599</v>
      </c>
      <c r="B1600" s="264">
        <v>45910</v>
      </c>
      <c r="C1600" s="292" t="s">
        <v>3504</v>
      </c>
      <c r="E1600" s="292" t="s">
        <v>1125</v>
      </c>
      <c r="L1600" s="265">
        <v>-540000</v>
      </c>
    </row>
    <row r="1601" spans="1:14" x14ac:dyDescent="0.3">
      <c r="A1601" s="271">
        <v>1600</v>
      </c>
      <c r="B1601" s="264">
        <v>45911</v>
      </c>
      <c r="C1601" s="292" t="s">
        <v>1467</v>
      </c>
      <c r="E1601" s="292" t="s">
        <v>3222</v>
      </c>
      <c r="F1601" s="269" t="s">
        <v>3525</v>
      </c>
      <c r="G1601" s="265">
        <v>1100000</v>
      </c>
      <c r="H1601" s="269">
        <v>1</v>
      </c>
      <c r="J1601" s="266">
        <v>110000</v>
      </c>
      <c r="K1601" s="265">
        <v>1210000</v>
      </c>
    </row>
    <row r="1602" spans="1:14" x14ac:dyDescent="0.3">
      <c r="A1602" s="271">
        <v>1601</v>
      </c>
      <c r="B1602" s="264">
        <v>45911</v>
      </c>
      <c r="C1602" s="292" t="s">
        <v>1082</v>
      </c>
      <c r="E1602" s="292" t="s">
        <v>2180</v>
      </c>
      <c r="F1602" s="269" t="s">
        <v>1201</v>
      </c>
      <c r="G1602" s="265">
        <v>1500000</v>
      </c>
      <c r="H1602" s="269">
        <v>1</v>
      </c>
      <c r="K1602" s="265">
        <v>1500000</v>
      </c>
      <c r="N1602" t="s">
        <v>3916</v>
      </c>
    </row>
    <row r="1603" spans="1:14" x14ac:dyDescent="0.3">
      <c r="A1603" s="271">
        <v>1602</v>
      </c>
      <c r="B1603" s="264">
        <v>45911</v>
      </c>
      <c r="C1603" s="292" t="s">
        <v>1082</v>
      </c>
      <c r="E1603" s="292" t="s">
        <v>2181</v>
      </c>
      <c r="F1603" s="269" t="s">
        <v>1803</v>
      </c>
      <c r="G1603" s="265">
        <v>50000</v>
      </c>
      <c r="H1603" s="269">
        <v>1</v>
      </c>
      <c r="K1603" s="265">
        <v>50000</v>
      </c>
      <c r="N1603" t="s">
        <v>3916</v>
      </c>
    </row>
    <row r="1604" spans="1:14" x14ac:dyDescent="0.3">
      <c r="A1604" s="271">
        <v>1603</v>
      </c>
      <c r="B1604" s="264">
        <v>45911</v>
      </c>
      <c r="C1604" s="292" t="s">
        <v>1812</v>
      </c>
      <c r="E1604" s="292" t="s">
        <v>1205</v>
      </c>
      <c r="F1604" s="269" t="s">
        <v>1204</v>
      </c>
      <c r="G1604" s="265">
        <v>1100000</v>
      </c>
      <c r="H1604" s="269">
        <v>1</v>
      </c>
      <c r="J1604" s="266">
        <v>110000</v>
      </c>
      <c r="K1604" s="265">
        <v>1210000</v>
      </c>
      <c r="N1604" t="s">
        <v>3916</v>
      </c>
    </row>
    <row r="1605" spans="1:14" x14ac:dyDescent="0.3">
      <c r="A1605" s="271">
        <v>1604</v>
      </c>
      <c r="B1605" s="264">
        <v>45911</v>
      </c>
      <c r="C1605" s="292" t="s">
        <v>987</v>
      </c>
      <c r="E1605" s="292" t="s">
        <v>2396</v>
      </c>
      <c r="F1605" s="269" t="s">
        <v>2887</v>
      </c>
      <c r="G1605" s="265">
        <v>450000</v>
      </c>
      <c r="H1605" s="269">
        <v>1</v>
      </c>
      <c r="J1605" s="266">
        <v>45000</v>
      </c>
      <c r="K1605" s="265">
        <v>495000</v>
      </c>
      <c r="N1605" t="s">
        <v>3916</v>
      </c>
    </row>
    <row r="1606" spans="1:14" x14ac:dyDescent="0.3">
      <c r="A1606" s="271">
        <v>1605</v>
      </c>
      <c r="B1606" s="264">
        <v>45911</v>
      </c>
      <c r="C1606" s="292" t="s">
        <v>1449</v>
      </c>
      <c r="E1606" s="292" t="s">
        <v>3379</v>
      </c>
      <c r="G1606" s="265">
        <v>450000</v>
      </c>
      <c r="H1606" s="269">
        <v>1</v>
      </c>
      <c r="J1606" s="266">
        <v>45000</v>
      </c>
      <c r="K1606" s="265">
        <v>495000</v>
      </c>
      <c r="N1606" t="s">
        <v>3916</v>
      </c>
    </row>
    <row r="1607" spans="1:14" x14ac:dyDescent="0.3">
      <c r="A1607" s="271">
        <v>1606</v>
      </c>
      <c r="B1607" s="264">
        <v>45911</v>
      </c>
      <c r="C1607" s="292" t="s">
        <v>1449</v>
      </c>
      <c r="E1607" s="292" t="s">
        <v>1549</v>
      </c>
      <c r="F1607" s="269">
        <v>24152333903</v>
      </c>
      <c r="G1607" s="265">
        <v>50000</v>
      </c>
      <c r="H1607" s="269">
        <v>1</v>
      </c>
      <c r="J1607" s="266">
        <v>5000</v>
      </c>
      <c r="K1607" s="265">
        <v>55000</v>
      </c>
      <c r="N1607" t="s">
        <v>3916</v>
      </c>
    </row>
    <row r="1608" spans="1:14" x14ac:dyDescent="0.3">
      <c r="A1608" s="271">
        <v>1607</v>
      </c>
      <c r="B1608" s="264">
        <v>45911</v>
      </c>
      <c r="C1608" s="292" t="s">
        <v>1449</v>
      </c>
      <c r="E1608" s="292" t="s">
        <v>3532</v>
      </c>
      <c r="F1608" s="269" t="s">
        <v>3531</v>
      </c>
      <c r="G1608" s="265">
        <v>20000</v>
      </c>
      <c r="H1608" s="269">
        <v>1</v>
      </c>
      <c r="J1608" s="266">
        <v>2000</v>
      </c>
      <c r="K1608" s="265">
        <v>22000</v>
      </c>
      <c r="N1608" t="s">
        <v>3916</v>
      </c>
    </row>
    <row r="1609" spans="1:14" x14ac:dyDescent="0.3">
      <c r="A1609" s="271">
        <v>1608</v>
      </c>
      <c r="B1609" s="264">
        <v>45911</v>
      </c>
      <c r="C1609" s="292" t="s">
        <v>1399</v>
      </c>
      <c r="E1609" s="292" t="s">
        <v>2413</v>
      </c>
      <c r="F1609" s="269">
        <v>1087298441</v>
      </c>
      <c r="G1609" s="265">
        <v>35000</v>
      </c>
      <c r="H1609" s="269">
        <v>1</v>
      </c>
      <c r="K1609" s="265">
        <v>35000</v>
      </c>
      <c r="N1609" t="s">
        <v>3916</v>
      </c>
    </row>
    <row r="1610" spans="1:14" x14ac:dyDescent="0.3">
      <c r="A1610" s="271">
        <v>1609</v>
      </c>
      <c r="B1610" s="264">
        <v>45911</v>
      </c>
      <c r="C1610" s="292" t="s">
        <v>1790</v>
      </c>
      <c r="E1610" s="292" t="s">
        <v>3379</v>
      </c>
      <c r="G1610" s="265">
        <v>450000</v>
      </c>
      <c r="H1610" s="269">
        <v>1</v>
      </c>
      <c r="K1610" s="265">
        <v>450000</v>
      </c>
      <c r="N1610" t="s">
        <v>3916</v>
      </c>
    </row>
    <row r="1611" spans="1:14" x14ac:dyDescent="0.3">
      <c r="A1611" s="271">
        <v>1610</v>
      </c>
      <c r="B1611" s="264">
        <v>45911</v>
      </c>
      <c r="C1611" s="292" t="s">
        <v>1790</v>
      </c>
      <c r="E1611" s="292" t="s">
        <v>1519</v>
      </c>
      <c r="G1611" s="265">
        <v>20000</v>
      </c>
      <c r="H1611" s="269">
        <v>1</v>
      </c>
      <c r="K1611" s="265">
        <v>20000</v>
      </c>
      <c r="N1611" t="s">
        <v>3916</v>
      </c>
    </row>
    <row r="1612" spans="1:14" x14ac:dyDescent="0.3">
      <c r="A1612" s="271">
        <v>1611</v>
      </c>
      <c r="B1612" s="264">
        <v>45911</v>
      </c>
      <c r="C1612" s="292" t="s">
        <v>3115</v>
      </c>
      <c r="E1612" s="292" t="s">
        <v>1743</v>
      </c>
      <c r="G1612" s="265">
        <v>650000</v>
      </c>
      <c r="H1612" s="269">
        <v>1</v>
      </c>
      <c r="K1612" s="265">
        <v>650000</v>
      </c>
      <c r="N1612" t="s">
        <v>3916</v>
      </c>
    </row>
    <row r="1613" spans="1:14" x14ac:dyDescent="0.3">
      <c r="A1613" s="271">
        <v>1612</v>
      </c>
      <c r="B1613" s="264">
        <v>45911</v>
      </c>
      <c r="C1613" s="292" t="s">
        <v>1580</v>
      </c>
      <c r="E1613" s="292" t="s">
        <v>1125</v>
      </c>
      <c r="L1613" s="265">
        <v>-1650000</v>
      </c>
    </row>
    <row r="1614" spans="1:14" x14ac:dyDescent="0.3">
      <c r="A1614" s="271">
        <v>1613</v>
      </c>
      <c r="B1614" s="264">
        <v>45911</v>
      </c>
      <c r="C1614" s="292" t="s">
        <v>987</v>
      </c>
      <c r="E1614" s="292" t="s">
        <v>1125</v>
      </c>
      <c r="L1614" s="265">
        <v>-495000</v>
      </c>
    </row>
    <row r="1615" spans="1:14" x14ac:dyDescent="0.3">
      <c r="A1615" s="271">
        <v>1614</v>
      </c>
      <c r="B1615" s="264">
        <v>45911</v>
      </c>
      <c r="C1615" s="292" t="s">
        <v>3115</v>
      </c>
      <c r="E1615" s="292" t="s">
        <v>1125</v>
      </c>
      <c r="L1615" s="265">
        <v>-650000</v>
      </c>
    </row>
    <row r="1616" spans="1:14" x14ac:dyDescent="0.3">
      <c r="A1616" s="271">
        <v>1615</v>
      </c>
      <c r="B1616" s="264">
        <v>45912</v>
      </c>
      <c r="C1616" s="292" t="s">
        <v>1473</v>
      </c>
      <c r="E1616" s="292" t="s">
        <v>2196</v>
      </c>
      <c r="F1616" s="269">
        <v>2820403</v>
      </c>
      <c r="G1616" s="265">
        <v>1500000</v>
      </c>
      <c r="H1616" s="269">
        <v>1</v>
      </c>
      <c r="K1616" s="265">
        <v>1500000</v>
      </c>
      <c r="N1616" t="s">
        <v>3916</v>
      </c>
    </row>
    <row r="1617" spans="1:14" x14ac:dyDescent="0.3">
      <c r="A1617" s="271">
        <v>1616</v>
      </c>
      <c r="B1617" s="264">
        <v>45912</v>
      </c>
      <c r="C1617" s="292" t="s">
        <v>1671</v>
      </c>
      <c r="E1617" s="292" t="s">
        <v>2418</v>
      </c>
      <c r="F1617" s="269" t="s">
        <v>2748</v>
      </c>
      <c r="G1617" s="265">
        <v>1100000</v>
      </c>
      <c r="H1617" s="269">
        <v>1</v>
      </c>
      <c r="J1617" s="266">
        <v>110000</v>
      </c>
      <c r="K1617" s="265">
        <v>1210000</v>
      </c>
      <c r="N1617" t="s">
        <v>3916</v>
      </c>
    </row>
    <row r="1618" spans="1:14" x14ac:dyDescent="0.3">
      <c r="A1618" s="271">
        <v>1617</v>
      </c>
      <c r="B1618" s="264">
        <v>45912</v>
      </c>
      <c r="C1618" s="292" t="s">
        <v>1722</v>
      </c>
      <c r="E1618" s="292" t="s">
        <v>1535</v>
      </c>
      <c r="G1618" s="265">
        <v>450000</v>
      </c>
      <c r="H1618" s="269">
        <v>1</v>
      </c>
      <c r="K1618" s="265">
        <v>450000</v>
      </c>
      <c r="N1618" t="s">
        <v>3916</v>
      </c>
    </row>
    <row r="1619" spans="1:14" x14ac:dyDescent="0.3">
      <c r="A1619" s="271">
        <v>1618</v>
      </c>
      <c r="B1619" s="264">
        <v>45912</v>
      </c>
      <c r="C1619" s="292" t="s">
        <v>2916</v>
      </c>
      <c r="E1619" s="292" t="s">
        <v>2940</v>
      </c>
      <c r="F1619" s="269" t="s">
        <v>3117</v>
      </c>
      <c r="G1619" s="265">
        <v>900000</v>
      </c>
      <c r="H1619" s="269">
        <v>1</v>
      </c>
      <c r="K1619" s="265">
        <v>900000</v>
      </c>
      <c r="N1619" t="s">
        <v>3916</v>
      </c>
    </row>
    <row r="1620" spans="1:14" x14ac:dyDescent="0.3">
      <c r="A1620" s="271">
        <v>1619</v>
      </c>
      <c r="B1620" s="264">
        <v>45912</v>
      </c>
      <c r="C1620" s="292" t="s">
        <v>1722</v>
      </c>
      <c r="E1620" s="292" t="s">
        <v>3543</v>
      </c>
      <c r="F1620" s="269" t="s">
        <v>2327</v>
      </c>
      <c r="G1620" s="265">
        <v>900000</v>
      </c>
      <c r="H1620" s="269">
        <v>1</v>
      </c>
      <c r="K1620" s="265">
        <v>900000</v>
      </c>
      <c r="N1620" t="s">
        <v>3916</v>
      </c>
    </row>
    <row r="1621" spans="1:14" x14ac:dyDescent="0.3">
      <c r="A1621" s="271">
        <v>1620</v>
      </c>
      <c r="B1621" s="264">
        <v>45912</v>
      </c>
      <c r="C1621" s="292" t="s">
        <v>1469</v>
      </c>
      <c r="E1621" s="292" t="s">
        <v>2189</v>
      </c>
      <c r="G1621" s="265">
        <v>300000</v>
      </c>
      <c r="H1621" s="269">
        <v>1</v>
      </c>
      <c r="K1621" s="265">
        <v>300000</v>
      </c>
      <c r="N1621" t="s">
        <v>3916</v>
      </c>
    </row>
    <row r="1622" spans="1:14" x14ac:dyDescent="0.3">
      <c r="A1622" s="271">
        <v>1621</v>
      </c>
      <c r="B1622" s="264">
        <v>45912</v>
      </c>
      <c r="C1622" s="292" t="s">
        <v>3546</v>
      </c>
      <c r="E1622" s="292" t="s">
        <v>3275</v>
      </c>
      <c r="F1622" s="269">
        <v>501327105</v>
      </c>
      <c r="G1622" s="265">
        <v>3500000</v>
      </c>
      <c r="H1622" s="269">
        <v>1</v>
      </c>
      <c r="J1622" s="266">
        <v>350000</v>
      </c>
      <c r="K1622" s="265">
        <v>3850000</v>
      </c>
      <c r="N1622" t="s">
        <v>3916</v>
      </c>
    </row>
    <row r="1623" spans="1:14" x14ac:dyDescent="0.3">
      <c r="A1623" s="271">
        <v>1622</v>
      </c>
      <c r="B1623" s="264">
        <v>45912</v>
      </c>
      <c r="C1623" s="292" t="s">
        <v>3548</v>
      </c>
      <c r="E1623" s="292" t="s">
        <v>3549</v>
      </c>
      <c r="L1623" s="265">
        <v>-1040000</v>
      </c>
    </row>
    <row r="1624" spans="1:14" x14ac:dyDescent="0.3">
      <c r="A1624" s="271">
        <v>1623</v>
      </c>
      <c r="B1624" s="264">
        <v>45912</v>
      </c>
      <c r="C1624" s="292" t="s">
        <v>1449</v>
      </c>
      <c r="E1624" s="292" t="s">
        <v>1125</v>
      </c>
      <c r="L1624" s="265">
        <v>-572000</v>
      </c>
    </row>
    <row r="1625" spans="1:14" x14ac:dyDescent="0.3">
      <c r="A1625" s="271">
        <v>1624</v>
      </c>
      <c r="B1625" s="264">
        <v>45912</v>
      </c>
      <c r="C1625" s="292" t="s">
        <v>3546</v>
      </c>
      <c r="E1625" s="292" t="s">
        <v>1125</v>
      </c>
      <c r="L1625" s="265">
        <v>-3850000</v>
      </c>
    </row>
    <row r="1626" spans="1:14" x14ac:dyDescent="0.3">
      <c r="A1626" s="271">
        <v>1625</v>
      </c>
      <c r="B1626" s="264">
        <v>45913</v>
      </c>
      <c r="C1626" s="292" t="s">
        <v>1722</v>
      </c>
      <c r="E1626" s="292" t="s">
        <v>1744</v>
      </c>
      <c r="F1626" s="269">
        <v>2830501</v>
      </c>
      <c r="G1626" s="265">
        <v>1550000</v>
      </c>
      <c r="H1626" s="269">
        <v>1</v>
      </c>
      <c r="K1626" s="265">
        <v>1550000</v>
      </c>
      <c r="N1626" t="s">
        <v>3916</v>
      </c>
    </row>
    <row r="1627" spans="1:14" x14ac:dyDescent="0.3">
      <c r="A1627" s="271">
        <v>1626</v>
      </c>
      <c r="B1627" s="264">
        <v>45915</v>
      </c>
      <c r="C1627" s="292" t="s">
        <v>1449</v>
      </c>
      <c r="E1627" s="292" t="s">
        <v>1203</v>
      </c>
      <c r="F1627" s="269" t="s">
        <v>1752</v>
      </c>
      <c r="G1627" s="265">
        <v>1200000</v>
      </c>
      <c r="H1627" s="269">
        <v>1</v>
      </c>
      <c r="J1627" s="266">
        <v>120000</v>
      </c>
      <c r="K1627" s="265">
        <v>1320000</v>
      </c>
      <c r="N1627" t="s">
        <v>3916</v>
      </c>
    </row>
    <row r="1628" spans="1:14" x14ac:dyDescent="0.3">
      <c r="A1628" s="271">
        <v>1627</v>
      </c>
      <c r="B1628" s="264">
        <v>45915</v>
      </c>
      <c r="C1628" s="292" t="s">
        <v>1980</v>
      </c>
      <c r="E1628" s="292" t="s">
        <v>1205</v>
      </c>
      <c r="F1628" s="269" t="s">
        <v>1206</v>
      </c>
      <c r="G1628" s="265">
        <v>1200000</v>
      </c>
      <c r="H1628" s="269">
        <v>1</v>
      </c>
      <c r="K1628" s="265">
        <v>1200000</v>
      </c>
      <c r="N1628" t="s">
        <v>3916</v>
      </c>
    </row>
    <row r="1629" spans="1:14" x14ac:dyDescent="0.3">
      <c r="A1629" s="271">
        <v>1628</v>
      </c>
      <c r="B1629" s="264">
        <v>45915</v>
      </c>
      <c r="C1629" s="292" t="s">
        <v>1980</v>
      </c>
      <c r="E1629" s="292" t="s">
        <v>2913</v>
      </c>
      <c r="F1629" s="269">
        <v>24046895</v>
      </c>
      <c r="G1629" s="265">
        <v>130000</v>
      </c>
      <c r="H1629" s="269">
        <v>1</v>
      </c>
      <c r="K1629" s="265">
        <v>130000</v>
      </c>
      <c r="N1629" t="s">
        <v>3916</v>
      </c>
    </row>
    <row r="1630" spans="1:14" x14ac:dyDescent="0.3">
      <c r="A1630" s="271">
        <v>1629</v>
      </c>
      <c r="B1630" s="264">
        <v>45915</v>
      </c>
      <c r="C1630" s="292" t="s">
        <v>1053</v>
      </c>
      <c r="E1630" s="292" t="s">
        <v>2180</v>
      </c>
      <c r="F1630" s="269" t="s">
        <v>1201</v>
      </c>
      <c r="G1630" s="265">
        <v>1500000</v>
      </c>
      <c r="H1630" s="269">
        <v>1</v>
      </c>
      <c r="K1630" s="265">
        <v>1500000</v>
      </c>
      <c r="N1630" t="s">
        <v>3916</v>
      </c>
    </row>
    <row r="1631" spans="1:14" x14ac:dyDescent="0.3">
      <c r="A1631" s="271">
        <v>1630</v>
      </c>
      <c r="B1631" s="264">
        <v>45915</v>
      </c>
      <c r="C1631" s="292" t="s">
        <v>1053</v>
      </c>
      <c r="E1631" s="292" t="s">
        <v>2181</v>
      </c>
      <c r="F1631" s="269" t="s">
        <v>1803</v>
      </c>
      <c r="G1631" s="265">
        <v>50000</v>
      </c>
      <c r="H1631" s="269">
        <v>1</v>
      </c>
      <c r="K1631" s="265">
        <v>50000</v>
      </c>
      <c r="N1631" t="s">
        <v>3916</v>
      </c>
    </row>
    <row r="1632" spans="1:14" x14ac:dyDescent="0.3">
      <c r="A1632" s="271">
        <v>1631</v>
      </c>
      <c r="B1632" s="264">
        <v>45915</v>
      </c>
      <c r="C1632" s="292" t="s">
        <v>1861</v>
      </c>
      <c r="E1632" s="292" t="s">
        <v>3552</v>
      </c>
      <c r="F1632" s="269">
        <v>6058011023</v>
      </c>
      <c r="G1632" s="265">
        <v>1000000</v>
      </c>
      <c r="H1632" s="269">
        <v>1</v>
      </c>
      <c r="K1632" s="265">
        <v>1000000</v>
      </c>
      <c r="N1632" t="s">
        <v>3916</v>
      </c>
    </row>
    <row r="1633" spans="1:14" x14ac:dyDescent="0.3">
      <c r="A1633" s="271">
        <v>1632</v>
      </c>
      <c r="B1633" s="264">
        <v>45915</v>
      </c>
      <c r="C1633" s="292" t="s">
        <v>1399</v>
      </c>
      <c r="E1633" s="292" t="s">
        <v>1743</v>
      </c>
      <c r="G1633" s="265">
        <v>650000</v>
      </c>
      <c r="H1633" s="269">
        <v>1</v>
      </c>
      <c r="K1633" s="265">
        <v>650000</v>
      </c>
      <c r="N1633" t="s">
        <v>3916</v>
      </c>
    </row>
    <row r="1634" spans="1:14" x14ac:dyDescent="0.3">
      <c r="A1634" s="271">
        <v>1633</v>
      </c>
      <c r="B1634" s="264">
        <v>45915</v>
      </c>
      <c r="C1634" s="292" t="s">
        <v>1147</v>
      </c>
      <c r="E1634" s="292" t="s">
        <v>1717</v>
      </c>
      <c r="F1634" s="269">
        <v>2800802</v>
      </c>
      <c r="G1634" s="265">
        <v>150000</v>
      </c>
      <c r="H1634" s="269">
        <v>2</v>
      </c>
      <c r="K1634" s="265">
        <v>300000</v>
      </c>
      <c r="N1634" t="s">
        <v>3916</v>
      </c>
    </row>
    <row r="1635" spans="1:14" x14ac:dyDescent="0.3">
      <c r="A1635" s="271">
        <v>1634</v>
      </c>
      <c r="B1635" s="264">
        <v>45915</v>
      </c>
      <c r="C1635" s="292" t="s">
        <v>1444</v>
      </c>
      <c r="E1635" s="292" t="s">
        <v>2195</v>
      </c>
      <c r="G1635" s="265">
        <v>300000</v>
      </c>
      <c r="H1635" s="269">
        <v>3</v>
      </c>
      <c r="K1635" s="265">
        <v>900000</v>
      </c>
      <c r="N1635" t="s">
        <v>3916</v>
      </c>
    </row>
    <row r="1636" spans="1:14" x14ac:dyDescent="0.3">
      <c r="A1636" s="271">
        <v>1635</v>
      </c>
      <c r="B1636" s="264">
        <v>45915</v>
      </c>
      <c r="C1636" s="292" t="s">
        <v>1444</v>
      </c>
      <c r="E1636" s="292" t="s">
        <v>3561</v>
      </c>
      <c r="L1636" s="265">
        <v>-1000000</v>
      </c>
      <c r="N1636" t="s">
        <v>3916</v>
      </c>
    </row>
    <row r="1637" spans="1:14" x14ac:dyDescent="0.3">
      <c r="A1637" s="271">
        <v>1636</v>
      </c>
      <c r="B1637" s="264">
        <v>45915</v>
      </c>
      <c r="C1637" s="292" t="s">
        <v>1580</v>
      </c>
      <c r="E1637" s="292" t="s">
        <v>2056</v>
      </c>
      <c r="L1637" s="265">
        <v>-3300000</v>
      </c>
    </row>
    <row r="1638" spans="1:14" x14ac:dyDescent="0.3">
      <c r="A1638" s="271">
        <v>1637</v>
      </c>
      <c r="B1638" s="264">
        <v>45915</v>
      </c>
      <c r="C1638" s="292" t="s">
        <v>1747</v>
      </c>
      <c r="E1638" s="292" t="s">
        <v>1125</v>
      </c>
      <c r="L1638" s="265">
        <v>-737000</v>
      </c>
    </row>
    <row r="1639" spans="1:14" x14ac:dyDescent="0.3">
      <c r="A1639" s="271">
        <v>1638</v>
      </c>
      <c r="B1639" s="264">
        <v>45916</v>
      </c>
      <c r="C1639" s="292" t="s">
        <v>2623</v>
      </c>
      <c r="E1639" s="292" t="s">
        <v>1746</v>
      </c>
      <c r="L1639" s="265">
        <v>-1210000</v>
      </c>
    </row>
    <row r="1640" spans="1:14" x14ac:dyDescent="0.3">
      <c r="A1640" s="271">
        <v>1639</v>
      </c>
      <c r="B1640" s="264">
        <v>45916</v>
      </c>
      <c r="C1640" s="292" t="s">
        <v>1980</v>
      </c>
      <c r="E1640" s="292" t="s">
        <v>1746</v>
      </c>
      <c r="L1640" s="265">
        <v>-1330000</v>
      </c>
    </row>
    <row r="1641" spans="1:14" x14ac:dyDescent="0.3">
      <c r="A1641" s="271">
        <v>1640</v>
      </c>
      <c r="B1641" s="264">
        <v>45916</v>
      </c>
      <c r="C1641" s="292" t="s">
        <v>1671</v>
      </c>
      <c r="E1641" s="292" t="s">
        <v>1746</v>
      </c>
      <c r="L1641" s="265">
        <v>-8470000</v>
      </c>
    </row>
    <row r="1642" spans="1:14" x14ac:dyDescent="0.3">
      <c r="A1642" s="271">
        <v>1641</v>
      </c>
      <c r="B1642" s="264">
        <v>45916</v>
      </c>
      <c r="C1642" s="292" t="s">
        <v>1580</v>
      </c>
      <c r="E1642" s="292" t="s">
        <v>3466</v>
      </c>
      <c r="F1642" s="269" t="s">
        <v>1207</v>
      </c>
      <c r="G1642" s="265">
        <v>526364</v>
      </c>
      <c r="H1642" s="269">
        <v>1</v>
      </c>
      <c r="J1642" s="266">
        <v>52636</v>
      </c>
      <c r="K1642" s="265">
        <v>579000</v>
      </c>
      <c r="N1642" t="s">
        <v>3916</v>
      </c>
    </row>
    <row r="1643" spans="1:14" x14ac:dyDescent="0.3">
      <c r="A1643" s="271">
        <v>1642</v>
      </c>
      <c r="B1643" s="264">
        <v>45916</v>
      </c>
      <c r="C1643" s="292" t="s">
        <v>2292</v>
      </c>
      <c r="E1643" s="292" t="s">
        <v>3466</v>
      </c>
      <c r="F1643" s="269" t="s">
        <v>1207</v>
      </c>
      <c r="G1643" s="265">
        <v>526364</v>
      </c>
      <c r="H1643" s="269">
        <v>1</v>
      </c>
      <c r="J1643" s="266">
        <v>52636</v>
      </c>
      <c r="K1643" s="265">
        <v>579000</v>
      </c>
      <c r="N1643" t="s">
        <v>3916</v>
      </c>
    </row>
    <row r="1644" spans="1:14" x14ac:dyDescent="0.3">
      <c r="A1644" s="271">
        <v>1643</v>
      </c>
      <c r="B1644" s="264">
        <v>45916</v>
      </c>
      <c r="C1644" s="292" t="s">
        <v>1980</v>
      </c>
      <c r="E1644" s="292" t="s">
        <v>1205</v>
      </c>
      <c r="F1644" s="269" t="s">
        <v>1206</v>
      </c>
      <c r="G1644" s="265">
        <v>1200000</v>
      </c>
      <c r="H1644" s="269">
        <v>1</v>
      </c>
      <c r="K1644" s="265">
        <v>1200000</v>
      </c>
      <c r="M1644" s="292" t="s">
        <v>3564</v>
      </c>
      <c r="N1644" t="s">
        <v>3916</v>
      </c>
    </row>
    <row r="1645" spans="1:14" x14ac:dyDescent="0.3">
      <c r="A1645" s="271">
        <v>1644</v>
      </c>
      <c r="B1645" s="264">
        <v>45916</v>
      </c>
      <c r="C1645" s="292" t="s">
        <v>1444</v>
      </c>
      <c r="E1645" s="292" t="s">
        <v>2196</v>
      </c>
      <c r="F1645" s="269">
        <v>2820403</v>
      </c>
      <c r="G1645" s="265">
        <v>1500000</v>
      </c>
      <c r="H1645" s="269">
        <v>1</v>
      </c>
      <c r="K1645" s="265">
        <v>1500000</v>
      </c>
      <c r="N1645" t="s">
        <v>3916</v>
      </c>
    </row>
    <row r="1646" spans="1:14" x14ac:dyDescent="0.3">
      <c r="A1646" s="271">
        <v>1645</v>
      </c>
      <c r="B1646" s="264">
        <v>45916</v>
      </c>
      <c r="C1646" s="292" t="s">
        <v>1454</v>
      </c>
      <c r="E1646" s="292" t="s">
        <v>2137</v>
      </c>
      <c r="F1646" s="269">
        <v>2830502</v>
      </c>
      <c r="G1646" s="265">
        <v>1750000</v>
      </c>
      <c r="H1646" s="269">
        <v>1</v>
      </c>
      <c r="K1646" s="265">
        <v>1750000</v>
      </c>
      <c r="N1646" t="s">
        <v>3916</v>
      </c>
    </row>
    <row r="1647" spans="1:14" x14ac:dyDescent="0.3">
      <c r="A1647" s="271">
        <v>1646</v>
      </c>
      <c r="B1647" s="264">
        <v>45916</v>
      </c>
      <c r="C1647" s="292" t="s">
        <v>1015</v>
      </c>
      <c r="E1647" s="292" t="s">
        <v>1205</v>
      </c>
      <c r="F1647" s="269" t="s">
        <v>1992</v>
      </c>
      <c r="G1647" s="265">
        <v>1900000</v>
      </c>
      <c r="H1647" s="269">
        <v>1</v>
      </c>
      <c r="J1647" s="266">
        <v>190000</v>
      </c>
      <c r="K1647" s="265">
        <v>2090000</v>
      </c>
      <c r="N1647" t="s">
        <v>3916</v>
      </c>
    </row>
    <row r="1648" spans="1:14" x14ac:dyDescent="0.3">
      <c r="A1648" s="271">
        <v>1647</v>
      </c>
      <c r="B1648" s="264">
        <v>45916</v>
      </c>
      <c r="C1648" s="292" t="s">
        <v>1722</v>
      </c>
      <c r="E1648" s="292" t="s">
        <v>1549</v>
      </c>
      <c r="F1648" s="269">
        <v>24152333903</v>
      </c>
      <c r="G1648" s="265">
        <v>50000</v>
      </c>
      <c r="H1648" s="269">
        <v>3</v>
      </c>
      <c r="K1648" s="265">
        <v>150000</v>
      </c>
      <c r="N1648" t="s">
        <v>3916</v>
      </c>
    </row>
    <row r="1649" spans="1:14" x14ac:dyDescent="0.3">
      <c r="A1649" s="271">
        <v>1648</v>
      </c>
      <c r="B1649" s="264">
        <v>45916</v>
      </c>
      <c r="C1649" s="292" t="s">
        <v>987</v>
      </c>
      <c r="E1649" s="292" t="s">
        <v>2194</v>
      </c>
      <c r="G1649" s="265">
        <v>600000</v>
      </c>
      <c r="H1649" s="269">
        <v>1</v>
      </c>
      <c r="J1649" s="266">
        <v>60000</v>
      </c>
      <c r="K1649" s="265">
        <v>660000</v>
      </c>
      <c r="N1649" t="s">
        <v>3916</v>
      </c>
    </row>
    <row r="1650" spans="1:14" x14ac:dyDescent="0.3">
      <c r="A1650" s="271">
        <v>1649</v>
      </c>
      <c r="B1650" s="264">
        <v>45916</v>
      </c>
      <c r="C1650" s="292" t="s">
        <v>1494</v>
      </c>
      <c r="E1650" s="292" t="s">
        <v>2299</v>
      </c>
      <c r="G1650" s="265">
        <v>650000</v>
      </c>
      <c r="H1650" s="269">
        <v>1</v>
      </c>
      <c r="K1650" s="265">
        <v>650000</v>
      </c>
      <c r="N1650" t="s">
        <v>3916</v>
      </c>
    </row>
    <row r="1651" spans="1:14" x14ac:dyDescent="0.3">
      <c r="A1651" s="271">
        <v>1650</v>
      </c>
      <c r="B1651" s="264">
        <v>45916</v>
      </c>
      <c r="C1651" s="292" t="s">
        <v>1449</v>
      </c>
      <c r="E1651" s="292" t="s">
        <v>1125</v>
      </c>
      <c r="L1651" s="265">
        <v>-1320000</v>
      </c>
    </row>
    <row r="1652" spans="1:14" x14ac:dyDescent="0.3">
      <c r="A1652" s="271">
        <v>1651</v>
      </c>
      <c r="B1652" s="264">
        <v>45916</v>
      </c>
      <c r="C1652" s="292" t="s">
        <v>2292</v>
      </c>
      <c r="E1652" s="292" t="s">
        <v>1125</v>
      </c>
      <c r="L1652" s="265">
        <v>-579000</v>
      </c>
    </row>
    <row r="1653" spans="1:14" x14ac:dyDescent="0.3">
      <c r="A1653" s="271">
        <v>1652</v>
      </c>
      <c r="B1653" s="264">
        <v>45916</v>
      </c>
      <c r="C1653" s="292" t="s">
        <v>1494</v>
      </c>
      <c r="E1653" s="292" t="s">
        <v>1746</v>
      </c>
      <c r="L1653" s="265">
        <v>-1050000</v>
      </c>
    </row>
    <row r="1654" spans="1:14" x14ac:dyDescent="0.3">
      <c r="A1654" s="271">
        <v>1653</v>
      </c>
      <c r="B1654" s="264">
        <v>45916</v>
      </c>
      <c r="C1654" s="292" t="s">
        <v>987</v>
      </c>
      <c r="E1654" s="292" t="s">
        <v>1746</v>
      </c>
      <c r="L1654" s="265">
        <v>-660000</v>
      </c>
    </row>
    <row r="1655" spans="1:14" x14ac:dyDescent="0.3">
      <c r="A1655" s="271">
        <v>1654</v>
      </c>
      <c r="B1655" s="264">
        <v>45917</v>
      </c>
      <c r="C1655" s="292" t="s">
        <v>1473</v>
      </c>
      <c r="E1655" s="292" t="s">
        <v>1125</v>
      </c>
      <c r="L1655" s="265">
        <v>-1500000</v>
      </c>
    </row>
    <row r="1656" spans="1:14" x14ac:dyDescent="0.3">
      <c r="A1656" s="271">
        <v>1655</v>
      </c>
      <c r="B1656" s="264">
        <v>45917</v>
      </c>
      <c r="C1656" s="292" t="s">
        <v>1469</v>
      </c>
      <c r="E1656" s="292" t="s">
        <v>1746</v>
      </c>
      <c r="L1656" s="265">
        <v>-300000</v>
      </c>
    </row>
    <row r="1657" spans="1:14" x14ac:dyDescent="0.3">
      <c r="A1657" s="271">
        <v>1656</v>
      </c>
      <c r="B1657" s="264">
        <v>45917</v>
      </c>
      <c r="C1657" s="292" t="s">
        <v>1812</v>
      </c>
      <c r="E1657" s="292" t="s">
        <v>1125</v>
      </c>
      <c r="L1657" s="265">
        <v>-1210000</v>
      </c>
    </row>
    <row r="1658" spans="1:14" x14ac:dyDescent="0.3">
      <c r="A1658" s="271">
        <v>1657</v>
      </c>
      <c r="B1658" s="264">
        <v>45917</v>
      </c>
      <c r="C1658" s="292" t="s">
        <v>3577</v>
      </c>
      <c r="E1658" s="292" t="s">
        <v>3466</v>
      </c>
      <c r="F1658" s="269" t="s">
        <v>1207</v>
      </c>
      <c r="G1658" s="265">
        <v>530000</v>
      </c>
      <c r="H1658" s="269">
        <v>2</v>
      </c>
      <c r="K1658" s="265">
        <v>1060000</v>
      </c>
      <c r="N1658" t="s">
        <v>3916</v>
      </c>
    </row>
    <row r="1659" spans="1:14" x14ac:dyDescent="0.3">
      <c r="A1659" s="271">
        <v>1658</v>
      </c>
      <c r="B1659" s="264">
        <v>45917</v>
      </c>
      <c r="C1659" s="292" t="s">
        <v>1805</v>
      </c>
      <c r="E1659" s="292" t="s">
        <v>3466</v>
      </c>
      <c r="F1659" s="269" t="s">
        <v>1207</v>
      </c>
      <c r="G1659" s="265">
        <v>526364</v>
      </c>
      <c r="H1659" s="269">
        <v>1</v>
      </c>
      <c r="J1659" s="266">
        <v>52636</v>
      </c>
      <c r="K1659" s="265">
        <v>579000</v>
      </c>
      <c r="N1659" t="s">
        <v>3916</v>
      </c>
    </row>
    <row r="1660" spans="1:14" x14ac:dyDescent="0.3">
      <c r="A1660" s="271">
        <v>1659</v>
      </c>
      <c r="B1660" s="264">
        <v>45917</v>
      </c>
      <c r="C1660" s="292" t="s">
        <v>1805</v>
      </c>
      <c r="E1660" s="292" t="s">
        <v>2186</v>
      </c>
      <c r="F1660" s="269" t="s">
        <v>1200</v>
      </c>
      <c r="G1660" s="265">
        <v>1000000</v>
      </c>
      <c r="H1660" s="269">
        <v>1</v>
      </c>
      <c r="J1660" s="266">
        <v>100000</v>
      </c>
      <c r="K1660" s="265">
        <v>1100000</v>
      </c>
      <c r="N1660" t="s">
        <v>3916</v>
      </c>
    </row>
    <row r="1661" spans="1:14" x14ac:dyDescent="0.3">
      <c r="A1661" s="271">
        <v>1660</v>
      </c>
      <c r="B1661" s="264">
        <v>45917</v>
      </c>
      <c r="C1661" s="292" t="s">
        <v>1805</v>
      </c>
      <c r="E1661" s="292" t="s">
        <v>2188</v>
      </c>
      <c r="F1661" s="269" t="s">
        <v>1259</v>
      </c>
      <c r="G1661" s="265">
        <v>130000</v>
      </c>
      <c r="H1661" s="269">
        <v>1</v>
      </c>
      <c r="J1661" s="266">
        <v>13000</v>
      </c>
      <c r="K1661" s="265">
        <v>143000</v>
      </c>
      <c r="N1661" t="s">
        <v>3916</v>
      </c>
    </row>
    <row r="1662" spans="1:14" x14ac:dyDescent="0.3">
      <c r="A1662" s="271">
        <v>1661</v>
      </c>
      <c r="B1662" s="264">
        <v>45917</v>
      </c>
      <c r="C1662" s="292" t="s">
        <v>1805</v>
      </c>
      <c r="E1662" s="292" t="s">
        <v>2192</v>
      </c>
      <c r="F1662" s="269" t="s">
        <v>1822</v>
      </c>
      <c r="G1662" s="265">
        <v>10000</v>
      </c>
      <c r="H1662" s="269">
        <v>2</v>
      </c>
      <c r="J1662" s="266">
        <v>2000</v>
      </c>
      <c r="K1662" s="265">
        <v>22000</v>
      </c>
      <c r="N1662" t="s">
        <v>3916</v>
      </c>
    </row>
    <row r="1663" spans="1:14" x14ac:dyDescent="0.3">
      <c r="A1663" s="271">
        <v>1662</v>
      </c>
      <c r="B1663" s="264">
        <v>45917</v>
      </c>
      <c r="C1663" s="292" t="s">
        <v>1747</v>
      </c>
      <c r="E1663" s="292" t="s">
        <v>2299</v>
      </c>
      <c r="G1663" s="265">
        <v>650000</v>
      </c>
      <c r="H1663" s="269">
        <v>1</v>
      </c>
      <c r="J1663" s="266">
        <v>65000</v>
      </c>
      <c r="K1663" s="265">
        <v>715000</v>
      </c>
      <c r="N1663" t="s">
        <v>3916</v>
      </c>
    </row>
    <row r="1664" spans="1:14" x14ac:dyDescent="0.3">
      <c r="A1664" s="271">
        <v>1663</v>
      </c>
      <c r="B1664" s="264">
        <v>45917</v>
      </c>
      <c r="C1664" s="292" t="s">
        <v>1747</v>
      </c>
      <c r="E1664" s="292" t="s">
        <v>2190</v>
      </c>
      <c r="F1664" s="269">
        <v>50228</v>
      </c>
      <c r="G1664" s="265">
        <v>110000</v>
      </c>
      <c r="H1664" s="269">
        <v>2</v>
      </c>
      <c r="J1664" s="266">
        <v>22000</v>
      </c>
      <c r="K1664" s="265">
        <v>242000</v>
      </c>
      <c r="N1664" t="s">
        <v>3916</v>
      </c>
    </row>
    <row r="1665" spans="1:14" x14ac:dyDescent="0.3">
      <c r="A1665" s="271">
        <v>1664</v>
      </c>
      <c r="B1665" s="264">
        <v>45917</v>
      </c>
      <c r="C1665" s="292" t="s">
        <v>1747</v>
      </c>
      <c r="E1665" s="292" t="s">
        <v>2190</v>
      </c>
      <c r="F1665" s="269">
        <v>50229</v>
      </c>
      <c r="G1665" s="265">
        <v>75000</v>
      </c>
      <c r="H1665" s="269">
        <v>2</v>
      </c>
      <c r="J1665" s="266">
        <v>15000</v>
      </c>
      <c r="K1665" s="265">
        <v>165000</v>
      </c>
      <c r="N1665" t="s">
        <v>3916</v>
      </c>
    </row>
    <row r="1666" spans="1:14" x14ac:dyDescent="0.3">
      <c r="A1666" s="271">
        <v>1665</v>
      </c>
      <c r="B1666" s="264">
        <v>45917</v>
      </c>
      <c r="C1666" s="292" t="s">
        <v>1747</v>
      </c>
      <c r="E1666" s="292" t="s">
        <v>1519</v>
      </c>
      <c r="G1666" s="265">
        <v>20000</v>
      </c>
      <c r="H1666" s="269">
        <v>1</v>
      </c>
      <c r="J1666" s="266">
        <v>2000</v>
      </c>
      <c r="K1666" s="265">
        <v>22000</v>
      </c>
      <c r="N1666" t="s">
        <v>3916</v>
      </c>
    </row>
    <row r="1667" spans="1:14" x14ac:dyDescent="0.3">
      <c r="A1667" s="271">
        <v>1666</v>
      </c>
      <c r="B1667" s="264">
        <v>45917</v>
      </c>
      <c r="C1667" s="292" t="s">
        <v>1722</v>
      </c>
      <c r="E1667" s="292" t="s">
        <v>3587</v>
      </c>
      <c r="G1667" s="265">
        <v>2200000</v>
      </c>
      <c r="H1667" s="269">
        <v>1</v>
      </c>
      <c r="K1667" s="265">
        <v>2200000</v>
      </c>
      <c r="N1667" t="s">
        <v>3916</v>
      </c>
    </row>
    <row r="1668" spans="1:14" x14ac:dyDescent="0.3">
      <c r="A1668" s="271">
        <v>1667</v>
      </c>
      <c r="B1668" s="264">
        <v>45917</v>
      </c>
      <c r="C1668" s="292" t="s">
        <v>1722</v>
      </c>
      <c r="E1668" s="292" t="s">
        <v>1716</v>
      </c>
      <c r="F1668" s="269" t="s">
        <v>1715</v>
      </c>
      <c r="G1668" s="265">
        <v>15000</v>
      </c>
      <c r="H1668" s="269">
        <v>4</v>
      </c>
      <c r="K1668" s="265">
        <v>60000</v>
      </c>
      <c r="N1668" t="s">
        <v>3916</v>
      </c>
    </row>
    <row r="1669" spans="1:14" x14ac:dyDescent="0.3">
      <c r="A1669" s="271">
        <v>1668</v>
      </c>
      <c r="B1669" s="264">
        <v>45917</v>
      </c>
      <c r="C1669" s="292" t="s">
        <v>2145</v>
      </c>
      <c r="E1669" s="292" t="s">
        <v>3466</v>
      </c>
      <c r="F1669" s="269" t="s">
        <v>1207</v>
      </c>
      <c r="G1669" s="265">
        <v>540000</v>
      </c>
      <c r="H1669" s="269">
        <v>1</v>
      </c>
      <c r="K1669" s="265">
        <v>540000</v>
      </c>
      <c r="N1669" t="s">
        <v>3916</v>
      </c>
    </row>
    <row r="1670" spans="1:14" x14ac:dyDescent="0.3">
      <c r="A1670" s="271">
        <v>1669</v>
      </c>
      <c r="B1670" s="264">
        <v>45917</v>
      </c>
      <c r="C1670" s="292" t="s">
        <v>2145</v>
      </c>
      <c r="E1670" s="292" t="s">
        <v>2186</v>
      </c>
      <c r="F1670" s="269" t="s">
        <v>1200</v>
      </c>
      <c r="G1670" s="265">
        <v>1000000</v>
      </c>
      <c r="H1670" s="269">
        <v>1</v>
      </c>
      <c r="K1670" s="265">
        <v>1000000</v>
      </c>
      <c r="N1670" t="s">
        <v>3916</v>
      </c>
    </row>
    <row r="1671" spans="1:14" x14ac:dyDescent="0.3">
      <c r="A1671" s="271">
        <v>1670</v>
      </c>
      <c r="B1671" s="264">
        <v>45917</v>
      </c>
      <c r="C1671" s="292" t="s">
        <v>2145</v>
      </c>
      <c r="E1671" s="292" t="s">
        <v>2191</v>
      </c>
      <c r="F1671" s="269" t="s">
        <v>1795</v>
      </c>
      <c r="G1671" s="265">
        <v>35000</v>
      </c>
      <c r="H1671" s="269">
        <v>1</v>
      </c>
      <c r="K1671" s="265">
        <v>35000</v>
      </c>
      <c r="N1671" t="s">
        <v>3916</v>
      </c>
    </row>
    <row r="1672" spans="1:14" x14ac:dyDescent="0.3">
      <c r="A1672" s="271">
        <v>1671</v>
      </c>
      <c r="B1672" s="264">
        <v>45917</v>
      </c>
      <c r="C1672" s="292" t="s">
        <v>2148</v>
      </c>
      <c r="E1672" s="292" t="s">
        <v>1717</v>
      </c>
      <c r="F1672" s="269">
        <v>2800802</v>
      </c>
      <c r="G1672" s="265">
        <v>150000</v>
      </c>
      <c r="H1672" s="269">
        <v>3</v>
      </c>
      <c r="K1672" s="265">
        <v>450000</v>
      </c>
      <c r="N1672" t="s">
        <v>3916</v>
      </c>
    </row>
    <row r="1673" spans="1:14" x14ac:dyDescent="0.3">
      <c r="A1673" s="271">
        <v>1672</v>
      </c>
      <c r="B1673" s="264">
        <v>45917</v>
      </c>
      <c r="C1673" s="292" t="s">
        <v>1671</v>
      </c>
      <c r="E1673" s="292" t="s">
        <v>2290</v>
      </c>
      <c r="G1673" s="265">
        <v>1600000</v>
      </c>
      <c r="H1673" s="269">
        <v>1</v>
      </c>
      <c r="J1673" s="266">
        <v>160000</v>
      </c>
      <c r="K1673" s="265">
        <v>1760000</v>
      </c>
      <c r="N1673" t="s">
        <v>3916</v>
      </c>
    </row>
    <row r="1674" spans="1:14" x14ac:dyDescent="0.3">
      <c r="A1674" s="271">
        <v>1673</v>
      </c>
      <c r="B1674" s="264">
        <v>45918</v>
      </c>
      <c r="C1674" s="292" t="s">
        <v>1980</v>
      </c>
      <c r="E1674" s="292" t="s">
        <v>1125</v>
      </c>
      <c r="L1674" s="265">
        <v>-1200000</v>
      </c>
    </row>
    <row r="1675" spans="1:14" x14ac:dyDescent="0.3">
      <c r="A1675" s="271">
        <v>1674</v>
      </c>
      <c r="B1675" s="264">
        <v>45918</v>
      </c>
      <c r="C1675" s="292" t="s">
        <v>1399</v>
      </c>
      <c r="E1675" s="292" t="s">
        <v>3587</v>
      </c>
      <c r="F1675" s="269" t="s">
        <v>3597</v>
      </c>
      <c r="G1675" s="265">
        <v>900000</v>
      </c>
      <c r="H1675" s="269">
        <v>1</v>
      </c>
      <c r="K1675" s="265">
        <v>900000</v>
      </c>
      <c r="N1675" t="s">
        <v>3916</v>
      </c>
    </row>
    <row r="1676" spans="1:14" x14ac:dyDescent="0.3">
      <c r="A1676" s="271">
        <v>1675</v>
      </c>
      <c r="B1676" s="264">
        <v>45918</v>
      </c>
      <c r="C1676" s="292" t="s">
        <v>1026</v>
      </c>
      <c r="E1676" s="292" t="s">
        <v>2805</v>
      </c>
      <c r="F1676" s="269" t="s">
        <v>2804</v>
      </c>
      <c r="G1676" s="265">
        <v>450000</v>
      </c>
      <c r="H1676" s="269">
        <v>1</v>
      </c>
      <c r="K1676" s="265">
        <v>450000</v>
      </c>
      <c r="N1676" t="s">
        <v>3916</v>
      </c>
    </row>
    <row r="1677" spans="1:14" x14ac:dyDescent="0.3">
      <c r="A1677" s="271">
        <v>1676</v>
      </c>
      <c r="B1677" s="264">
        <v>45918</v>
      </c>
      <c r="C1677" s="292" t="s">
        <v>1026</v>
      </c>
      <c r="E1677" s="292" t="s">
        <v>2183</v>
      </c>
      <c r="F1677" s="269" t="s">
        <v>1720</v>
      </c>
      <c r="G1677" s="265">
        <v>70000</v>
      </c>
      <c r="H1677" s="269">
        <v>1</v>
      </c>
      <c r="K1677" s="265">
        <v>70000</v>
      </c>
      <c r="N1677" t="s">
        <v>3916</v>
      </c>
    </row>
    <row r="1678" spans="1:14" x14ac:dyDescent="0.3">
      <c r="A1678" s="271">
        <v>1677</v>
      </c>
      <c r="B1678" s="264">
        <v>45918</v>
      </c>
      <c r="C1678" s="292" t="s">
        <v>1467</v>
      </c>
      <c r="E1678" s="292" t="s">
        <v>2680</v>
      </c>
      <c r="G1678" s="265">
        <v>200000</v>
      </c>
      <c r="H1678" s="269">
        <v>1</v>
      </c>
      <c r="J1678" s="266">
        <v>20000</v>
      </c>
      <c r="K1678" s="265">
        <v>220000</v>
      </c>
    </row>
    <row r="1679" spans="1:14" x14ac:dyDescent="0.3">
      <c r="A1679" s="271">
        <v>1678</v>
      </c>
      <c r="B1679" s="264">
        <v>45918</v>
      </c>
      <c r="C1679" s="292" t="s">
        <v>1473</v>
      </c>
      <c r="E1679" s="292" t="s">
        <v>1203</v>
      </c>
      <c r="F1679" s="269" t="s">
        <v>1752</v>
      </c>
      <c r="G1679" s="265">
        <v>1100000</v>
      </c>
      <c r="H1679" s="269">
        <v>1</v>
      </c>
      <c r="K1679" s="265">
        <v>1100000</v>
      </c>
      <c r="N1679" t="s">
        <v>3916</v>
      </c>
    </row>
    <row r="1680" spans="1:14" x14ac:dyDescent="0.3">
      <c r="A1680" s="271">
        <v>1679</v>
      </c>
      <c r="B1680" s="264">
        <v>45918</v>
      </c>
      <c r="C1680" s="292" t="s">
        <v>3120</v>
      </c>
      <c r="E1680" s="292" t="s">
        <v>2043</v>
      </c>
      <c r="F1680" s="269" t="s">
        <v>3607</v>
      </c>
      <c r="G1680" s="265">
        <v>1000000</v>
      </c>
      <c r="H1680" s="269">
        <v>1</v>
      </c>
      <c r="J1680" s="266">
        <v>100000</v>
      </c>
      <c r="K1680" s="265">
        <v>1100000</v>
      </c>
      <c r="N1680" t="s">
        <v>3916</v>
      </c>
    </row>
    <row r="1681" spans="1:14" x14ac:dyDescent="0.3">
      <c r="A1681" s="271">
        <v>1680</v>
      </c>
      <c r="B1681" s="264">
        <v>45918</v>
      </c>
      <c r="C1681" s="292" t="s">
        <v>1931</v>
      </c>
      <c r="E1681" s="292" t="s">
        <v>3042</v>
      </c>
      <c r="F1681" s="269">
        <v>2820403</v>
      </c>
      <c r="G1681" s="265">
        <v>1000000</v>
      </c>
      <c r="H1681" s="269">
        <v>1</v>
      </c>
      <c r="K1681" s="265">
        <v>1000000</v>
      </c>
      <c r="N1681" t="s">
        <v>3916</v>
      </c>
    </row>
    <row r="1682" spans="1:14" x14ac:dyDescent="0.3">
      <c r="A1682" s="271">
        <v>1681</v>
      </c>
      <c r="B1682" s="264">
        <v>45918</v>
      </c>
      <c r="C1682" s="292" t="s">
        <v>1931</v>
      </c>
      <c r="E1682" s="292" t="s">
        <v>2904</v>
      </c>
      <c r="G1682" s="265">
        <v>50000</v>
      </c>
      <c r="H1682" s="269">
        <v>1</v>
      </c>
      <c r="K1682" s="265">
        <v>50000</v>
      </c>
      <c r="N1682" t="s">
        <v>3916</v>
      </c>
    </row>
    <row r="1683" spans="1:14" x14ac:dyDescent="0.3">
      <c r="A1683" s="271">
        <v>1682</v>
      </c>
      <c r="B1683" s="264">
        <v>45918</v>
      </c>
      <c r="C1683" s="292" t="s">
        <v>3451</v>
      </c>
      <c r="E1683" s="292" t="s">
        <v>3599</v>
      </c>
      <c r="F1683" s="269" t="s">
        <v>3598</v>
      </c>
      <c r="G1683" s="265">
        <v>300000</v>
      </c>
      <c r="H1683" s="269">
        <v>1</v>
      </c>
      <c r="K1683" s="265">
        <v>300000</v>
      </c>
      <c r="N1683" t="s">
        <v>3916</v>
      </c>
    </row>
    <row r="1684" spans="1:14" x14ac:dyDescent="0.3">
      <c r="A1684" s="271">
        <v>1683</v>
      </c>
      <c r="B1684" s="264">
        <v>45918</v>
      </c>
      <c r="C1684" s="292" t="s">
        <v>1444</v>
      </c>
      <c r="E1684" s="292" t="s">
        <v>2027</v>
      </c>
      <c r="F1684" s="269" t="s">
        <v>1216</v>
      </c>
      <c r="G1684" s="265">
        <v>1500000</v>
      </c>
      <c r="H1684" s="269">
        <v>1</v>
      </c>
      <c r="K1684" s="265">
        <v>1500000</v>
      </c>
      <c r="N1684" t="s">
        <v>3916</v>
      </c>
    </row>
    <row r="1685" spans="1:14" x14ac:dyDescent="0.3">
      <c r="A1685" s="271">
        <v>1684</v>
      </c>
      <c r="B1685" s="264">
        <v>45918</v>
      </c>
      <c r="C1685" s="292" t="s">
        <v>1444</v>
      </c>
      <c r="E1685" s="292" t="s">
        <v>3596</v>
      </c>
      <c r="F1685" s="269" t="s">
        <v>3595</v>
      </c>
      <c r="G1685" s="265">
        <v>130000</v>
      </c>
      <c r="H1685" s="269">
        <v>1</v>
      </c>
      <c r="K1685" s="265">
        <v>130000</v>
      </c>
      <c r="N1685" t="s">
        <v>3916</v>
      </c>
    </row>
    <row r="1686" spans="1:14" x14ac:dyDescent="0.3">
      <c r="A1686" s="271">
        <v>1685</v>
      </c>
      <c r="B1686" s="264">
        <v>45918</v>
      </c>
      <c r="C1686" s="292" t="s">
        <v>1444</v>
      </c>
      <c r="E1686" s="292" t="s">
        <v>3587</v>
      </c>
      <c r="F1686" s="269" t="s">
        <v>3597</v>
      </c>
      <c r="G1686" s="265">
        <v>2200000</v>
      </c>
      <c r="H1686" s="269">
        <v>1</v>
      </c>
      <c r="K1686" s="265">
        <v>2200000</v>
      </c>
      <c r="N1686" t="s">
        <v>3916</v>
      </c>
    </row>
    <row r="1687" spans="1:14" x14ac:dyDescent="0.3">
      <c r="A1687" s="271">
        <v>1686</v>
      </c>
      <c r="B1687" s="264">
        <v>45918</v>
      </c>
      <c r="C1687" s="292" t="s">
        <v>1747</v>
      </c>
      <c r="E1687" s="292" t="s">
        <v>3593</v>
      </c>
      <c r="F1687" s="269">
        <v>24055324</v>
      </c>
      <c r="G1687" s="265">
        <v>260000</v>
      </c>
      <c r="H1687" s="269">
        <v>1</v>
      </c>
      <c r="J1687" s="266">
        <v>26000</v>
      </c>
      <c r="K1687" s="265">
        <v>286000</v>
      </c>
      <c r="N1687" t="s">
        <v>3916</v>
      </c>
    </row>
    <row r="1688" spans="1:14" x14ac:dyDescent="0.3">
      <c r="A1688" s="271">
        <v>1687</v>
      </c>
      <c r="B1688" s="264">
        <v>45918</v>
      </c>
      <c r="C1688" s="292" t="s">
        <v>2809</v>
      </c>
      <c r="E1688" s="292" t="s">
        <v>1535</v>
      </c>
      <c r="G1688" s="265">
        <v>450000</v>
      </c>
      <c r="H1688" s="269">
        <v>1</v>
      </c>
      <c r="K1688" s="265">
        <v>450000</v>
      </c>
      <c r="N1688" t="s">
        <v>3916</v>
      </c>
    </row>
    <row r="1689" spans="1:14" x14ac:dyDescent="0.3">
      <c r="A1689" s="271">
        <v>1688</v>
      </c>
      <c r="B1689" s="264">
        <v>45918</v>
      </c>
      <c r="C1689" s="292" t="s">
        <v>3115</v>
      </c>
      <c r="E1689" s="292" t="s">
        <v>2196</v>
      </c>
      <c r="F1689" s="269">
        <v>2820403</v>
      </c>
      <c r="G1689" s="265">
        <v>1500000</v>
      </c>
      <c r="H1689" s="269">
        <v>1</v>
      </c>
      <c r="K1689" s="265">
        <v>1500000</v>
      </c>
      <c r="N1689" t="s">
        <v>3916</v>
      </c>
    </row>
    <row r="1690" spans="1:14" x14ac:dyDescent="0.3">
      <c r="A1690" s="271">
        <v>1689</v>
      </c>
      <c r="B1690" s="264">
        <v>45918</v>
      </c>
      <c r="C1690" s="292" t="s">
        <v>2704</v>
      </c>
      <c r="E1690" s="292" t="s">
        <v>1561</v>
      </c>
      <c r="F1690" s="269" t="s">
        <v>2697</v>
      </c>
      <c r="G1690" s="265">
        <v>1000000</v>
      </c>
      <c r="H1690" s="269">
        <v>1</v>
      </c>
      <c r="J1690" s="266">
        <v>100000</v>
      </c>
      <c r="K1690" s="265">
        <v>1100000</v>
      </c>
      <c r="N1690" t="s">
        <v>3917</v>
      </c>
    </row>
    <row r="1691" spans="1:14" x14ac:dyDescent="0.3">
      <c r="A1691" s="271">
        <v>1690</v>
      </c>
      <c r="B1691" s="264">
        <v>45918</v>
      </c>
      <c r="C1691" s="292" t="s">
        <v>2704</v>
      </c>
      <c r="E1691" s="292" t="s">
        <v>1737</v>
      </c>
      <c r="F1691" s="269" t="s">
        <v>2834</v>
      </c>
      <c r="G1691" s="265">
        <v>450000</v>
      </c>
      <c r="H1691" s="269">
        <v>1</v>
      </c>
      <c r="J1691" s="266">
        <v>45000</v>
      </c>
      <c r="K1691" s="265">
        <v>495000</v>
      </c>
    </row>
    <row r="1692" spans="1:14" x14ac:dyDescent="0.3">
      <c r="A1692" s="271">
        <v>1691</v>
      </c>
      <c r="B1692" s="264">
        <v>45918</v>
      </c>
      <c r="C1692" s="292" t="s">
        <v>3629</v>
      </c>
      <c r="E1692" s="292" t="s">
        <v>3630</v>
      </c>
      <c r="F1692" s="269" t="s">
        <v>3631</v>
      </c>
      <c r="G1692" s="265">
        <v>350000</v>
      </c>
      <c r="H1692" s="269">
        <v>2</v>
      </c>
      <c r="J1692" s="266" t="s">
        <v>3632</v>
      </c>
      <c r="K1692" s="265">
        <v>770000</v>
      </c>
      <c r="N1692" t="s">
        <v>3916</v>
      </c>
    </row>
    <row r="1693" spans="1:14" x14ac:dyDescent="0.3">
      <c r="A1693" s="271">
        <v>1692</v>
      </c>
      <c r="B1693" s="264">
        <v>45918</v>
      </c>
      <c r="C1693" s="292" t="s">
        <v>3115</v>
      </c>
      <c r="E1693" s="292" t="s">
        <v>1125</v>
      </c>
      <c r="L1693" s="265">
        <v>-1500000</v>
      </c>
    </row>
    <row r="1694" spans="1:14" x14ac:dyDescent="0.3">
      <c r="A1694" s="271">
        <v>1693</v>
      </c>
      <c r="B1694" s="264">
        <v>45918</v>
      </c>
      <c r="C1694" s="292" t="s">
        <v>1454</v>
      </c>
      <c r="E1694" s="292" t="s">
        <v>1125</v>
      </c>
      <c r="L1694" s="265">
        <v>-1750000</v>
      </c>
    </row>
    <row r="1695" spans="1:14" x14ac:dyDescent="0.3">
      <c r="A1695" s="271">
        <v>1694</v>
      </c>
      <c r="B1695" s="264">
        <v>45918</v>
      </c>
      <c r="C1695" s="292" t="s">
        <v>2148</v>
      </c>
      <c r="E1695" s="292" t="s">
        <v>1125</v>
      </c>
      <c r="L1695" s="265">
        <v>-450000</v>
      </c>
    </row>
    <row r="1696" spans="1:14" x14ac:dyDescent="0.3">
      <c r="A1696" s="271">
        <v>1695</v>
      </c>
      <c r="B1696" s="264">
        <v>45918</v>
      </c>
      <c r="C1696" s="292" t="s">
        <v>3451</v>
      </c>
      <c r="E1696" s="292" t="s">
        <v>1125</v>
      </c>
      <c r="L1696" s="265">
        <v>-300000</v>
      </c>
    </row>
    <row r="1697" spans="1:14" x14ac:dyDescent="0.3">
      <c r="A1697" s="271">
        <v>1696</v>
      </c>
      <c r="B1697" s="264">
        <v>45918</v>
      </c>
      <c r="C1697" s="292" t="s">
        <v>3577</v>
      </c>
      <c r="E1697" s="292" t="s">
        <v>1125</v>
      </c>
      <c r="L1697" s="265">
        <v>-1060000</v>
      </c>
    </row>
    <row r="1698" spans="1:14" x14ac:dyDescent="0.3">
      <c r="A1698" s="271">
        <v>1697</v>
      </c>
      <c r="B1698" s="264">
        <v>45919</v>
      </c>
      <c r="C1698" s="292" t="s">
        <v>1082</v>
      </c>
      <c r="E1698" s="292" t="s">
        <v>1125</v>
      </c>
      <c r="L1698" s="265">
        <v>-1550000</v>
      </c>
    </row>
    <row r="1699" spans="1:14" x14ac:dyDescent="0.3">
      <c r="A1699" s="271">
        <v>1698</v>
      </c>
      <c r="B1699" s="264">
        <v>45919</v>
      </c>
      <c r="C1699" s="292" t="s">
        <v>1082</v>
      </c>
      <c r="E1699" s="292" t="s">
        <v>2183</v>
      </c>
      <c r="F1699" s="269" t="s">
        <v>1720</v>
      </c>
      <c r="G1699" s="265">
        <v>60000</v>
      </c>
      <c r="H1699" s="269">
        <v>1</v>
      </c>
      <c r="K1699" s="265">
        <v>60000</v>
      </c>
      <c r="N1699" t="s">
        <v>3916</v>
      </c>
    </row>
    <row r="1700" spans="1:14" x14ac:dyDescent="0.3">
      <c r="A1700" s="271">
        <v>1699</v>
      </c>
      <c r="B1700" s="264">
        <v>45919</v>
      </c>
      <c r="C1700" s="292" t="s">
        <v>1399</v>
      </c>
      <c r="E1700" s="292" t="s">
        <v>1743</v>
      </c>
      <c r="G1700" s="265">
        <v>450000</v>
      </c>
      <c r="H1700" s="269">
        <v>1</v>
      </c>
      <c r="K1700" s="265">
        <v>450000</v>
      </c>
      <c r="N1700" t="s">
        <v>3916</v>
      </c>
    </row>
    <row r="1701" spans="1:14" x14ac:dyDescent="0.3">
      <c r="A1701" s="271">
        <v>1700</v>
      </c>
      <c r="B1701" s="264">
        <v>45919</v>
      </c>
      <c r="C1701" s="292" t="s">
        <v>1018</v>
      </c>
      <c r="E1701" s="292" t="s">
        <v>3587</v>
      </c>
      <c r="F1701" s="269" t="s">
        <v>3597</v>
      </c>
      <c r="G1701" s="265">
        <v>2000000</v>
      </c>
      <c r="H1701" s="269">
        <v>1</v>
      </c>
      <c r="K1701" s="265">
        <v>2000000</v>
      </c>
      <c r="N1701" t="s">
        <v>3916</v>
      </c>
    </row>
    <row r="1702" spans="1:14" x14ac:dyDescent="0.3">
      <c r="A1702" s="271">
        <v>1701</v>
      </c>
      <c r="B1702" s="264">
        <v>45919</v>
      </c>
      <c r="C1702" s="292" t="s">
        <v>2742</v>
      </c>
      <c r="E1702" s="292" t="s">
        <v>3626</v>
      </c>
      <c r="G1702" s="265">
        <v>250000</v>
      </c>
      <c r="H1702" s="269">
        <v>1</v>
      </c>
      <c r="K1702" s="265">
        <v>250000</v>
      </c>
      <c r="N1702" t="s">
        <v>3916</v>
      </c>
    </row>
    <row r="1703" spans="1:14" x14ac:dyDescent="0.3">
      <c r="A1703" s="271">
        <v>1702</v>
      </c>
      <c r="B1703" s="264">
        <v>45919</v>
      </c>
      <c r="C1703" s="292" t="s">
        <v>1018</v>
      </c>
      <c r="E1703" s="292" t="s">
        <v>3628</v>
      </c>
      <c r="L1703" s="265">
        <v>-2000000</v>
      </c>
      <c r="N1703" t="s">
        <v>3916</v>
      </c>
    </row>
    <row r="1704" spans="1:14" x14ac:dyDescent="0.3">
      <c r="A1704" s="271">
        <v>1703</v>
      </c>
      <c r="B1704" s="264">
        <v>45919</v>
      </c>
      <c r="C1704" s="292" t="s">
        <v>2809</v>
      </c>
      <c r="E1704" s="292" t="s">
        <v>1125</v>
      </c>
      <c r="L1704" s="265">
        <v>-450000</v>
      </c>
    </row>
    <row r="1705" spans="1:14" x14ac:dyDescent="0.3">
      <c r="A1705" s="271">
        <v>1704</v>
      </c>
      <c r="B1705" s="264">
        <v>45919</v>
      </c>
      <c r="C1705" s="292" t="s">
        <v>3120</v>
      </c>
      <c r="E1705" s="292" t="s">
        <v>1125</v>
      </c>
      <c r="L1705" s="265">
        <v>-1100000</v>
      </c>
    </row>
    <row r="1706" spans="1:14" x14ac:dyDescent="0.3">
      <c r="A1706" s="271">
        <v>1705</v>
      </c>
      <c r="B1706" s="264">
        <v>45919</v>
      </c>
      <c r="C1706" s="292" t="s">
        <v>1053</v>
      </c>
      <c r="E1706" s="292" t="s">
        <v>1125</v>
      </c>
      <c r="L1706" s="265">
        <v>-1550000</v>
      </c>
    </row>
    <row r="1707" spans="1:14" x14ac:dyDescent="0.3">
      <c r="A1707" s="271">
        <v>1706</v>
      </c>
      <c r="B1707" s="264">
        <v>45919</v>
      </c>
      <c r="C1707" s="292" t="s">
        <v>2704</v>
      </c>
      <c r="E1707" s="292" t="s">
        <v>1125</v>
      </c>
      <c r="L1707" s="265">
        <v>-1595000</v>
      </c>
    </row>
    <row r="1708" spans="1:14" x14ac:dyDescent="0.3">
      <c r="A1708" s="271">
        <v>1707</v>
      </c>
      <c r="B1708" s="264">
        <v>45919</v>
      </c>
      <c r="C1708" s="292" t="s">
        <v>2319</v>
      </c>
      <c r="E1708" s="292" t="s">
        <v>1125</v>
      </c>
      <c r="L1708" s="265">
        <v>-770000</v>
      </c>
    </row>
    <row r="1709" spans="1:14" x14ac:dyDescent="0.3">
      <c r="A1709" s="271">
        <v>1708</v>
      </c>
      <c r="B1709" s="264">
        <v>45920</v>
      </c>
      <c r="C1709" s="292" t="s">
        <v>2742</v>
      </c>
      <c r="E1709" s="292" t="s">
        <v>1125</v>
      </c>
      <c r="L1709" s="265">
        <v>-250000</v>
      </c>
    </row>
    <row r="1710" spans="1:14" x14ac:dyDescent="0.3">
      <c r="A1710" s="271">
        <v>1709</v>
      </c>
      <c r="B1710" s="264">
        <v>45920</v>
      </c>
      <c r="C1710" s="292" t="s">
        <v>1931</v>
      </c>
      <c r="E1710" s="292" t="s">
        <v>1125</v>
      </c>
      <c r="L1710" s="265">
        <v>-1050000</v>
      </c>
    </row>
    <row r="1711" spans="1:14" x14ac:dyDescent="0.3">
      <c r="A1711" s="271">
        <v>1710</v>
      </c>
      <c r="B1711" s="264">
        <v>45920</v>
      </c>
      <c r="C1711" s="292" t="s">
        <v>1790</v>
      </c>
      <c r="E1711" s="292" t="s">
        <v>1125</v>
      </c>
      <c r="L1711" s="265">
        <v>-3875000</v>
      </c>
    </row>
    <row r="1712" spans="1:14" x14ac:dyDescent="0.3">
      <c r="A1712" s="271">
        <v>1711</v>
      </c>
      <c r="B1712" s="264">
        <v>45920</v>
      </c>
      <c r="C1712" s="292" t="s">
        <v>1809</v>
      </c>
      <c r="E1712" s="292" t="s">
        <v>1496</v>
      </c>
      <c r="F1712" s="269" t="s">
        <v>2679</v>
      </c>
      <c r="G1712" s="265">
        <v>350000</v>
      </c>
      <c r="H1712" s="269">
        <v>1</v>
      </c>
      <c r="K1712" s="265">
        <v>350000</v>
      </c>
      <c r="N1712" t="s">
        <v>3916</v>
      </c>
    </row>
    <row r="1713" spans="1:14" x14ac:dyDescent="0.3">
      <c r="A1713" s="271">
        <v>1712</v>
      </c>
      <c r="B1713" s="264">
        <v>45922</v>
      </c>
      <c r="C1713" s="292" t="s">
        <v>1671</v>
      </c>
      <c r="E1713" s="292" t="s">
        <v>1125</v>
      </c>
      <c r="L1713" s="265">
        <v>-1760000</v>
      </c>
    </row>
    <row r="1714" spans="1:14" x14ac:dyDescent="0.3">
      <c r="A1714" s="271">
        <v>1713</v>
      </c>
      <c r="B1714" s="264">
        <v>45922</v>
      </c>
      <c r="C1714" s="292" t="s">
        <v>3716</v>
      </c>
      <c r="E1714" s="292" t="s">
        <v>3717</v>
      </c>
      <c r="F1714" s="269" t="s">
        <v>3718</v>
      </c>
      <c r="G1714" s="265">
        <v>1300000</v>
      </c>
      <c r="H1714" s="269">
        <v>1</v>
      </c>
      <c r="J1714" s="266" t="s">
        <v>3143</v>
      </c>
      <c r="K1714" s="265">
        <v>1430000</v>
      </c>
      <c r="N1714" t="s">
        <v>3916</v>
      </c>
    </row>
    <row r="1715" spans="1:14" x14ac:dyDescent="0.3">
      <c r="A1715" s="271">
        <v>1714</v>
      </c>
      <c r="B1715" s="264">
        <v>45922</v>
      </c>
      <c r="C1715" s="292" t="s">
        <v>1977</v>
      </c>
      <c r="E1715" s="292" t="s">
        <v>2180</v>
      </c>
      <c r="F1715" s="269" t="s">
        <v>1201</v>
      </c>
      <c r="G1715" s="265">
        <v>1500000</v>
      </c>
      <c r="H1715" s="269">
        <v>1</v>
      </c>
      <c r="J1715" s="266">
        <v>150000</v>
      </c>
      <c r="K1715" s="265">
        <v>1650000</v>
      </c>
      <c r="N1715" t="s">
        <v>3916</v>
      </c>
    </row>
    <row r="1716" spans="1:14" x14ac:dyDescent="0.3">
      <c r="A1716" s="271">
        <v>1715</v>
      </c>
      <c r="B1716" s="264">
        <v>45922</v>
      </c>
      <c r="C1716" s="292" t="s">
        <v>1977</v>
      </c>
      <c r="E1716" s="292" t="s">
        <v>2181</v>
      </c>
      <c r="F1716" s="269" t="s">
        <v>1803</v>
      </c>
      <c r="G1716" s="265">
        <v>0</v>
      </c>
      <c r="H1716" s="269">
        <v>1</v>
      </c>
      <c r="K1716" s="265">
        <v>0</v>
      </c>
      <c r="N1716" t="s">
        <v>3916</v>
      </c>
    </row>
    <row r="1717" spans="1:14" x14ac:dyDescent="0.3">
      <c r="A1717" s="271">
        <v>1716</v>
      </c>
      <c r="B1717" s="264">
        <v>45922</v>
      </c>
      <c r="C1717" s="292" t="s">
        <v>1580</v>
      </c>
      <c r="E1717" s="292" t="s">
        <v>2188</v>
      </c>
      <c r="F1717" s="269" t="s">
        <v>1259</v>
      </c>
      <c r="G1717" s="265">
        <v>130000</v>
      </c>
      <c r="H1717" s="269">
        <v>1</v>
      </c>
      <c r="J1717" s="266">
        <v>13000</v>
      </c>
      <c r="K1717" s="265">
        <v>143000</v>
      </c>
    </row>
    <row r="1718" spans="1:14" x14ac:dyDescent="0.3">
      <c r="A1718" s="271">
        <v>1717</v>
      </c>
      <c r="B1718" s="264">
        <v>45922</v>
      </c>
      <c r="C1718" s="292" t="s">
        <v>1467</v>
      </c>
      <c r="E1718" s="292" t="s">
        <v>1862</v>
      </c>
      <c r="F1718" s="269">
        <v>501218962</v>
      </c>
      <c r="G1718" s="265">
        <v>3500000</v>
      </c>
      <c r="H1718" s="269">
        <v>1</v>
      </c>
      <c r="J1718" s="266">
        <v>350000</v>
      </c>
      <c r="K1718" s="265">
        <v>3850000</v>
      </c>
    </row>
    <row r="1719" spans="1:14" x14ac:dyDescent="0.3">
      <c r="A1719" s="271">
        <v>1718</v>
      </c>
      <c r="B1719" s="264">
        <v>45922</v>
      </c>
      <c r="C1719" s="292" t="s">
        <v>1442</v>
      </c>
      <c r="E1719" s="292" t="s">
        <v>1496</v>
      </c>
      <c r="F1719" s="269" t="s">
        <v>2679</v>
      </c>
      <c r="G1719" s="265">
        <v>350000</v>
      </c>
      <c r="H1719" s="269">
        <v>1</v>
      </c>
      <c r="K1719" s="265">
        <v>350000</v>
      </c>
      <c r="N1719" t="s">
        <v>3916</v>
      </c>
    </row>
    <row r="1720" spans="1:14" x14ac:dyDescent="0.3">
      <c r="A1720" s="271">
        <v>1719</v>
      </c>
      <c r="B1720" s="264">
        <v>45922</v>
      </c>
      <c r="C1720" s="292" t="s">
        <v>2410</v>
      </c>
      <c r="E1720" s="292" t="s">
        <v>1205</v>
      </c>
      <c r="F1720" s="269" t="s">
        <v>1992</v>
      </c>
      <c r="G1720" s="265">
        <v>1900000</v>
      </c>
      <c r="H1720" s="269">
        <v>1</v>
      </c>
      <c r="J1720" s="266">
        <v>190000</v>
      </c>
      <c r="K1720" s="265">
        <v>2090000</v>
      </c>
      <c r="N1720" t="s">
        <v>3916</v>
      </c>
    </row>
    <row r="1721" spans="1:14" x14ac:dyDescent="0.3">
      <c r="A1721" s="271">
        <v>1720</v>
      </c>
      <c r="B1721" s="264">
        <v>45922</v>
      </c>
      <c r="C1721" s="292" t="s">
        <v>2410</v>
      </c>
      <c r="E1721" s="292" t="s">
        <v>2680</v>
      </c>
      <c r="G1721" s="265">
        <v>100000</v>
      </c>
      <c r="H1721" s="269">
        <v>1</v>
      </c>
      <c r="J1721" s="266">
        <v>10000</v>
      </c>
      <c r="K1721" s="265">
        <v>110000</v>
      </c>
      <c r="N1721" t="s">
        <v>3916</v>
      </c>
    </row>
    <row r="1722" spans="1:14" x14ac:dyDescent="0.3">
      <c r="A1722" s="271">
        <v>1721</v>
      </c>
      <c r="B1722" s="264">
        <v>45922</v>
      </c>
      <c r="C1722" s="292" t="s">
        <v>2410</v>
      </c>
      <c r="E1722" s="292" t="s">
        <v>1561</v>
      </c>
      <c r="F1722" s="269" t="s">
        <v>1223</v>
      </c>
      <c r="G1722" s="265">
        <v>1200000</v>
      </c>
      <c r="H1722" s="269">
        <v>1</v>
      </c>
      <c r="J1722" s="266">
        <v>120000</v>
      </c>
      <c r="K1722" s="265">
        <v>1320000</v>
      </c>
      <c r="N1722" t="s">
        <v>3916</v>
      </c>
    </row>
    <row r="1723" spans="1:14" x14ac:dyDescent="0.3">
      <c r="A1723" s="271">
        <v>1722</v>
      </c>
      <c r="B1723" s="264">
        <v>45922</v>
      </c>
      <c r="C1723" s="292" t="s">
        <v>1026</v>
      </c>
      <c r="E1723" s="292" t="s">
        <v>2180</v>
      </c>
      <c r="F1723" s="269" t="s">
        <v>1201</v>
      </c>
      <c r="G1723" s="265">
        <v>1500000</v>
      </c>
      <c r="H1723" s="269">
        <v>1</v>
      </c>
      <c r="K1723" s="265">
        <v>1500000</v>
      </c>
      <c r="N1723" t="s">
        <v>3916</v>
      </c>
    </row>
    <row r="1724" spans="1:14" x14ac:dyDescent="0.3">
      <c r="A1724" s="271">
        <v>1723</v>
      </c>
      <c r="B1724" s="264">
        <v>45922</v>
      </c>
      <c r="C1724" s="292" t="s">
        <v>1026</v>
      </c>
      <c r="E1724" s="292" t="s">
        <v>2181</v>
      </c>
      <c r="F1724" s="269" t="s">
        <v>1803</v>
      </c>
      <c r="G1724" s="265">
        <v>50000</v>
      </c>
      <c r="H1724" s="269">
        <v>1</v>
      </c>
      <c r="K1724" s="265">
        <v>50000</v>
      </c>
      <c r="N1724" t="s">
        <v>3916</v>
      </c>
    </row>
    <row r="1725" spans="1:14" x14ac:dyDescent="0.3">
      <c r="A1725" s="271">
        <v>1724</v>
      </c>
      <c r="B1725" s="264">
        <v>45922</v>
      </c>
      <c r="C1725" s="292" t="s">
        <v>1977</v>
      </c>
      <c r="E1725" s="292" t="s">
        <v>1746</v>
      </c>
      <c r="L1725" s="265">
        <v>-1650000</v>
      </c>
    </row>
    <row r="1726" spans="1:14" x14ac:dyDescent="0.3">
      <c r="A1726" s="271">
        <v>1725</v>
      </c>
      <c r="B1726" s="264">
        <v>45922</v>
      </c>
      <c r="C1726" s="292" t="s">
        <v>1442</v>
      </c>
      <c r="E1726" s="292" t="s">
        <v>1746</v>
      </c>
      <c r="L1726" s="265">
        <v>-350000</v>
      </c>
    </row>
    <row r="1727" spans="1:14" x14ac:dyDescent="0.3">
      <c r="A1727" s="271">
        <v>1726</v>
      </c>
      <c r="B1727" s="264">
        <v>45922</v>
      </c>
      <c r="C1727" s="292" t="s">
        <v>2998</v>
      </c>
      <c r="E1727" s="292" t="s">
        <v>1746</v>
      </c>
      <c r="L1727" s="265">
        <v>-1650000</v>
      </c>
    </row>
    <row r="1728" spans="1:14" x14ac:dyDescent="0.3">
      <c r="A1728" s="271">
        <v>1727</v>
      </c>
      <c r="B1728" s="264">
        <v>45922</v>
      </c>
      <c r="C1728" s="292" t="s">
        <v>1082</v>
      </c>
      <c r="E1728" s="292" t="s">
        <v>1746</v>
      </c>
      <c r="L1728" s="265">
        <v>-60000</v>
      </c>
    </row>
    <row r="1729" spans="1:14" x14ac:dyDescent="0.3">
      <c r="A1729" s="271">
        <v>1728</v>
      </c>
      <c r="B1729" s="264">
        <v>45923</v>
      </c>
      <c r="C1729" s="292" t="s">
        <v>2410</v>
      </c>
      <c r="E1729" s="292" t="s">
        <v>1125</v>
      </c>
      <c r="L1729" s="265">
        <v>-3520000</v>
      </c>
    </row>
    <row r="1730" spans="1:14" x14ac:dyDescent="0.3">
      <c r="A1730" s="271">
        <v>1729</v>
      </c>
      <c r="B1730" s="264">
        <v>45923</v>
      </c>
      <c r="C1730" s="292" t="s">
        <v>1053</v>
      </c>
      <c r="E1730" s="292" t="s">
        <v>2202</v>
      </c>
      <c r="F1730" s="269" t="s">
        <v>1956</v>
      </c>
      <c r="G1730" s="265">
        <v>1800000</v>
      </c>
      <c r="H1730" s="269">
        <v>1</v>
      </c>
      <c r="K1730" s="265">
        <v>1800000</v>
      </c>
      <c r="M1730" s="292" t="s">
        <v>3652</v>
      </c>
      <c r="N1730" t="s">
        <v>3916</v>
      </c>
    </row>
    <row r="1731" spans="1:14" x14ac:dyDescent="0.3">
      <c r="A1731" s="271">
        <v>1730</v>
      </c>
      <c r="B1731" s="264">
        <v>45923</v>
      </c>
      <c r="C1731" s="292" t="s">
        <v>1053</v>
      </c>
      <c r="E1731" s="292" t="s">
        <v>2181</v>
      </c>
      <c r="F1731" s="269" t="s">
        <v>1803</v>
      </c>
      <c r="G1731" s="265">
        <v>50000</v>
      </c>
      <c r="H1731" s="269">
        <v>1</v>
      </c>
      <c r="K1731" s="265">
        <v>50000</v>
      </c>
      <c r="N1731" t="s">
        <v>3916</v>
      </c>
    </row>
    <row r="1732" spans="1:14" x14ac:dyDescent="0.3">
      <c r="A1732" s="271">
        <v>1731</v>
      </c>
      <c r="B1732" s="264">
        <v>45923</v>
      </c>
      <c r="C1732" s="292" t="s">
        <v>1018</v>
      </c>
      <c r="E1732" s="292" t="s">
        <v>3587</v>
      </c>
      <c r="F1732" s="269" t="s">
        <v>3597</v>
      </c>
      <c r="G1732" s="265">
        <v>2200000</v>
      </c>
      <c r="H1732" s="269">
        <v>1</v>
      </c>
      <c r="K1732" s="265">
        <v>2200000</v>
      </c>
      <c r="N1732" t="s">
        <v>3916</v>
      </c>
    </row>
    <row r="1733" spans="1:14" x14ac:dyDescent="0.3">
      <c r="A1733" s="271">
        <v>1732</v>
      </c>
      <c r="B1733" s="264">
        <v>45923</v>
      </c>
      <c r="C1733" s="292" t="s">
        <v>1007</v>
      </c>
      <c r="E1733" s="292" t="s">
        <v>1535</v>
      </c>
      <c r="G1733" s="265">
        <v>200000</v>
      </c>
      <c r="H1733" s="269">
        <v>1</v>
      </c>
      <c r="K1733" s="265">
        <v>200000</v>
      </c>
      <c r="N1733" t="s">
        <v>3916</v>
      </c>
    </row>
    <row r="1734" spans="1:14" x14ac:dyDescent="0.3">
      <c r="A1734" s="271">
        <v>1733</v>
      </c>
      <c r="B1734" s="264">
        <v>45923</v>
      </c>
      <c r="C1734" s="292" t="s">
        <v>1861</v>
      </c>
      <c r="E1734" s="292" t="s">
        <v>2196</v>
      </c>
      <c r="F1734" s="269">
        <v>2820403</v>
      </c>
      <c r="G1734" s="265">
        <v>1600000</v>
      </c>
      <c r="H1734" s="269">
        <v>1</v>
      </c>
      <c r="K1734" s="265">
        <v>1600000</v>
      </c>
      <c r="N1734" t="s">
        <v>3916</v>
      </c>
    </row>
    <row r="1735" spans="1:14" x14ac:dyDescent="0.3">
      <c r="A1735" s="271">
        <v>1734</v>
      </c>
      <c r="B1735" s="264">
        <v>45923</v>
      </c>
      <c r="C1735" s="292" t="s">
        <v>1452</v>
      </c>
      <c r="E1735" s="292" t="s">
        <v>2418</v>
      </c>
      <c r="F1735" s="269" t="s">
        <v>2748</v>
      </c>
      <c r="G1735" s="265">
        <v>1100000</v>
      </c>
      <c r="H1735" s="269">
        <v>1</v>
      </c>
      <c r="J1735" s="266">
        <v>110000</v>
      </c>
      <c r="K1735" s="265">
        <v>1210000</v>
      </c>
      <c r="N1735" t="s">
        <v>3916</v>
      </c>
    </row>
    <row r="1736" spans="1:14" x14ac:dyDescent="0.3">
      <c r="A1736" s="271">
        <v>1735</v>
      </c>
      <c r="B1736" s="264">
        <v>45923</v>
      </c>
      <c r="C1736" s="292" t="s">
        <v>1658</v>
      </c>
      <c r="E1736" s="292" t="s">
        <v>1205</v>
      </c>
      <c r="F1736" s="269" t="s">
        <v>1563</v>
      </c>
      <c r="G1736" s="265">
        <v>1200000</v>
      </c>
      <c r="H1736" s="269">
        <v>1</v>
      </c>
      <c r="K1736" s="265">
        <v>1200000</v>
      </c>
      <c r="N1736" t="s">
        <v>3916</v>
      </c>
    </row>
    <row r="1737" spans="1:14" x14ac:dyDescent="0.3">
      <c r="A1737" s="271">
        <v>1736</v>
      </c>
      <c r="B1737" s="264">
        <v>45923</v>
      </c>
      <c r="C1737" s="292" t="s">
        <v>1015</v>
      </c>
      <c r="E1737" s="292" t="s">
        <v>3466</v>
      </c>
      <c r="F1737" s="269" t="s">
        <v>1207</v>
      </c>
      <c r="G1737" s="265">
        <v>526364</v>
      </c>
      <c r="H1737" s="269">
        <v>1</v>
      </c>
      <c r="J1737" s="266">
        <v>52636</v>
      </c>
      <c r="K1737" s="265">
        <v>579000</v>
      </c>
      <c r="N1737" t="s">
        <v>3916</v>
      </c>
    </row>
    <row r="1738" spans="1:14" x14ac:dyDescent="0.3">
      <c r="A1738" s="271">
        <v>1737</v>
      </c>
      <c r="B1738" s="264">
        <v>45923</v>
      </c>
      <c r="C1738" s="292" t="s">
        <v>1015</v>
      </c>
      <c r="E1738" s="292" t="s">
        <v>2190</v>
      </c>
      <c r="F1738" s="269">
        <v>50229</v>
      </c>
      <c r="G1738" s="265">
        <v>70000</v>
      </c>
      <c r="H1738" s="269">
        <v>1</v>
      </c>
      <c r="J1738" s="266">
        <v>7000</v>
      </c>
      <c r="K1738" s="265">
        <v>77000</v>
      </c>
      <c r="N1738" t="s">
        <v>3916</v>
      </c>
    </row>
    <row r="1739" spans="1:14" x14ac:dyDescent="0.3">
      <c r="A1739" s="271">
        <v>1738</v>
      </c>
      <c r="B1739" s="264">
        <v>45923</v>
      </c>
      <c r="C1739" s="292" t="s">
        <v>1015</v>
      </c>
      <c r="E1739" s="292" t="s">
        <v>2188</v>
      </c>
      <c r="F1739" s="269" t="s">
        <v>1259</v>
      </c>
      <c r="G1739" s="265">
        <v>130000</v>
      </c>
      <c r="H1739" s="269">
        <v>1</v>
      </c>
      <c r="J1739" s="266">
        <v>13000</v>
      </c>
      <c r="K1739" s="265">
        <v>143000</v>
      </c>
      <c r="N1739" t="s">
        <v>3916</v>
      </c>
    </row>
    <row r="1740" spans="1:14" x14ac:dyDescent="0.3">
      <c r="A1740" s="271">
        <v>1739</v>
      </c>
      <c r="B1740" s="264">
        <v>45923</v>
      </c>
      <c r="C1740" s="292" t="s">
        <v>1015</v>
      </c>
      <c r="E1740" s="292" t="s">
        <v>2192</v>
      </c>
      <c r="F1740" s="269" t="s">
        <v>1822</v>
      </c>
      <c r="G1740" s="265">
        <v>10000</v>
      </c>
      <c r="H1740" s="269">
        <v>2</v>
      </c>
      <c r="J1740" s="266">
        <v>2000</v>
      </c>
      <c r="K1740" s="265">
        <v>22000</v>
      </c>
      <c r="N1740" t="s">
        <v>3916</v>
      </c>
    </row>
    <row r="1741" spans="1:14" x14ac:dyDescent="0.3">
      <c r="A1741" s="271">
        <v>1740</v>
      </c>
      <c r="B1741" s="264">
        <v>45923</v>
      </c>
      <c r="C1741" s="292" t="s">
        <v>1015</v>
      </c>
      <c r="E1741" s="292" t="s">
        <v>2191</v>
      </c>
      <c r="F1741" s="269" t="s">
        <v>1795</v>
      </c>
      <c r="G1741" s="265">
        <v>35000</v>
      </c>
      <c r="H1741" s="269">
        <v>1</v>
      </c>
      <c r="J1741" s="266">
        <v>3500</v>
      </c>
      <c r="K1741" s="265">
        <v>38500</v>
      </c>
      <c r="N1741" t="s">
        <v>3916</v>
      </c>
    </row>
    <row r="1742" spans="1:14" x14ac:dyDescent="0.3">
      <c r="A1742" s="271">
        <v>1741</v>
      </c>
      <c r="B1742" s="264">
        <v>45923</v>
      </c>
      <c r="C1742" s="292" t="s">
        <v>1053</v>
      </c>
      <c r="E1742" s="292" t="s">
        <v>3659</v>
      </c>
      <c r="G1742" s="265">
        <v>150000</v>
      </c>
      <c r="H1742" s="269">
        <v>1</v>
      </c>
      <c r="K1742" s="265">
        <v>150000</v>
      </c>
      <c r="N1742" t="s">
        <v>3916</v>
      </c>
    </row>
    <row r="1743" spans="1:14" x14ac:dyDescent="0.3">
      <c r="A1743" s="271">
        <v>1742</v>
      </c>
      <c r="B1743" s="264">
        <v>45923</v>
      </c>
      <c r="C1743" s="292" t="s">
        <v>1007</v>
      </c>
      <c r="E1743" s="292" t="s">
        <v>3661</v>
      </c>
      <c r="L1743" s="265">
        <v>-350000</v>
      </c>
    </row>
    <row r="1744" spans="1:14" x14ac:dyDescent="0.3">
      <c r="A1744" s="271">
        <v>1743</v>
      </c>
      <c r="B1744" s="264">
        <v>45923</v>
      </c>
      <c r="C1744" s="292" t="s">
        <v>1658</v>
      </c>
      <c r="E1744" s="292" t="s">
        <v>1125</v>
      </c>
      <c r="L1744" s="265">
        <v>-1200000</v>
      </c>
    </row>
    <row r="1745" spans="1:14" x14ac:dyDescent="0.3">
      <c r="A1745" s="271">
        <v>1744</v>
      </c>
      <c r="B1745" s="264">
        <v>45923</v>
      </c>
      <c r="C1745" s="292" t="s">
        <v>1541</v>
      </c>
      <c r="E1745" s="292" t="s">
        <v>1743</v>
      </c>
      <c r="G1745" s="265">
        <v>1100000</v>
      </c>
      <c r="H1745" s="269">
        <v>1</v>
      </c>
      <c r="K1745" s="265">
        <v>1100000</v>
      </c>
      <c r="N1745" t="s">
        <v>3916</v>
      </c>
    </row>
    <row r="1746" spans="1:14" x14ac:dyDescent="0.3">
      <c r="A1746" s="271">
        <v>1745</v>
      </c>
      <c r="B1746" s="264">
        <v>45924</v>
      </c>
      <c r="C1746" s="292" t="s">
        <v>3664</v>
      </c>
      <c r="E1746" s="292" t="s">
        <v>3665</v>
      </c>
      <c r="L1746" s="265">
        <v>-150000</v>
      </c>
      <c r="N1746" t="s">
        <v>3916</v>
      </c>
    </row>
    <row r="1747" spans="1:14" x14ac:dyDescent="0.3">
      <c r="A1747" s="271">
        <v>1746</v>
      </c>
      <c r="B1747" s="264">
        <v>45924</v>
      </c>
      <c r="C1747" s="292" t="s">
        <v>1082</v>
      </c>
      <c r="E1747" s="292" t="s">
        <v>3663</v>
      </c>
      <c r="F1747" s="269" t="s">
        <v>1201</v>
      </c>
      <c r="G1747" s="265">
        <v>1500000</v>
      </c>
      <c r="H1747" s="269">
        <v>1</v>
      </c>
      <c r="L1747" s="265">
        <v>-1500000</v>
      </c>
      <c r="N1747" t="s">
        <v>3916</v>
      </c>
    </row>
    <row r="1748" spans="1:14" x14ac:dyDescent="0.3">
      <c r="A1748" s="271">
        <v>1747</v>
      </c>
      <c r="B1748" s="264">
        <v>45924</v>
      </c>
      <c r="C1748" s="292" t="s">
        <v>1391</v>
      </c>
      <c r="E1748" s="292" t="s">
        <v>1859</v>
      </c>
      <c r="F1748" s="269" t="s">
        <v>3670</v>
      </c>
      <c r="G1748" s="265">
        <v>1100000</v>
      </c>
      <c r="H1748" s="269">
        <v>1</v>
      </c>
      <c r="K1748" s="265">
        <v>1100000</v>
      </c>
      <c r="N1748" t="s">
        <v>3916</v>
      </c>
    </row>
    <row r="1749" spans="1:14" x14ac:dyDescent="0.3">
      <c r="A1749" s="271">
        <v>1748</v>
      </c>
      <c r="B1749" s="264">
        <v>45924</v>
      </c>
      <c r="C1749" s="292" t="s">
        <v>987</v>
      </c>
      <c r="E1749" s="292" t="s">
        <v>3587</v>
      </c>
      <c r="F1749" s="269" t="s">
        <v>3597</v>
      </c>
      <c r="G1749" s="265">
        <v>2200000</v>
      </c>
      <c r="H1749" s="269">
        <v>1</v>
      </c>
      <c r="K1749" s="265">
        <v>2200000</v>
      </c>
      <c r="N1749" t="s">
        <v>3916</v>
      </c>
    </row>
    <row r="1750" spans="1:14" x14ac:dyDescent="0.3">
      <c r="A1750" s="271">
        <v>1749</v>
      </c>
      <c r="B1750" s="264">
        <v>45924</v>
      </c>
      <c r="C1750" s="292" t="s">
        <v>1399</v>
      </c>
      <c r="E1750" s="292" t="s">
        <v>2775</v>
      </c>
      <c r="F1750" s="269" t="s">
        <v>1213</v>
      </c>
      <c r="G1750" s="265">
        <v>1600000</v>
      </c>
      <c r="H1750" s="269">
        <v>1</v>
      </c>
      <c r="K1750" s="265">
        <v>1600000</v>
      </c>
      <c r="N1750" t="s">
        <v>3916</v>
      </c>
    </row>
    <row r="1751" spans="1:14" x14ac:dyDescent="0.3">
      <c r="A1751" s="271">
        <v>1750</v>
      </c>
      <c r="B1751" s="264">
        <v>45924</v>
      </c>
      <c r="C1751" s="292" t="s">
        <v>2742</v>
      </c>
      <c r="E1751" s="292" t="s">
        <v>1535</v>
      </c>
      <c r="G1751" s="265">
        <v>450000</v>
      </c>
      <c r="H1751" s="269">
        <v>1</v>
      </c>
      <c r="K1751" s="265">
        <v>450000</v>
      </c>
      <c r="N1751" t="s">
        <v>3916</v>
      </c>
    </row>
    <row r="1752" spans="1:14" x14ac:dyDescent="0.3">
      <c r="A1752" s="271">
        <v>1751</v>
      </c>
      <c r="B1752" s="264">
        <v>45924</v>
      </c>
      <c r="C1752" s="292" t="s">
        <v>1449</v>
      </c>
      <c r="E1752" s="292" t="s">
        <v>1743</v>
      </c>
      <c r="G1752" s="265">
        <v>650000</v>
      </c>
      <c r="H1752" s="269">
        <v>1</v>
      </c>
      <c r="J1752" s="265">
        <v>65000</v>
      </c>
      <c r="K1752" s="265">
        <v>715000</v>
      </c>
      <c r="N1752" t="s">
        <v>3916</v>
      </c>
    </row>
    <row r="1753" spans="1:14" x14ac:dyDescent="0.3">
      <c r="A1753" s="271">
        <v>1752</v>
      </c>
      <c r="B1753" s="264">
        <v>45924</v>
      </c>
      <c r="C1753" s="292" t="s">
        <v>987</v>
      </c>
      <c r="E1753" s="292" t="s">
        <v>1125</v>
      </c>
      <c r="L1753" s="265">
        <v>-2200000</v>
      </c>
    </row>
    <row r="1754" spans="1:14" x14ac:dyDescent="0.3">
      <c r="A1754" s="271">
        <v>1753</v>
      </c>
      <c r="B1754" s="264">
        <v>45925</v>
      </c>
      <c r="C1754" s="292" t="s">
        <v>1861</v>
      </c>
      <c r="E1754" s="292" t="s">
        <v>1125</v>
      </c>
      <c r="L1754" s="265">
        <v>-2600000</v>
      </c>
    </row>
    <row r="1755" spans="1:14" x14ac:dyDescent="0.3">
      <c r="A1755" s="271">
        <v>1754</v>
      </c>
      <c r="B1755" s="264">
        <v>45925</v>
      </c>
      <c r="C1755" s="292" t="s">
        <v>1449</v>
      </c>
      <c r="E1755" s="292" t="s">
        <v>1125</v>
      </c>
      <c r="L1755" s="265">
        <v>-715000</v>
      </c>
    </row>
    <row r="1756" spans="1:14" x14ac:dyDescent="0.3">
      <c r="A1756" s="271">
        <v>1755</v>
      </c>
      <c r="B1756" s="264">
        <v>45925</v>
      </c>
      <c r="C1756" s="292" t="s">
        <v>1026</v>
      </c>
      <c r="E1756" s="292" t="s">
        <v>1125</v>
      </c>
      <c r="L1756" s="265">
        <v>-2070000</v>
      </c>
    </row>
    <row r="1757" spans="1:14" x14ac:dyDescent="0.3">
      <c r="A1757" s="271">
        <v>1756</v>
      </c>
      <c r="B1757" s="264">
        <v>45925</v>
      </c>
      <c r="C1757" s="292" t="s">
        <v>1437</v>
      </c>
      <c r="E1757" s="292" t="s">
        <v>1125</v>
      </c>
      <c r="L1757" s="265">
        <v>-1430000</v>
      </c>
    </row>
    <row r="1758" spans="1:14" x14ac:dyDescent="0.3">
      <c r="A1758" s="271">
        <v>1757</v>
      </c>
      <c r="B1758" s="264">
        <v>45926</v>
      </c>
      <c r="C1758" s="292" t="s">
        <v>1452</v>
      </c>
      <c r="E1758" s="292" t="s">
        <v>1125</v>
      </c>
      <c r="L1758" s="265">
        <v>-1210000</v>
      </c>
    </row>
    <row r="1759" spans="1:14" x14ac:dyDescent="0.3">
      <c r="A1759" s="271">
        <v>1758</v>
      </c>
      <c r="B1759" s="264">
        <v>45926</v>
      </c>
      <c r="C1759" s="292" t="s">
        <v>1391</v>
      </c>
      <c r="E1759" s="292" t="s">
        <v>1125</v>
      </c>
      <c r="L1759" s="265">
        <v>-1100000</v>
      </c>
    </row>
    <row r="1760" spans="1:14" x14ac:dyDescent="0.3">
      <c r="A1760" s="271">
        <v>1759</v>
      </c>
      <c r="B1760" s="264">
        <v>45926</v>
      </c>
      <c r="C1760" s="292" t="s">
        <v>2916</v>
      </c>
      <c r="E1760" s="292" t="s">
        <v>1125</v>
      </c>
      <c r="L1760" s="265">
        <v>-900000</v>
      </c>
    </row>
    <row r="1761" spans="1:14" x14ac:dyDescent="0.3">
      <c r="A1761" s="271">
        <v>1760</v>
      </c>
      <c r="B1761" s="264">
        <v>45926</v>
      </c>
      <c r="C1761" s="292" t="s">
        <v>1805</v>
      </c>
      <c r="E1761" s="292" t="s">
        <v>2188</v>
      </c>
      <c r="F1761" s="269" t="s">
        <v>1259</v>
      </c>
      <c r="G1761" s="265">
        <v>130000</v>
      </c>
      <c r="H1761" s="269">
        <v>1</v>
      </c>
      <c r="J1761" s="266">
        <v>13000</v>
      </c>
      <c r="K1761" s="265">
        <v>143000</v>
      </c>
      <c r="N1761" t="s">
        <v>3916</v>
      </c>
    </row>
    <row r="1762" spans="1:14" x14ac:dyDescent="0.3">
      <c r="A1762" s="271">
        <v>1761</v>
      </c>
      <c r="B1762" s="264">
        <v>45926</v>
      </c>
      <c r="C1762" s="292" t="s">
        <v>1805</v>
      </c>
      <c r="E1762" s="292" t="s">
        <v>2192</v>
      </c>
      <c r="F1762" s="269" t="s">
        <v>1822</v>
      </c>
      <c r="G1762" s="265">
        <v>10000</v>
      </c>
      <c r="H1762" s="269">
        <v>2</v>
      </c>
      <c r="J1762" s="266">
        <v>2000</v>
      </c>
      <c r="K1762" s="265">
        <v>22000</v>
      </c>
      <c r="N1762" t="s">
        <v>3916</v>
      </c>
    </row>
    <row r="1763" spans="1:14" x14ac:dyDescent="0.3">
      <c r="A1763" s="271">
        <v>1762</v>
      </c>
      <c r="B1763" s="264">
        <v>45926</v>
      </c>
      <c r="C1763" s="292" t="s">
        <v>1805</v>
      </c>
      <c r="E1763" s="292" t="s">
        <v>2191</v>
      </c>
      <c r="F1763" s="269" t="s">
        <v>1795</v>
      </c>
      <c r="G1763" s="265">
        <v>55000</v>
      </c>
      <c r="H1763" s="269">
        <v>1</v>
      </c>
      <c r="J1763" s="266">
        <v>5500</v>
      </c>
      <c r="K1763" s="265">
        <v>60500</v>
      </c>
      <c r="N1763" t="s">
        <v>3916</v>
      </c>
    </row>
    <row r="1764" spans="1:14" x14ac:dyDescent="0.3">
      <c r="A1764" s="271">
        <v>1763</v>
      </c>
      <c r="B1764" s="264">
        <v>45926</v>
      </c>
      <c r="C1764" s="292" t="s">
        <v>1173</v>
      </c>
      <c r="E1764" s="292" t="s">
        <v>2037</v>
      </c>
      <c r="F1764" s="269">
        <v>2830406</v>
      </c>
      <c r="G1764" s="265">
        <v>1100000</v>
      </c>
      <c r="H1764" s="269">
        <v>1</v>
      </c>
      <c r="K1764" s="265">
        <v>1100000</v>
      </c>
      <c r="N1764" t="s">
        <v>3916</v>
      </c>
    </row>
    <row r="1765" spans="1:14" x14ac:dyDescent="0.3">
      <c r="A1765" s="271">
        <v>1764</v>
      </c>
      <c r="B1765" s="264">
        <v>45926</v>
      </c>
      <c r="C1765" s="292" t="s">
        <v>1399</v>
      </c>
      <c r="E1765" s="292" t="s">
        <v>2418</v>
      </c>
      <c r="F1765" s="269" t="s">
        <v>2748</v>
      </c>
      <c r="G1765" s="265">
        <v>1100000</v>
      </c>
      <c r="H1765" s="269">
        <v>1</v>
      </c>
      <c r="K1765" s="265">
        <v>1100000</v>
      </c>
      <c r="N1765" t="s">
        <v>3916</v>
      </c>
    </row>
    <row r="1766" spans="1:14" x14ac:dyDescent="0.3">
      <c r="A1766" s="271">
        <v>1765</v>
      </c>
      <c r="B1766" s="264">
        <v>45926</v>
      </c>
      <c r="C1766" s="292" t="s">
        <v>1541</v>
      </c>
      <c r="E1766" s="292" t="s">
        <v>2091</v>
      </c>
      <c r="F1766" s="269">
        <v>1068298044</v>
      </c>
      <c r="G1766" s="265">
        <v>400000</v>
      </c>
      <c r="H1766" s="269">
        <v>1</v>
      </c>
      <c r="K1766" s="265">
        <v>400000</v>
      </c>
      <c r="N1766" t="s">
        <v>3916</v>
      </c>
    </row>
    <row r="1767" spans="1:14" x14ac:dyDescent="0.3">
      <c r="A1767" s="271">
        <v>1766</v>
      </c>
      <c r="B1767" s="264">
        <v>45926</v>
      </c>
      <c r="C1767" s="292" t="s">
        <v>1541</v>
      </c>
      <c r="E1767" s="292" t="s">
        <v>1549</v>
      </c>
      <c r="F1767" s="269">
        <v>24152333903</v>
      </c>
      <c r="G1767" s="265">
        <v>50000</v>
      </c>
      <c r="H1767" s="269">
        <v>1</v>
      </c>
      <c r="K1767" s="265">
        <v>50000</v>
      </c>
      <c r="N1767" t="s">
        <v>3916</v>
      </c>
    </row>
    <row r="1768" spans="1:14" x14ac:dyDescent="0.3">
      <c r="A1768" s="271">
        <v>1767</v>
      </c>
      <c r="B1768" s="264">
        <v>45926</v>
      </c>
      <c r="C1768" s="292" t="s">
        <v>3726</v>
      </c>
      <c r="E1768" s="292">
        <v>2703900</v>
      </c>
      <c r="F1768" s="269" t="s">
        <v>3727</v>
      </c>
      <c r="G1768" s="265">
        <v>1000000</v>
      </c>
      <c r="H1768" s="269">
        <v>1</v>
      </c>
      <c r="K1768" s="265">
        <v>1000000</v>
      </c>
      <c r="N1768" t="s">
        <v>3916</v>
      </c>
    </row>
    <row r="1769" spans="1:14" x14ac:dyDescent="0.3">
      <c r="A1769" s="271">
        <v>1768</v>
      </c>
      <c r="B1769" s="264">
        <v>45927</v>
      </c>
      <c r="C1769" s="292" t="s">
        <v>3726</v>
      </c>
      <c r="E1769" s="292" t="s">
        <v>1746</v>
      </c>
      <c r="L1769" s="265">
        <v>-1000000</v>
      </c>
    </row>
    <row r="1770" spans="1:14" x14ac:dyDescent="0.3">
      <c r="A1770" s="271">
        <v>1769</v>
      </c>
      <c r="B1770" s="264">
        <v>45927</v>
      </c>
      <c r="C1770" s="292" t="s">
        <v>3729</v>
      </c>
      <c r="E1770" s="292" t="s">
        <v>1535</v>
      </c>
      <c r="G1770" s="265">
        <v>450000</v>
      </c>
      <c r="H1770" s="269">
        <v>1</v>
      </c>
      <c r="K1770" s="265">
        <v>450000</v>
      </c>
      <c r="N1770" t="s">
        <v>3916</v>
      </c>
    </row>
    <row r="1771" spans="1:14" x14ac:dyDescent="0.3">
      <c r="A1771" s="271">
        <v>1770</v>
      </c>
      <c r="B1771" s="264">
        <v>45927</v>
      </c>
      <c r="C1771" s="292" t="s">
        <v>3729</v>
      </c>
      <c r="E1771" s="292" t="s">
        <v>1746</v>
      </c>
      <c r="L1771" s="265">
        <v>-450000</v>
      </c>
    </row>
    <row r="1772" spans="1:14" x14ac:dyDescent="0.3">
      <c r="A1772" s="271">
        <v>1771</v>
      </c>
      <c r="B1772" s="264">
        <v>45927</v>
      </c>
      <c r="C1772" s="292" t="s">
        <v>1809</v>
      </c>
      <c r="E1772" s="292" t="s">
        <v>1746</v>
      </c>
      <c r="L1772" s="265">
        <v>-350000</v>
      </c>
    </row>
    <row r="1773" spans="1:14" x14ac:dyDescent="0.3">
      <c r="A1773" s="271">
        <v>1772</v>
      </c>
      <c r="B1773" s="264">
        <v>45927</v>
      </c>
      <c r="C1773" s="292" t="s">
        <v>2742</v>
      </c>
      <c r="E1773" s="292" t="s">
        <v>3734</v>
      </c>
      <c r="L1773" s="265">
        <v>-450000</v>
      </c>
    </row>
    <row r="1774" spans="1:14" x14ac:dyDescent="0.3">
      <c r="A1774" s="271">
        <v>1773</v>
      </c>
      <c r="B1774" s="264">
        <v>45927</v>
      </c>
      <c r="C1774" s="292" t="s">
        <v>1961</v>
      </c>
      <c r="E1774" s="292" t="s">
        <v>1916</v>
      </c>
      <c r="F1774" s="269" t="s">
        <v>2054</v>
      </c>
      <c r="G1774" s="265">
        <v>1000000</v>
      </c>
      <c r="H1774" s="269">
        <v>1</v>
      </c>
      <c r="K1774" s="265">
        <v>1000000</v>
      </c>
      <c r="M1774" s="292" t="s">
        <v>3735</v>
      </c>
      <c r="N1774" t="s">
        <v>3916</v>
      </c>
    </row>
    <row r="1775" spans="1:14" x14ac:dyDescent="0.3">
      <c r="A1775" s="271">
        <v>1774</v>
      </c>
      <c r="B1775" s="264">
        <v>45929</v>
      </c>
      <c r="C1775" s="292" t="s">
        <v>2258</v>
      </c>
      <c r="E1775" s="292" t="s">
        <v>2178</v>
      </c>
      <c r="F1775" s="269" t="s">
        <v>1464</v>
      </c>
      <c r="G1775" s="265" t="s">
        <v>3739</v>
      </c>
      <c r="H1775" s="269">
        <v>1</v>
      </c>
      <c r="K1775" s="265">
        <v>0</v>
      </c>
      <c r="M1775" s="292" t="s">
        <v>3740</v>
      </c>
      <c r="N1775" t="s">
        <v>3916</v>
      </c>
    </row>
    <row r="1776" spans="1:14" x14ac:dyDescent="0.3">
      <c r="A1776" s="271">
        <v>1775</v>
      </c>
      <c r="B1776" s="264">
        <v>45929</v>
      </c>
      <c r="C1776" s="292" t="s">
        <v>1805</v>
      </c>
      <c r="E1776" s="292" t="s">
        <v>3746</v>
      </c>
      <c r="L1776" s="265">
        <v>-2069500</v>
      </c>
    </row>
    <row r="1777" spans="1:14" x14ac:dyDescent="0.3">
      <c r="A1777" s="271">
        <v>1776</v>
      </c>
      <c r="B1777" s="264">
        <v>45925</v>
      </c>
      <c r="C1777" s="292" t="s">
        <v>1467</v>
      </c>
      <c r="E1777" s="292" t="s">
        <v>3042</v>
      </c>
      <c r="F1777" s="269">
        <v>2820403</v>
      </c>
      <c r="G1777" s="265">
        <v>700000</v>
      </c>
      <c r="H1777" s="269">
        <v>1</v>
      </c>
      <c r="J1777" s="266">
        <v>70000</v>
      </c>
      <c r="K1777" s="265">
        <v>770000</v>
      </c>
    </row>
    <row r="1778" spans="1:14" x14ac:dyDescent="0.3">
      <c r="A1778" s="271">
        <v>1777</v>
      </c>
      <c r="B1778" s="264">
        <v>45929</v>
      </c>
      <c r="C1778" s="292" t="s">
        <v>1467</v>
      </c>
      <c r="E1778" s="292" t="s">
        <v>2186</v>
      </c>
      <c r="F1778" s="269" t="s">
        <v>1200</v>
      </c>
      <c r="G1778" s="265">
        <v>800000</v>
      </c>
      <c r="H1778" s="269">
        <v>1</v>
      </c>
      <c r="J1778" s="266">
        <v>80000</v>
      </c>
      <c r="K1778" s="265">
        <v>880000</v>
      </c>
      <c r="M1778" s="292" t="s">
        <v>3748</v>
      </c>
    </row>
    <row r="1779" spans="1:14" x14ac:dyDescent="0.3">
      <c r="A1779" s="271">
        <v>1778</v>
      </c>
      <c r="B1779" s="264">
        <v>45929</v>
      </c>
      <c r="C1779" s="292" t="s">
        <v>1747</v>
      </c>
      <c r="E1779" s="292" t="s">
        <v>2190</v>
      </c>
      <c r="F1779" s="269">
        <v>50228</v>
      </c>
      <c r="G1779" s="265">
        <v>110000</v>
      </c>
      <c r="H1779" s="269">
        <v>2</v>
      </c>
      <c r="J1779" s="266">
        <v>22000</v>
      </c>
      <c r="K1779" s="265">
        <v>242000</v>
      </c>
      <c r="N1779" t="s">
        <v>3916</v>
      </c>
    </row>
    <row r="1780" spans="1:14" x14ac:dyDescent="0.3">
      <c r="A1780" s="271">
        <v>1779</v>
      </c>
      <c r="B1780" s="264">
        <v>45929</v>
      </c>
      <c r="C1780" s="292" t="s">
        <v>1747</v>
      </c>
      <c r="E1780" s="292" t="s">
        <v>2190</v>
      </c>
      <c r="F1780" s="269">
        <v>50229</v>
      </c>
      <c r="G1780" s="265">
        <v>75000</v>
      </c>
      <c r="H1780" s="269">
        <v>2</v>
      </c>
      <c r="J1780" s="266">
        <v>15000</v>
      </c>
      <c r="K1780" s="265">
        <v>165000</v>
      </c>
      <c r="N1780" t="s">
        <v>3916</v>
      </c>
    </row>
    <row r="1781" spans="1:14" x14ac:dyDescent="0.3">
      <c r="A1781" s="271">
        <v>1780</v>
      </c>
      <c r="B1781" s="264">
        <v>45929</v>
      </c>
      <c r="C1781" s="292" t="s">
        <v>1747</v>
      </c>
      <c r="E1781" s="292" t="s">
        <v>2191</v>
      </c>
      <c r="F1781" s="269" t="s">
        <v>1795</v>
      </c>
      <c r="G1781" s="265">
        <v>35000</v>
      </c>
      <c r="H1781" s="269">
        <v>1</v>
      </c>
      <c r="J1781" s="266">
        <v>3500</v>
      </c>
      <c r="K1781" s="265">
        <v>38500</v>
      </c>
      <c r="N1781" t="s">
        <v>3916</v>
      </c>
    </row>
    <row r="1782" spans="1:14" x14ac:dyDescent="0.3">
      <c r="A1782" s="271">
        <v>1781</v>
      </c>
      <c r="B1782" s="264">
        <v>45929</v>
      </c>
      <c r="C1782" s="292" t="s">
        <v>2858</v>
      </c>
      <c r="E1782" s="292" t="s">
        <v>3051</v>
      </c>
      <c r="F1782" s="269" t="s">
        <v>1952</v>
      </c>
      <c r="G1782" s="265">
        <v>1000000</v>
      </c>
      <c r="H1782" s="269">
        <v>1</v>
      </c>
      <c r="J1782" s="266">
        <v>100000</v>
      </c>
      <c r="K1782" s="265">
        <v>1100000</v>
      </c>
      <c r="N1782" t="s">
        <v>3916</v>
      </c>
    </row>
    <row r="1783" spans="1:14" x14ac:dyDescent="0.3">
      <c r="A1783" s="271">
        <v>1782</v>
      </c>
      <c r="B1783" s="264">
        <v>45929</v>
      </c>
      <c r="C1783" s="292" t="s">
        <v>1391</v>
      </c>
      <c r="E1783" s="292" t="s">
        <v>3051</v>
      </c>
      <c r="F1783" s="269" t="s">
        <v>1952</v>
      </c>
      <c r="G1783" s="265">
        <v>1000000</v>
      </c>
      <c r="H1783" s="269">
        <v>1</v>
      </c>
      <c r="K1783" s="265">
        <v>1000000</v>
      </c>
      <c r="N1783" t="s">
        <v>3916</v>
      </c>
    </row>
    <row r="1784" spans="1:14" x14ac:dyDescent="0.3">
      <c r="A1784" s="271">
        <v>1783</v>
      </c>
      <c r="B1784" s="264">
        <v>45929</v>
      </c>
      <c r="C1784" s="292" t="s">
        <v>1961</v>
      </c>
      <c r="E1784" s="292" t="s">
        <v>1505</v>
      </c>
      <c r="G1784" s="265">
        <v>1000000</v>
      </c>
      <c r="H1784" s="269">
        <v>1</v>
      </c>
      <c r="K1784" s="265">
        <v>1000000</v>
      </c>
      <c r="M1784" s="292" t="s">
        <v>3753</v>
      </c>
      <c r="N1784" t="s">
        <v>3916</v>
      </c>
    </row>
    <row r="1785" spans="1:14" x14ac:dyDescent="0.3">
      <c r="A1785" s="271">
        <v>1784</v>
      </c>
      <c r="B1785" s="264">
        <v>45929</v>
      </c>
      <c r="C1785" s="292" t="s">
        <v>3269</v>
      </c>
      <c r="E1785" s="292" t="s">
        <v>1561</v>
      </c>
      <c r="F1785" s="269" t="s">
        <v>1768</v>
      </c>
      <c r="G1785" s="265">
        <v>1000000</v>
      </c>
      <c r="H1785" s="269">
        <v>1</v>
      </c>
      <c r="K1785" s="265">
        <v>1000000</v>
      </c>
      <c r="M1785" s="292" t="s">
        <v>3755</v>
      </c>
      <c r="N1785" t="s">
        <v>3916</v>
      </c>
    </row>
    <row r="1786" spans="1:14" x14ac:dyDescent="0.3">
      <c r="A1786" s="271">
        <v>1785</v>
      </c>
      <c r="B1786" s="264">
        <v>45929</v>
      </c>
      <c r="C1786" s="292" t="s">
        <v>3462</v>
      </c>
      <c r="E1786" s="292" t="s">
        <v>1205</v>
      </c>
      <c r="F1786" s="269" t="s">
        <v>1204</v>
      </c>
      <c r="G1786" s="265">
        <v>600000</v>
      </c>
      <c r="H1786" s="269">
        <v>1</v>
      </c>
      <c r="K1786" s="265">
        <v>600000</v>
      </c>
      <c r="M1786" s="292" t="s">
        <v>3757</v>
      </c>
      <c r="N1786" t="s">
        <v>3916</v>
      </c>
    </row>
    <row r="1787" spans="1:14" x14ac:dyDescent="0.3">
      <c r="A1787" s="271">
        <v>1786</v>
      </c>
      <c r="B1787" s="264">
        <v>45929</v>
      </c>
      <c r="C1787" s="292" t="s">
        <v>1722</v>
      </c>
      <c r="E1787" s="292" t="s">
        <v>2840</v>
      </c>
      <c r="F1787" s="269" t="s">
        <v>2750</v>
      </c>
      <c r="G1787" s="265">
        <v>129000</v>
      </c>
      <c r="H1787" s="269">
        <v>2</v>
      </c>
      <c r="K1787" s="265">
        <v>258000</v>
      </c>
      <c r="N1787" t="s">
        <v>3916</v>
      </c>
    </row>
    <row r="1788" spans="1:14" x14ac:dyDescent="0.3">
      <c r="A1788" s="271">
        <v>1787</v>
      </c>
      <c r="B1788" s="264">
        <v>45925</v>
      </c>
      <c r="C1788" s="292" t="s">
        <v>1399</v>
      </c>
      <c r="E1788" s="292" t="s">
        <v>1743</v>
      </c>
      <c r="G1788" s="265">
        <v>1100000</v>
      </c>
      <c r="H1788" s="269">
        <v>1</v>
      </c>
      <c r="K1788" s="265">
        <v>1100000</v>
      </c>
      <c r="N1788" t="s">
        <v>3916</v>
      </c>
    </row>
    <row r="1789" spans="1:14" x14ac:dyDescent="0.3">
      <c r="A1789" s="271">
        <v>1788</v>
      </c>
      <c r="B1789" s="264">
        <v>45925</v>
      </c>
      <c r="C1789" s="292" t="s">
        <v>1541</v>
      </c>
      <c r="E1789" s="292" t="s">
        <v>1203</v>
      </c>
      <c r="F1789" s="269" t="s">
        <v>1752</v>
      </c>
      <c r="G1789" s="265">
        <v>1200000</v>
      </c>
      <c r="H1789" s="269">
        <v>1</v>
      </c>
      <c r="K1789" s="265">
        <v>1200000</v>
      </c>
      <c r="N1789" t="s">
        <v>3916</v>
      </c>
    </row>
    <row r="1790" spans="1:14" x14ac:dyDescent="0.3">
      <c r="A1790" s="271">
        <v>1789</v>
      </c>
      <c r="B1790" s="264">
        <v>45925</v>
      </c>
      <c r="C1790" s="292" t="s">
        <v>1541</v>
      </c>
      <c r="E1790" s="292" t="s">
        <v>1496</v>
      </c>
      <c r="F1790" s="269" t="s">
        <v>2679</v>
      </c>
      <c r="G1790" s="265">
        <v>350000</v>
      </c>
      <c r="H1790" s="269">
        <v>1</v>
      </c>
      <c r="K1790" s="265">
        <v>350000</v>
      </c>
      <c r="N1790" t="s">
        <v>3916</v>
      </c>
    </row>
    <row r="1791" spans="1:14" x14ac:dyDescent="0.3">
      <c r="A1791" s="271">
        <v>1790</v>
      </c>
      <c r="B1791" s="264">
        <v>45925</v>
      </c>
      <c r="C1791" s="292" t="s">
        <v>1378</v>
      </c>
      <c r="E1791" s="292" t="s">
        <v>2180</v>
      </c>
      <c r="F1791" s="269" t="s">
        <v>1201</v>
      </c>
      <c r="G1791" s="265">
        <v>1500000</v>
      </c>
      <c r="H1791" s="269">
        <v>1</v>
      </c>
      <c r="K1791" s="265">
        <v>1500000</v>
      </c>
      <c r="N1791" t="s">
        <v>3916</v>
      </c>
    </row>
    <row r="1792" spans="1:14" x14ac:dyDescent="0.3">
      <c r="A1792" s="271">
        <v>1791</v>
      </c>
      <c r="B1792" s="264">
        <v>45925</v>
      </c>
      <c r="C1792" s="292" t="s">
        <v>1378</v>
      </c>
      <c r="E1792" s="292" t="s">
        <v>2181</v>
      </c>
      <c r="F1792" s="269" t="s">
        <v>1803</v>
      </c>
      <c r="G1792" s="265">
        <v>50000</v>
      </c>
      <c r="H1792" s="269">
        <v>1</v>
      </c>
      <c r="K1792" s="265">
        <v>50000</v>
      </c>
      <c r="N1792" t="s">
        <v>3916</v>
      </c>
    </row>
    <row r="1793" spans="1:14" x14ac:dyDescent="0.3">
      <c r="A1793" s="271">
        <v>1792</v>
      </c>
      <c r="B1793" s="264">
        <v>45925</v>
      </c>
      <c r="C1793" s="292" t="s">
        <v>1378</v>
      </c>
      <c r="E1793" s="292" t="s">
        <v>2182</v>
      </c>
      <c r="F1793" s="269" t="s">
        <v>2217</v>
      </c>
      <c r="G1793" s="265">
        <v>250000</v>
      </c>
      <c r="H1793" s="269">
        <v>1</v>
      </c>
      <c r="K1793" s="265">
        <v>250000</v>
      </c>
      <c r="N1793" t="s">
        <v>3916</v>
      </c>
    </row>
    <row r="1794" spans="1:14" x14ac:dyDescent="0.3">
      <c r="A1794" s="271">
        <v>1793</v>
      </c>
      <c r="B1794" s="264">
        <v>45929</v>
      </c>
      <c r="C1794" s="292" t="s">
        <v>1541</v>
      </c>
      <c r="E1794" s="292" t="s">
        <v>2104</v>
      </c>
      <c r="F1794" s="269">
        <v>2830401</v>
      </c>
      <c r="G1794" s="265">
        <v>1000000</v>
      </c>
      <c r="H1794" s="269">
        <v>1</v>
      </c>
      <c r="K1794" s="265">
        <v>1000000</v>
      </c>
      <c r="N1794" t="s">
        <v>3916</v>
      </c>
    </row>
    <row r="1795" spans="1:14" x14ac:dyDescent="0.3">
      <c r="A1795" s="271">
        <v>1794</v>
      </c>
      <c r="B1795" s="264">
        <v>45929</v>
      </c>
      <c r="C1795" s="292" t="s">
        <v>1541</v>
      </c>
      <c r="E1795" s="292" t="s">
        <v>1266</v>
      </c>
      <c r="F1795" s="269" t="s">
        <v>1265</v>
      </c>
      <c r="G1795" s="265">
        <v>50000</v>
      </c>
      <c r="H1795" s="269">
        <v>1</v>
      </c>
      <c r="K1795" s="265">
        <v>50000</v>
      </c>
      <c r="N1795" t="s">
        <v>3916</v>
      </c>
    </row>
    <row r="1796" spans="1:14" x14ac:dyDescent="0.3">
      <c r="A1796" s="271">
        <v>1795</v>
      </c>
      <c r="B1796" s="264">
        <v>45929</v>
      </c>
      <c r="C1796" s="292" t="s">
        <v>1444</v>
      </c>
      <c r="E1796" s="292" t="s">
        <v>3764</v>
      </c>
      <c r="L1796" s="265">
        <v>-800000</v>
      </c>
      <c r="N1796" t="s">
        <v>3916</v>
      </c>
    </row>
    <row r="1797" spans="1:14" x14ac:dyDescent="0.3">
      <c r="A1797" s="271">
        <v>1796</v>
      </c>
      <c r="B1797" s="264">
        <v>45929</v>
      </c>
      <c r="C1797" s="292" t="s">
        <v>1147</v>
      </c>
      <c r="E1797" s="292" t="s">
        <v>1125</v>
      </c>
      <c r="L1797" s="265">
        <v>-320000</v>
      </c>
    </row>
    <row r="1798" spans="1:14" x14ac:dyDescent="0.3">
      <c r="A1798" s="271">
        <v>1797</v>
      </c>
      <c r="B1798" s="264">
        <v>45929</v>
      </c>
      <c r="C1798" s="292" t="s">
        <v>1961</v>
      </c>
      <c r="E1798" s="292" t="s">
        <v>1125</v>
      </c>
      <c r="L1798" s="265">
        <v>-2000000</v>
      </c>
    </row>
    <row r="1799" spans="1:14" x14ac:dyDescent="0.3">
      <c r="A1799" s="271">
        <v>1798</v>
      </c>
      <c r="B1799" s="264">
        <v>45929</v>
      </c>
      <c r="C1799" s="292" t="s">
        <v>1173</v>
      </c>
      <c r="E1799" s="292" t="s">
        <v>1125</v>
      </c>
      <c r="L1799" s="265">
        <v>-1100000</v>
      </c>
    </row>
    <row r="1800" spans="1:14" x14ac:dyDescent="0.3">
      <c r="A1800" s="271">
        <v>1799</v>
      </c>
      <c r="B1800" s="264">
        <v>45929</v>
      </c>
      <c r="C1800" s="292" t="s">
        <v>3269</v>
      </c>
      <c r="E1800" s="292" t="s">
        <v>1125</v>
      </c>
      <c r="L1800" s="265">
        <v>-1000000</v>
      </c>
    </row>
    <row r="1801" spans="1:14" x14ac:dyDescent="0.3">
      <c r="A1801" s="271">
        <v>1800</v>
      </c>
      <c r="B1801" s="264">
        <v>45929</v>
      </c>
      <c r="C1801" s="292" t="s">
        <v>3462</v>
      </c>
      <c r="E1801" s="292" t="s">
        <v>1125</v>
      </c>
      <c r="L1801" s="265">
        <v>-600000</v>
      </c>
    </row>
    <row r="1802" spans="1:14" x14ac:dyDescent="0.3">
      <c r="A1802" s="271">
        <v>1801</v>
      </c>
      <c r="B1802" s="264">
        <v>45930</v>
      </c>
      <c r="C1802" s="292" t="s">
        <v>1391</v>
      </c>
      <c r="E1802" s="292" t="s">
        <v>1125</v>
      </c>
      <c r="L1802" s="265">
        <v>-1000000</v>
      </c>
    </row>
    <row r="1803" spans="1:14" x14ac:dyDescent="0.3">
      <c r="A1803" s="271">
        <v>1802</v>
      </c>
      <c r="B1803" s="264">
        <v>45930</v>
      </c>
      <c r="C1803" s="292" t="s">
        <v>2148</v>
      </c>
      <c r="E1803" s="292" t="s">
        <v>1717</v>
      </c>
      <c r="F1803" s="269">
        <v>2800802</v>
      </c>
      <c r="G1803" s="265">
        <v>150000</v>
      </c>
      <c r="H1803" s="269">
        <v>1</v>
      </c>
      <c r="K1803" s="265">
        <v>150000</v>
      </c>
      <c r="N1803" t="s">
        <v>3916</v>
      </c>
    </row>
    <row r="1804" spans="1:14" x14ac:dyDescent="0.3">
      <c r="A1804" s="271">
        <v>1803</v>
      </c>
      <c r="B1804" s="264">
        <v>45930</v>
      </c>
      <c r="C1804" s="292" t="s">
        <v>1541</v>
      </c>
      <c r="E1804" s="292" t="s">
        <v>2043</v>
      </c>
      <c r="F1804" s="269">
        <v>60580082114</v>
      </c>
      <c r="G1804" s="265">
        <v>500000</v>
      </c>
      <c r="H1804" s="269">
        <v>1</v>
      </c>
      <c r="K1804" s="265">
        <v>500000</v>
      </c>
      <c r="N1804" t="s">
        <v>3916</v>
      </c>
    </row>
    <row r="1805" spans="1:14" x14ac:dyDescent="0.3">
      <c r="A1805" s="271">
        <v>1804</v>
      </c>
      <c r="B1805" s="264">
        <v>45930</v>
      </c>
      <c r="C1805" s="292" t="s">
        <v>2623</v>
      </c>
      <c r="E1805" s="292" t="s">
        <v>3776</v>
      </c>
      <c r="G1805" s="265">
        <v>2000000</v>
      </c>
      <c r="H1805" s="269">
        <v>1</v>
      </c>
      <c r="J1805" s="266">
        <v>200000</v>
      </c>
      <c r="K1805" s="265">
        <v>2200000</v>
      </c>
      <c r="N1805" t="s">
        <v>3916</v>
      </c>
    </row>
    <row r="1806" spans="1:14" x14ac:dyDescent="0.3">
      <c r="A1806" s="271">
        <v>1805</v>
      </c>
      <c r="B1806" s="264">
        <v>45930</v>
      </c>
      <c r="C1806" s="292" t="s">
        <v>1399</v>
      </c>
      <c r="E1806" s="292" t="s">
        <v>1266</v>
      </c>
      <c r="F1806" s="269" t="s">
        <v>1265</v>
      </c>
      <c r="G1806" s="265">
        <v>50000</v>
      </c>
      <c r="H1806" s="269">
        <v>1</v>
      </c>
      <c r="K1806" s="265">
        <v>50000</v>
      </c>
      <c r="N1806" t="s">
        <v>3916</v>
      </c>
    </row>
    <row r="1807" spans="1:14" x14ac:dyDescent="0.3">
      <c r="A1807" s="271">
        <v>1806</v>
      </c>
      <c r="B1807" s="264">
        <v>45930</v>
      </c>
      <c r="C1807" s="292" t="s">
        <v>1467</v>
      </c>
      <c r="E1807" s="292" t="s">
        <v>1496</v>
      </c>
      <c r="F1807" s="269" t="s">
        <v>2679</v>
      </c>
      <c r="G1807" s="265">
        <v>350000</v>
      </c>
      <c r="H1807" s="269">
        <v>1</v>
      </c>
      <c r="J1807" s="266">
        <v>35000</v>
      </c>
      <c r="K1807" s="265">
        <v>385000</v>
      </c>
    </row>
    <row r="1808" spans="1:14" x14ac:dyDescent="0.3">
      <c r="A1808" s="271">
        <v>1807</v>
      </c>
      <c r="B1808" s="264">
        <v>45930</v>
      </c>
      <c r="C1808" s="292" t="s">
        <v>1722</v>
      </c>
      <c r="E1808" s="292" t="s">
        <v>1151</v>
      </c>
      <c r="F1808" s="269">
        <v>2830506</v>
      </c>
      <c r="G1808" s="265">
        <v>1650000</v>
      </c>
      <c r="H1808" s="269">
        <v>1</v>
      </c>
      <c r="K1808" s="265">
        <v>1650000</v>
      </c>
      <c r="N1808" t="s">
        <v>3916</v>
      </c>
    </row>
    <row r="1809" spans="1:14" x14ac:dyDescent="0.3">
      <c r="A1809" s="271">
        <v>1808</v>
      </c>
      <c r="B1809" s="264">
        <v>45930</v>
      </c>
      <c r="C1809" s="292" t="s">
        <v>1747</v>
      </c>
      <c r="E1809" s="292" t="s">
        <v>2188</v>
      </c>
      <c r="F1809" s="269" t="s">
        <v>1259</v>
      </c>
      <c r="G1809" s="265">
        <v>130000</v>
      </c>
      <c r="H1809" s="269">
        <v>1</v>
      </c>
      <c r="J1809" s="266">
        <v>13000</v>
      </c>
      <c r="K1809" s="265">
        <v>143000</v>
      </c>
    </row>
    <row r="1810" spans="1:14" x14ac:dyDescent="0.3">
      <c r="A1810" s="271">
        <v>1809</v>
      </c>
      <c r="B1810" s="264">
        <v>45930</v>
      </c>
      <c r="C1810" s="292" t="s">
        <v>3785</v>
      </c>
      <c r="E1810" s="292" t="s">
        <v>3786</v>
      </c>
      <c r="F1810" s="270">
        <v>2820403</v>
      </c>
      <c r="G1810" s="265">
        <v>1600000</v>
      </c>
      <c r="H1810" s="269">
        <v>1</v>
      </c>
      <c r="J1810" s="266" t="s">
        <v>3000</v>
      </c>
      <c r="K1810" s="265">
        <v>1760000</v>
      </c>
      <c r="N1810" t="s">
        <v>3916</v>
      </c>
    </row>
    <row r="1811" spans="1:14" x14ac:dyDescent="0.3">
      <c r="A1811" s="271">
        <v>1810</v>
      </c>
      <c r="B1811" s="264">
        <v>45930</v>
      </c>
      <c r="C1811" s="292" t="s">
        <v>3785</v>
      </c>
      <c r="E1811" s="292" t="s">
        <v>3787</v>
      </c>
      <c r="L1811" s="265">
        <v>-1760000</v>
      </c>
    </row>
    <row r="1812" spans="1:14" x14ac:dyDescent="0.3">
      <c r="A1812" s="271">
        <v>1811</v>
      </c>
      <c r="B1812" s="264">
        <v>45930</v>
      </c>
      <c r="C1812" s="292" t="s">
        <v>2148</v>
      </c>
      <c r="E1812" s="292" t="s">
        <v>1125</v>
      </c>
      <c r="L1812" s="265">
        <v>-150000</v>
      </c>
    </row>
    <row r="1813" spans="1:14" x14ac:dyDescent="0.3">
      <c r="A1813" s="271">
        <v>1812</v>
      </c>
      <c r="B1813" s="264">
        <v>45930</v>
      </c>
      <c r="C1813" s="292" t="s">
        <v>2858</v>
      </c>
      <c r="E1813" s="292" t="s">
        <v>1125</v>
      </c>
      <c r="L1813" s="265">
        <v>-1100000</v>
      </c>
    </row>
    <row r="1814" spans="1:14" x14ac:dyDescent="0.3">
      <c r="A1814" s="271">
        <v>1813</v>
      </c>
      <c r="B1814" s="264">
        <v>45930</v>
      </c>
      <c r="C1814" s="292" t="s">
        <v>1577</v>
      </c>
      <c r="E1814" s="292" t="s">
        <v>1125</v>
      </c>
      <c r="L1814" s="265">
        <v>-715000</v>
      </c>
    </row>
    <row r="1815" spans="1:14" x14ac:dyDescent="0.3">
      <c r="A1815" s="271">
        <v>1814</v>
      </c>
      <c r="B1815" s="264">
        <v>45930</v>
      </c>
      <c r="C1815" s="292" t="s">
        <v>1473</v>
      </c>
      <c r="E1815" s="292" t="s">
        <v>3783</v>
      </c>
      <c r="L1815" s="265">
        <v>-1100000</v>
      </c>
    </row>
    <row r="1816" spans="1:14" x14ac:dyDescent="0.3">
      <c r="A1816" s="271">
        <v>1815</v>
      </c>
      <c r="B1816" s="264">
        <v>45930</v>
      </c>
      <c r="C1816" s="292" t="s">
        <v>1399</v>
      </c>
      <c r="E1816" s="292" t="s">
        <v>3784</v>
      </c>
      <c r="L1816" s="265">
        <v>-10293000</v>
      </c>
    </row>
    <row r="1817" spans="1:14" x14ac:dyDescent="0.3">
      <c r="A1817" s="271">
        <v>1816</v>
      </c>
      <c r="B1817" s="264">
        <v>45931</v>
      </c>
      <c r="C1817" s="292" t="s">
        <v>1747</v>
      </c>
      <c r="E1817" s="292" t="s">
        <v>3788</v>
      </c>
      <c r="L1817" s="265">
        <v>-3657500</v>
      </c>
    </row>
    <row r="1818" spans="1:14" x14ac:dyDescent="0.3">
      <c r="A1818" s="271">
        <v>1817</v>
      </c>
      <c r="B1818" s="264">
        <v>45931</v>
      </c>
      <c r="C1818" s="292" t="s">
        <v>1541</v>
      </c>
      <c r="E1818" s="292" t="s">
        <v>3789</v>
      </c>
      <c r="L1818" s="265">
        <v>-5930000</v>
      </c>
    </row>
    <row r="1819" spans="1:14" x14ac:dyDescent="0.3">
      <c r="A1819" s="271">
        <v>1818</v>
      </c>
      <c r="B1819" s="264">
        <v>45931</v>
      </c>
      <c r="C1819" s="292" t="s">
        <v>3791</v>
      </c>
      <c r="E1819" s="292" t="s">
        <v>3792</v>
      </c>
      <c r="F1819" s="269" t="s">
        <v>3793</v>
      </c>
      <c r="G1819" s="265">
        <v>350000</v>
      </c>
      <c r="H1819" s="269">
        <v>1</v>
      </c>
    </row>
    <row r="1820" spans="1:14" x14ac:dyDescent="0.3">
      <c r="A1820" s="271">
        <v>1819</v>
      </c>
      <c r="B1820" s="264">
        <v>45931</v>
      </c>
      <c r="C1820" s="292" t="s">
        <v>1847</v>
      </c>
      <c r="E1820" s="292" t="s">
        <v>3466</v>
      </c>
      <c r="F1820" s="269" t="s">
        <v>1207</v>
      </c>
      <c r="G1820" s="265">
        <v>540000</v>
      </c>
      <c r="H1820" s="269">
        <v>1</v>
      </c>
      <c r="K1820" s="265">
        <v>540000</v>
      </c>
    </row>
    <row r="1821" spans="1:14" x14ac:dyDescent="0.3">
      <c r="A1821" s="271">
        <v>1820</v>
      </c>
      <c r="B1821" s="264">
        <v>45931</v>
      </c>
      <c r="C1821" s="292" t="s">
        <v>1847</v>
      </c>
      <c r="E1821" s="292" t="s">
        <v>1125</v>
      </c>
      <c r="L1821" s="265">
        <v>-540000</v>
      </c>
    </row>
    <row r="1822" spans="1:14" x14ac:dyDescent="0.3">
      <c r="A1822" s="271">
        <v>1821</v>
      </c>
      <c r="B1822" s="264">
        <v>45931</v>
      </c>
      <c r="C1822" s="292" t="s">
        <v>1747</v>
      </c>
      <c r="E1822" s="292" t="s">
        <v>2192</v>
      </c>
      <c r="F1822" s="269" t="s">
        <v>1822</v>
      </c>
      <c r="G1822" s="265">
        <v>10000</v>
      </c>
      <c r="H1822" s="269">
        <v>5</v>
      </c>
      <c r="J1822" s="266">
        <v>5000</v>
      </c>
      <c r="K1822" s="265">
        <v>55000</v>
      </c>
    </row>
    <row r="1823" spans="1:14" x14ac:dyDescent="0.3">
      <c r="A1823" s="271">
        <v>1822</v>
      </c>
      <c r="B1823" s="264">
        <v>45931</v>
      </c>
      <c r="C1823" s="292" t="s">
        <v>1890</v>
      </c>
      <c r="E1823" s="292" t="s">
        <v>1203</v>
      </c>
      <c r="F1823" s="269" t="s">
        <v>1752</v>
      </c>
      <c r="G1823" s="265">
        <v>650000</v>
      </c>
      <c r="H1823" s="269">
        <v>1</v>
      </c>
      <c r="K1823" s="265">
        <v>650000</v>
      </c>
    </row>
    <row r="1824" spans="1:14" x14ac:dyDescent="0.3">
      <c r="A1824" s="271">
        <v>1823</v>
      </c>
      <c r="B1824" s="264">
        <v>45931</v>
      </c>
      <c r="C1824" s="292" t="s">
        <v>1015</v>
      </c>
      <c r="E1824" s="292" t="s">
        <v>1203</v>
      </c>
      <c r="F1824" s="269" t="s">
        <v>1752</v>
      </c>
      <c r="G1824" s="265">
        <v>1200000</v>
      </c>
      <c r="H1824" s="269">
        <v>1</v>
      </c>
      <c r="J1824" s="266">
        <v>120000</v>
      </c>
      <c r="K1824" s="265">
        <v>1320000</v>
      </c>
    </row>
    <row r="1825" spans="1:13" x14ac:dyDescent="0.3">
      <c r="A1825" s="271">
        <v>1824</v>
      </c>
      <c r="B1825" s="264">
        <v>45931</v>
      </c>
      <c r="C1825" s="292" t="s">
        <v>1890</v>
      </c>
      <c r="E1825" s="292" t="s">
        <v>3661</v>
      </c>
      <c r="L1825" s="265">
        <v>-650000</v>
      </c>
    </row>
    <row r="1826" spans="1:13" x14ac:dyDescent="0.3">
      <c r="A1826" s="271">
        <v>1825</v>
      </c>
      <c r="B1826" s="264">
        <v>45931</v>
      </c>
      <c r="C1826" s="292" t="s">
        <v>1870</v>
      </c>
      <c r="E1826" s="292" t="s">
        <v>3821</v>
      </c>
      <c r="G1826" s="265">
        <v>150000</v>
      </c>
      <c r="H1826" s="269">
        <v>1</v>
      </c>
      <c r="K1826" s="265">
        <v>150000</v>
      </c>
    </row>
    <row r="1827" spans="1:13" x14ac:dyDescent="0.3">
      <c r="A1827" s="271">
        <v>1826</v>
      </c>
      <c r="B1827" s="264">
        <v>45931</v>
      </c>
      <c r="C1827" s="292" t="s">
        <v>3823</v>
      </c>
      <c r="E1827" s="292" t="s">
        <v>3466</v>
      </c>
      <c r="F1827" s="269" t="s">
        <v>1207</v>
      </c>
      <c r="G1827" s="265">
        <v>526364</v>
      </c>
      <c r="H1827" s="269">
        <v>1</v>
      </c>
      <c r="J1827" s="266">
        <v>52636</v>
      </c>
      <c r="K1827" s="265">
        <v>579000</v>
      </c>
    </row>
    <row r="1828" spans="1:13" x14ac:dyDescent="0.3">
      <c r="A1828" s="271">
        <v>1827</v>
      </c>
      <c r="B1828" s="264">
        <v>45931</v>
      </c>
      <c r="C1828" s="292" t="s">
        <v>3823</v>
      </c>
      <c r="E1828" s="292" t="s">
        <v>1125</v>
      </c>
      <c r="L1828" s="265">
        <v>-579000</v>
      </c>
    </row>
    <row r="1829" spans="1:13" x14ac:dyDescent="0.3">
      <c r="A1829" s="271">
        <v>1828</v>
      </c>
      <c r="B1829" s="264">
        <v>45932</v>
      </c>
      <c r="C1829" s="292" t="s">
        <v>1015</v>
      </c>
      <c r="E1829" s="292" t="s">
        <v>3825</v>
      </c>
      <c r="L1829" s="265">
        <v>-4269500</v>
      </c>
    </row>
    <row r="1830" spans="1:13" x14ac:dyDescent="0.3">
      <c r="A1830" s="271">
        <v>1829</v>
      </c>
      <c r="B1830" s="264">
        <v>45932</v>
      </c>
      <c r="C1830" s="292" t="s">
        <v>1722</v>
      </c>
      <c r="E1830" s="292" t="s">
        <v>2188</v>
      </c>
      <c r="F1830" s="269" t="s">
        <v>1259</v>
      </c>
      <c r="G1830" s="265">
        <v>130000</v>
      </c>
      <c r="H1830" s="269">
        <v>5</v>
      </c>
      <c r="K1830" s="265">
        <v>650000</v>
      </c>
    </row>
    <row r="1831" spans="1:13" x14ac:dyDescent="0.3">
      <c r="A1831" s="271">
        <v>1830</v>
      </c>
      <c r="B1831" s="264">
        <v>45932</v>
      </c>
      <c r="C1831" s="292" t="s">
        <v>1722</v>
      </c>
      <c r="E1831" s="292" t="s">
        <v>2191</v>
      </c>
      <c r="F1831" s="269" t="s">
        <v>1795</v>
      </c>
      <c r="G1831" s="265">
        <v>35000</v>
      </c>
      <c r="H1831" s="269">
        <v>3</v>
      </c>
      <c r="K1831" s="265">
        <v>105000</v>
      </c>
    </row>
    <row r="1832" spans="1:13" x14ac:dyDescent="0.3">
      <c r="A1832" s="271">
        <v>1831</v>
      </c>
      <c r="B1832" s="264">
        <v>45932</v>
      </c>
      <c r="C1832" s="292" t="s">
        <v>1790</v>
      </c>
      <c r="E1832" s="292" t="s">
        <v>1203</v>
      </c>
      <c r="F1832" s="269" t="s">
        <v>1752</v>
      </c>
      <c r="G1832" s="265">
        <v>1200000</v>
      </c>
      <c r="H1832" s="269">
        <v>1</v>
      </c>
      <c r="K1832" s="265">
        <v>1200000</v>
      </c>
    </row>
    <row r="1833" spans="1:13" x14ac:dyDescent="0.3">
      <c r="A1833" s="271">
        <v>1832</v>
      </c>
      <c r="B1833" s="264">
        <v>45932</v>
      </c>
      <c r="C1833" s="292" t="s">
        <v>1399</v>
      </c>
      <c r="E1833" s="292" t="s">
        <v>2107</v>
      </c>
      <c r="F1833" s="269">
        <v>36050661</v>
      </c>
      <c r="G1833" s="265">
        <v>1200000</v>
      </c>
      <c r="H1833" s="269">
        <v>1</v>
      </c>
      <c r="K1833" s="265">
        <v>1200000</v>
      </c>
    </row>
    <row r="1834" spans="1:13" x14ac:dyDescent="0.3">
      <c r="A1834" s="271">
        <v>1833</v>
      </c>
      <c r="B1834" s="264">
        <v>45932</v>
      </c>
      <c r="C1834" s="292" t="s">
        <v>1399</v>
      </c>
      <c r="E1834" s="292" t="s">
        <v>3832</v>
      </c>
      <c r="F1834" s="269" t="s">
        <v>3831</v>
      </c>
      <c r="G1834" s="265">
        <v>600000</v>
      </c>
      <c r="H1834" s="269">
        <v>1</v>
      </c>
      <c r="K1834" s="265">
        <v>600000</v>
      </c>
    </row>
    <row r="1835" spans="1:13" x14ac:dyDescent="0.3">
      <c r="A1835" s="271">
        <v>1834</v>
      </c>
      <c r="B1835" s="264">
        <v>45932</v>
      </c>
      <c r="C1835" s="292" t="s">
        <v>3826</v>
      </c>
      <c r="E1835" s="292" t="s">
        <v>2178</v>
      </c>
      <c r="F1835" s="269" t="s">
        <v>1464</v>
      </c>
      <c r="G1835" s="265">
        <v>1500000</v>
      </c>
      <c r="H1835" s="269">
        <v>1</v>
      </c>
      <c r="K1835" s="265">
        <v>1500000</v>
      </c>
      <c r="M1835" s="292" t="s">
        <v>3836</v>
      </c>
    </row>
    <row r="1836" spans="1:13" x14ac:dyDescent="0.3">
      <c r="A1836" s="271">
        <v>1835</v>
      </c>
      <c r="B1836" s="264">
        <v>45932</v>
      </c>
      <c r="C1836" s="292" t="s">
        <v>2145</v>
      </c>
      <c r="E1836" s="292" t="s">
        <v>2196</v>
      </c>
      <c r="F1836" s="269">
        <v>2820403</v>
      </c>
      <c r="G1836" s="265">
        <v>1600000</v>
      </c>
      <c r="H1836" s="269">
        <v>1</v>
      </c>
      <c r="K1836" s="265">
        <v>1600000</v>
      </c>
    </row>
    <row r="1837" spans="1:13" x14ac:dyDescent="0.3">
      <c r="A1837" s="271">
        <v>1836</v>
      </c>
      <c r="B1837" s="264">
        <v>45933</v>
      </c>
      <c r="C1837" s="292" t="s">
        <v>2145</v>
      </c>
      <c r="E1837" s="292" t="s">
        <v>3839</v>
      </c>
      <c r="L1837" s="265">
        <v>-1600000</v>
      </c>
    </row>
    <row r="1838" spans="1:13" x14ac:dyDescent="0.3">
      <c r="A1838" s="271">
        <v>1837</v>
      </c>
      <c r="B1838" s="264">
        <v>45932</v>
      </c>
      <c r="C1838" s="292" t="s">
        <v>3826</v>
      </c>
      <c r="E1838" s="292" t="s">
        <v>3840</v>
      </c>
      <c r="L1838" s="265">
        <v>-1500000</v>
      </c>
    </row>
    <row r="1839" spans="1:13" x14ac:dyDescent="0.3">
      <c r="A1839" s="271">
        <v>1838</v>
      </c>
      <c r="B1839" s="264">
        <v>45933</v>
      </c>
      <c r="C1839" s="292" t="s">
        <v>1722</v>
      </c>
      <c r="E1839" s="292" t="s">
        <v>3841</v>
      </c>
      <c r="L1839" s="265">
        <v>-8468000</v>
      </c>
    </row>
    <row r="1840" spans="1:13" x14ac:dyDescent="0.3">
      <c r="A1840" s="271">
        <v>1839</v>
      </c>
      <c r="B1840" s="264">
        <v>45933</v>
      </c>
      <c r="C1840" s="292" t="s">
        <v>1479</v>
      </c>
      <c r="E1840" s="292" t="s">
        <v>3842</v>
      </c>
      <c r="L1840" s="265">
        <v>-1450000</v>
      </c>
    </row>
    <row r="1841" spans="1:13" x14ac:dyDescent="0.3">
      <c r="A1841" s="271">
        <v>1840</v>
      </c>
      <c r="B1841" s="264">
        <v>45933</v>
      </c>
      <c r="C1841" s="292" t="s">
        <v>1870</v>
      </c>
      <c r="E1841" s="292" t="s">
        <v>3843</v>
      </c>
      <c r="L1841" s="265">
        <v>-150000</v>
      </c>
    </row>
    <row r="1842" spans="1:13" x14ac:dyDescent="0.3">
      <c r="A1842" s="271">
        <v>1841</v>
      </c>
      <c r="B1842" s="264">
        <v>45933</v>
      </c>
      <c r="C1842" s="292" t="s">
        <v>2145</v>
      </c>
      <c r="E1842" s="292" t="s">
        <v>1549</v>
      </c>
      <c r="F1842" s="269">
        <v>24152333903</v>
      </c>
      <c r="G1842" s="265">
        <v>50000</v>
      </c>
      <c r="H1842" s="269">
        <v>1</v>
      </c>
      <c r="K1842" s="265">
        <v>50000</v>
      </c>
    </row>
    <row r="1843" spans="1:13" x14ac:dyDescent="0.3">
      <c r="A1843" s="271">
        <v>1842</v>
      </c>
      <c r="B1843" s="264">
        <v>45933</v>
      </c>
      <c r="C1843" s="292" t="s">
        <v>1931</v>
      </c>
      <c r="E1843" s="292" t="s">
        <v>3124</v>
      </c>
      <c r="F1843" s="269">
        <v>6058008122</v>
      </c>
      <c r="G1843" s="265">
        <v>2500000</v>
      </c>
      <c r="H1843" s="269">
        <v>1</v>
      </c>
      <c r="K1843" s="265">
        <v>2500000</v>
      </c>
    </row>
    <row r="1844" spans="1:13" x14ac:dyDescent="0.3">
      <c r="A1844" s="271">
        <v>1843</v>
      </c>
      <c r="B1844" s="264">
        <v>45933</v>
      </c>
      <c r="C1844" s="292" t="s">
        <v>1931</v>
      </c>
      <c r="E1844" s="292" t="s">
        <v>2037</v>
      </c>
      <c r="F1844" s="269">
        <v>2830406</v>
      </c>
      <c r="G1844" s="265">
        <v>1100000</v>
      </c>
      <c r="H1844" s="269">
        <v>1</v>
      </c>
      <c r="K1844" s="265">
        <v>1100000</v>
      </c>
    </row>
    <row r="1845" spans="1:13" x14ac:dyDescent="0.3">
      <c r="A1845" s="271">
        <v>1844</v>
      </c>
      <c r="B1845" s="264">
        <v>45938</v>
      </c>
      <c r="C1845" s="292" t="s">
        <v>2623</v>
      </c>
      <c r="E1845" s="292" t="s">
        <v>3849</v>
      </c>
      <c r="L1845" s="265">
        <v>-2200000</v>
      </c>
    </row>
    <row r="1846" spans="1:13" x14ac:dyDescent="0.3">
      <c r="A1846" s="271">
        <v>1845</v>
      </c>
      <c r="B1846" s="264">
        <v>45939</v>
      </c>
      <c r="C1846" s="292" t="s">
        <v>1580</v>
      </c>
      <c r="E1846" s="292" t="s">
        <v>2189</v>
      </c>
      <c r="G1846" s="265">
        <v>100000</v>
      </c>
      <c r="H1846" s="269">
        <v>1</v>
      </c>
      <c r="J1846" s="266">
        <v>10000</v>
      </c>
      <c r="K1846" s="265">
        <v>110000</v>
      </c>
    </row>
    <row r="1847" spans="1:13" x14ac:dyDescent="0.3">
      <c r="A1847" s="271">
        <v>1846</v>
      </c>
      <c r="B1847" s="264">
        <v>45939</v>
      </c>
      <c r="C1847" s="292" t="s">
        <v>1444</v>
      </c>
      <c r="E1847" s="292" t="s">
        <v>1985</v>
      </c>
      <c r="G1847" s="265">
        <v>150000</v>
      </c>
      <c r="H1847" s="269">
        <v>1</v>
      </c>
      <c r="K1847" s="265">
        <v>150000</v>
      </c>
    </row>
    <row r="1848" spans="1:13" x14ac:dyDescent="0.3">
      <c r="A1848" s="271">
        <v>1847</v>
      </c>
      <c r="B1848" s="264">
        <v>45940</v>
      </c>
      <c r="C1848" s="292" t="s">
        <v>1306</v>
      </c>
      <c r="E1848" s="292" t="s">
        <v>2178</v>
      </c>
      <c r="F1848" s="269" t="s">
        <v>1464</v>
      </c>
      <c r="G1848" s="265">
        <v>0</v>
      </c>
      <c r="H1848" s="269">
        <v>1</v>
      </c>
      <c r="K1848" s="265">
        <v>0</v>
      </c>
      <c r="M1848" s="292" t="s">
        <v>3856</v>
      </c>
    </row>
    <row r="1849" spans="1:13" x14ac:dyDescent="0.3">
      <c r="A1849" s="271">
        <v>1848</v>
      </c>
      <c r="B1849" s="264">
        <v>45940</v>
      </c>
      <c r="C1849" s="292" t="s">
        <v>1053</v>
      </c>
      <c r="E1849" s="292" t="s">
        <v>3857</v>
      </c>
      <c r="L1849" s="265">
        <v>-2000000</v>
      </c>
    </row>
    <row r="1850" spans="1:13" x14ac:dyDescent="0.3">
      <c r="A1850" s="271">
        <v>1849</v>
      </c>
      <c r="B1850" s="264">
        <v>45940</v>
      </c>
      <c r="C1850" s="292" t="s">
        <v>1747</v>
      </c>
      <c r="E1850" s="292" t="s">
        <v>2920</v>
      </c>
      <c r="F1850" s="269">
        <v>602000700</v>
      </c>
      <c r="G1850" s="265">
        <v>358182</v>
      </c>
      <c r="H1850" s="269">
        <v>1</v>
      </c>
      <c r="J1850" s="266">
        <v>35818</v>
      </c>
      <c r="K1850" s="265">
        <v>394000</v>
      </c>
    </row>
    <row r="1851" spans="1:13" x14ac:dyDescent="0.3">
      <c r="A1851" s="271">
        <v>1850</v>
      </c>
      <c r="B1851" s="264">
        <v>45940</v>
      </c>
      <c r="C1851" s="292" t="s">
        <v>1747</v>
      </c>
      <c r="E1851" s="292" t="s">
        <v>2919</v>
      </c>
      <c r="F1851" s="269">
        <v>415054509</v>
      </c>
      <c r="G1851" s="265">
        <v>350000</v>
      </c>
      <c r="H1851" s="269">
        <v>1</v>
      </c>
      <c r="J1851" s="266">
        <v>35000</v>
      </c>
      <c r="K1851" s="265">
        <v>385000</v>
      </c>
    </row>
    <row r="1852" spans="1:13" x14ac:dyDescent="0.3">
      <c r="A1852" s="271">
        <v>1851</v>
      </c>
      <c r="B1852" s="264">
        <v>45940</v>
      </c>
      <c r="C1852" s="292" t="s">
        <v>1747</v>
      </c>
      <c r="E1852" s="292" t="s">
        <v>3859</v>
      </c>
      <c r="F1852" s="269">
        <v>410013910</v>
      </c>
      <c r="G1852" s="265">
        <v>9091</v>
      </c>
      <c r="H1852" s="269">
        <v>1</v>
      </c>
      <c r="J1852" s="266">
        <v>909</v>
      </c>
      <c r="K1852" s="265">
        <v>10000</v>
      </c>
    </row>
    <row r="1853" spans="1:13" x14ac:dyDescent="0.3">
      <c r="A1853" s="271">
        <v>1852</v>
      </c>
      <c r="B1853" s="264">
        <v>45940</v>
      </c>
      <c r="C1853" s="292" t="s">
        <v>1577</v>
      </c>
      <c r="E1853" s="292" t="s">
        <v>2799</v>
      </c>
      <c r="F1853" s="269">
        <v>1094302044</v>
      </c>
      <c r="G1853" s="265">
        <v>300000</v>
      </c>
      <c r="H1853" s="269">
        <v>1</v>
      </c>
      <c r="J1853" s="266">
        <v>30000</v>
      </c>
      <c r="K1853" s="265">
        <v>330000</v>
      </c>
    </row>
    <row r="1854" spans="1:13" x14ac:dyDescent="0.3">
      <c r="A1854" s="271">
        <v>1853</v>
      </c>
      <c r="B1854" s="264">
        <v>45940</v>
      </c>
      <c r="C1854" s="292" t="s">
        <v>1577</v>
      </c>
      <c r="E1854" s="292" t="s">
        <v>1759</v>
      </c>
      <c r="F1854" s="269">
        <v>501220639</v>
      </c>
      <c r="G1854" s="265">
        <v>250000</v>
      </c>
      <c r="H1854" s="269">
        <v>1</v>
      </c>
      <c r="J1854" s="266">
        <v>25000</v>
      </c>
      <c r="K1854" s="265">
        <v>275000</v>
      </c>
    </row>
    <row r="1855" spans="1:13" x14ac:dyDescent="0.3">
      <c r="A1855" s="271">
        <v>1854</v>
      </c>
      <c r="B1855" s="264">
        <v>45940</v>
      </c>
      <c r="C1855" s="292" t="s">
        <v>1577</v>
      </c>
      <c r="E1855" s="292" t="s">
        <v>3634</v>
      </c>
      <c r="F1855" s="269" t="s">
        <v>3633</v>
      </c>
      <c r="G1855" s="265">
        <v>30000</v>
      </c>
      <c r="H1855" s="269">
        <v>1</v>
      </c>
      <c r="J1855" s="266">
        <v>3000</v>
      </c>
      <c r="K1855" s="265">
        <v>33000</v>
      </c>
    </row>
    <row r="1856" spans="1:13" x14ac:dyDescent="0.3">
      <c r="A1856" s="271">
        <v>1855</v>
      </c>
      <c r="B1856" s="264">
        <v>45940</v>
      </c>
      <c r="C1856" s="292" t="s">
        <v>1378</v>
      </c>
      <c r="E1856" s="292" t="s">
        <v>2182</v>
      </c>
      <c r="F1856" s="269" t="s">
        <v>2217</v>
      </c>
      <c r="G1856" s="265">
        <v>250000</v>
      </c>
      <c r="H1856" s="269">
        <v>1</v>
      </c>
      <c r="K1856" s="265">
        <v>250000</v>
      </c>
      <c r="M1856" s="304" t="s">
        <v>3864</v>
      </c>
    </row>
    <row r="1857" spans="1:12" x14ac:dyDescent="0.3">
      <c r="A1857" s="271">
        <v>1856</v>
      </c>
      <c r="B1857" s="264">
        <v>45940</v>
      </c>
      <c r="C1857" s="292" t="s">
        <v>1373</v>
      </c>
      <c r="E1857" s="292" t="s">
        <v>2180</v>
      </c>
      <c r="F1857" s="269" t="s">
        <v>1201</v>
      </c>
      <c r="G1857" s="265">
        <v>1500000</v>
      </c>
      <c r="H1857" s="269">
        <v>1</v>
      </c>
      <c r="K1857" s="265">
        <v>1500000</v>
      </c>
    </row>
    <row r="1858" spans="1:12" x14ac:dyDescent="0.3">
      <c r="A1858" s="271">
        <v>1857</v>
      </c>
      <c r="B1858" s="264">
        <v>45940</v>
      </c>
      <c r="C1858" s="292" t="s">
        <v>1373</v>
      </c>
      <c r="E1858" s="292" t="s">
        <v>2181</v>
      </c>
      <c r="F1858" s="269" t="s">
        <v>1803</v>
      </c>
      <c r="G1858" s="265">
        <v>50000</v>
      </c>
      <c r="H1858" s="269">
        <v>1</v>
      </c>
      <c r="K1858" s="265">
        <v>50000</v>
      </c>
    </row>
    <row r="1859" spans="1:12" x14ac:dyDescent="0.3">
      <c r="A1859" s="271">
        <v>1858</v>
      </c>
      <c r="B1859" s="264">
        <v>45940</v>
      </c>
      <c r="C1859" s="292" t="s">
        <v>1015</v>
      </c>
      <c r="E1859" s="292" t="s">
        <v>2027</v>
      </c>
      <c r="F1859" s="269" t="s">
        <v>1216</v>
      </c>
      <c r="G1859" s="265">
        <v>1500000</v>
      </c>
      <c r="H1859" s="269">
        <v>1</v>
      </c>
      <c r="J1859" s="266">
        <v>150000</v>
      </c>
      <c r="K1859" s="265">
        <v>1650000</v>
      </c>
    </row>
    <row r="1860" spans="1:12" x14ac:dyDescent="0.3">
      <c r="A1860" s="271">
        <v>1859</v>
      </c>
      <c r="B1860" s="264">
        <v>45940</v>
      </c>
      <c r="C1860" s="292" t="s">
        <v>3399</v>
      </c>
      <c r="E1860" s="292" t="s">
        <v>2180</v>
      </c>
      <c r="F1860" s="269" t="s">
        <v>1201</v>
      </c>
      <c r="G1860" s="265">
        <v>1500000</v>
      </c>
      <c r="H1860" s="269">
        <v>1</v>
      </c>
      <c r="K1860" s="265">
        <v>1500000</v>
      </c>
    </row>
    <row r="1861" spans="1:12" x14ac:dyDescent="0.3">
      <c r="A1861" s="271">
        <v>1860</v>
      </c>
      <c r="B1861" s="264">
        <v>45940</v>
      </c>
      <c r="C1861" s="292" t="s">
        <v>3399</v>
      </c>
      <c r="E1861" s="292" t="s">
        <v>2181</v>
      </c>
      <c r="F1861" s="269" t="s">
        <v>1803</v>
      </c>
      <c r="G1861" s="265">
        <v>50000</v>
      </c>
      <c r="H1861" s="269">
        <v>1</v>
      </c>
      <c r="K1861" s="265">
        <v>50000</v>
      </c>
    </row>
    <row r="1862" spans="1:12" x14ac:dyDescent="0.3">
      <c r="A1862" s="271">
        <v>1861</v>
      </c>
      <c r="B1862" s="264">
        <v>45940</v>
      </c>
      <c r="C1862" s="292" t="s">
        <v>1173</v>
      </c>
      <c r="E1862" s="292" t="s">
        <v>1743</v>
      </c>
      <c r="G1862" s="265">
        <v>650000</v>
      </c>
      <c r="H1862" s="269">
        <v>1</v>
      </c>
      <c r="K1862" s="265">
        <v>650000</v>
      </c>
    </row>
    <row r="1863" spans="1:12" x14ac:dyDescent="0.3">
      <c r="A1863" s="271">
        <v>1862</v>
      </c>
      <c r="B1863" s="264">
        <v>45940</v>
      </c>
      <c r="C1863" s="292" t="s">
        <v>2486</v>
      </c>
      <c r="E1863" s="292" t="s">
        <v>1717</v>
      </c>
      <c r="F1863" s="269">
        <v>2800802</v>
      </c>
      <c r="G1863" s="265">
        <v>150000</v>
      </c>
      <c r="H1863" s="269">
        <v>1</v>
      </c>
      <c r="K1863" s="265">
        <v>150000</v>
      </c>
    </row>
    <row r="1864" spans="1:12" x14ac:dyDescent="0.3">
      <c r="A1864" s="271">
        <v>1863</v>
      </c>
      <c r="B1864" s="264">
        <v>45940</v>
      </c>
      <c r="C1864" s="292" t="s">
        <v>3823</v>
      </c>
      <c r="E1864" s="292" t="s">
        <v>3466</v>
      </c>
      <c r="F1864" s="269" t="s">
        <v>1207</v>
      </c>
      <c r="G1864" s="265">
        <v>526364</v>
      </c>
      <c r="H1864" s="269">
        <v>1</v>
      </c>
      <c r="J1864" s="266">
        <v>52636</v>
      </c>
      <c r="K1864" s="265">
        <v>579000</v>
      </c>
    </row>
    <row r="1865" spans="1:12" x14ac:dyDescent="0.3">
      <c r="A1865" s="271">
        <v>1864</v>
      </c>
      <c r="B1865" s="264">
        <v>45940</v>
      </c>
      <c r="C1865" s="292" t="s">
        <v>1598</v>
      </c>
      <c r="E1865" s="292" t="s">
        <v>1203</v>
      </c>
      <c r="F1865" s="269" t="s">
        <v>1752</v>
      </c>
      <c r="G1865" s="265">
        <v>1000000</v>
      </c>
      <c r="H1865" s="269">
        <v>1</v>
      </c>
      <c r="K1865" s="265">
        <v>1000000</v>
      </c>
    </row>
    <row r="1866" spans="1:12" x14ac:dyDescent="0.3">
      <c r="A1866" s="271">
        <v>1865</v>
      </c>
      <c r="B1866" s="264">
        <v>45940</v>
      </c>
      <c r="C1866" s="292" t="s">
        <v>1532</v>
      </c>
      <c r="E1866" s="292" t="s">
        <v>1203</v>
      </c>
      <c r="F1866" s="269" t="s">
        <v>1752</v>
      </c>
      <c r="G1866" s="265">
        <v>1300000</v>
      </c>
      <c r="H1866" s="269">
        <v>1</v>
      </c>
      <c r="K1866" s="265">
        <v>1300000</v>
      </c>
    </row>
    <row r="1867" spans="1:12" x14ac:dyDescent="0.3">
      <c r="A1867" s="271">
        <v>1866</v>
      </c>
      <c r="B1867" s="264">
        <v>45940</v>
      </c>
      <c r="C1867" s="292" t="s">
        <v>1532</v>
      </c>
      <c r="E1867" s="292" t="s">
        <v>2840</v>
      </c>
      <c r="F1867" s="269" t="s">
        <v>2750</v>
      </c>
      <c r="G1867" s="265">
        <v>129000</v>
      </c>
      <c r="H1867" s="269">
        <v>1</v>
      </c>
      <c r="K1867" s="265">
        <v>129000</v>
      </c>
    </row>
    <row r="1868" spans="1:12" x14ac:dyDescent="0.3">
      <c r="A1868" s="271">
        <v>1867</v>
      </c>
      <c r="B1868" s="264">
        <v>45940</v>
      </c>
      <c r="C1868" s="292" t="s">
        <v>2145</v>
      </c>
      <c r="E1868" s="292" t="s">
        <v>3874</v>
      </c>
      <c r="L1868" s="265">
        <v>-50000</v>
      </c>
    </row>
    <row r="1869" spans="1:12" x14ac:dyDescent="0.3">
      <c r="A1869" s="271">
        <v>1868</v>
      </c>
      <c r="B1869" s="264">
        <v>45940</v>
      </c>
      <c r="C1869" s="292" t="s">
        <v>1598</v>
      </c>
      <c r="E1869" s="292" t="s">
        <v>3875</v>
      </c>
      <c r="L1869" s="265">
        <v>-1000000</v>
      </c>
    </row>
    <row r="1870" spans="1:12" x14ac:dyDescent="0.3">
      <c r="A1870" s="271">
        <v>1869</v>
      </c>
      <c r="B1870" s="264">
        <v>45940</v>
      </c>
      <c r="C1870" s="292" t="s">
        <v>3823</v>
      </c>
      <c r="E1870" s="292" t="s">
        <v>3876</v>
      </c>
      <c r="L1870" s="265">
        <v>-579000</v>
      </c>
    </row>
    <row r="1871" spans="1:12" x14ac:dyDescent="0.3">
      <c r="A1871" s="271">
        <v>1870</v>
      </c>
      <c r="B1871" s="264">
        <v>45940</v>
      </c>
      <c r="C1871" s="292" t="s">
        <v>2486</v>
      </c>
      <c r="E1871" s="292" t="s">
        <v>3877</v>
      </c>
      <c r="L1871" s="265">
        <v>-150000</v>
      </c>
    </row>
    <row r="1872" spans="1:12" x14ac:dyDescent="0.3">
      <c r="A1872" s="271">
        <v>1871</v>
      </c>
      <c r="B1872" s="264">
        <v>45940</v>
      </c>
      <c r="C1872" s="292" t="s">
        <v>3399</v>
      </c>
      <c r="E1872" s="292" t="s">
        <v>3878</v>
      </c>
      <c r="L1872" s="265">
        <v>-1550000</v>
      </c>
    </row>
    <row r="1873" spans="1:13" x14ac:dyDescent="0.3">
      <c r="A1873" s="271">
        <v>1872</v>
      </c>
      <c r="B1873" s="264">
        <v>45932</v>
      </c>
      <c r="C1873" s="292" t="s">
        <v>1790</v>
      </c>
      <c r="E1873" s="292" t="s">
        <v>1519</v>
      </c>
      <c r="G1873" s="265">
        <v>20000</v>
      </c>
      <c r="H1873" s="269">
        <v>1</v>
      </c>
      <c r="K1873" s="265">
        <v>20000</v>
      </c>
    </row>
    <row r="1874" spans="1:13" x14ac:dyDescent="0.3">
      <c r="A1874" s="271">
        <v>1873</v>
      </c>
      <c r="B1874" s="264">
        <v>45941</v>
      </c>
      <c r="C1874" s="292" t="s">
        <v>2998</v>
      </c>
      <c r="E1874" s="292" t="s">
        <v>1203</v>
      </c>
      <c r="F1874" s="269" t="s">
        <v>1752</v>
      </c>
      <c r="G1874" s="265">
        <v>1200000</v>
      </c>
      <c r="H1874" s="269">
        <v>1</v>
      </c>
      <c r="K1874" s="265">
        <v>1200000</v>
      </c>
    </row>
    <row r="1875" spans="1:13" x14ac:dyDescent="0.3">
      <c r="A1875" s="271">
        <v>1874</v>
      </c>
      <c r="B1875" s="264">
        <v>45941</v>
      </c>
      <c r="C1875" s="292" t="s">
        <v>1722</v>
      </c>
      <c r="E1875" s="292" t="s">
        <v>1744</v>
      </c>
      <c r="F1875" s="269">
        <v>2830501</v>
      </c>
      <c r="G1875" s="265">
        <v>1550000</v>
      </c>
      <c r="H1875" s="269">
        <v>1</v>
      </c>
      <c r="K1875" s="265">
        <v>1550000</v>
      </c>
    </row>
    <row r="1876" spans="1:13" x14ac:dyDescent="0.3">
      <c r="A1876" s="271">
        <v>1875</v>
      </c>
      <c r="B1876" s="264">
        <v>45943</v>
      </c>
      <c r="C1876" s="292" t="s">
        <v>1378</v>
      </c>
      <c r="E1876" s="292" t="s">
        <v>2180</v>
      </c>
      <c r="F1876" s="269" t="s">
        <v>1201</v>
      </c>
      <c r="G1876" s="265">
        <v>0</v>
      </c>
      <c r="H1876" s="269">
        <v>1</v>
      </c>
      <c r="K1876" s="265">
        <v>0</v>
      </c>
      <c r="M1876" s="292" t="s">
        <v>3888</v>
      </c>
    </row>
    <row r="1877" spans="1:13" x14ac:dyDescent="0.3">
      <c r="A1877" s="271">
        <v>1876</v>
      </c>
      <c r="B1877" s="264">
        <v>45943</v>
      </c>
      <c r="C1877" s="292" t="s">
        <v>1532</v>
      </c>
      <c r="E1877" s="292" t="s">
        <v>1125</v>
      </c>
      <c r="L1877" s="265">
        <v>-1429000</v>
      </c>
    </row>
    <row r="1878" spans="1:13" x14ac:dyDescent="0.3">
      <c r="A1878" s="271">
        <v>1877</v>
      </c>
      <c r="B1878" s="264">
        <v>45943</v>
      </c>
      <c r="C1878" s="292" t="s">
        <v>1399</v>
      </c>
      <c r="E1878" s="292" t="s">
        <v>1743</v>
      </c>
      <c r="G1878" s="265">
        <v>650000</v>
      </c>
      <c r="H1878" s="269">
        <v>1</v>
      </c>
      <c r="K1878" s="265">
        <v>650000</v>
      </c>
    </row>
    <row r="1879" spans="1:13" x14ac:dyDescent="0.3">
      <c r="A1879" s="271">
        <v>1878</v>
      </c>
      <c r="B1879" s="264">
        <v>45943</v>
      </c>
      <c r="C1879" s="292" t="s">
        <v>1378</v>
      </c>
      <c r="E1879" s="292" t="s">
        <v>3886</v>
      </c>
      <c r="F1879" s="269">
        <v>9009381061816</v>
      </c>
      <c r="G1879" s="265">
        <v>350000</v>
      </c>
      <c r="H1879" s="269">
        <v>1</v>
      </c>
      <c r="K1879" s="265">
        <v>350000</v>
      </c>
      <c r="M1879" s="292" t="s">
        <v>3890</v>
      </c>
    </row>
    <row r="1880" spans="1:13" x14ac:dyDescent="0.3">
      <c r="A1880" s="271">
        <v>1879</v>
      </c>
      <c r="B1880" s="264">
        <v>45943</v>
      </c>
      <c r="C1880" s="292" t="s">
        <v>3892</v>
      </c>
      <c r="E1880" s="292" t="s">
        <v>3466</v>
      </c>
      <c r="F1880" s="269" t="s">
        <v>1207</v>
      </c>
      <c r="G1880" s="265">
        <v>580000</v>
      </c>
      <c r="H1880" s="269">
        <v>1</v>
      </c>
      <c r="K1880" s="265">
        <v>580000</v>
      </c>
    </row>
    <row r="1881" spans="1:13" x14ac:dyDescent="0.3">
      <c r="A1881" s="271">
        <v>1880</v>
      </c>
      <c r="B1881" s="264">
        <v>45943</v>
      </c>
      <c r="C1881" s="292" t="s">
        <v>1580</v>
      </c>
      <c r="E1881" s="292" t="s">
        <v>2413</v>
      </c>
      <c r="F1881" s="269">
        <v>1087298441</v>
      </c>
      <c r="G1881" s="265">
        <v>40000</v>
      </c>
      <c r="H1881" s="269">
        <v>1</v>
      </c>
      <c r="J1881" s="266">
        <v>4000</v>
      </c>
      <c r="K1881" s="265">
        <v>44000</v>
      </c>
    </row>
    <row r="1882" spans="1:13" x14ac:dyDescent="0.3">
      <c r="A1882" s="271">
        <v>1881</v>
      </c>
      <c r="B1882" s="264">
        <v>45943</v>
      </c>
      <c r="C1882" s="292" t="s">
        <v>2618</v>
      </c>
      <c r="E1882" s="292" t="s">
        <v>3466</v>
      </c>
      <c r="F1882" s="269" t="s">
        <v>1207</v>
      </c>
      <c r="G1882" s="265">
        <v>526364</v>
      </c>
      <c r="H1882" s="269">
        <v>5</v>
      </c>
      <c r="J1882" s="266">
        <v>263182</v>
      </c>
      <c r="K1882" s="265">
        <v>2895002</v>
      </c>
    </row>
    <row r="1883" spans="1:13" x14ac:dyDescent="0.3">
      <c r="A1883" s="271">
        <v>1882</v>
      </c>
      <c r="B1883" s="264">
        <v>45943</v>
      </c>
      <c r="C1883" s="292" t="s">
        <v>2618</v>
      </c>
      <c r="E1883" s="292" t="s">
        <v>3342</v>
      </c>
      <c r="G1883" s="265">
        <v>-2</v>
      </c>
      <c r="H1883" s="269">
        <v>1</v>
      </c>
      <c r="K1883" s="265">
        <v>-2</v>
      </c>
    </row>
    <row r="1884" spans="1:13" x14ac:dyDescent="0.3">
      <c r="A1884" s="271">
        <v>1883</v>
      </c>
      <c r="B1884" s="264">
        <v>45943</v>
      </c>
      <c r="C1884" s="292" t="s">
        <v>3898</v>
      </c>
      <c r="E1884" s="292" t="s">
        <v>2183</v>
      </c>
      <c r="F1884" s="269" t="s">
        <v>1720</v>
      </c>
      <c r="G1884" s="265">
        <v>60000</v>
      </c>
      <c r="H1884" s="269">
        <v>1</v>
      </c>
      <c r="J1884" s="266">
        <v>6000</v>
      </c>
      <c r="K1884" s="265">
        <v>66000</v>
      </c>
    </row>
    <row r="1885" spans="1:13" x14ac:dyDescent="0.3">
      <c r="A1885" s="271">
        <v>1884</v>
      </c>
      <c r="B1885" s="264">
        <v>45943</v>
      </c>
      <c r="C1885" s="292" t="s">
        <v>3898</v>
      </c>
      <c r="E1885" s="292" t="s">
        <v>2181</v>
      </c>
      <c r="F1885" s="269" t="s">
        <v>1803</v>
      </c>
      <c r="G1885" s="265">
        <v>70000</v>
      </c>
      <c r="H1885" s="269">
        <v>1</v>
      </c>
      <c r="J1885" s="266">
        <v>7000</v>
      </c>
      <c r="K1885" s="265">
        <v>77000</v>
      </c>
    </row>
    <row r="1886" spans="1:13" x14ac:dyDescent="0.3">
      <c r="A1886" s="271">
        <v>1885</v>
      </c>
      <c r="B1886" s="264">
        <v>45943</v>
      </c>
      <c r="C1886" s="292" t="s">
        <v>3269</v>
      </c>
      <c r="E1886" s="292" t="s">
        <v>1561</v>
      </c>
      <c r="F1886" s="269" t="s">
        <v>2697</v>
      </c>
      <c r="G1886" s="265">
        <v>200000</v>
      </c>
      <c r="H1886" s="269">
        <v>1</v>
      </c>
      <c r="K1886" s="265">
        <v>200000</v>
      </c>
    </row>
    <row r="1887" spans="1:13" x14ac:dyDescent="0.3">
      <c r="A1887" s="271">
        <v>1886</v>
      </c>
      <c r="B1887" s="264">
        <v>45943</v>
      </c>
      <c r="C1887" s="292" t="s">
        <v>2618</v>
      </c>
      <c r="E1887" s="292" t="s">
        <v>3902</v>
      </c>
      <c r="L1887" s="265">
        <v>-2895000</v>
      </c>
    </row>
    <row r="1888" spans="1:13" x14ac:dyDescent="0.3">
      <c r="A1888" s="271">
        <v>1887</v>
      </c>
      <c r="B1888" s="264">
        <v>45943</v>
      </c>
      <c r="C1888" s="292" t="s">
        <v>3898</v>
      </c>
      <c r="E1888" s="292" t="s">
        <v>3904</v>
      </c>
      <c r="L1888" s="265">
        <v>-143000</v>
      </c>
    </row>
    <row r="1889" spans="1:12" x14ac:dyDescent="0.3">
      <c r="A1889" s="271">
        <v>1888</v>
      </c>
      <c r="B1889" s="264">
        <v>45943</v>
      </c>
      <c r="C1889" s="292" t="s">
        <v>1018</v>
      </c>
      <c r="E1889" s="292" t="s">
        <v>3906</v>
      </c>
      <c r="L1889" s="265">
        <v>-3400000</v>
      </c>
    </row>
    <row r="1890" spans="1:12" x14ac:dyDescent="0.3">
      <c r="A1890" s="271">
        <v>1889</v>
      </c>
      <c r="B1890" s="264">
        <v>45943</v>
      </c>
      <c r="C1890" s="292" t="s">
        <v>1173</v>
      </c>
      <c r="E1890" s="292" t="s">
        <v>3908</v>
      </c>
      <c r="L1890" s="265">
        <v>-650000</v>
      </c>
    </row>
    <row r="1891" spans="1:12" x14ac:dyDescent="0.3">
      <c r="A1891" s="271">
        <v>1890</v>
      </c>
      <c r="B1891" s="264">
        <v>45943</v>
      </c>
      <c r="C1891" s="292" t="s">
        <v>3269</v>
      </c>
      <c r="E1891" s="292" t="s">
        <v>3910</v>
      </c>
      <c r="L1891" s="265">
        <v>-200000</v>
      </c>
    </row>
    <row r="1892" spans="1:12" x14ac:dyDescent="0.3">
      <c r="A1892" s="271">
        <v>1891</v>
      </c>
      <c r="B1892" s="264">
        <v>45943</v>
      </c>
      <c r="C1892" s="292" t="s">
        <v>3892</v>
      </c>
      <c r="E1892" s="292" t="s">
        <v>3912</v>
      </c>
      <c r="L1892" s="265">
        <v>-580000</v>
      </c>
    </row>
    <row r="1893" spans="1:12" x14ac:dyDescent="0.3">
      <c r="A1893" s="271">
        <v>1892</v>
      </c>
      <c r="B1893" s="264">
        <v>45943</v>
      </c>
      <c r="C1893" s="292" t="s">
        <v>1867</v>
      </c>
      <c r="E1893" s="292" t="s">
        <v>1743</v>
      </c>
      <c r="G1893" s="265">
        <v>1100000</v>
      </c>
      <c r="H1893" s="269">
        <v>1</v>
      </c>
      <c r="K1893" s="265">
        <v>1100000</v>
      </c>
    </row>
    <row r="1894" spans="1:12" x14ac:dyDescent="0.3">
      <c r="A1894" s="271">
        <v>1893</v>
      </c>
      <c r="B1894" s="264">
        <v>45943</v>
      </c>
      <c r="C1894" s="292" t="s">
        <v>1554</v>
      </c>
      <c r="E1894" s="292" t="s">
        <v>1203</v>
      </c>
      <c r="F1894" s="269" t="s">
        <v>1752</v>
      </c>
      <c r="G1894" s="265">
        <v>1200000</v>
      </c>
      <c r="H1894" s="269">
        <v>1</v>
      </c>
      <c r="J1894" s="266">
        <v>120000</v>
      </c>
      <c r="K1894" s="265">
        <v>1320000</v>
      </c>
    </row>
    <row r="1895" spans="1:12" x14ac:dyDescent="0.3">
      <c r="A1895" s="271">
        <v>1894</v>
      </c>
      <c r="B1895" s="264">
        <v>45943</v>
      </c>
      <c r="C1895" s="292" t="s">
        <v>1554</v>
      </c>
      <c r="E1895" s="292" t="s">
        <v>1496</v>
      </c>
      <c r="F1895" s="269" t="s">
        <v>2679</v>
      </c>
      <c r="G1895" s="265">
        <v>350000</v>
      </c>
      <c r="H1895" s="269">
        <v>1</v>
      </c>
      <c r="J1895" s="266">
        <v>35000</v>
      </c>
      <c r="K1895" s="265">
        <v>385000</v>
      </c>
    </row>
    <row r="1896" spans="1:12" x14ac:dyDescent="0.3">
      <c r="A1896" s="271">
        <v>1895</v>
      </c>
      <c r="B1896" s="264">
        <v>45944</v>
      </c>
      <c r="C1896" s="292" t="s">
        <v>1467</v>
      </c>
      <c r="E1896" s="292" t="s">
        <v>1800</v>
      </c>
      <c r="L1896" s="265">
        <v>-8410000</v>
      </c>
    </row>
    <row r="1897" spans="1:12" x14ac:dyDescent="0.3">
      <c r="A1897" s="271">
        <v>1896</v>
      </c>
      <c r="B1897" s="264">
        <v>45944</v>
      </c>
      <c r="C1897" s="292" t="s">
        <v>1399</v>
      </c>
      <c r="E1897" s="292" t="s">
        <v>1549</v>
      </c>
      <c r="F1897" s="269">
        <v>24152333903</v>
      </c>
      <c r="G1897" s="265">
        <v>50000</v>
      </c>
      <c r="H1897" s="269">
        <v>1</v>
      </c>
      <c r="K1897" s="265">
        <v>50000</v>
      </c>
    </row>
    <row r="1898" spans="1:12" x14ac:dyDescent="0.3">
      <c r="A1898" s="271">
        <v>1897</v>
      </c>
      <c r="B1898" s="264">
        <v>45944</v>
      </c>
      <c r="C1898" s="292" t="s">
        <v>1399</v>
      </c>
      <c r="E1898" s="292" t="s">
        <v>2091</v>
      </c>
      <c r="F1898" s="269">
        <v>1068298046</v>
      </c>
      <c r="G1898" s="265">
        <v>450000</v>
      </c>
      <c r="H1898" s="269">
        <v>1</v>
      </c>
      <c r="K1898" s="265">
        <v>450000</v>
      </c>
    </row>
    <row r="1899" spans="1:12" x14ac:dyDescent="0.3">
      <c r="A1899" s="271">
        <v>1898</v>
      </c>
      <c r="B1899" s="264">
        <v>45944</v>
      </c>
      <c r="C1899" s="292" t="s">
        <v>1399</v>
      </c>
      <c r="E1899" s="292" t="s">
        <v>3919</v>
      </c>
      <c r="F1899" s="269">
        <v>1068327224</v>
      </c>
      <c r="G1899" s="265">
        <v>80000</v>
      </c>
      <c r="H1899" s="269">
        <v>1</v>
      </c>
      <c r="K1899" s="265">
        <v>80000</v>
      </c>
    </row>
    <row r="1900" spans="1:12" x14ac:dyDescent="0.3">
      <c r="A1900" s="271">
        <v>1899</v>
      </c>
      <c r="B1900" s="264">
        <v>45944</v>
      </c>
      <c r="C1900" s="292" t="s">
        <v>1399</v>
      </c>
      <c r="E1900" s="292" t="s">
        <v>3046</v>
      </c>
      <c r="F1900" s="269">
        <v>24137542885</v>
      </c>
      <c r="G1900" s="265">
        <v>20000</v>
      </c>
      <c r="H1900" s="269">
        <v>1</v>
      </c>
      <c r="K1900" s="265">
        <v>20000</v>
      </c>
    </row>
    <row r="1901" spans="1:12" x14ac:dyDescent="0.3">
      <c r="A1901" s="271">
        <v>1900</v>
      </c>
      <c r="B1901" s="264">
        <v>45944</v>
      </c>
      <c r="C1901" s="292" t="s">
        <v>3921</v>
      </c>
      <c r="E1901" s="292" t="s">
        <v>1203</v>
      </c>
      <c r="F1901" s="269" t="s">
        <v>1752</v>
      </c>
      <c r="G1901" s="265">
        <v>1200000</v>
      </c>
      <c r="H1901" s="269">
        <v>1</v>
      </c>
      <c r="J1901" s="266">
        <v>120000</v>
      </c>
      <c r="K1901" s="265">
        <v>1320000</v>
      </c>
    </row>
    <row r="1902" spans="1:12" x14ac:dyDescent="0.3">
      <c r="A1902" s="271">
        <v>1901</v>
      </c>
      <c r="B1902" s="264">
        <v>45944</v>
      </c>
      <c r="C1902" s="292" t="s">
        <v>1586</v>
      </c>
      <c r="E1902" s="292" t="s">
        <v>2913</v>
      </c>
      <c r="F1902" s="269">
        <v>24046895</v>
      </c>
      <c r="G1902" s="265">
        <v>130000</v>
      </c>
      <c r="H1902" s="269">
        <v>1</v>
      </c>
      <c r="J1902" s="266">
        <v>13000</v>
      </c>
      <c r="K1902" s="265">
        <v>143000</v>
      </c>
    </row>
    <row r="1903" spans="1:12" x14ac:dyDescent="0.3">
      <c r="A1903" s="271">
        <v>1902</v>
      </c>
      <c r="B1903" s="264">
        <v>45944</v>
      </c>
      <c r="C1903" s="292" t="s">
        <v>1805</v>
      </c>
      <c r="E1903" s="292" t="s">
        <v>3222</v>
      </c>
      <c r="F1903" s="269" t="s">
        <v>3525</v>
      </c>
      <c r="G1903" s="265">
        <v>1200000</v>
      </c>
      <c r="H1903" s="269">
        <v>1</v>
      </c>
      <c r="J1903" s="266">
        <v>120000</v>
      </c>
      <c r="K1903" s="265">
        <v>1320000</v>
      </c>
    </row>
    <row r="1904" spans="1:12" x14ac:dyDescent="0.3">
      <c r="A1904" s="271">
        <v>1903</v>
      </c>
      <c r="B1904" s="264">
        <v>45944</v>
      </c>
      <c r="C1904" s="292" t="s">
        <v>1554</v>
      </c>
      <c r="E1904" s="292" t="s">
        <v>1266</v>
      </c>
      <c r="F1904" s="269" t="s">
        <v>1265</v>
      </c>
      <c r="G1904" s="265">
        <v>50000</v>
      </c>
      <c r="H1904" s="269">
        <v>5</v>
      </c>
      <c r="K1904" s="265">
        <v>250000</v>
      </c>
    </row>
    <row r="1905" spans="1:13" x14ac:dyDescent="0.3">
      <c r="A1905" s="271">
        <v>1904</v>
      </c>
      <c r="B1905" s="264">
        <v>45944</v>
      </c>
      <c r="C1905" s="292" t="s">
        <v>1580</v>
      </c>
      <c r="E1905" s="292" t="s">
        <v>3466</v>
      </c>
      <c r="F1905" s="269" t="s">
        <v>1207</v>
      </c>
      <c r="G1905" s="265">
        <v>526364</v>
      </c>
      <c r="H1905" s="269">
        <v>1</v>
      </c>
      <c r="J1905" s="266">
        <v>52636</v>
      </c>
      <c r="K1905" s="265">
        <v>579000</v>
      </c>
    </row>
    <row r="1906" spans="1:13" x14ac:dyDescent="0.3">
      <c r="A1906" s="271">
        <v>1905</v>
      </c>
      <c r="B1906" s="264">
        <v>45944</v>
      </c>
      <c r="C1906" s="292" t="s">
        <v>1580</v>
      </c>
      <c r="E1906" s="292" t="s">
        <v>2188</v>
      </c>
      <c r="F1906" s="269" t="s">
        <v>1259</v>
      </c>
      <c r="G1906" s="265">
        <v>130000</v>
      </c>
      <c r="H1906" s="269">
        <v>1</v>
      </c>
      <c r="J1906" s="266">
        <v>13000</v>
      </c>
      <c r="K1906" s="265">
        <v>143000</v>
      </c>
    </row>
    <row r="1907" spans="1:13" x14ac:dyDescent="0.3">
      <c r="A1907" s="271">
        <v>1906</v>
      </c>
      <c r="B1907" s="264">
        <v>45944</v>
      </c>
      <c r="C1907" s="292" t="s">
        <v>3115</v>
      </c>
      <c r="E1907" s="292" t="s">
        <v>2197</v>
      </c>
      <c r="F1907" s="269" t="s">
        <v>1198</v>
      </c>
      <c r="H1907" s="269">
        <v>1</v>
      </c>
      <c r="K1907" s="265">
        <v>0</v>
      </c>
      <c r="M1907" s="292" t="s">
        <v>3929</v>
      </c>
    </row>
    <row r="1908" spans="1:13" x14ac:dyDescent="0.3">
      <c r="A1908" s="271">
        <v>1907</v>
      </c>
      <c r="B1908" s="264">
        <v>45944</v>
      </c>
      <c r="C1908" s="292" t="s">
        <v>2998</v>
      </c>
      <c r="E1908" s="292" t="s">
        <v>1125</v>
      </c>
      <c r="L1908" s="265">
        <v>-1200000</v>
      </c>
    </row>
    <row r="1909" spans="1:13" x14ac:dyDescent="0.3">
      <c r="A1909" s="58">
        <v>1909</v>
      </c>
      <c r="B1909" s="264">
        <v>45945</v>
      </c>
      <c r="C1909" s="292" t="s">
        <v>1399</v>
      </c>
      <c r="E1909" s="292" t="s">
        <v>3932</v>
      </c>
      <c r="F1909" s="269" t="s">
        <v>3931</v>
      </c>
      <c r="G1909" s="265">
        <v>1000000</v>
      </c>
      <c r="H1909" s="269">
        <v>1</v>
      </c>
      <c r="K1909" s="265">
        <v>1000000</v>
      </c>
    </row>
    <row r="1910" spans="1:13" x14ac:dyDescent="0.3">
      <c r="A1910" s="58">
        <v>1910</v>
      </c>
      <c r="B1910" s="264">
        <v>45945</v>
      </c>
      <c r="C1910" s="292" t="s">
        <v>1931</v>
      </c>
      <c r="E1910" s="292" t="s">
        <v>2202</v>
      </c>
      <c r="F1910" s="269" t="s">
        <v>1956</v>
      </c>
      <c r="G1910" s="265">
        <v>1900000</v>
      </c>
      <c r="H1910" s="269">
        <v>1</v>
      </c>
      <c r="K1910" s="265">
        <v>1900000</v>
      </c>
    </row>
    <row r="1911" spans="1:13" x14ac:dyDescent="0.3">
      <c r="A1911" s="58">
        <v>1911</v>
      </c>
      <c r="B1911" s="264">
        <v>45945</v>
      </c>
      <c r="C1911" s="292" t="s">
        <v>1931</v>
      </c>
      <c r="E1911" s="292" t="s">
        <v>2181</v>
      </c>
      <c r="F1911" s="269" t="s">
        <v>1803</v>
      </c>
      <c r="G1911" s="265">
        <v>50000</v>
      </c>
      <c r="H1911" s="269">
        <v>1</v>
      </c>
      <c r="K1911" s="265">
        <v>50000</v>
      </c>
      <c r="M1911" s="292" t="s">
        <v>3935</v>
      </c>
    </row>
    <row r="1912" spans="1:13" x14ac:dyDescent="0.3">
      <c r="A1912" s="58">
        <v>1912</v>
      </c>
      <c r="B1912" s="264">
        <v>45945</v>
      </c>
      <c r="C1912" s="292" t="s">
        <v>1467</v>
      </c>
      <c r="E1912" s="292" t="s">
        <v>2202</v>
      </c>
      <c r="F1912" s="269" t="s">
        <v>1956</v>
      </c>
      <c r="G1912" s="265">
        <v>1800000</v>
      </c>
      <c r="H1912" s="269">
        <v>1</v>
      </c>
      <c r="J1912" s="266">
        <v>180000</v>
      </c>
      <c r="K1912" s="265">
        <v>1980000</v>
      </c>
    </row>
    <row r="1913" spans="1:13" x14ac:dyDescent="0.3">
      <c r="A1913" s="58">
        <v>1913</v>
      </c>
      <c r="B1913" s="264">
        <v>45945</v>
      </c>
      <c r="C1913" s="292" t="s">
        <v>1467</v>
      </c>
      <c r="E1913" s="292" t="s">
        <v>2181</v>
      </c>
      <c r="F1913" s="269" t="s">
        <v>1803</v>
      </c>
      <c r="G1913" s="265">
        <v>50000</v>
      </c>
      <c r="H1913" s="269">
        <v>1</v>
      </c>
      <c r="J1913" s="266">
        <v>5000</v>
      </c>
      <c r="K1913" s="265">
        <v>55000</v>
      </c>
    </row>
    <row r="1914" spans="1:13" x14ac:dyDescent="0.3">
      <c r="A1914" s="58">
        <v>1914</v>
      </c>
      <c r="B1914" s="264">
        <v>45945</v>
      </c>
      <c r="C1914" s="292" t="s">
        <v>1467</v>
      </c>
      <c r="E1914" s="292" t="s">
        <v>2680</v>
      </c>
      <c r="G1914" s="265">
        <v>200000</v>
      </c>
      <c r="H1914" s="269">
        <v>1</v>
      </c>
      <c r="J1914" s="266">
        <v>20000</v>
      </c>
      <c r="K1914" s="265">
        <v>220000</v>
      </c>
    </row>
    <row r="1915" spans="1:13" x14ac:dyDescent="0.3">
      <c r="A1915" s="58">
        <v>1915</v>
      </c>
      <c r="B1915" s="264">
        <v>45945</v>
      </c>
      <c r="C1915" s="292" t="s">
        <v>2113</v>
      </c>
      <c r="E1915" s="292" t="s">
        <v>1743</v>
      </c>
      <c r="G1915" s="265">
        <v>1100000</v>
      </c>
      <c r="H1915" s="269">
        <v>1</v>
      </c>
      <c r="K1915" s="265">
        <v>1100000</v>
      </c>
    </row>
    <row r="1916" spans="1:13" x14ac:dyDescent="0.3">
      <c r="A1916" s="58">
        <v>1916</v>
      </c>
      <c r="B1916" s="264">
        <v>45945</v>
      </c>
      <c r="C1916" s="292" t="s">
        <v>2113</v>
      </c>
      <c r="E1916" s="292" t="s">
        <v>3051</v>
      </c>
      <c r="F1916" s="269" t="s">
        <v>1952</v>
      </c>
      <c r="G1916" s="265">
        <v>1000000</v>
      </c>
      <c r="H1916" s="269">
        <v>1</v>
      </c>
      <c r="K1916" s="265">
        <v>1000000</v>
      </c>
    </row>
    <row r="1917" spans="1:13" x14ac:dyDescent="0.3">
      <c r="A1917" s="58">
        <v>1917</v>
      </c>
      <c r="B1917" s="264">
        <v>45945</v>
      </c>
      <c r="C1917" s="292" t="s">
        <v>3938</v>
      </c>
      <c r="E1917" s="292" t="s">
        <v>1743</v>
      </c>
      <c r="G1917" s="265">
        <v>650000</v>
      </c>
      <c r="H1917" s="269">
        <v>1</v>
      </c>
      <c r="K1917" s="265">
        <v>650000</v>
      </c>
    </row>
    <row r="1918" spans="1:13" x14ac:dyDescent="0.3">
      <c r="A1918" s="58">
        <v>1918</v>
      </c>
      <c r="B1918" s="264">
        <v>45945</v>
      </c>
      <c r="C1918" s="292" t="s">
        <v>1790</v>
      </c>
      <c r="E1918" s="292" t="s">
        <v>1743</v>
      </c>
      <c r="G1918" s="265">
        <v>650000</v>
      </c>
      <c r="H1918" s="269">
        <v>1</v>
      </c>
      <c r="K1918" s="265">
        <v>650000</v>
      </c>
    </row>
    <row r="1919" spans="1:13" x14ac:dyDescent="0.3">
      <c r="A1919" s="58">
        <v>1919</v>
      </c>
      <c r="B1919" s="264">
        <v>45945</v>
      </c>
      <c r="C1919" s="292" t="s">
        <v>1790</v>
      </c>
      <c r="E1919" s="292" t="s">
        <v>1519</v>
      </c>
      <c r="G1919" s="265">
        <v>30000</v>
      </c>
      <c r="H1919" s="269">
        <v>1</v>
      </c>
      <c r="K1919" s="265">
        <v>30000</v>
      </c>
    </row>
    <row r="1920" spans="1:13" x14ac:dyDescent="0.3">
      <c r="A1920" s="58">
        <v>1920</v>
      </c>
      <c r="B1920" s="264">
        <v>45945</v>
      </c>
      <c r="C1920" s="292" t="s">
        <v>1046</v>
      </c>
      <c r="E1920" s="292" t="s">
        <v>1743</v>
      </c>
      <c r="G1920" s="265">
        <v>1100000</v>
      </c>
      <c r="H1920" s="269">
        <v>1</v>
      </c>
      <c r="K1920" s="265">
        <v>1100000</v>
      </c>
    </row>
    <row r="1921" spans="1:12" x14ac:dyDescent="0.3">
      <c r="A1921" s="58">
        <v>1921</v>
      </c>
      <c r="B1921" s="264">
        <v>45945</v>
      </c>
      <c r="C1921" s="292" t="s">
        <v>1494</v>
      </c>
      <c r="E1921" s="292" t="s">
        <v>1496</v>
      </c>
      <c r="F1921" s="269" t="s">
        <v>2679</v>
      </c>
      <c r="G1921" s="265">
        <v>350000</v>
      </c>
      <c r="H1921" s="269">
        <v>2</v>
      </c>
      <c r="K1921" s="265">
        <v>700000</v>
      </c>
    </row>
    <row r="1922" spans="1:12" x14ac:dyDescent="0.3">
      <c r="A1922" s="58">
        <v>1922</v>
      </c>
      <c r="B1922" s="264">
        <v>45945</v>
      </c>
      <c r="C1922" s="292" t="s">
        <v>1449</v>
      </c>
      <c r="E1922" s="292" t="s">
        <v>3466</v>
      </c>
      <c r="F1922" s="269" t="s">
        <v>1207</v>
      </c>
      <c r="G1922" s="265">
        <v>526364</v>
      </c>
      <c r="H1922" s="269">
        <v>1</v>
      </c>
      <c r="J1922" s="266">
        <v>52636</v>
      </c>
      <c r="K1922" s="265">
        <v>579000</v>
      </c>
    </row>
    <row r="1923" spans="1:12" x14ac:dyDescent="0.3">
      <c r="A1923" s="58">
        <v>1923</v>
      </c>
      <c r="B1923" s="264">
        <v>45945</v>
      </c>
      <c r="C1923" s="292" t="s">
        <v>1449</v>
      </c>
      <c r="E1923" s="292" t="s">
        <v>3946</v>
      </c>
      <c r="G1923" s="265">
        <v>600000</v>
      </c>
      <c r="H1923" s="269">
        <v>1</v>
      </c>
      <c r="J1923" s="266">
        <v>60000</v>
      </c>
      <c r="K1923" s="265">
        <v>660000</v>
      </c>
    </row>
    <row r="1924" spans="1:12" x14ac:dyDescent="0.3">
      <c r="A1924" s="58">
        <v>1924</v>
      </c>
      <c r="B1924" s="264">
        <v>45945</v>
      </c>
      <c r="C1924" s="292" t="s">
        <v>1449</v>
      </c>
      <c r="E1924" s="292" t="s">
        <v>2190</v>
      </c>
      <c r="F1924" s="269">
        <v>50229</v>
      </c>
      <c r="G1924" s="265">
        <v>70000</v>
      </c>
      <c r="H1924" s="269">
        <v>1</v>
      </c>
      <c r="J1924" s="266">
        <v>7000</v>
      </c>
      <c r="K1924" s="265">
        <v>77000</v>
      </c>
    </row>
    <row r="1925" spans="1:12" x14ac:dyDescent="0.3">
      <c r="A1925" s="58">
        <v>1925</v>
      </c>
      <c r="B1925" s="264">
        <v>45945</v>
      </c>
      <c r="C1925" s="292" t="s">
        <v>1449</v>
      </c>
      <c r="E1925" s="292" t="s">
        <v>2192</v>
      </c>
      <c r="F1925" s="269" t="s">
        <v>1822</v>
      </c>
      <c r="G1925" s="265">
        <v>10000</v>
      </c>
      <c r="H1925" s="269">
        <v>2</v>
      </c>
      <c r="J1925" s="266">
        <v>2000</v>
      </c>
      <c r="K1925" s="265">
        <v>22000</v>
      </c>
    </row>
    <row r="1926" spans="1:12" x14ac:dyDescent="0.3">
      <c r="A1926" s="58">
        <v>1926</v>
      </c>
      <c r="B1926" s="264">
        <v>45945</v>
      </c>
      <c r="C1926" s="292" t="s">
        <v>1449</v>
      </c>
      <c r="E1926" s="292" t="s">
        <v>2191</v>
      </c>
      <c r="F1926" s="269" t="s">
        <v>1795</v>
      </c>
      <c r="G1926" s="265">
        <v>35000</v>
      </c>
      <c r="H1926" s="269">
        <v>1</v>
      </c>
      <c r="J1926" s="266">
        <v>3500</v>
      </c>
      <c r="K1926" s="265">
        <v>38500</v>
      </c>
    </row>
    <row r="1927" spans="1:12" x14ac:dyDescent="0.3">
      <c r="A1927" s="58">
        <v>1927</v>
      </c>
      <c r="B1927" s="264">
        <v>45946</v>
      </c>
      <c r="C1927" s="292" t="s">
        <v>1867</v>
      </c>
      <c r="E1927" s="292" t="s">
        <v>3949</v>
      </c>
      <c r="L1927" s="265">
        <v>-1100000</v>
      </c>
    </row>
    <row r="1928" spans="1:12" x14ac:dyDescent="0.3">
      <c r="A1928" s="58">
        <v>1928</v>
      </c>
      <c r="B1928" s="264">
        <v>45944</v>
      </c>
      <c r="C1928" s="292" t="s">
        <v>1931</v>
      </c>
      <c r="E1928" s="292" t="s">
        <v>3950</v>
      </c>
      <c r="L1928" s="265">
        <v>-2500000</v>
      </c>
    </row>
    <row r="1929" spans="1:12" x14ac:dyDescent="0.3">
      <c r="A1929" s="58">
        <v>1929</v>
      </c>
      <c r="B1929" s="264">
        <v>45946</v>
      </c>
      <c r="C1929" s="292" t="s">
        <v>3938</v>
      </c>
      <c r="E1929" s="292" t="s">
        <v>3951</v>
      </c>
      <c r="L1929" s="265">
        <v>-650000</v>
      </c>
    </row>
    <row r="1930" spans="1:12" x14ac:dyDescent="0.3">
      <c r="A1930" s="58">
        <v>1930</v>
      </c>
      <c r="B1930" s="264">
        <v>45946</v>
      </c>
      <c r="C1930" s="292" t="s">
        <v>1473</v>
      </c>
      <c r="E1930" s="292" t="s">
        <v>3466</v>
      </c>
      <c r="F1930" s="269" t="s">
        <v>1207</v>
      </c>
      <c r="G1930" s="265">
        <v>520000</v>
      </c>
      <c r="H1930" s="269">
        <v>2</v>
      </c>
      <c r="K1930" s="265">
        <v>1040000</v>
      </c>
    </row>
    <row r="1931" spans="1:12" x14ac:dyDescent="0.3">
      <c r="A1931" s="58">
        <v>1931</v>
      </c>
      <c r="B1931" s="264">
        <v>45946</v>
      </c>
      <c r="C1931" s="292" t="s">
        <v>1485</v>
      </c>
      <c r="E1931" s="292" t="s">
        <v>1151</v>
      </c>
      <c r="F1931" s="269">
        <v>2830506</v>
      </c>
      <c r="G1931" s="265">
        <v>1750000</v>
      </c>
      <c r="H1931" s="269">
        <v>1</v>
      </c>
      <c r="K1931" s="265">
        <v>1750000</v>
      </c>
    </row>
    <row r="1932" spans="1:12" x14ac:dyDescent="0.3">
      <c r="A1932" s="58">
        <v>1932</v>
      </c>
      <c r="B1932" s="264">
        <v>45946</v>
      </c>
      <c r="C1932" s="292" t="s">
        <v>1598</v>
      </c>
      <c r="E1932" s="292" t="s">
        <v>1203</v>
      </c>
      <c r="F1932" s="269" t="s">
        <v>1752</v>
      </c>
      <c r="G1932" s="265">
        <v>1000000</v>
      </c>
      <c r="H1932" s="269">
        <v>1</v>
      </c>
      <c r="K1932" s="265">
        <v>1000000</v>
      </c>
    </row>
    <row r="1933" spans="1:12" x14ac:dyDescent="0.3">
      <c r="A1933" s="58">
        <v>1933</v>
      </c>
      <c r="B1933" s="264">
        <v>45946</v>
      </c>
      <c r="C1933" s="292" t="s">
        <v>3952</v>
      </c>
      <c r="E1933" s="292" t="s">
        <v>2196</v>
      </c>
      <c r="F1933" s="269">
        <v>2820403</v>
      </c>
      <c r="G1933" s="265">
        <v>1600000</v>
      </c>
      <c r="H1933" s="269">
        <v>1</v>
      </c>
      <c r="K1933" s="265">
        <v>1600000</v>
      </c>
    </row>
    <row r="1934" spans="1:12" x14ac:dyDescent="0.3">
      <c r="A1934" s="58">
        <v>1934</v>
      </c>
      <c r="B1934" s="264">
        <v>45946</v>
      </c>
      <c r="C1934" s="292" t="s">
        <v>3823</v>
      </c>
      <c r="E1934" s="292" t="s">
        <v>1743</v>
      </c>
      <c r="G1934" s="265">
        <v>650000</v>
      </c>
      <c r="H1934" s="269">
        <v>1</v>
      </c>
      <c r="J1934" s="266">
        <v>65000</v>
      </c>
      <c r="K1934" s="265">
        <v>715000</v>
      </c>
    </row>
    <row r="1935" spans="1:12" x14ac:dyDescent="0.3">
      <c r="A1935" s="58">
        <v>1935</v>
      </c>
      <c r="B1935" s="264">
        <v>45946</v>
      </c>
      <c r="C1935" s="292" t="s">
        <v>1790</v>
      </c>
      <c r="E1935" s="292" t="s">
        <v>3964</v>
      </c>
      <c r="G1935" s="265">
        <v>1000000</v>
      </c>
      <c r="H1935" s="269">
        <v>1</v>
      </c>
      <c r="K1935" s="265">
        <v>1000000</v>
      </c>
    </row>
    <row r="1936" spans="1:12" x14ac:dyDescent="0.3">
      <c r="A1936" s="58">
        <v>1936</v>
      </c>
      <c r="B1936" s="264">
        <v>45946</v>
      </c>
      <c r="C1936" s="292" t="s">
        <v>1485</v>
      </c>
      <c r="E1936" s="292" t="s">
        <v>3966</v>
      </c>
      <c r="L1936" s="265">
        <v>-1750000</v>
      </c>
    </row>
    <row r="1937" spans="1:12" x14ac:dyDescent="0.3">
      <c r="A1937" s="58">
        <v>1937</v>
      </c>
      <c r="B1937" s="264">
        <v>45946</v>
      </c>
      <c r="C1937" s="292" t="s">
        <v>1598</v>
      </c>
      <c r="E1937" s="292" t="s">
        <v>3875</v>
      </c>
      <c r="L1937" s="265">
        <v>-1000000</v>
      </c>
    </row>
    <row r="1938" spans="1:12" x14ac:dyDescent="0.3">
      <c r="A1938" s="58">
        <v>1938</v>
      </c>
      <c r="B1938" s="264">
        <v>45946</v>
      </c>
      <c r="C1938" s="292" t="s">
        <v>3823</v>
      </c>
      <c r="E1938" s="292" t="s">
        <v>3967</v>
      </c>
      <c r="L1938" s="265">
        <v>-715000</v>
      </c>
    </row>
    <row r="1939" spans="1:12" x14ac:dyDescent="0.3">
      <c r="A1939" s="58">
        <v>1939</v>
      </c>
      <c r="B1939" s="264">
        <v>45946</v>
      </c>
      <c r="C1939" s="292" t="s">
        <v>3952</v>
      </c>
      <c r="E1939" s="292" t="s">
        <v>3968</v>
      </c>
      <c r="L1939" s="265">
        <v>-1600000</v>
      </c>
    </row>
    <row r="1940" spans="1:12" x14ac:dyDescent="0.3">
      <c r="A1940" s="58">
        <v>1940</v>
      </c>
      <c r="B1940" s="264">
        <v>45946</v>
      </c>
      <c r="C1940" s="292" t="s">
        <v>1931</v>
      </c>
      <c r="E1940" s="292" t="s">
        <v>3950</v>
      </c>
      <c r="L1940" s="265">
        <v>-1950000</v>
      </c>
    </row>
    <row r="1941" spans="1:12" x14ac:dyDescent="0.3">
      <c r="A1941" s="58">
        <v>1941</v>
      </c>
      <c r="B1941" s="264">
        <v>45947</v>
      </c>
      <c r="C1941" s="292" t="s">
        <v>1469</v>
      </c>
      <c r="E1941" s="292" t="s">
        <v>1203</v>
      </c>
      <c r="F1941" s="269" t="s">
        <v>1752</v>
      </c>
      <c r="G1941" s="265">
        <v>1300000</v>
      </c>
      <c r="H1941" s="269">
        <v>1</v>
      </c>
      <c r="K1941" s="265">
        <v>1300000</v>
      </c>
    </row>
    <row r="1942" spans="1:12" x14ac:dyDescent="0.3">
      <c r="A1942" s="58">
        <v>1942</v>
      </c>
      <c r="B1942" s="264">
        <v>45947</v>
      </c>
      <c r="C1942" s="292" t="s">
        <v>1469</v>
      </c>
      <c r="E1942" s="292" t="s">
        <v>3969</v>
      </c>
      <c r="G1942" s="265">
        <v>200000</v>
      </c>
      <c r="H1942" s="269">
        <v>1</v>
      </c>
      <c r="K1942" s="265">
        <v>200000</v>
      </c>
    </row>
    <row r="1943" spans="1:12" x14ac:dyDescent="0.3">
      <c r="A1943" s="58">
        <v>1943</v>
      </c>
      <c r="B1943" s="264">
        <v>45947</v>
      </c>
      <c r="C1943" s="292" t="s">
        <v>1147</v>
      </c>
      <c r="E1943" s="292" t="s">
        <v>2194</v>
      </c>
      <c r="G1943" s="265">
        <v>600000</v>
      </c>
      <c r="H1943" s="269">
        <v>1</v>
      </c>
      <c r="K1943" s="265">
        <v>600000</v>
      </c>
    </row>
    <row r="1944" spans="1:12" x14ac:dyDescent="0.3">
      <c r="A1944" s="58">
        <v>1944</v>
      </c>
      <c r="B1944" s="264">
        <v>45947</v>
      </c>
      <c r="C1944" s="292" t="s">
        <v>1147</v>
      </c>
      <c r="E1944" s="292" t="s">
        <v>2192</v>
      </c>
      <c r="F1944" s="269" t="s">
        <v>1822</v>
      </c>
      <c r="G1944" s="265">
        <v>10000</v>
      </c>
      <c r="H1944" s="269">
        <v>2</v>
      </c>
      <c r="K1944" s="265">
        <v>20000</v>
      </c>
    </row>
    <row r="1945" spans="1:12" x14ac:dyDescent="0.3">
      <c r="A1945" s="58">
        <v>1945</v>
      </c>
      <c r="B1945" s="264">
        <v>45947</v>
      </c>
      <c r="C1945" s="292" t="s">
        <v>1147</v>
      </c>
      <c r="E1945" s="292" t="s">
        <v>3971</v>
      </c>
      <c r="F1945" s="269" t="s">
        <v>1207</v>
      </c>
      <c r="G1945" s="265">
        <v>400000</v>
      </c>
      <c r="H1945" s="269">
        <v>1</v>
      </c>
      <c r="K1945" s="265">
        <v>400000</v>
      </c>
    </row>
    <row r="1946" spans="1:12" x14ac:dyDescent="0.3">
      <c r="A1946" s="58">
        <v>1946</v>
      </c>
      <c r="B1946" s="264">
        <v>45947</v>
      </c>
      <c r="C1946" s="292" t="s">
        <v>1147</v>
      </c>
      <c r="E1946" s="292" t="s">
        <v>1717</v>
      </c>
      <c r="F1946" s="269">
        <v>2800802</v>
      </c>
      <c r="G1946" s="265">
        <v>150000</v>
      </c>
      <c r="H1946" s="269">
        <v>1</v>
      </c>
      <c r="K1946" s="265">
        <v>150000</v>
      </c>
    </row>
    <row r="1947" spans="1:12" x14ac:dyDescent="0.3">
      <c r="A1947" s="58">
        <v>1947</v>
      </c>
      <c r="B1947" s="264">
        <v>45948</v>
      </c>
      <c r="C1947" s="292" t="s">
        <v>1580</v>
      </c>
      <c r="E1947" s="292" t="s">
        <v>3973</v>
      </c>
      <c r="L1947" s="265">
        <v>-1000000</v>
      </c>
    </row>
    <row r="1948" spans="1:12" x14ac:dyDescent="0.3">
      <c r="A1948" s="58">
        <v>1948</v>
      </c>
      <c r="B1948" s="264">
        <v>45948</v>
      </c>
      <c r="C1948" s="292" t="s">
        <v>1790</v>
      </c>
      <c r="E1948" s="292" t="s">
        <v>1829</v>
      </c>
      <c r="F1948" s="269">
        <v>6058008122</v>
      </c>
      <c r="G1948" s="265">
        <v>2500000</v>
      </c>
      <c r="H1948" s="269">
        <v>1</v>
      </c>
      <c r="K1948" s="265">
        <v>2500000</v>
      </c>
    </row>
    <row r="1949" spans="1:12" x14ac:dyDescent="0.3">
      <c r="A1949" s="58">
        <v>1949</v>
      </c>
      <c r="B1949" s="264">
        <v>45948</v>
      </c>
      <c r="C1949" s="292" t="s">
        <v>1977</v>
      </c>
      <c r="E1949" s="292" t="s">
        <v>1203</v>
      </c>
      <c r="F1949" s="269" t="s">
        <v>1752</v>
      </c>
      <c r="G1949" s="265">
        <v>1200000</v>
      </c>
      <c r="H1949" s="269">
        <v>1</v>
      </c>
      <c r="J1949" s="266">
        <v>120000</v>
      </c>
      <c r="K1949" s="265">
        <v>1320000</v>
      </c>
    </row>
  </sheetData>
  <autoFilter ref="A1:K1895" xr:uid="{5A822D6F-A9DB-437B-9087-9A5E8AF0CADA}"/>
  <phoneticPr fontId="2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8F0A96-8AAB-402E-A9D0-F8470108AD8B}">
  <sheetPr codeName="shtSaleManagement"/>
  <dimension ref="A1:P201"/>
  <sheetViews>
    <sheetView workbookViewId="0">
      <selection activeCell="C3" sqref="C3"/>
    </sheetView>
  </sheetViews>
  <sheetFormatPr defaultColWidth="8.75" defaultRowHeight="18" customHeight="1" x14ac:dyDescent="0.3"/>
  <cols>
    <col min="1" max="1" width="6.875" style="82" customWidth="1"/>
    <col min="2" max="2" width="16.375" style="93" customWidth="1"/>
    <col min="3" max="3" width="19.625" style="83" customWidth="1"/>
    <col min="4" max="4" width="19.875" style="113" customWidth="1"/>
    <col min="5" max="5" width="11.375" style="84" customWidth="1"/>
    <col min="6" max="6" width="14.5" style="120" customWidth="1"/>
    <col min="7" max="7" width="13.875" style="85" customWidth="1"/>
    <col min="8" max="8" width="11.75" style="126" customWidth="1"/>
    <col min="9" max="10" width="12.375" style="80" customWidth="1"/>
    <col min="11" max="11" width="11.125" style="69" bestFit="1" customWidth="1"/>
    <col min="12" max="12" width="15.25" style="67" bestFit="1" customWidth="1"/>
    <col min="13" max="13" width="13.125" style="67" bestFit="1" customWidth="1"/>
    <col min="14" max="15" width="15.25" style="67" bestFit="1" customWidth="1"/>
    <col min="16" max="16384" width="8.75" style="67"/>
  </cols>
  <sheetData>
    <row r="1" spans="1:16" ht="18" customHeight="1" x14ac:dyDescent="0.3">
      <c r="A1" s="63"/>
      <c r="B1" s="90"/>
      <c r="C1" s="64"/>
      <c r="D1" s="114"/>
      <c r="E1" s="65"/>
      <c r="F1" s="221"/>
      <c r="G1" s="66"/>
      <c r="H1" s="124"/>
      <c r="I1" s="121"/>
      <c r="J1" s="121"/>
      <c r="K1" s="67"/>
    </row>
    <row r="2" spans="1:16" ht="25.5" customHeight="1" x14ac:dyDescent="0.3">
      <c r="A2" s="70"/>
      <c r="B2" s="91"/>
      <c r="C2" s="71"/>
      <c r="D2" s="115"/>
      <c r="E2" s="72"/>
      <c r="F2" s="222"/>
      <c r="G2" s="73"/>
      <c r="H2" s="125"/>
      <c r="I2" s="122"/>
      <c r="J2" s="122"/>
      <c r="K2" s="67"/>
    </row>
    <row r="3" spans="1:16" ht="15.95" customHeight="1" x14ac:dyDescent="0.3">
      <c r="A3" s="234">
        <v>45947</v>
      </c>
      <c r="B3" s="235" t="s">
        <v>1126</v>
      </c>
      <c r="C3" s="286">
        <f>SUMIF($B:$B,A3,I:I)</f>
        <v>2670000</v>
      </c>
      <c r="D3" s="237" t="s">
        <v>1124</v>
      </c>
      <c r="E3" s="236">
        <f ca="1">SUMIF($B:$B,TODAY(),E:E)</f>
        <v>0</v>
      </c>
      <c r="F3" s="247" t="s">
        <v>2520</v>
      </c>
      <c r="G3" s="236">
        <f>SUMIF($D:$D,"*schaeffler*",I:I)</f>
        <v>8160002</v>
      </c>
      <c r="H3" s="247"/>
      <c r="I3" s="240"/>
      <c r="J3" s="69"/>
      <c r="K3" s="67"/>
    </row>
    <row r="4" spans="1:16" ht="15.95" customHeight="1" x14ac:dyDescent="0.3">
      <c r="A4" s="241">
        <f>MONTH(A3)</f>
        <v>10</v>
      </c>
      <c r="B4" s="235" t="s">
        <v>1127</v>
      </c>
      <c r="C4" s="236">
        <f>SUMIFS($I:$I,$B:$B,"&gt;="&amp;DATE(A5,A4,1),$B:$B,"&lt;="&amp;EOMONTH(DATE(A5,A4,1),0))</f>
        <v>60672500</v>
      </c>
      <c r="D4" s="238"/>
      <c r="E4" s="242"/>
      <c r="F4" s="247" t="s">
        <v>2521</v>
      </c>
      <c r="G4" s="236">
        <f>SUMIF($D:$D,"*schaeffler*",E:E)</f>
        <v>0</v>
      </c>
      <c r="H4" s="244"/>
      <c r="I4" s="240"/>
      <c r="J4" s="69"/>
      <c r="K4" s="67"/>
    </row>
    <row r="5" spans="1:16" ht="15.95" customHeight="1" x14ac:dyDescent="0.3">
      <c r="A5" s="248">
        <f>YEAR(A3)</f>
        <v>2025</v>
      </c>
      <c r="B5" s="235" t="s">
        <v>1128</v>
      </c>
      <c r="C5" s="236">
        <f>SUMIFS($I:$I,$B:$B,"&gt;="&amp;DATE(A5,A4,1),$B:$B,"&lt;="&amp;EOMONTH(DATE(A5,A4,1),0))</f>
        <v>60672500</v>
      </c>
      <c r="D5" s="245"/>
      <c r="E5" s="242"/>
      <c r="F5" s="243"/>
      <c r="G5" s="242"/>
      <c r="H5" s="244"/>
      <c r="I5" s="240"/>
      <c r="J5" s="69"/>
      <c r="K5" s="67"/>
    </row>
    <row r="6" spans="1:16" ht="15.95" customHeight="1" x14ac:dyDescent="0.3">
      <c r="A6" s="86"/>
      <c r="B6" s="92"/>
      <c r="C6" s="87"/>
      <c r="D6" s="116"/>
      <c r="E6" s="88"/>
      <c r="F6" s="223"/>
      <c r="G6" s="88"/>
      <c r="H6" s="127"/>
      <c r="I6" s="123"/>
      <c r="J6" s="123"/>
      <c r="K6" s="67"/>
    </row>
    <row r="7" spans="1:16" ht="18" customHeight="1" x14ac:dyDescent="0.3">
      <c r="A7" s="70"/>
      <c r="B7" s="91"/>
      <c r="C7" s="71"/>
      <c r="D7" s="115"/>
      <c r="E7" s="72"/>
      <c r="F7" s="222"/>
      <c r="G7" s="73"/>
      <c r="H7" s="125"/>
      <c r="I7" s="122"/>
      <c r="J7" s="122"/>
      <c r="K7" s="54"/>
      <c r="L7" s="54"/>
      <c r="M7" s="54"/>
      <c r="N7" s="54"/>
      <c r="O7" s="54"/>
      <c r="P7" s="54"/>
    </row>
    <row r="8" spans="1:16" ht="18" customHeight="1" x14ac:dyDescent="0.3">
      <c r="A8" s="75" t="s">
        <v>2</v>
      </c>
      <c r="B8" s="76" t="s">
        <v>14</v>
      </c>
      <c r="C8" s="76" t="s">
        <v>8</v>
      </c>
      <c r="D8" s="76" t="s">
        <v>0</v>
      </c>
      <c r="E8" s="77" t="s">
        <v>1123</v>
      </c>
      <c r="F8" s="119" t="s">
        <v>42</v>
      </c>
      <c r="G8" s="77" t="s">
        <v>50</v>
      </c>
      <c r="H8" s="119" t="s">
        <v>81</v>
      </c>
      <c r="I8" s="119" t="s">
        <v>58</v>
      </c>
      <c r="J8" s="119" t="s">
        <v>1683</v>
      </c>
      <c r="M8" s="54"/>
      <c r="N8" s="54"/>
      <c r="O8" s="54"/>
      <c r="P8" s="54"/>
    </row>
    <row r="9" spans="1:16" ht="18" customHeight="1" x14ac:dyDescent="0.3">
      <c r="A9" s="89">
        <v>1816</v>
      </c>
      <c r="B9" s="94">
        <v>45931</v>
      </c>
      <c r="C9" s="85" t="s">
        <v>1747</v>
      </c>
      <c r="D9" s="112" t="s">
        <v>3788</v>
      </c>
      <c r="E9" s="79"/>
      <c r="F9" s="224"/>
      <c r="H9" s="128"/>
      <c r="J9" s="80">
        <v>-3657500</v>
      </c>
      <c r="M9" s="54"/>
      <c r="N9" s="54"/>
      <c r="O9" s="54"/>
      <c r="P9" s="54"/>
    </row>
    <row r="10" spans="1:16" ht="18" customHeight="1" x14ac:dyDescent="0.3">
      <c r="A10" s="89">
        <v>1817</v>
      </c>
      <c r="B10" s="94">
        <v>45931</v>
      </c>
      <c r="C10" s="85" t="s">
        <v>1541</v>
      </c>
      <c r="D10" s="112" t="s">
        <v>3789</v>
      </c>
      <c r="E10" s="79"/>
      <c r="F10" s="224"/>
      <c r="H10" s="128"/>
      <c r="J10" s="80">
        <v>-5930000</v>
      </c>
      <c r="M10" s="54"/>
      <c r="N10" s="54"/>
      <c r="O10" s="54"/>
      <c r="P10" s="54"/>
    </row>
    <row r="11" spans="1:16" ht="18" customHeight="1" x14ac:dyDescent="0.3">
      <c r="A11" s="89">
        <v>1818</v>
      </c>
      <c r="B11" s="94">
        <v>45931</v>
      </c>
      <c r="C11" s="85" t="s">
        <v>2762</v>
      </c>
      <c r="D11" s="112" t="s">
        <v>3790</v>
      </c>
      <c r="E11" s="79"/>
      <c r="F11" s="224">
        <v>350000</v>
      </c>
      <c r="G11" s="85">
        <v>1</v>
      </c>
      <c r="H11" s="128"/>
      <c r="M11" s="54"/>
      <c r="N11" s="54"/>
      <c r="O11" s="54"/>
      <c r="P11" s="54"/>
    </row>
    <row r="12" spans="1:16" ht="18" customHeight="1" x14ac:dyDescent="0.3">
      <c r="A12" s="89">
        <v>1819</v>
      </c>
      <c r="B12" s="94">
        <v>45931</v>
      </c>
      <c r="C12" s="85" t="s">
        <v>1847</v>
      </c>
      <c r="D12" s="112" t="s">
        <v>3466</v>
      </c>
      <c r="E12" s="79"/>
      <c r="F12" s="224">
        <v>540000</v>
      </c>
      <c r="G12" s="85">
        <v>1</v>
      </c>
      <c r="H12" s="128"/>
      <c r="I12" s="80">
        <v>540000</v>
      </c>
      <c r="M12" s="54"/>
      <c r="N12" s="54"/>
      <c r="O12" s="54"/>
      <c r="P12" s="54"/>
    </row>
    <row r="13" spans="1:16" ht="18" customHeight="1" x14ac:dyDescent="0.3">
      <c r="A13" s="89">
        <v>1820</v>
      </c>
      <c r="B13" s="94">
        <v>45931</v>
      </c>
      <c r="C13" s="85" t="s">
        <v>1847</v>
      </c>
      <c r="D13" s="112" t="s">
        <v>1125</v>
      </c>
      <c r="E13" s="78"/>
      <c r="F13" s="80"/>
      <c r="J13" s="80">
        <v>-540000</v>
      </c>
      <c r="M13" s="54"/>
      <c r="N13" s="54"/>
      <c r="O13" s="54"/>
      <c r="P13" s="54"/>
    </row>
    <row r="14" spans="1:16" ht="18" customHeight="1" x14ac:dyDescent="0.3">
      <c r="A14" s="89">
        <v>1821</v>
      </c>
      <c r="B14" s="94">
        <v>45931</v>
      </c>
      <c r="C14" s="85" t="s">
        <v>1747</v>
      </c>
      <c r="D14" s="112" t="s">
        <v>2192</v>
      </c>
      <c r="E14" s="79"/>
      <c r="F14" s="224">
        <v>10000</v>
      </c>
      <c r="G14" s="85">
        <v>5</v>
      </c>
      <c r="H14" s="128">
        <v>5000</v>
      </c>
      <c r="I14" s="80">
        <v>55000</v>
      </c>
      <c r="M14" s="54"/>
      <c r="N14" s="54"/>
      <c r="O14" s="54"/>
      <c r="P14" s="54"/>
    </row>
    <row r="15" spans="1:16" ht="18" customHeight="1" x14ac:dyDescent="0.3">
      <c r="A15" s="89">
        <v>1822</v>
      </c>
      <c r="B15" s="94">
        <v>45931</v>
      </c>
      <c r="C15" s="85" t="s">
        <v>1890</v>
      </c>
      <c r="D15" s="112" t="s">
        <v>1203</v>
      </c>
      <c r="E15" s="78"/>
      <c r="F15" s="80">
        <v>650000</v>
      </c>
      <c r="G15" s="85">
        <v>1</v>
      </c>
      <c r="I15" s="80">
        <v>650000</v>
      </c>
      <c r="M15" s="293"/>
      <c r="N15" s="54"/>
      <c r="O15" s="54"/>
      <c r="P15" s="54"/>
    </row>
    <row r="16" spans="1:16" ht="18" customHeight="1" x14ac:dyDescent="0.3">
      <c r="A16" s="82">
        <v>1823</v>
      </c>
      <c r="B16" s="93">
        <v>45931</v>
      </c>
      <c r="C16" s="83" t="s">
        <v>1015</v>
      </c>
      <c r="D16" s="113" t="s">
        <v>1203</v>
      </c>
      <c r="F16" s="120">
        <v>1200000</v>
      </c>
      <c r="G16" s="85">
        <v>1</v>
      </c>
      <c r="H16" s="126">
        <v>120000</v>
      </c>
      <c r="I16" s="80">
        <v>1320000</v>
      </c>
      <c r="M16" s="54"/>
      <c r="N16" s="54"/>
      <c r="O16" s="54"/>
      <c r="P16" s="54"/>
    </row>
    <row r="17" spans="1:16" ht="18" customHeight="1" x14ac:dyDescent="0.3">
      <c r="A17" s="89">
        <v>1824</v>
      </c>
      <c r="B17" s="94">
        <v>45931</v>
      </c>
      <c r="C17" s="85" t="s">
        <v>1890</v>
      </c>
      <c r="D17" s="112" t="s">
        <v>3661</v>
      </c>
      <c r="E17" s="78"/>
      <c r="F17" s="80"/>
      <c r="J17" s="80">
        <v>-650000</v>
      </c>
      <c r="M17" s="54"/>
      <c r="N17" s="54"/>
      <c r="O17" s="54"/>
      <c r="P17" s="54"/>
    </row>
    <row r="18" spans="1:16" s="68" customFormat="1" ht="18" customHeight="1" x14ac:dyDescent="0.3">
      <c r="A18" s="89">
        <v>1825</v>
      </c>
      <c r="B18" s="94">
        <v>45931</v>
      </c>
      <c r="C18" s="85" t="s">
        <v>1870</v>
      </c>
      <c r="D18" s="112" t="s">
        <v>3821</v>
      </c>
      <c r="E18" s="79"/>
      <c r="F18" s="224">
        <v>150000</v>
      </c>
      <c r="G18" s="85">
        <v>1</v>
      </c>
      <c r="H18" s="128"/>
      <c r="I18" s="80">
        <v>150000</v>
      </c>
      <c r="J18" s="80"/>
      <c r="K18" s="69"/>
      <c r="L18" s="67"/>
      <c r="M18" s="54"/>
      <c r="N18" s="54"/>
      <c r="O18" s="54"/>
      <c r="P18" s="54"/>
    </row>
    <row r="19" spans="1:16" s="68" customFormat="1" ht="18" customHeight="1" x14ac:dyDescent="0.3">
      <c r="A19" s="89">
        <v>1826</v>
      </c>
      <c r="B19" s="94">
        <v>45931</v>
      </c>
      <c r="C19" s="85" t="s">
        <v>3823</v>
      </c>
      <c r="D19" s="112" t="s">
        <v>3466</v>
      </c>
      <c r="E19" s="78"/>
      <c r="F19" s="80">
        <v>526364</v>
      </c>
      <c r="G19" s="85">
        <v>1</v>
      </c>
      <c r="H19" s="126">
        <v>52636</v>
      </c>
      <c r="I19" s="80">
        <v>579000</v>
      </c>
      <c r="J19" s="80"/>
      <c r="K19" s="69"/>
      <c r="L19" s="67"/>
      <c r="M19" s="54"/>
      <c r="N19" s="54"/>
      <c r="O19" s="54"/>
      <c r="P19" s="54"/>
    </row>
    <row r="20" spans="1:16" s="68" customFormat="1" ht="18" customHeight="1" x14ac:dyDescent="0.3">
      <c r="A20" s="89">
        <v>1827</v>
      </c>
      <c r="B20" s="94">
        <v>45931</v>
      </c>
      <c r="C20" s="85" t="s">
        <v>3823</v>
      </c>
      <c r="D20" s="112" t="s">
        <v>1125</v>
      </c>
      <c r="E20" s="79"/>
      <c r="F20" s="224"/>
      <c r="G20" s="85"/>
      <c r="H20" s="128"/>
      <c r="I20" s="80"/>
      <c r="J20" s="80">
        <v>-579000</v>
      </c>
      <c r="K20" s="69"/>
      <c r="L20" s="67"/>
      <c r="M20" s="54"/>
      <c r="N20" s="54"/>
      <c r="O20" s="54"/>
      <c r="P20" s="54"/>
    </row>
    <row r="21" spans="1:16" s="68" customFormat="1" ht="18" customHeight="1" x14ac:dyDescent="0.3">
      <c r="A21" s="89">
        <v>1828</v>
      </c>
      <c r="B21" s="94">
        <v>45932</v>
      </c>
      <c r="C21" s="85" t="s">
        <v>1015</v>
      </c>
      <c r="D21" s="112" t="s">
        <v>3825</v>
      </c>
      <c r="E21" s="79"/>
      <c r="F21" s="224"/>
      <c r="G21" s="85"/>
      <c r="H21" s="128"/>
      <c r="I21" s="80"/>
      <c r="J21" s="80">
        <v>-4269500</v>
      </c>
      <c r="K21" s="69"/>
      <c r="L21" s="67"/>
      <c r="M21" s="54"/>
      <c r="N21" s="54"/>
      <c r="O21" s="54"/>
    </row>
    <row r="22" spans="1:16" s="68" customFormat="1" ht="18" customHeight="1" x14ac:dyDescent="0.3">
      <c r="A22" s="89">
        <v>1829</v>
      </c>
      <c r="B22" s="94">
        <v>45932</v>
      </c>
      <c r="C22" s="85" t="s">
        <v>1722</v>
      </c>
      <c r="D22" s="112" t="s">
        <v>2188</v>
      </c>
      <c r="E22" s="78"/>
      <c r="F22" s="80">
        <v>130000</v>
      </c>
      <c r="G22" s="85">
        <v>5</v>
      </c>
      <c r="H22" s="126"/>
      <c r="I22" s="80">
        <v>650000</v>
      </c>
      <c r="J22" s="80"/>
      <c r="K22" s="69"/>
      <c r="L22" s="67"/>
    </row>
    <row r="23" spans="1:16" s="68" customFormat="1" ht="18" customHeight="1" x14ac:dyDescent="0.3">
      <c r="A23" s="89">
        <v>1830</v>
      </c>
      <c r="B23" s="94">
        <v>45932</v>
      </c>
      <c r="C23" s="85" t="s">
        <v>1722</v>
      </c>
      <c r="D23" s="112" t="s">
        <v>2191</v>
      </c>
      <c r="E23" s="78"/>
      <c r="F23" s="80">
        <v>35000</v>
      </c>
      <c r="G23" s="85">
        <v>3</v>
      </c>
      <c r="H23" s="126"/>
      <c r="I23" s="80">
        <v>105000</v>
      </c>
      <c r="J23" s="80"/>
      <c r="K23" s="69"/>
      <c r="L23" s="67"/>
    </row>
    <row r="24" spans="1:16" s="68" customFormat="1" ht="18" customHeight="1" x14ac:dyDescent="0.3">
      <c r="A24" s="89">
        <v>1831</v>
      </c>
      <c r="B24" s="94">
        <v>45932</v>
      </c>
      <c r="C24" s="85" t="s">
        <v>1790</v>
      </c>
      <c r="D24" s="112" t="s">
        <v>1203</v>
      </c>
      <c r="E24" s="78"/>
      <c r="F24" s="80">
        <v>1200000</v>
      </c>
      <c r="G24" s="85">
        <v>1</v>
      </c>
      <c r="H24" s="126"/>
      <c r="I24" s="80">
        <v>1200000</v>
      </c>
      <c r="J24" s="80"/>
      <c r="K24" s="69"/>
      <c r="L24" s="67"/>
    </row>
    <row r="25" spans="1:16" ht="18" customHeight="1" x14ac:dyDescent="0.3">
      <c r="A25" s="89">
        <v>1832</v>
      </c>
      <c r="B25" s="94">
        <v>45932</v>
      </c>
      <c r="C25" s="85" t="s">
        <v>1399</v>
      </c>
      <c r="D25" s="112" t="s">
        <v>2107</v>
      </c>
      <c r="E25" s="78"/>
      <c r="F25" s="80">
        <v>1200000</v>
      </c>
      <c r="G25" s="85">
        <v>1</v>
      </c>
      <c r="I25" s="80">
        <v>1200000</v>
      </c>
    </row>
    <row r="26" spans="1:16" ht="18" customHeight="1" x14ac:dyDescent="0.3">
      <c r="A26" s="89">
        <v>1833</v>
      </c>
      <c r="B26" s="94">
        <v>45932</v>
      </c>
      <c r="C26" s="85" t="s">
        <v>1399</v>
      </c>
      <c r="D26" s="112" t="s">
        <v>3832</v>
      </c>
      <c r="E26" s="78"/>
      <c r="F26" s="80">
        <v>600000</v>
      </c>
      <c r="G26" s="85">
        <v>1</v>
      </c>
      <c r="I26" s="80">
        <v>600000</v>
      </c>
    </row>
    <row r="27" spans="1:16" ht="18" customHeight="1" x14ac:dyDescent="0.3">
      <c r="A27" s="89">
        <v>1834</v>
      </c>
      <c r="B27" s="94">
        <v>45932</v>
      </c>
      <c r="C27" s="85" t="s">
        <v>3826</v>
      </c>
      <c r="D27" s="112" t="s">
        <v>2178</v>
      </c>
      <c r="E27" s="78"/>
      <c r="F27" s="80">
        <v>1500000</v>
      </c>
      <c r="G27" s="85">
        <v>1</v>
      </c>
      <c r="I27" s="80">
        <v>1500000</v>
      </c>
    </row>
    <row r="28" spans="1:16" ht="18" customHeight="1" x14ac:dyDescent="0.3">
      <c r="A28" s="89">
        <v>1835</v>
      </c>
      <c r="B28" s="94">
        <v>45932</v>
      </c>
      <c r="C28" s="85" t="s">
        <v>2145</v>
      </c>
      <c r="D28" s="112" t="s">
        <v>2196</v>
      </c>
      <c r="E28" s="78"/>
      <c r="F28" s="80">
        <v>1600000</v>
      </c>
      <c r="G28" s="85">
        <v>1</v>
      </c>
      <c r="I28" s="80">
        <v>1600000</v>
      </c>
    </row>
    <row r="29" spans="1:16" ht="18" customHeight="1" x14ac:dyDescent="0.3">
      <c r="A29" s="89">
        <v>1836</v>
      </c>
      <c r="B29" s="94">
        <v>45933</v>
      </c>
      <c r="C29" s="85" t="s">
        <v>2145</v>
      </c>
      <c r="D29" s="112" t="s">
        <v>3839</v>
      </c>
      <c r="E29" s="78"/>
      <c r="F29" s="80"/>
      <c r="J29" s="80">
        <v>-1600000</v>
      </c>
    </row>
    <row r="30" spans="1:16" ht="18" customHeight="1" x14ac:dyDescent="0.3">
      <c r="A30" s="89">
        <v>1837</v>
      </c>
      <c r="B30" s="94">
        <v>45932</v>
      </c>
      <c r="C30" s="85" t="s">
        <v>3826</v>
      </c>
      <c r="D30" s="112" t="s">
        <v>3840</v>
      </c>
      <c r="E30" s="78"/>
      <c r="F30" s="80"/>
      <c r="J30" s="80">
        <v>-1500000</v>
      </c>
    </row>
    <row r="31" spans="1:16" ht="18" customHeight="1" x14ac:dyDescent="0.3">
      <c r="A31" s="89">
        <v>1838</v>
      </c>
      <c r="B31" s="94">
        <v>45933</v>
      </c>
      <c r="C31" s="85" t="s">
        <v>1722</v>
      </c>
      <c r="D31" s="112" t="s">
        <v>3841</v>
      </c>
      <c r="E31" s="78"/>
      <c r="F31" s="80"/>
      <c r="J31" s="80">
        <v>-8468000</v>
      </c>
    </row>
    <row r="32" spans="1:16" ht="18" customHeight="1" x14ac:dyDescent="0.3">
      <c r="A32" s="89">
        <v>1839</v>
      </c>
      <c r="B32" s="94">
        <v>45933</v>
      </c>
      <c r="C32" s="85" t="s">
        <v>1479</v>
      </c>
      <c r="D32" s="112" t="s">
        <v>3842</v>
      </c>
      <c r="E32" s="78"/>
      <c r="F32" s="80"/>
      <c r="J32" s="80">
        <v>-1450000</v>
      </c>
    </row>
    <row r="33" spans="1:10" ht="18" customHeight="1" x14ac:dyDescent="0.3">
      <c r="A33" s="89">
        <v>1840</v>
      </c>
      <c r="B33" s="94">
        <v>45933</v>
      </c>
      <c r="C33" s="85" t="s">
        <v>1870</v>
      </c>
      <c r="D33" s="112" t="s">
        <v>3843</v>
      </c>
      <c r="E33" s="79"/>
      <c r="F33" s="224"/>
      <c r="H33" s="128"/>
      <c r="J33" s="80">
        <v>-150000</v>
      </c>
    </row>
    <row r="34" spans="1:10" ht="18" customHeight="1" x14ac:dyDescent="0.3">
      <c r="A34" s="82">
        <v>1841</v>
      </c>
      <c r="B34" s="93">
        <v>45933</v>
      </c>
      <c r="C34" s="83" t="s">
        <v>2145</v>
      </c>
      <c r="D34" s="113" t="s">
        <v>1549</v>
      </c>
      <c r="F34" s="120">
        <v>50000</v>
      </c>
      <c r="G34" s="85">
        <v>1</v>
      </c>
      <c r="I34" s="80">
        <v>50000</v>
      </c>
    </row>
    <row r="35" spans="1:10" ht="18" customHeight="1" x14ac:dyDescent="0.3">
      <c r="A35" s="82">
        <v>1842</v>
      </c>
      <c r="B35" s="93">
        <v>45933</v>
      </c>
      <c r="C35" s="83" t="s">
        <v>1931</v>
      </c>
      <c r="D35" s="113" t="s">
        <v>3124</v>
      </c>
      <c r="F35" s="120">
        <v>2500000</v>
      </c>
      <c r="G35" s="85">
        <v>1</v>
      </c>
      <c r="I35" s="80">
        <v>2500000</v>
      </c>
    </row>
    <row r="36" spans="1:10" ht="18" customHeight="1" x14ac:dyDescent="0.3">
      <c r="A36" s="82">
        <v>1843</v>
      </c>
      <c r="B36" s="93">
        <v>45933</v>
      </c>
      <c r="C36" s="83" t="s">
        <v>1931</v>
      </c>
      <c r="D36" s="113" t="s">
        <v>2037</v>
      </c>
      <c r="F36" s="120">
        <v>1100000</v>
      </c>
      <c r="G36" s="85">
        <v>1</v>
      </c>
      <c r="I36" s="80">
        <v>1100000</v>
      </c>
    </row>
    <row r="37" spans="1:10" ht="18" customHeight="1" x14ac:dyDescent="0.3">
      <c r="A37" s="82">
        <v>1844</v>
      </c>
      <c r="B37" s="93">
        <v>45938</v>
      </c>
      <c r="C37" s="83" t="s">
        <v>2623</v>
      </c>
      <c r="D37" s="113" t="s">
        <v>3849</v>
      </c>
      <c r="J37" s="80">
        <v>-2200000</v>
      </c>
    </row>
    <row r="38" spans="1:10" ht="18" customHeight="1" x14ac:dyDescent="0.3">
      <c r="A38" s="82">
        <v>1845</v>
      </c>
      <c r="B38" s="93">
        <v>45939</v>
      </c>
      <c r="C38" s="83" t="s">
        <v>1580</v>
      </c>
      <c r="D38" s="113" t="s">
        <v>2189</v>
      </c>
      <c r="F38" s="120">
        <v>100000</v>
      </c>
      <c r="G38" s="85">
        <v>1</v>
      </c>
      <c r="H38" s="126">
        <v>10000</v>
      </c>
      <c r="I38" s="80">
        <v>110000</v>
      </c>
    </row>
    <row r="39" spans="1:10" ht="18" customHeight="1" x14ac:dyDescent="0.3">
      <c r="A39" s="82">
        <v>1846</v>
      </c>
      <c r="B39" s="93">
        <v>45939</v>
      </c>
      <c r="C39" s="83" t="s">
        <v>1444</v>
      </c>
      <c r="D39" s="113" t="s">
        <v>1985</v>
      </c>
      <c r="F39" s="120">
        <v>150000</v>
      </c>
      <c r="G39" s="85">
        <v>1</v>
      </c>
      <c r="I39" s="80">
        <v>150000</v>
      </c>
    </row>
    <row r="40" spans="1:10" ht="18" customHeight="1" x14ac:dyDescent="0.3">
      <c r="A40" s="82">
        <v>1847</v>
      </c>
      <c r="B40" s="93">
        <v>45940</v>
      </c>
      <c r="C40" s="83" t="s">
        <v>1306</v>
      </c>
      <c r="D40" s="113" t="s">
        <v>2178</v>
      </c>
      <c r="F40" s="120">
        <v>0</v>
      </c>
      <c r="G40" s="85">
        <v>1</v>
      </c>
      <c r="I40" s="80">
        <v>0</v>
      </c>
    </row>
    <row r="41" spans="1:10" ht="18" customHeight="1" x14ac:dyDescent="0.3">
      <c r="A41" s="82">
        <v>1848</v>
      </c>
      <c r="B41" s="93">
        <v>45940</v>
      </c>
      <c r="C41" s="83" t="s">
        <v>1053</v>
      </c>
      <c r="D41" s="113" t="s">
        <v>3857</v>
      </c>
      <c r="J41" s="80">
        <v>-2000000</v>
      </c>
    </row>
    <row r="42" spans="1:10" ht="18" customHeight="1" x14ac:dyDescent="0.3">
      <c r="A42" s="82">
        <v>1849</v>
      </c>
      <c r="B42" s="94">
        <v>45940</v>
      </c>
      <c r="C42" s="85" t="s">
        <v>1747</v>
      </c>
      <c r="D42" s="112" t="s">
        <v>2920</v>
      </c>
      <c r="E42" s="78"/>
      <c r="F42" s="80">
        <v>358182</v>
      </c>
      <c r="G42" s="85">
        <v>1</v>
      </c>
      <c r="H42" s="126">
        <v>35818</v>
      </c>
      <c r="I42" s="80">
        <v>394000</v>
      </c>
    </row>
    <row r="43" spans="1:10" ht="18" customHeight="1" x14ac:dyDescent="0.3">
      <c r="A43" s="89">
        <v>1850</v>
      </c>
      <c r="B43" s="94">
        <v>45940</v>
      </c>
      <c r="C43" s="85" t="s">
        <v>1747</v>
      </c>
      <c r="D43" s="112" t="s">
        <v>2919</v>
      </c>
      <c r="E43" s="79"/>
      <c r="F43" s="224">
        <v>350000</v>
      </c>
      <c r="G43" s="85">
        <v>1</v>
      </c>
      <c r="H43" s="128">
        <v>35000</v>
      </c>
      <c r="I43" s="80">
        <v>385000</v>
      </c>
    </row>
    <row r="44" spans="1:10" ht="18" customHeight="1" x14ac:dyDescent="0.3">
      <c r="A44" s="82">
        <v>1851</v>
      </c>
      <c r="B44" s="94">
        <v>45940</v>
      </c>
      <c r="C44" s="85" t="s">
        <v>1747</v>
      </c>
      <c r="D44" s="112" t="s">
        <v>3859</v>
      </c>
      <c r="E44" s="78"/>
      <c r="F44" s="80">
        <v>9091</v>
      </c>
      <c r="G44" s="85">
        <v>1</v>
      </c>
      <c r="H44" s="126">
        <v>909</v>
      </c>
      <c r="I44" s="80">
        <v>10000</v>
      </c>
    </row>
    <row r="45" spans="1:10" ht="18" customHeight="1" x14ac:dyDescent="0.3">
      <c r="A45" s="82">
        <v>1852</v>
      </c>
      <c r="B45" s="94">
        <v>45940</v>
      </c>
      <c r="C45" s="85" t="s">
        <v>1577</v>
      </c>
      <c r="D45" s="112" t="s">
        <v>2799</v>
      </c>
      <c r="E45" s="78"/>
      <c r="F45" s="80">
        <v>300000</v>
      </c>
      <c r="G45" s="85">
        <v>1</v>
      </c>
      <c r="H45" s="126">
        <v>30000</v>
      </c>
      <c r="I45" s="80">
        <v>330000</v>
      </c>
    </row>
    <row r="46" spans="1:10" ht="18" customHeight="1" x14ac:dyDescent="0.3">
      <c r="A46" s="89">
        <v>1853</v>
      </c>
      <c r="B46" s="94">
        <v>45940</v>
      </c>
      <c r="C46" s="85" t="s">
        <v>1577</v>
      </c>
      <c r="D46" s="112" t="s">
        <v>1759</v>
      </c>
      <c r="E46" s="78"/>
      <c r="F46" s="80">
        <v>250000</v>
      </c>
      <c r="G46" s="85">
        <v>1</v>
      </c>
      <c r="H46" s="126">
        <v>25000</v>
      </c>
      <c r="I46" s="80">
        <v>275000</v>
      </c>
    </row>
    <row r="47" spans="1:10" ht="18" customHeight="1" x14ac:dyDescent="0.3">
      <c r="A47" s="82">
        <v>1854</v>
      </c>
      <c r="B47" s="93">
        <v>45940</v>
      </c>
      <c r="C47" s="83" t="s">
        <v>1577</v>
      </c>
      <c r="D47" s="113" t="s">
        <v>3634</v>
      </c>
      <c r="F47" s="120">
        <v>30000</v>
      </c>
      <c r="G47" s="85">
        <v>1</v>
      </c>
      <c r="H47" s="126">
        <v>3000</v>
      </c>
      <c r="I47" s="80">
        <v>33000</v>
      </c>
    </row>
    <row r="48" spans="1:10" ht="18" customHeight="1" x14ac:dyDescent="0.3">
      <c r="A48" s="82">
        <v>1855</v>
      </c>
      <c r="B48" s="93">
        <v>45940</v>
      </c>
      <c r="C48" s="83" t="s">
        <v>1378</v>
      </c>
      <c r="D48" s="113" t="s">
        <v>2182</v>
      </c>
      <c r="F48" s="120">
        <v>250000</v>
      </c>
      <c r="G48" s="85">
        <v>1</v>
      </c>
      <c r="I48" s="80">
        <v>250000</v>
      </c>
    </row>
    <row r="49" spans="1:10" ht="18" customHeight="1" x14ac:dyDescent="0.3">
      <c r="A49" s="82">
        <v>1856</v>
      </c>
      <c r="B49" s="93">
        <v>45940</v>
      </c>
      <c r="C49" s="83" t="s">
        <v>1373</v>
      </c>
      <c r="D49" s="113" t="s">
        <v>2180</v>
      </c>
      <c r="F49" s="120">
        <v>1500000</v>
      </c>
      <c r="G49" s="85">
        <v>1</v>
      </c>
      <c r="I49" s="80">
        <v>1500000</v>
      </c>
    </row>
    <row r="50" spans="1:10" ht="18" customHeight="1" x14ac:dyDescent="0.3">
      <c r="A50" s="82">
        <v>1857</v>
      </c>
      <c r="B50" s="93">
        <v>45940</v>
      </c>
      <c r="C50" s="83" t="s">
        <v>1373</v>
      </c>
      <c r="D50" s="113" t="s">
        <v>2181</v>
      </c>
      <c r="F50" s="120">
        <v>50000</v>
      </c>
      <c r="G50" s="85">
        <v>1</v>
      </c>
      <c r="I50" s="80">
        <v>50000</v>
      </c>
    </row>
    <row r="51" spans="1:10" ht="18" customHeight="1" x14ac:dyDescent="0.3">
      <c r="A51" s="82">
        <v>1858</v>
      </c>
      <c r="B51" s="93">
        <v>45940</v>
      </c>
      <c r="C51" s="83" t="s">
        <v>1015</v>
      </c>
      <c r="D51" s="113" t="s">
        <v>2027</v>
      </c>
      <c r="F51" s="120">
        <v>1500000</v>
      </c>
      <c r="G51" s="85">
        <v>1</v>
      </c>
      <c r="H51" s="126">
        <v>150000</v>
      </c>
      <c r="I51" s="80">
        <v>1650000</v>
      </c>
    </row>
    <row r="52" spans="1:10" ht="18" customHeight="1" x14ac:dyDescent="0.3">
      <c r="A52" s="82">
        <v>1859</v>
      </c>
      <c r="B52" s="93">
        <v>45940</v>
      </c>
      <c r="C52" s="83" t="s">
        <v>3399</v>
      </c>
      <c r="D52" s="113" t="s">
        <v>2180</v>
      </c>
      <c r="F52" s="120">
        <v>1500000</v>
      </c>
      <c r="G52" s="85">
        <v>1</v>
      </c>
      <c r="I52" s="80">
        <v>1500000</v>
      </c>
    </row>
    <row r="53" spans="1:10" ht="18" customHeight="1" x14ac:dyDescent="0.3">
      <c r="A53" s="82">
        <v>1860</v>
      </c>
      <c r="B53" s="93">
        <v>45940</v>
      </c>
      <c r="C53" s="83" t="s">
        <v>3399</v>
      </c>
      <c r="D53" s="113" t="s">
        <v>2181</v>
      </c>
      <c r="F53" s="120">
        <v>50000</v>
      </c>
      <c r="G53" s="85">
        <v>1</v>
      </c>
      <c r="I53" s="80">
        <v>50000</v>
      </c>
    </row>
    <row r="54" spans="1:10" ht="18" customHeight="1" x14ac:dyDescent="0.3">
      <c r="A54" s="82">
        <v>1861</v>
      </c>
      <c r="B54" s="93">
        <v>45940</v>
      </c>
      <c r="C54" s="83" t="s">
        <v>1173</v>
      </c>
      <c r="D54" s="113" t="s">
        <v>1743</v>
      </c>
      <c r="F54" s="120">
        <v>650000</v>
      </c>
      <c r="G54" s="85">
        <v>1</v>
      </c>
      <c r="I54" s="80">
        <v>650000</v>
      </c>
    </row>
    <row r="55" spans="1:10" ht="18" customHeight="1" x14ac:dyDescent="0.3">
      <c r="A55" s="82">
        <v>1862</v>
      </c>
      <c r="B55" s="93">
        <v>45940</v>
      </c>
      <c r="C55" s="83" t="s">
        <v>2486</v>
      </c>
      <c r="D55" s="113" t="s">
        <v>1717</v>
      </c>
      <c r="F55" s="120">
        <v>150000</v>
      </c>
      <c r="G55" s="85">
        <v>1</v>
      </c>
      <c r="I55" s="80">
        <v>150000</v>
      </c>
    </row>
    <row r="56" spans="1:10" ht="18" customHeight="1" x14ac:dyDescent="0.3">
      <c r="A56" s="82">
        <v>1863</v>
      </c>
      <c r="B56" s="93">
        <v>45940</v>
      </c>
      <c r="C56" s="83" t="s">
        <v>3823</v>
      </c>
      <c r="D56" s="113" t="s">
        <v>3466</v>
      </c>
      <c r="F56" s="120">
        <v>526364</v>
      </c>
      <c r="G56" s="85">
        <v>1</v>
      </c>
      <c r="H56" s="126">
        <v>52636</v>
      </c>
      <c r="I56" s="80">
        <v>579000</v>
      </c>
    </row>
    <row r="57" spans="1:10" ht="18" customHeight="1" x14ac:dyDescent="0.3">
      <c r="A57" s="82">
        <v>1864</v>
      </c>
      <c r="B57" s="93">
        <v>45940</v>
      </c>
      <c r="C57" s="83" t="s">
        <v>1598</v>
      </c>
      <c r="D57" s="113" t="s">
        <v>1203</v>
      </c>
      <c r="F57" s="120">
        <v>1000000</v>
      </c>
      <c r="G57" s="85">
        <v>1</v>
      </c>
      <c r="I57" s="80">
        <v>1000000</v>
      </c>
    </row>
    <row r="58" spans="1:10" ht="18" customHeight="1" x14ac:dyDescent="0.3">
      <c r="A58" s="82">
        <v>1865</v>
      </c>
      <c r="B58" s="93">
        <v>45940</v>
      </c>
      <c r="C58" s="83" t="s">
        <v>1532</v>
      </c>
      <c r="D58" s="113" t="s">
        <v>1203</v>
      </c>
      <c r="F58" s="120">
        <v>1300000</v>
      </c>
      <c r="G58" s="85">
        <v>1</v>
      </c>
      <c r="I58" s="80">
        <v>1300000</v>
      </c>
    </row>
    <row r="59" spans="1:10" ht="18" customHeight="1" x14ac:dyDescent="0.3">
      <c r="A59" s="82">
        <v>1866</v>
      </c>
      <c r="B59" s="93">
        <v>45940</v>
      </c>
      <c r="C59" s="83" t="s">
        <v>1532</v>
      </c>
      <c r="D59" s="113" t="s">
        <v>2840</v>
      </c>
      <c r="F59" s="120">
        <v>129000</v>
      </c>
      <c r="G59" s="85">
        <v>1</v>
      </c>
      <c r="I59" s="80">
        <v>129000</v>
      </c>
    </row>
    <row r="60" spans="1:10" ht="18" customHeight="1" x14ac:dyDescent="0.3">
      <c r="A60" s="82">
        <v>1867</v>
      </c>
      <c r="B60" s="93">
        <v>45940</v>
      </c>
      <c r="C60" s="83" t="s">
        <v>2145</v>
      </c>
      <c r="D60" s="113" t="s">
        <v>3874</v>
      </c>
      <c r="J60" s="80">
        <v>-50000</v>
      </c>
    </row>
    <row r="61" spans="1:10" ht="18" customHeight="1" x14ac:dyDescent="0.3">
      <c r="A61" s="82">
        <v>1868</v>
      </c>
      <c r="B61" s="93">
        <v>45940</v>
      </c>
      <c r="C61" s="83" t="s">
        <v>1598</v>
      </c>
      <c r="D61" s="113" t="s">
        <v>3875</v>
      </c>
      <c r="J61" s="80">
        <v>-1000000</v>
      </c>
    </row>
    <row r="62" spans="1:10" ht="18" customHeight="1" x14ac:dyDescent="0.3">
      <c r="A62" s="82">
        <v>1869</v>
      </c>
      <c r="B62" s="93">
        <v>45940</v>
      </c>
      <c r="C62" s="83" t="s">
        <v>3823</v>
      </c>
      <c r="D62" s="113" t="s">
        <v>3876</v>
      </c>
      <c r="J62" s="80">
        <v>-579000</v>
      </c>
    </row>
    <row r="63" spans="1:10" ht="18" customHeight="1" x14ac:dyDescent="0.3">
      <c r="A63" s="82">
        <v>1870</v>
      </c>
      <c r="B63" s="93">
        <v>45940</v>
      </c>
      <c r="C63" s="83" t="s">
        <v>2486</v>
      </c>
      <c r="D63" s="113" t="s">
        <v>3877</v>
      </c>
      <c r="J63" s="80">
        <v>-150000</v>
      </c>
    </row>
    <row r="64" spans="1:10" ht="18" customHeight="1" x14ac:dyDescent="0.3">
      <c r="A64" s="82">
        <v>1871</v>
      </c>
      <c r="B64" s="93">
        <v>45940</v>
      </c>
      <c r="C64" s="83" t="s">
        <v>3399</v>
      </c>
      <c r="D64" s="113" t="s">
        <v>3878</v>
      </c>
      <c r="J64" s="80">
        <v>-1550000</v>
      </c>
    </row>
    <row r="65" spans="1:10" ht="18" customHeight="1" x14ac:dyDescent="0.3">
      <c r="A65" s="82">
        <v>1872</v>
      </c>
      <c r="B65" s="93">
        <v>45932</v>
      </c>
      <c r="C65" s="83" t="s">
        <v>1790</v>
      </c>
      <c r="D65" s="113" t="s">
        <v>1519</v>
      </c>
      <c r="F65" s="120">
        <v>20000</v>
      </c>
      <c r="G65" s="85">
        <v>1</v>
      </c>
      <c r="I65" s="80">
        <v>20000</v>
      </c>
    </row>
    <row r="66" spans="1:10" ht="18" customHeight="1" x14ac:dyDescent="0.3">
      <c r="A66" s="82">
        <v>1873</v>
      </c>
      <c r="B66" s="93">
        <v>45941</v>
      </c>
      <c r="C66" s="83" t="s">
        <v>2998</v>
      </c>
      <c r="D66" s="113" t="s">
        <v>1203</v>
      </c>
      <c r="F66" s="120">
        <v>1200000</v>
      </c>
      <c r="G66" s="85">
        <v>1</v>
      </c>
      <c r="I66" s="80">
        <v>1200000</v>
      </c>
    </row>
    <row r="67" spans="1:10" ht="18" customHeight="1" x14ac:dyDescent="0.3">
      <c r="A67" s="82">
        <v>1874</v>
      </c>
      <c r="B67" s="93">
        <v>45941</v>
      </c>
      <c r="C67" s="83" t="s">
        <v>1722</v>
      </c>
      <c r="D67" s="113" t="s">
        <v>1744</v>
      </c>
      <c r="F67" s="120">
        <v>1550000</v>
      </c>
      <c r="G67" s="85">
        <v>1</v>
      </c>
      <c r="I67" s="80">
        <v>1550000</v>
      </c>
    </row>
    <row r="68" spans="1:10" ht="18" customHeight="1" x14ac:dyDescent="0.3">
      <c r="A68" s="82">
        <v>1875</v>
      </c>
      <c r="B68" s="93">
        <v>45943</v>
      </c>
      <c r="C68" s="83" t="s">
        <v>1378</v>
      </c>
      <c r="D68" s="113" t="s">
        <v>2180</v>
      </c>
      <c r="F68" s="120">
        <v>0</v>
      </c>
      <c r="G68" s="85">
        <v>1</v>
      </c>
      <c r="I68" s="80">
        <v>0</v>
      </c>
    </row>
    <row r="69" spans="1:10" ht="18" customHeight="1" x14ac:dyDescent="0.3">
      <c r="A69" s="82">
        <v>1876</v>
      </c>
      <c r="B69" s="93">
        <v>45943</v>
      </c>
      <c r="C69" s="83" t="s">
        <v>1532</v>
      </c>
      <c r="D69" s="113" t="s">
        <v>1125</v>
      </c>
      <c r="J69" s="80">
        <v>-1429000</v>
      </c>
    </row>
    <row r="70" spans="1:10" ht="18" customHeight="1" x14ac:dyDescent="0.3">
      <c r="A70" s="82">
        <v>1877</v>
      </c>
      <c r="B70" s="93">
        <v>45943</v>
      </c>
      <c r="C70" s="83" t="s">
        <v>1399</v>
      </c>
      <c r="D70" s="113" t="s">
        <v>1743</v>
      </c>
      <c r="F70" s="120">
        <v>650000</v>
      </c>
      <c r="G70" s="85">
        <v>1</v>
      </c>
      <c r="I70" s="80">
        <v>650000</v>
      </c>
    </row>
    <row r="71" spans="1:10" ht="18" customHeight="1" x14ac:dyDescent="0.3">
      <c r="A71" s="82">
        <v>1878</v>
      </c>
      <c r="B71" s="93">
        <v>45943</v>
      </c>
      <c r="C71" s="83" t="s">
        <v>1378</v>
      </c>
      <c r="D71" s="113" t="s">
        <v>3886</v>
      </c>
      <c r="F71" s="120">
        <v>350000</v>
      </c>
      <c r="G71" s="85">
        <v>1</v>
      </c>
      <c r="I71" s="80">
        <v>350000</v>
      </c>
    </row>
    <row r="72" spans="1:10" ht="18" customHeight="1" x14ac:dyDescent="0.3">
      <c r="A72" s="82">
        <v>1879</v>
      </c>
      <c r="B72" s="93">
        <v>45943</v>
      </c>
      <c r="C72" s="83" t="s">
        <v>3892</v>
      </c>
      <c r="D72" s="113" t="s">
        <v>3466</v>
      </c>
      <c r="F72" s="120">
        <v>580000</v>
      </c>
      <c r="G72" s="85">
        <v>1</v>
      </c>
      <c r="I72" s="80">
        <v>580000</v>
      </c>
    </row>
    <row r="73" spans="1:10" ht="18" customHeight="1" x14ac:dyDescent="0.3">
      <c r="A73" s="82">
        <v>1880</v>
      </c>
      <c r="B73" s="93">
        <v>45943</v>
      </c>
      <c r="C73" s="83" t="s">
        <v>1580</v>
      </c>
      <c r="D73" s="113" t="s">
        <v>2413</v>
      </c>
      <c r="F73" s="120">
        <v>40000</v>
      </c>
      <c r="G73" s="85">
        <v>1</v>
      </c>
      <c r="H73" s="126">
        <v>4000</v>
      </c>
      <c r="I73" s="80">
        <v>44000</v>
      </c>
    </row>
    <row r="74" spans="1:10" ht="18" customHeight="1" x14ac:dyDescent="0.3">
      <c r="A74" s="82">
        <v>1881</v>
      </c>
      <c r="B74" s="93">
        <v>45943</v>
      </c>
      <c r="C74" s="83" t="s">
        <v>2618</v>
      </c>
      <c r="D74" s="113" t="s">
        <v>3466</v>
      </c>
      <c r="F74" s="120">
        <v>526364</v>
      </c>
      <c r="G74" s="85">
        <v>5</v>
      </c>
      <c r="H74" s="126">
        <v>263182</v>
      </c>
      <c r="I74" s="80">
        <v>2895002</v>
      </c>
    </row>
    <row r="75" spans="1:10" ht="18" customHeight="1" x14ac:dyDescent="0.3">
      <c r="A75" s="82">
        <v>1882</v>
      </c>
      <c r="B75" s="93">
        <v>45943</v>
      </c>
      <c r="C75" s="83" t="s">
        <v>2618</v>
      </c>
      <c r="D75" s="113" t="s">
        <v>3342</v>
      </c>
      <c r="F75" s="120">
        <v>-2</v>
      </c>
      <c r="G75" s="85">
        <v>1</v>
      </c>
      <c r="I75" s="80">
        <v>-2</v>
      </c>
    </row>
    <row r="76" spans="1:10" ht="18" customHeight="1" x14ac:dyDescent="0.3">
      <c r="A76" s="82">
        <v>1883</v>
      </c>
      <c r="B76" s="93">
        <v>45943</v>
      </c>
      <c r="C76" s="83" t="s">
        <v>3898</v>
      </c>
      <c r="D76" s="113" t="s">
        <v>2183</v>
      </c>
      <c r="F76" s="120">
        <v>60000</v>
      </c>
      <c r="G76" s="85">
        <v>1</v>
      </c>
      <c r="H76" s="126">
        <v>6000</v>
      </c>
      <c r="I76" s="80">
        <v>66000</v>
      </c>
    </row>
    <row r="77" spans="1:10" ht="18" customHeight="1" x14ac:dyDescent="0.3">
      <c r="A77" s="82">
        <v>1884</v>
      </c>
      <c r="B77" s="93">
        <v>45943</v>
      </c>
      <c r="C77" s="83" t="s">
        <v>3898</v>
      </c>
      <c r="D77" s="113" t="s">
        <v>2181</v>
      </c>
      <c r="F77" s="120">
        <v>70000</v>
      </c>
      <c r="G77" s="85">
        <v>1</v>
      </c>
      <c r="H77" s="126">
        <v>7000</v>
      </c>
      <c r="I77" s="80">
        <v>77000</v>
      </c>
    </row>
    <row r="78" spans="1:10" ht="18" customHeight="1" x14ac:dyDescent="0.3">
      <c r="A78" s="82">
        <v>1885</v>
      </c>
      <c r="B78" s="93">
        <v>45943</v>
      </c>
      <c r="C78" s="83" t="s">
        <v>3269</v>
      </c>
      <c r="D78" s="113" t="s">
        <v>1561</v>
      </c>
      <c r="F78" s="120">
        <v>200000</v>
      </c>
      <c r="G78" s="85">
        <v>1</v>
      </c>
      <c r="I78" s="80">
        <v>200000</v>
      </c>
    </row>
    <row r="79" spans="1:10" ht="18" customHeight="1" x14ac:dyDescent="0.3">
      <c r="A79" s="82">
        <v>1886</v>
      </c>
      <c r="B79" s="93">
        <v>45943</v>
      </c>
      <c r="C79" s="83" t="s">
        <v>2618</v>
      </c>
      <c r="D79" s="113" t="s">
        <v>3902</v>
      </c>
      <c r="J79" s="80">
        <v>-2895000</v>
      </c>
    </row>
    <row r="80" spans="1:10" ht="18" customHeight="1" x14ac:dyDescent="0.3">
      <c r="A80" s="82">
        <v>1887</v>
      </c>
      <c r="B80" s="93">
        <v>45943</v>
      </c>
      <c r="C80" s="83" t="s">
        <v>3898</v>
      </c>
      <c r="D80" s="113" t="s">
        <v>3904</v>
      </c>
      <c r="J80" s="80">
        <v>-143000</v>
      </c>
    </row>
    <row r="81" spans="1:10" ht="18" customHeight="1" x14ac:dyDescent="0.3">
      <c r="A81" s="82">
        <v>1888</v>
      </c>
      <c r="B81" s="93">
        <v>45943</v>
      </c>
      <c r="C81" s="83" t="s">
        <v>1018</v>
      </c>
      <c r="D81" s="113" t="s">
        <v>3906</v>
      </c>
      <c r="J81" s="80">
        <v>-3400000</v>
      </c>
    </row>
    <row r="82" spans="1:10" ht="18" customHeight="1" x14ac:dyDescent="0.3">
      <c r="A82" s="82">
        <v>1889</v>
      </c>
      <c r="B82" s="93">
        <v>45943</v>
      </c>
      <c r="C82" s="83" t="s">
        <v>1173</v>
      </c>
      <c r="D82" s="113" t="s">
        <v>3908</v>
      </c>
      <c r="J82" s="80">
        <v>-650000</v>
      </c>
    </row>
    <row r="83" spans="1:10" ht="18" customHeight="1" x14ac:dyDescent="0.3">
      <c r="A83" s="82">
        <v>1890</v>
      </c>
      <c r="B83" s="93">
        <v>45943</v>
      </c>
      <c r="C83" s="83" t="s">
        <v>3269</v>
      </c>
      <c r="D83" s="113" t="s">
        <v>3910</v>
      </c>
      <c r="J83" s="80">
        <v>-200000</v>
      </c>
    </row>
    <row r="84" spans="1:10" ht="18" customHeight="1" x14ac:dyDescent="0.3">
      <c r="A84" s="82">
        <v>1891</v>
      </c>
      <c r="B84" s="93">
        <v>45943</v>
      </c>
      <c r="C84" s="83" t="s">
        <v>3892</v>
      </c>
      <c r="D84" s="113" t="s">
        <v>3912</v>
      </c>
      <c r="J84" s="80">
        <v>-580000</v>
      </c>
    </row>
    <row r="85" spans="1:10" ht="18" customHeight="1" x14ac:dyDescent="0.3">
      <c r="A85" s="82">
        <v>1892</v>
      </c>
      <c r="B85" s="93">
        <v>45943</v>
      </c>
      <c r="C85" s="83" t="s">
        <v>1867</v>
      </c>
      <c r="D85" s="113" t="s">
        <v>1743</v>
      </c>
      <c r="F85" s="120">
        <v>1100000</v>
      </c>
      <c r="G85" s="85">
        <v>1</v>
      </c>
      <c r="I85" s="80">
        <v>1100000</v>
      </c>
    </row>
    <row r="86" spans="1:10" ht="18" customHeight="1" x14ac:dyDescent="0.3">
      <c r="A86" s="82">
        <v>1893</v>
      </c>
      <c r="B86" s="93">
        <v>45943</v>
      </c>
      <c r="C86" s="83" t="s">
        <v>1554</v>
      </c>
      <c r="D86" s="113" t="s">
        <v>1203</v>
      </c>
      <c r="F86" s="80">
        <v>1200000</v>
      </c>
      <c r="G86" s="85">
        <v>1</v>
      </c>
      <c r="H86" s="126">
        <v>120000</v>
      </c>
      <c r="I86" s="80">
        <v>1320000</v>
      </c>
    </row>
    <row r="87" spans="1:10" ht="18" customHeight="1" x14ac:dyDescent="0.3">
      <c r="A87" s="82">
        <v>1894</v>
      </c>
      <c r="B87" s="93">
        <v>45943</v>
      </c>
      <c r="C87" s="83" t="s">
        <v>1554</v>
      </c>
      <c r="D87" s="113" t="s">
        <v>1496</v>
      </c>
      <c r="F87" s="120">
        <v>350000</v>
      </c>
      <c r="G87" s="85">
        <v>1</v>
      </c>
      <c r="H87" s="126">
        <v>35000</v>
      </c>
      <c r="I87" s="80">
        <v>385000</v>
      </c>
    </row>
    <row r="88" spans="1:10" ht="18" customHeight="1" x14ac:dyDescent="0.3">
      <c r="A88" s="82">
        <v>1895</v>
      </c>
      <c r="B88" s="93">
        <v>45944</v>
      </c>
      <c r="C88" s="83" t="s">
        <v>1467</v>
      </c>
      <c r="D88" s="113" t="s">
        <v>1800</v>
      </c>
      <c r="F88" s="80"/>
      <c r="J88" s="80">
        <v>-8410000</v>
      </c>
    </row>
    <row r="89" spans="1:10" ht="18" customHeight="1" x14ac:dyDescent="0.3">
      <c r="A89" s="82">
        <v>1896</v>
      </c>
      <c r="B89" s="93">
        <v>45944</v>
      </c>
      <c r="C89" s="83" t="s">
        <v>1399</v>
      </c>
      <c r="D89" s="113" t="s">
        <v>1549</v>
      </c>
      <c r="F89" s="120">
        <v>50000</v>
      </c>
      <c r="G89" s="85">
        <v>1</v>
      </c>
      <c r="I89" s="80">
        <v>50000</v>
      </c>
    </row>
    <row r="90" spans="1:10" ht="18" customHeight="1" x14ac:dyDescent="0.3">
      <c r="A90" s="82">
        <v>1897</v>
      </c>
      <c r="B90" s="93">
        <v>45944</v>
      </c>
      <c r="C90" s="83" t="s">
        <v>1399</v>
      </c>
      <c r="D90" s="113" t="s">
        <v>2091</v>
      </c>
      <c r="F90" s="80">
        <v>450000</v>
      </c>
      <c r="G90" s="85">
        <v>1</v>
      </c>
      <c r="I90" s="80">
        <v>450000</v>
      </c>
    </row>
    <row r="91" spans="1:10" ht="18" customHeight="1" x14ac:dyDescent="0.3">
      <c r="A91" s="82">
        <v>1898</v>
      </c>
      <c r="B91" s="93">
        <v>45944</v>
      </c>
      <c r="C91" s="83" t="s">
        <v>1399</v>
      </c>
      <c r="D91" s="113" t="s">
        <v>3919</v>
      </c>
      <c r="F91" s="120">
        <v>80000</v>
      </c>
      <c r="G91" s="85">
        <v>1</v>
      </c>
      <c r="I91" s="80">
        <v>80000</v>
      </c>
    </row>
    <row r="92" spans="1:10" ht="18" customHeight="1" x14ac:dyDescent="0.3">
      <c r="A92" s="82">
        <v>1899</v>
      </c>
      <c r="B92" s="93">
        <v>45944</v>
      </c>
      <c r="C92" s="83" t="s">
        <v>1399</v>
      </c>
      <c r="D92" s="113" t="s">
        <v>3046</v>
      </c>
      <c r="F92" s="80">
        <v>20000</v>
      </c>
      <c r="G92" s="120">
        <v>1</v>
      </c>
      <c r="I92" s="80">
        <v>20000</v>
      </c>
    </row>
    <row r="93" spans="1:10" ht="18" customHeight="1" x14ac:dyDescent="0.3">
      <c r="A93" s="82">
        <v>1900</v>
      </c>
      <c r="B93" s="93">
        <v>45944</v>
      </c>
      <c r="C93" s="83" t="s">
        <v>3921</v>
      </c>
      <c r="D93" s="113" t="s">
        <v>1203</v>
      </c>
      <c r="F93" s="80">
        <v>1200000</v>
      </c>
      <c r="G93" s="120">
        <v>1</v>
      </c>
      <c r="H93" s="126">
        <v>120000</v>
      </c>
      <c r="I93" s="80">
        <v>1320000</v>
      </c>
    </row>
    <row r="94" spans="1:10" ht="18" customHeight="1" x14ac:dyDescent="0.3">
      <c r="A94" s="82">
        <v>1901</v>
      </c>
      <c r="B94" s="93">
        <v>45944</v>
      </c>
      <c r="C94" s="83" t="s">
        <v>1586</v>
      </c>
      <c r="D94" s="113" t="s">
        <v>2913</v>
      </c>
      <c r="F94" s="80">
        <v>130000</v>
      </c>
      <c r="G94" s="120">
        <v>1</v>
      </c>
      <c r="H94" s="126">
        <v>13000</v>
      </c>
      <c r="I94" s="80">
        <v>143000</v>
      </c>
    </row>
    <row r="95" spans="1:10" ht="18" customHeight="1" x14ac:dyDescent="0.3">
      <c r="A95" s="82">
        <v>1902</v>
      </c>
      <c r="B95" s="93">
        <v>45944</v>
      </c>
      <c r="C95" s="83" t="s">
        <v>1805</v>
      </c>
      <c r="D95" s="113" t="s">
        <v>3222</v>
      </c>
      <c r="F95" s="80">
        <v>1200000</v>
      </c>
      <c r="G95" s="120">
        <v>1</v>
      </c>
      <c r="H95" s="126">
        <v>120000</v>
      </c>
      <c r="I95" s="80">
        <v>1320000</v>
      </c>
    </row>
    <row r="96" spans="1:10" ht="18" customHeight="1" x14ac:dyDescent="0.3">
      <c r="A96" s="82">
        <v>1903</v>
      </c>
      <c r="B96" s="93">
        <v>45944</v>
      </c>
      <c r="C96" s="83" t="s">
        <v>1554</v>
      </c>
      <c r="D96" s="113" t="s">
        <v>1266</v>
      </c>
      <c r="F96" s="80">
        <v>50000</v>
      </c>
      <c r="G96" s="120">
        <v>5</v>
      </c>
      <c r="I96" s="80">
        <v>250000</v>
      </c>
    </row>
    <row r="97" spans="1:10" ht="18" customHeight="1" x14ac:dyDescent="0.3">
      <c r="A97" s="82">
        <v>1904</v>
      </c>
      <c r="B97" s="93">
        <v>45944</v>
      </c>
      <c r="C97" s="83" t="s">
        <v>1580</v>
      </c>
      <c r="D97" s="113" t="s">
        <v>3466</v>
      </c>
      <c r="F97" s="80">
        <v>526364</v>
      </c>
      <c r="G97" s="120">
        <v>1</v>
      </c>
      <c r="H97" s="126">
        <v>52636</v>
      </c>
      <c r="I97" s="80">
        <v>579000</v>
      </c>
    </row>
    <row r="98" spans="1:10" ht="18" customHeight="1" x14ac:dyDescent="0.3">
      <c r="A98" s="82">
        <v>1905</v>
      </c>
      <c r="B98" s="93">
        <v>45944</v>
      </c>
      <c r="C98" s="83" t="s">
        <v>1580</v>
      </c>
      <c r="D98" s="113" t="s">
        <v>2188</v>
      </c>
      <c r="F98" s="80">
        <v>130000</v>
      </c>
      <c r="G98" s="120">
        <v>1</v>
      </c>
      <c r="H98" s="126">
        <v>13000</v>
      </c>
      <c r="I98" s="80">
        <v>143000</v>
      </c>
    </row>
    <row r="99" spans="1:10" ht="18" customHeight="1" x14ac:dyDescent="0.3">
      <c r="A99" s="82">
        <v>1906</v>
      </c>
      <c r="B99" s="93">
        <v>45944</v>
      </c>
      <c r="C99" s="83" t="s">
        <v>3115</v>
      </c>
      <c r="D99" s="113" t="s">
        <v>2197</v>
      </c>
      <c r="F99" s="80"/>
      <c r="G99" s="120">
        <v>1</v>
      </c>
      <c r="I99" s="80">
        <v>0</v>
      </c>
    </row>
    <row r="100" spans="1:10" ht="18" customHeight="1" x14ac:dyDescent="0.3">
      <c r="A100" s="82">
        <v>1907</v>
      </c>
      <c r="B100" s="93">
        <v>45944</v>
      </c>
      <c r="C100" s="83" t="s">
        <v>2998</v>
      </c>
      <c r="D100" s="113" t="s">
        <v>1125</v>
      </c>
      <c r="F100" s="80"/>
      <c r="G100" s="120"/>
      <c r="J100" s="80">
        <v>-1200000</v>
      </c>
    </row>
    <row r="101" spans="1:10" ht="18" customHeight="1" x14ac:dyDescent="0.3">
      <c r="A101" s="82">
        <v>1909</v>
      </c>
      <c r="B101" s="93">
        <v>45945</v>
      </c>
      <c r="C101" s="83" t="s">
        <v>1399</v>
      </c>
      <c r="D101" s="113" t="s">
        <v>3932</v>
      </c>
      <c r="F101" s="80">
        <v>1000000</v>
      </c>
      <c r="G101" s="120">
        <v>1</v>
      </c>
      <c r="I101" s="80">
        <v>1000000</v>
      </c>
    </row>
    <row r="102" spans="1:10" ht="18" customHeight="1" x14ac:dyDescent="0.3">
      <c r="A102" s="82">
        <v>1910</v>
      </c>
      <c r="B102" s="93">
        <v>45945</v>
      </c>
      <c r="C102" s="83" t="s">
        <v>1931</v>
      </c>
      <c r="D102" s="113" t="s">
        <v>2202</v>
      </c>
      <c r="F102" s="80">
        <v>1900000</v>
      </c>
      <c r="G102" s="120">
        <v>1</v>
      </c>
      <c r="I102" s="80">
        <v>1900000</v>
      </c>
    </row>
    <row r="103" spans="1:10" ht="18" customHeight="1" x14ac:dyDescent="0.3">
      <c r="A103" s="82">
        <v>1911</v>
      </c>
      <c r="B103" s="93">
        <v>45945</v>
      </c>
      <c r="C103" s="83" t="s">
        <v>1931</v>
      </c>
      <c r="D103" s="113" t="s">
        <v>2181</v>
      </c>
      <c r="F103" s="80">
        <v>50000</v>
      </c>
      <c r="G103" s="120">
        <v>1</v>
      </c>
      <c r="I103" s="80">
        <v>50000</v>
      </c>
    </row>
    <row r="104" spans="1:10" ht="18" customHeight="1" x14ac:dyDescent="0.3">
      <c r="A104" s="82">
        <v>1912</v>
      </c>
      <c r="B104" s="93">
        <v>45945</v>
      </c>
      <c r="C104" s="83" t="s">
        <v>1467</v>
      </c>
      <c r="D104" s="113" t="s">
        <v>2202</v>
      </c>
      <c r="F104" s="80">
        <v>1800000</v>
      </c>
      <c r="G104" s="120">
        <v>1</v>
      </c>
      <c r="H104" s="126">
        <v>180000</v>
      </c>
      <c r="I104" s="80">
        <v>1980000</v>
      </c>
    </row>
    <row r="105" spans="1:10" ht="18" customHeight="1" x14ac:dyDescent="0.3">
      <c r="A105" s="82">
        <v>1913</v>
      </c>
      <c r="B105" s="93">
        <v>45945</v>
      </c>
      <c r="C105" s="83" t="s">
        <v>1467</v>
      </c>
      <c r="D105" s="113" t="s">
        <v>2181</v>
      </c>
      <c r="F105" s="80">
        <v>50000</v>
      </c>
      <c r="G105" s="120">
        <v>1</v>
      </c>
      <c r="H105" s="126">
        <v>5000</v>
      </c>
      <c r="I105" s="80">
        <v>55000</v>
      </c>
    </row>
    <row r="106" spans="1:10" ht="18" customHeight="1" x14ac:dyDescent="0.3">
      <c r="A106" s="82">
        <v>1914</v>
      </c>
      <c r="B106" s="93">
        <v>45945</v>
      </c>
      <c r="C106" s="83" t="s">
        <v>1467</v>
      </c>
      <c r="D106" s="113" t="s">
        <v>2680</v>
      </c>
      <c r="F106" s="80">
        <v>200000</v>
      </c>
      <c r="G106" s="120">
        <v>1</v>
      </c>
      <c r="H106" s="126">
        <v>20000</v>
      </c>
      <c r="I106" s="80">
        <v>220000</v>
      </c>
    </row>
    <row r="107" spans="1:10" ht="18" customHeight="1" x14ac:dyDescent="0.3">
      <c r="A107" s="82">
        <v>1915</v>
      </c>
      <c r="B107" s="93">
        <v>45945</v>
      </c>
      <c r="C107" s="83" t="s">
        <v>2113</v>
      </c>
      <c r="D107" s="113" t="s">
        <v>1743</v>
      </c>
      <c r="F107" s="80">
        <v>1100000</v>
      </c>
      <c r="G107" s="120">
        <v>1</v>
      </c>
      <c r="I107" s="80">
        <v>1100000</v>
      </c>
    </row>
    <row r="108" spans="1:10" ht="18" customHeight="1" x14ac:dyDescent="0.3">
      <c r="A108" s="82">
        <v>1916</v>
      </c>
      <c r="B108" s="93">
        <v>45945</v>
      </c>
      <c r="C108" s="83" t="s">
        <v>2113</v>
      </c>
      <c r="D108" s="113" t="s">
        <v>3051</v>
      </c>
      <c r="F108" s="80">
        <v>1000000</v>
      </c>
      <c r="G108" s="120">
        <v>1</v>
      </c>
      <c r="I108" s="80">
        <v>1000000</v>
      </c>
    </row>
    <row r="109" spans="1:10" ht="18" customHeight="1" x14ac:dyDescent="0.3">
      <c r="A109" s="82">
        <v>1917</v>
      </c>
      <c r="B109" s="93">
        <v>45945</v>
      </c>
      <c r="C109" s="83" t="s">
        <v>3938</v>
      </c>
      <c r="D109" s="113" t="s">
        <v>1743</v>
      </c>
      <c r="F109" s="80">
        <v>650000</v>
      </c>
      <c r="G109" s="120">
        <v>1</v>
      </c>
      <c r="I109" s="80">
        <v>650000</v>
      </c>
    </row>
    <row r="110" spans="1:10" ht="18" customHeight="1" x14ac:dyDescent="0.3">
      <c r="A110" s="82">
        <v>1918</v>
      </c>
      <c r="B110" s="93">
        <v>45945</v>
      </c>
      <c r="C110" s="83" t="s">
        <v>1790</v>
      </c>
      <c r="D110" s="113" t="s">
        <v>1743</v>
      </c>
      <c r="F110" s="80">
        <v>650000</v>
      </c>
      <c r="G110" s="120">
        <v>1</v>
      </c>
      <c r="I110" s="80">
        <v>650000</v>
      </c>
    </row>
    <row r="111" spans="1:10" ht="18" customHeight="1" x14ac:dyDescent="0.3">
      <c r="A111" s="82">
        <v>1919</v>
      </c>
      <c r="B111" s="93">
        <v>45945</v>
      </c>
      <c r="C111" s="83" t="s">
        <v>1790</v>
      </c>
      <c r="D111" s="113" t="s">
        <v>1519</v>
      </c>
      <c r="F111" s="80">
        <v>30000</v>
      </c>
      <c r="G111" s="120">
        <v>1</v>
      </c>
      <c r="I111" s="80">
        <v>30000</v>
      </c>
    </row>
    <row r="112" spans="1:10" ht="18" customHeight="1" x14ac:dyDescent="0.3">
      <c r="A112" s="82">
        <v>1920</v>
      </c>
      <c r="B112" s="93">
        <v>45945</v>
      </c>
      <c r="C112" s="83" t="s">
        <v>1046</v>
      </c>
      <c r="D112" s="113" t="s">
        <v>1743</v>
      </c>
      <c r="F112" s="80">
        <v>1100000</v>
      </c>
      <c r="G112" s="120">
        <v>1</v>
      </c>
      <c r="I112" s="80">
        <v>1100000</v>
      </c>
    </row>
    <row r="113" spans="1:10" ht="18" customHeight="1" x14ac:dyDescent="0.3">
      <c r="A113" s="82">
        <v>1921</v>
      </c>
      <c r="B113" s="93">
        <v>45945</v>
      </c>
      <c r="C113" s="83" t="s">
        <v>1494</v>
      </c>
      <c r="D113" s="113" t="s">
        <v>1496</v>
      </c>
      <c r="F113" s="80">
        <v>350000</v>
      </c>
      <c r="G113" s="120">
        <v>2</v>
      </c>
      <c r="I113" s="80">
        <v>700000</v>
      </c>
    </row>
    <row r="114" spans="1:10" ht="18" customHeight="1" x14ac:dyDescent="0.3">
      <c r="A114" s="82">
        <v>1922</v>
      </c>
      <c r="B114" s="93">
        <v>45945</v>
      </c>
      <c r="C114" s="83" t="s">
        <v>1449</v>
      </c>
      <c r="D114" s="113" t="s">
        <v>3466</v>
      </c>
      <c r="F114" s="80">
        <v>526364</v>
      </c>
      <c r="G114" s="120">
        <v>1</v>
      </c>
      <c r="H114" s="126">
        <v>52636</v>
      </c>
      <c r="I114" s="80">
        <v>579000</v>
      </c>
    </row>
    <row r="115" spans="1:10" ht="18" customHeight="1" x14ac:dyDescent="0.3">
      <c r="A115" s="82">
        <v>1923</v>
      </c>
      <c r="B115" s="93">
        <v>45945</v>
      </c>
      <c r="C115" s="83" t="s">
        <v>1449</v>
      </c>
      <c r="D115" s="113" t="s">
        <v>3946</v>
      </c>
      <c r="F115" s="80">
        <v>600000</v>
      </c>
      <c r="G115" s="120">
        <v>1</v>
      </c>
      <c r="H115" s="126">
        <v>60000</v>
      </c>
      <c r="I115" s="80">
        <v>660000</v>
      </c>
    </row>
    <row r="116" spans="1:10" ht="18" customHeight="1" x14ac:dyDescent="0.3">
      <c r="A116" s="82">
        <v>1924</v>
      </c>
      <c r="B116" s="93">
        <v>45945</v>
      </c>
      <c r="C116" s="83" t="s">
        <v>1449</v>
      </c>
      <c r="D116" s="113" t="s">
        <v>2190</v>
      </c>
      <c r="F116" s="80">
        <v>70000</v>
      </c>
      <c r="G116" s="120">
        <v>1</v>
      </c>
      <c r="H116" s="126">
        <v>7000</v>
      </c>
      <c r="I116" s="80">
        <v>77000</v>
      </c>
    </row>
    <row r="117" spans="1:10" ht="18" customHeight="1" x14ac:dyDescent="0.3">
      <c r="A117" s="82">
        <v>1925</v>
      </c>
      <c r="B117" s="93">
        <v>45945</v>
      </c>
      <c r="C117" s="83" t="s">
        <v>1449</v>
      </c>
      <c r="D117" s="113" t="s">
        <v>2192</v>
      </c>
      <c r="F117" s="80">
        <v>10000</v>
      </c>
      <c r="G117" s="120">
        <v>2</v>
      </c>
      <c r="H117" s="126">
        <v>2000</v>
      </c>
      <c r="I117" s="80">
        <v>22000</v>
      </c>
    </row>
    <row r="118" spans="1:10" ht="18" customHeight="1" x14ac:dyDescent="0.3">
      <c r="A118" s="82">
        <v>1926</v>
      </c>
      <c r="B118" s="93">
        <v>45945</v>
      </c>
      <c r="C118" s="83" t="s">
        <v>1449</v>
      </c>
      <c r="D118" s="113" t="s">
        <v>2191</v>
      </c>
      <c r="F118" s="80">
        <v>35000</v>
      </c>
      <c r="G118" s="120">
        <v>1</v>
      </c>
      <c r="H118" s="126">
        <v>3500</v>
      </c>
      <c r="I118" s="80">
        <v>38500</v>
      </c>
    </row>
    <row r="119" spans="1:10" ht="18" customHeight="1" x14ac:dyDescent="0.3">
      <c r="A119" s="82">
        <v>1927</v>
      </c>
      <c r="B119" s="93">
        <v>45946</v>
      </c>
      <c r="C119" s="83" t="s">
        <v>1867</v>
      </c>
      <c r="D119" s="113" t="s">
        <v>3949</v>
      </c>
      <c r="F119" s="80"/>
      <c r="G119" s="120"/>
      <c r="J119" s="80">
        <v>-1100000</v>
      </c>
    </row>
    <row r="120" spans="1:10" ht="18" customHeight="1" x14ac:dyDescent="0.3">
      <c r="A120" s="82">
        <v>1928</v>
      </c>
      <c r="B120" s="93">
        <v>45944</v>
      </c>
      <c r="C120" s="83" t="s">
        <v>1931</v>
      </c>
      <c r="D120" s="113" t="s">
        <v>3950</v>
      </c>
      <c r="F120" s="80"/>
      <c r="G120" s="120"/>
      <c r="J120" s="80">
        <v>-2500000</v>
      </c>
    </row>
    <row r="121" spans="1:10" ht="18" customHeight="1" x14ac:dyDescent="0.3">
      <c r="A121" s="82">
        <v>1929</v>
      </c>
      <c r="B121" s="93">
        <v>45946</v>
      </c>
      <c r="C121" s="83" t="s">
        <v>3938</v>
      </c>
      <c r="D121" s="113" t="s">
        <v>3951</v>
      </c>
      <c r="F121" s="80"/>
      <c r="G121" s="120"/>
      <c r="J121" s="80">
        <v>-650000</v>
      </c>
    </row>
    <row r="122" spans="1:10" ht="18" customHeight="1" x14ac:dyDescent="0.3">
      <c r="A122" s="82">
        <v>1930</v>
      </c>
      <c r="B122" s="93">
        <v>45946</v>
      </c>
      <c r="C122" s="83" t="s">
        <v>1473</v>
      </c>
      <c r="D122" s="113" t="s">
        <v>3466</v>
      </c>
      <c r="F122" s="120">
        <v>520000</v>
      </c>
      <c r="G122" s="85">
        <v>2</v>
      </c>
      <c r="I122" s="80">
        <v>1040000</v>
      </c>
    </row>
    <row r="123" spans="1:10" ht="18" customHeight="1" x14ac:dyDescent="0.3">
      <c r="A123" s="82">
        <v>1931</v>
      </c>
      <c r="B123" s="93">
        <v>45946</v>
      </c>
      <c r="C123" s="83" t="s">
        <v>1485</v>
      </c>
      <c r="D123" s="113" t="s">
        <v>1151</v>
      </c>
      <c r="F123" s="120">
        <v>1750000</v>
      </c>
      <c r="G123" s="85">
        <v>1</v>
      </c>
      <c r="I123" s="80">
        <v>1750000</v>
      </c>
    </row>
    <row r="124" spans="1:10" ht="18" customHeight="1" x14ac:dyDescent="0.3">
      <c r="A124" s="82">
        <v>1932</v>
      </c>
      <c r="B124" s="93">
        <v>45946</v>
      </c>
      <c r="C124" s="83" t="s">
        <v>1598</v>
      </c>
      <c r="D124" s="113" t="s">
        <v>1203</v>
      </c>
      <c r="F124" s="120">
        <v>1000000</v>
      </c>
      <c r="G124" s="85">
        <v>1</v>
      </c>
      <c r="I124" s="80">
        <v>1000000</v>
      </c>
    </row>
    <row r="125" spans="1:10" ht="18" customHeight="1" x14ac:dyDescent="0.3">
      <c r="A125" s="82">
        <v>1933</v>
      </c>
      <c r="B125" s="93">
        <v>45946</v>
      </c>
      <c r="C125" s="83" t="s">
        <v>3952</v>
      </c>
      <c r="D125" s="113" t="s">
        <v>2196</v>
      </c>
      <c r="F125" s="120">
        <v>1600000</v>
      </c>
      <c r="G125" s="85">
        <v>1</v>
      </c>
      <c r="I125" s="80">
        <v>1600000</v>
      </c>
    </row>
    <row r="126" spans="1:10" ht="18" customHeight="1" x14ac:dyDescent="0.3">
      <c r="A126" s="82">
        <v>1934</v>
      </c>
      <c r="B126" s="93">
        <v>45946</v>
      </c>
      <c r="C126" s="83" t="s">
        <v>3823</v>
      </c>
      <c r="D126" s="113" t="s">
        <v>1743</v>
      </c>
      <c r="F126" s="120">
        <v>650000</v>
      </c>
      <c r="G126" s="85">
        <v>1</v>
      </c>
      <c r="H126" s="126">
        <v>65000</v>
      </c>
      <c r="I126" s="80">
        <v>715000</v>
      </c>
    </row>
    <row r="127" spans="1:10" ht="18" customHeight="1" x14ac:dyDescent="0.3">
      <c r="A127" s="82">
        <v>1935</v>
      </c>
      <c r="B127" s="93">
        <v>45946</v>
      </c>
      <c r="C127" s="83" t="s">
        <v>1790</v>
      </c>
      <c r="D127" s="113" t="s">
        <v>3964</v>
      </c>
      <c r="F127" s="120">
        <v>1000000</v>
      </c>
      <c r="G127" s="85">
        <v>1</v>
      </c>
      <c r="I127" s="80">
        <v>1000000</v>
      </c>
    </row>
    <row r="128" spans="1:10" ht="18" customHeight="1" x14ac:dyDescent="0.3">
      <c r="A128" s="82">
        <v>1936</v>
      </c>
      <c r="B128" s="93">
        <v>45946</v>
      </c>
      <c r="C128" s="83" t="s">
        <v>1485</v>
      </c>
      <c r="D128" s="113" t="s">
        <v>3966</v>
      </c>
      <c r="J128" s="80">
        <v>-1750000</v>
      </c>
    </row>
    <row r="129" spans="1:11" ht="18" customHeight="1" x14ac:dyDescent="0.3">
      <c r="A129" s="82">
        <v>1937</v>
      </c>
      <c r="B129" s="93">
        <v>45946</v>
      </c>
      <c r="C129" s="83" t="s">
        <v>1598</v>
      </c>
      <c r="D129" s="113" t="s">
        <v>3875</v>
      </c>
      <c r="J129" s="80">
        <v>-1000000</v>
      </c>
    </row>
    <row r="130" spans="1:11" ht="18" customHeight="1" x14ac:dyDescent="0.3">
      <c r="A130" s="82">
        <v>1938</v>
      </c>
      <c r="B130" s="93">
        <v>45946</v>
      </c>
      <c r="C130" s="83" t="s">
        <v>3823</v>
      </c>
      <c r="D130" s="113" t="s">
        <v>3967</v>
      </c>
      <c r="J130" s="80">
        <v>-715000</v>
      </c>
    </row>
    <row r="131" spans="1:11" ht="18" customHeight="1" x14ac:dyDescent="0.3">
      <c r="A131" s="82">
        <v>1939</v>
      </c>
      <c r="B131" s="93">
        <v>45946</v>
      </c>
      <c r="C131" s="83" t="s">
        <v>3952</v>
      </c>
      <c r="D131" s="113" t="s">
        <v>3968</v>
      </c>
      <c r="J131" s="80">
        <v>-1600000</v>
      </c>
    </row>
    <row r="132" spans="1:11" ht="18" customHeight="1" x14ac:dyDescent="0.3">
      <c r="A132" s="82">
        <v>1940</v>
      </c>
      <c r="B132" s="93">
        <v>45946</v>
      </c>
      <c r="C132" s="83" t="s">
        <v>1931</v>
      </c>
      <c r="D132" s="113" t="s">
        <v>3950</v>
      </c>
      <c r="J132" s="80">
        <v>-1950000</v>
      </c>
    </row>
    <row r="133" spans="1:11" ht="18" customHeight="1" x14ac:dyDescent="0.3">
      <c r="A133" s="82">
        <v>1941</v>
      </c>
      <c r="B133" s="93">
        <v>45947</v>
      </c>
      <c r="C133" s="83" t="s">
        <v>1469</v>
      </c>
      <c r="D133" s="113" t="s">
        <v>1203</v>
      </c>
      <c r="F133" s="120">
        <v>1300000</v>
      </c>
      <c r="G133" s="85">
        <v>1</v>
      </c>
      <c r="I133" s="80">
        <v>1300000</v>
      </c>
    </row>
    <row r="134" spans="1:11" ht="18" customHeight="1" x14ac:dyDescent="0.3">
      <c r="A134" s="82">
        <v>1942</v>
      </c>
      <c r="B134" s="93">
        <v>45947</v>
      </c>
      <c r="C134" s="83" t="s">
        <v>1469</v>
      </c>
      <c r="D134" s="113" t="s">
        <v>3969</v>
      </c>
      <c r="F134" s="120">
        <v>200000</v>
      </c>
      <c r="G134" s="85">
        <v>1</v>
      </c>
      <c r="I134" s="80">
        <v>200000</v>
      </c>
    </row>
    <row r="135" spans="1:11" ht="18" customHeight="1" x14ac:dyDescent="0.3">
      <c r="A135" s="82">
        <v>1943</v>
      </c>
      <c r="B135" s="93">
        <v>45947</v>
      </c>
      <c r="C135" s="83" t="s">
        <v>1147</v>
      </c>
      <c r="D135" s="113" t="s">
        <v>2194</v>
      </c>
      <c r="F135" s="120">
        <v>600000</v>
      </c>
      <c r="G135" s="85">
        <v>1</v>
      </c>
      <c r="I135" s="80">
        <v>600000</v>
      </c>
    </row>
    <row r="136" spans="1:11" ht="18" customHeight="1" x14ac:dyDescent="0.3">
      <c r="A136" s="82">
        <v>1944</v>
      </c>
      <c r="B136" s="93">
        <v>45947</v>
      </c>
      <c r="C136" s="83" t="s">
        <v>1147</v>
      </c>
      <c r="D136" s="113" t="s">
        <v>2192</v>
      </c>
      <c r="F136" s="120">
        <v>10000</v>
      </c>
      <c r="G136" s="85">
        <v>2</v>
      </c>
      <c r="I136" s="80">
        <v>20000</v>
      </c>
    </row>
    <row r="137" spans="1:11" ht="18" customHeight="1" x14ac:dyDescent="0.3">
      <c r="A137" s="82">
        <v>1945</v>
      </c>
      <c r="B137" s="93">
        <v>45947</v>
      </c>
      <c r="C137" s="83" t="s">
        <v>1147</v>
      </c>
      <c r="D137" s="113" t="s">
        <v>3971</v>
      </c>
      <c r="F137" s="120">
        <v>400000</v>
      </c>
      <c r="G137" s="85">
        <v>1</v>
      </c>
      <c r="I137" s="80">
        <v>400000</v>
      </c>
    </row>
    <row r="138" spans="1:11" ht="18" customHeight="1" x14ac:dyDescent="0.3">
      <c r="A138" s="82">
        <v>1946</v>
      </c>
      <c r="B138" s="93">
        <v>45947</v>
      </c>
      <c r="C138" s="83" t="s">
        <v>1147</v>
      </c>
      <c r="D138" s="113" t="s">
        <v>1717</v>
      </c>
      <c r="F138" s="120">
        <v>150000</v>
      </c>
      <c r="G138" s="85">
        <v>1</v>
      </c>
      <c r="I138" s="80">
        <v>150000</v>
      </c>
    </row>
    <row r="140" spans="1:11" ht="18" customHeight="1" x14ac:dyDescent="0.3">
      <c r="K140" s="69" t="s">
        <v>3520</v>
      </c>
    </row>
    <row r="141" spans="1:11" ht="18" customHeight="1" x14ac:dyDescent="0.3">
      <c r="K141" s="69" t="s">
        <v>3520</v>
      </c>
    </row>
    <row r="142" spans="1:11" ht="18" customHeight="1" x14ac:dyDescent="0.3">
      <c r="K142" s="69" t="s">
        <v>3520</v>
      </c>
    </row>
    <row r="143" spans="1:11" ht="18" customHeight="1" x14ac:dyDescent="0.3">
      <c r="K143" s="69" t="s">
        <v>3520</v>
      </c>
    </row>
    <row r="144" spans="1:11" ht="18" customHeight="1" x14ac:dyDescent="0.3">
      <c r="K144" s="69" t="s">
        <v>3520</v>
      </c>
    </row>
    <row r="145" spans="11:11" ht="18" customHeight="1" x14ac:dyDescent="0.3">
      <c r="K145" s="69" t="s">
        <v>3520</v>
      </c>
    </row>
    <row r="146" spans="11:11" ht="18" customHeight="1" x14ac:dyDescent="0.3">
      <c r="K146" s="69" t="s">
        <v>3520</v>
      </c>
    </row>
    <row r="147" spans="11:11" ht="18" customHeight="1" x14ac:dyDescent="0.3">
      <c r="K147" s="69" t="s">
        <v>3520</v>
      </c>
    </row>
    <row r="148" spans="11:11" ht="18" customHeight="1" x14ac:dyDescent="0.3">
      <c r="K148" s="69" t="s">
        <v>3520</v>
      </c>
    </row>
    <row r="150" spans="11:11" ht="18" customHeight="1" x14ac:dyDescent="0.3">
      <c r="K150" s="69" t="s">
        <v>3520</v>
      </c>
    </row>
    <row r="151" spans="11:11" ht="18" customHeight="1" x14ac:dyDescent="0.3">
      <c r="K151" s="69" t="s">
        <v>3520</v>
      </c>
    </row>
    <row r="152" spans="11:11" ht="18" customHeight="1" x14ac:dyDescent="0.3">
      <c r="K152" s="69" t="s">
        <v>3520</v>
      </c>
    </row>
    <row r="153" spans="11:11" ht="18" customHeight="1" x14ac:dyDescent="0.3">
      <c r="K153" s="69" t="s">
        <v>3520</v>
      </c>
    </row>
    <row r="154" spans="11:11" ht="18" customHeight="1" x14ac:dyDescent="0.3">
      <c r="K154" s="69" t="s">
        <v>3520</v>
      </c>
    </row>
    <row r="155" spans="11:11" ht="18" customHeight="1" x14ac:dyDescent="0.3">
      <c r="K155" s="69" t="s">
        <v>3520</v>
      </c>
    </row>
    <row r="156" spans="11:11" ht="18" customHeight="1" x14ac:dyDescent="0.3">
      <c r="K156" s="69" t="s">
        <v>3520</v>
      </c>
    </row>
    <row r="157" spans="11:11" ht="18" customHeight="1" x14ac:dyDescent="0.3">
      <c r="K157" s="69" t="s">
        <v>3520</v>
      </c>
    </row>
    <row r="200" spans="9:9" ht="18" customHeight="1" x14ac:dyDescent="0.3">
      <c r="I200" s="126"/>
    </row>
    <row r="201" spans="9:9" ht="18" customHeight="1" x14ac:dyDescent="0.3">
      <c r="I201" s="126"/>
    </row>
  </sheetData>
  <autoFilter ref="A8:J179" xr:uid="{AF8F0A96-8AAB-402E-A9D0-F8470108AD8B}">
    <sortState xmlns:xlrd2="http://schemas.microsoft.com/office/spreadsheetml/2017/richdata2" ref="A9:J50">
      <sortCondition ref="A8:A17"/>
    </sortState>
  </autoFilter>
  <phoneticPr fontId="2" type="noConversion"/>
  <conditionalFormatting sqref="D1:D1048576">
    <cfRule type="containsText" dxfId="2" priority="1" operator="containsText" text="Schaeffler">
      <formula>NOT(ISERROR(SEARCH("Schaeffler",D1)))</formula>
    </cfRule>
  </conditionalFormatting>
  <pageMargins left="0.7" right="0.7" top="0.75" bottom="0.75" header="0.3" footer="0.3"/>
  <pageSetup paperSize="9" orientation="portrait" verticalDpi="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AD9640-D19C-4B03-BA40-3E32D1FC9E65}">
  <sheetPr codeName="Sheet8"/>
  <dimension ref="A1:R224"/>
  <sheetViews>
    <sheetView workbookViewId="0">
      <selection activeCell="D1" sqref="D1"/>
    </sheetView>
  </sheetViews>
  <sheetFormatPr defaultRowHeight="16.5" x14ac:dyDescent="0.3"/>
  <cols>
    <col min="2" max="2" width="26.875" bestFit="1" customWidth="1"/>
    <col min="3" max="3" width="24.25" customWidth="1"/>
    <col min="6" max="6" width="23.75" customWidth="1"/>
    <col min="8" max="8" width="12.375" customWidth="1"/>
    <col min="9" max="9" width="16.75" customWidth="1"/>
    <col min="10" max="10" width="11" customWidth="1"/>
  </cols>
  <sheetData>
    <row r="1" spans="1:6" ht="17.25" thickBot="1" x14ac:dyDescent="0.35">
      <c r="A1" s="60" t="s">
        <v>3675</v>
      </c>
      <c r="B1" s="283" t="s">
        <v>49</v>
      </c>
      <c r="C1" s="299" t="s">
        <v>2832</v>
      </c>
      <c r="D1" s="283" t="s">
        <v>2831</v>
      </c>
      <c r="E1" s="283"/>
      <c r="F1" s="282"/>
    </row>
    <row r="2" spans="1:6" x14ac:dyDescent="0.3">
      <c r="B2" s="269" t="s">
        <v>1352</v>
      </c>
      <c r="C2" s="268">
        <f>SUMIF(BTS_매출관리!C:C,B2,BTS_매출관리!I:I)</f>
        <v>5550000</v>
      </c>
      <c r="D2" s="269">
        <f t="shared" ref="D2:D65" si="0">RANK(C2,C:C,0)</f>
        <v>1</v>
      </c>
      <c r="E2" t="s">
        <v>3809</v>
      </c>
    </row>
    <row r="3" spans="1:6" x14ac:dyDescent="0.3">
      <c r="B3" s="58" t="s">
        <v>1302</v>
      </c>
      <c r="C3" s="301">
        <f>SUMIF(BTS_매출관리!C:C,B3,BTS_매출관리!I:I)</f>
        <v>4050000</v>
      </c>
      <c r="D3" s="58">
        <f t="shared" si="0"/>
        <v>2</v>
      </c>
      <c r="E3" t="s">
        <v>3809</v>
      </c>
    </row>
    <row r="4" spans="1:6" x14ac:dyDescent="0.3">
      <c r="B4" s="58" t="s">
        <v>2215</v>
      </c>
      <c r="C4" s="301">
        <f>SUMIF(BTS_매출관리!C:C,B4,BTS_매출관리!I:I)</f>
        <v>2970000</v>
      </c>
      <c r="D4" s="58">
        <f t="shared" si="0"/>
        <v>3</v>
      </c>
      <c r="E4" t="s">
        <v>3809</v>
      </c>
    </row>
    <row r="5" spans="1:6" x14ac:dyDescent="0.3">
      <c r="B5" s="269" t="s">
        <v>1324</v>
      </c>
      <c r="C5" s="268">
        <f>SUMIF(BTS_매출관리!C:C,B5,BTS_매출관리!I:I)</f>
        <v>2895000</v>
      </c>
      <c r="D5" s="269">
        <f t="shared" si="0"/>
        <v>5</v>
      </c>
      <c r="E5" t="s">
        <v>3809</v>
      </c>
    </row>
    <row r="6" spans="1:6" x14ac:dyDescent="0.3">
      <c r="B6" s="58" t="s">
        <v>1336</v>
      </c>
      <c r="C6" s="301">
        <f>SUMIF(BTS_매출관리!C:C,B6,BTS_매출관리!I:I)</f>
        <v>2305000</v>
      </c>
      <c r="D6" s="58">
        <f t="shared" si="0"/>
        <v>6</v>
      </c>
      <c r="E6" t="s">
        <v>3809</v>
      </c>
    </row>
    <row r="7" spans="1:6" x14ac:dyDescent="0.3">
      <c r="B7" s="58" t="s">
        <v>1290</v>
      </c>
      <c r="C7" s="301">
        <f>SUMIF(BTS_매출관리!C:C,B7,BTS_매출관리!I:I)</f>
        <v>2255000</v>
      </c>
      <c r="D7" s="58">
        <f t="shared" si="0"/>
        <v>7</v>
      </c>
      <c r="E7" t="s">
        <v>3809</v>
      </c>
    </row>
    <row r="8" spans="1:6" x14ac:dyDescent="0.3">
      <c r="B8" s="269" t="s">
        <v>1281</v>
      </c>
      <c r="C8" s="268">
        <f>SUMIF(BTS_매출관리!C:C,B8,BTS_매출관리!I:I)</f>
        <v>2100000</v>
      </c>
      <c r="D8" s="269">
        <f t="shared" si="0"/>
        <v>8</v>
      </c>
      <c r="E8" t="s">
        <v>3809</v>
      </c>
    </row>
    <row r="9" spans="1:6" x14ac:dyDescent="0.3">
      <c r="B9" s="58" t="s">
        <v>1035</v>
      </c>
      <c r="C9" s="301">
        <f>SUMIF(BTS_매출관리!C:C,B9,BTS_매출관리!I:I)</f>
        <v>1955000</v>
      </c>
      <c r="D9" s="58">
        <f t="shared" si="0"/>
        <v>10</v>
      </c>
      <c r="E9" t="s">
        <v>3809</v>
      </c>
    </row>
    <row r="10" spans="1:6" x14ac:dyDescent="0.3">
      <c r="B10" s="58" t="s">
        <v>1279</v>
      </c>
      <c r="C10" s="301">
        <f>SUMIF(BTS_매출관리!C:C,B10,BTS_매출관리!I:I)</f>
        <v>2900000</v>
      </c>
      <c r="D10" s="58">
        <f t="shared" si="0"/>
        <v>4</v>
      </c>
      <c r="E10" t="s">
        <v>3809</v>
      </c>
    </row>
    <row r="11" spans="1:6" x14ac:dyDescent="0.3">
      <c r="B11" s="269" t="s">
        <v>1342</v>
      </c>
      <c r="C11" s="268">
        <f>SUMIF(BTS_매출관리!C:C,B11,BTS_매출관리!I:I)</f>
        <v>1650000</v>
      </c>
      <c r="D11" s="269">
        <f t="shared" si="0"/>
        <v>13</v>
      </c>
      <c r="E11" t="s">
        <v>3809</v>
      </c>
    </row>
    <row r="12" spans="1:6" x14ac:dyDescent="0.3">
      <c r="B12" s="269" t="s">
        <v>1374</v>
      </c>
      <c r="C12" s="268">
        <f>SUMIF(BTS_매출관리!C:C,B12,BTS_매출관리!I:I)</f>
        <v>1550000</v>
      </c>
      <c r="D12" s="269">
        <f t="shared" si="0"/>
        <v>14</v>
      </c>
      <c r="E12" t="s">
        <v>3809</v>
      </c>
      <c r="F12" t="str">
        <f>IF(D12 &lt; 10,,"")</f>
        <v/>
      </c>
    </row>
    <row r="13" spans="1:6" x14ac:dyDescent="0.3">
      <c r="B13" s="269" t="s">
        <v>3403</v>
      </c>
      <c r="C13" s="268">
        <f>SUMIF(BTS_매출관리!C:C,B13,BTS_매출관리!I:I)</f>
        <v>1550000</v>
      </c>
      <c r="D13" s="269">
        <f t="shared" si="0"/>
        <v>14</v>
      </c>
      <c r="E13" t="s">
        <v>3809</v>
      </c>
      <c r="F13" t="str">
        <f>IF(D13 &lt; 10,,"")</f>
        <v/>
      </c>
    </row>
    <row r="14" spans="1:6" x14ac:dyDescent="0.3">
      <c r="B14" s="269" t="s">
        <v>1268</v>
      </c>
      <c r="C14" s="268">
        <f>SUMIF(BTS_매출관리!C:C,B14,BTS_매출관리!I:I)</f>
        <v>1429000</v>
      </c>
      <c r="D14" s="269">
        <f t="shared" si="0"/>
        <v>17</v>
      </c>
      <c r="E14" t="s">
        <v>3809</v>
      </c>
      <c r="F14" t="str">
        <f>IF(D14 &lt; 10,,"")</f>
        <v/>
      </c>
    </row>
    <row r="15" spans="1:6" x14ac:dyDescent="0.3">
      <c r="B15" s="58" t="s">
        <v>1334</v>
      </c>
      <c r="C15" s="301">
        <f>SUMIF(BTS_매출관리!C:C,B15,BTS_매출관리!I:I)</f>
        <v>1376500</v>
      </c>
      <c r="D15" s="58">
        <f t="shared" si="0"/>
        <v>18</v>
      </c>
      <c r="E15" t="s">
        <v>3809</v>
      </c>
    </row>
    <row r="16" spans="1:6" x14ac:dyDescent="0.3">
      <c r="B16" s="58" t="s">
        <v>1349</v>
      </c>
      <c r="C16" s="301">
        <f>SUMIF(BTS_매출관리!C:C,B16,BTS_매출관리!I:I)</f>
        <v>1320000</v>
      </c>
      <c r="D16" s="58">
        <f t="shared" si="0"/>
        <v>19</v>
      </c>
      <c r="E16" t="s">
        <v>3809</v>
      </c>
    </row>
    <row r="17" spans="2:18" x14ac:dyDescent="0.3">
      <c r="B17" s="58" t="s">
        <v>1023</v>
      </c>
      <c r="C17" s="301">
        <f>SUMIF(BTS_매출관리!C:C,B17,BTS_매출관리!I:I)</f>
        <v>1200000</v>
      </c>
      <c r="D17" s="58">
        <f t="shared" si="0"/>
        <v>20</v>
      </c>
      <c r="E17" t="s">
        <v>3809</v>
      </c>
    </row>
    <row r="18" spans="2:18" x14ac:dyDescent="0.3">
      <c r="B18" s="269" t="s">
        <v>1094</v>
      </c>
      <c r="C18" s="268">
        <f>SUMIF(BTS_매출관리!C:C,B18,BTS_매출관리!I:I)</f>
        <v>1873000</v>
      </c>
      <c r="D18" s="269">
        <f t="shared" si="0"/>
        <v>11</v>
      </c>
      <c r="E18" t="s">
        <v>3773</v>
      </c>
    </row>
    <row r="19" spans="2:18" x14ac:dyDescent="0.3">
      <c r="B19" s="58" t="s">
        <v>1488</v>
      </c>
      <c r="C19" s="301">
        <f>SUMIF(BTS_매출관리!C:C,B19,BTS_매출관리!I:I)</f>
        <v>1100000</v>
      </c>
      <c r="D19" s="58">
        <f t="shared" si="0"/>
        <v>22</v>
      </c>
      <c r="E19" t="s">
        <v>3809</v>
      </c>
    </row>
    <row r="20" spans="2:18" x14ac:dyDescent="0.3">
      <c r="B20" s="269" t="s">
        <v>1315</v>
      </c>
      <c r="C20" s="268">
        <f>SUMIF(BTS_매출관리!C:C,B20,BTS_매출관리!I:I)</f>
        <v>1100000</v>
      </c>
      <c r="D20" s="269">
        <f t="shared" si="0"/>
        <v>22</v>
      </c>
      <c r="E20" t="s">
        <v>3809</v>
      </c>
    </row>
    <row r="21" spans="2:18" x14ac:dyDescent="0.3">
      <c r="B21" s="58" t="s">
        <v>1313</v>
      </c>
      <c r="C21" s="301">
        <f>SUMIF(BTS_매출관리!C:C,B21,BTS_매출관리!I:I)</f>
        <v>2000000</v>
      </c>
      <c r="D21" s="58">
        <f t="shared" si="0"/>
        <v>9</v>
      </c>
      <c r="E21" t="s">
        <v>3809</v>
      </c>
      <c r="F21" t="s">
        <v>3701</v>
      </c>
    </row>
    <row r="22" spans="2:18" x14ac:dyDescent="0.3">
      <c r="B22" s="58" t="s">
        <v>1287</v>
      </c>
      <c r="C22" s="301">
        <f>SUMIF(BTS_매출관리!C:C,B22,BTS_매출관리!I:I)</f>
        <v>876000</v>
      </c>
      <c r="D22" s="58">
        <f t="shared" si="0"/>
        <v>25</v>
      </c>
      <c r="E22" t="s">
        <v>3809</v>
      </c>
      <c r="F22" t="s">
        <v>3676</v>
      </c>
      <c r="G22" t="s">
        <v>3808</v>
      </c>
      <c r="I22" t="s">
        <v>3679</v>
      </c>
      <c r="J22" s="303" t="s">
        <v>3719</v>
      </c>
      <c r="O22" t="s">
        <v>3702</v>
      </c>
      <c r="P22">
        <v>2</v>
      </c>
      <c r="Q22" t="s">
        <v>3809</v>
      </c>
    </row>
    <row r="23" spans="2:18" x14ac:dyDescent="0.3">
      <c r="B23" s="58" t="s">
        <v>1353</v>
      </c>
      <c r="C23" s="301">
        <f>SUMIF(BTS_매출관리!C:C,B23,BTS_매출관리!I:I)</f>
        <v>844000</v>
      </c>
      <c r="D23" s="58">
        <f t="shared" si="0"/>
        <v>26</v>
      </c>
      <c r="E23" t="s">
        <v>3809</v>
      </c>
      <c r="F23" t="s">
        <v>3677</v>
      </c>
      <c r="G23" t="s">
        <v>3808</v>
      </c>
      <c r="I23" t="s">
        <v>3681</v>
      </c>
      <c r="J23" s="303" t="s">
        <v>3719</v>
      </c>
      <c r="O23" t="s">
        <v>3703</v>
      </c>
      <c r="P23">
        <v>3</v>
      </c>
      <c r="Q23" t="s">
        <v>3809</v>
      </c>
    </row>
    <row r="24" spans="2:18" x14ac:dyDescent="0.3">
      <c r="B24" s="58" t="s">
        <v>1326</v>
      </c>
      <c r="C24" s="301">
        <f>SUMIF(BTS_매출관리!C:C,B24,BTS_매출관리!I:I)</f>
        <v>700000</v>
      </c>
      <c r="D24" s="58">
        <f t="shared" si="0"/>
        <v>27</v>
      </c>
      <c r="E24" t="s">
        <v>3809</v>
      </c>
      <c r="F24" t="s">
        <v>3678</v>
      </c>
      <c r="G24" t="s">
        <v>3808</v>
      </c>
      <c r="I24" t="s">
        <v>3683</v>
      </c>
      <c r="J24" s="303" t="s">
        <v>3719</v>
      </c>
      <c r="O24" t="s">
        <v>3704</v>
      </c>
      <c r="P24">
        <v>2</v>
      </c>
      <c r="Q24" t="s">
        <v>3809</v>
      </c>
    </row>
    <row r="25" spans="2:18" x14ac:dyDescent="0.3">
      <c r="B25" s="269" t="s">
        <v>1890</v>
      </c>
      <c r="C25" s="268">
        <f>SUMIF(BTS_매출관리!C:C,B25,BTS_매출관리!I:I)</f>
        <v>650000</v>
      </c>
      <c r="D25" s="269">
        <f t="shared" si="0"/>
        <v>28</v>
      </c>
      <c r="E25" t="s">
        <v>3809</v>
      </c>
      <c r="F25" t="s">
        <v>3680</v>
      </c>
      <c r="G25" t="s">
        <v>3719</v>
      </c>
      <c r="I25" t="s">
        <v>3686</v>
      </c>
      <c r="J25" s="303" t="s">
        <v>3808</v>
      </c>
      <c r="O25" t="s">
        <v>3705</v>
      </c>
      <c r="P25">
        <v>1</v>
      </c>
      <c r="R25" t="s">
        <v>3808</v>
      </c>
    </row>
    <row r="26" spans="2:18" x14ac:dyDescent="0.3">
      <c r="B26" s="58" t="s">
        <v>1173</v>
      </c>
      <c r="C26" s="301">
        <f>SUMIF(BTS_매출관리!C:C,B26,BTS_매출관리!I:I)</f>
        <v>650000</v>
      </c>
      <c r="D26" s="58">
        <f t="shared" si="0"/>
        <v>28</v>
      </c>
      <c r="E26" t="s">
        <v>3809</v>
      </c>
      <c r="F26" t="s">
        <v>3682</v>
      </c>
      <c r="G26" t="s">
        <v>3808</v>
      </c>
      <c r="I26" t="s">
        <v>3699</v>
      </c>
      <c r="J26" s="303" t="s">
        <v>3738</v>
      </c>
      <c r="O26" t="s">
        <v>3706</v>
      </c>
      <c r="P26">
        <v>2</v>
      </c>
      <c r="Q26" t="s">
        <v>3720</v>
      </c>
    </row>
    <row r="27" spans="2:18" x14ac:dyDescent="0.3">
      <c r="B27" s="58" t="s">
        <v>1274</v>
      </c>
      <c r="C27" s="301">
        <f>SUMIF(BTS_매출관리!C:C,B27,BTS_매출관리!I:I)</f>
        <v>638000</v>
      </c>
      <c r="D27" s="58">
        <f t="shared" si="0"/>
        <v>30</v>
      </c>
      <c r="E27" t="s">
        <v>3809</v>
      </c>
      <c r="F27" t="s">
        <v>3794</v>
      </c>
      <c r="G27" t="s">
        <v>3816</v>
      </c>
      <c r="I27" t="s">
        <v>2860</v>
      </c>
      <c r="J27" s="303" t="s">
        <v>3738</v>
      </c>
      <c r="O27" t="s">
        <v>3707</v>
      </c>
      <c r="P27">
        <v>1</v>
      </c>
      <c r="Q27" t="s">
        <v>3719</v>
      </c>
    </row>
    <row r="28" spans="2:18" x14ac:dyDescent="0.3">
      <c r="B28" s="58" t="s">
        <v>1298</v>
      </c>
      <c r="C28" s="301">
        <f>SUMIF(BTS_매출관리!C:C,B28,BTS_매출관리!I:I)</f>
        <v>600000</v>
      </c>
      <c r="D28" s="58">
        <f t="shared" si="0"/>
        <v>31</v>
      </c>
      <c r="E28" t="s">
        <v>3809</v>
      </c>
      <c r="F28" t="s">
        <v>3685</v>
      </c>
      <c r="G28" t="s">
        <v>3814</v>
      </c>
      <c r="I28" t="s">
        <v>2258</v>
      </c>
      <c r="J28" s="303" t="s">
        <v>3738</v>
      </c>
      <c r="O28" t="s">
        <v>3708</v>
      </c>
      <c r="P28">
        <v>2</v>
      </c>
      <c r="R28" t="s">
        <v>3815</v>
      </c>
    </row>
    <row r="29" spans="2:18" x14ac:dyDescent="0.3">
      <c r="B29" s="269" t="s">
        <v>1295</v>
      </c>
      <c r="C29" s="268">
        <f>SUMIF(BTS_매출관리!C:C,B29,BTS_매출관리!I:I)</f>
        <v>540000</v>
      </c>
      <c r="D29" s="269">
        <f t="shared" si="0"/>
        <v>32</v>
      </c>
      <c r="E29" t="s">
        <v>2863</v>
      </c>
      <c r="F29" t="s">
        <v>3687</v>
      </c>
      <c r="G29" t="s">
        <v>3808</v>
      </c>
      <c r="O29" t="s">
        <v>3709</v>
      </c>
      <c r="P29">
        <v>2</v>
      </c>
      <c r="Q29" t="s">
        <v>3809</v>
      </c>
    </row>
    <row r="30" spans="2:18" x14ac:dyDescent="0.3">
      <c r="B30" s="269" t="s">
        <v>3269</v>
      </c>
      <c r="C30" s="268">
        <f>SUMIF(BTS_매출관리!C:C,B30,BTS_매출관리!I:I)</f>
        <v>200000</v>
      </c>
      <c r="D30" s="269">
        <f t="shared" si="0"/>
        <v>33</v>
      </c>
      <c r="F30" t="s">
        <v>3688</v>
      </c>
      <c r="G30" t="s">
        <v>3814</v>
      </c>
      <c r="O30" t="s">
        <v>3710</v>
      </c>
      <c r="P30">
        <v>2</v>
      </c>
      <c r="Q30" t="s">
        <v>3737</v>
      </c>
    </row>
    <row r="31" spans="2:18" x14ac:dyDescent="0.3">
      <c r="B31" s="58" t="s">
        <v>1159</v>
      </c>
      <c r="C31" s="301">
        <f>SUMIF(BTS_매출관리!C:C,B31,BTS_매출관리!I:I)</f>
        <v>150000</v>
      </c>
      <c r="D31" s="58">
        <f t="shared" si="0"/>
        <v>34</v>
      </c>
      <c r="F31" t="s">
        <v>3689</v>
      </c>
      <c r="G31" t="s">
        <v>3808</v>
      </c>
      <c r="O31" t="s">
        <v>3711</v>
      </c>
      <c r="P31">
        <v>1</v>
      </c>
      <c r="R31" t="s">
        <v>3814</v>
      </c>
    </row>
    <row r="32" spans="2:18" x14ac:dyDescent="0.3">
      <c r="B32" s="58" t="s">
        <v>1289</v>
      </c>
      <c r="C32" s="301">
        <f>SUMIF(BTS_매출관리!C:C,B32,BTS_매출관리!I:I)</f>
        <v>150000</v>
      </c>
      <c r="D32" s="58">
        <f t="shared" si="0"/>
        <v>34</v>
      </c>
      <c r="E32" t="s">
        <v>3809</v>
      </c>
      <c r="F32" t="s">
        <v>3690</v>
      </c>
      <c r="G32" t="s">
        <v>3808</v>
      </c>
      <c r="O32" t="s">
        <v>3712</v>
      </c>
      <c r="P32">
        <v>1</v>
      </c>
      <c r="R32" t="s">
        <v>3808</v>
      </c>
    </row>
    <row r="33" spans="2:17" x14ac:dyDescent="0.3">
      <c r="B33" s="269" t="s">
        <v>2487</v>
      </c>
      <c r="C33" s="268">
        <f>SUMIF(BTS_매출관리!C:C,B33,BTS_매출관리!I:I)</f>
        <v>150000</v>
      </c>
      <c r="D33" s="269">
        <f t="shared" si="0"/>
        <v>34</v>
      </c>
      <c r="F33" t="s">
        <v>3691</v>
      </c>
      <c r="G33" t="s">
        <v>3808</v>
      </c>
      <c r="O33" t="s">
        <v>3713</v>
      </c>
      <c r="P33">
        <v>1</v>
      </c>
      <c r="Q33" t="s">
        <v>3721</v>
      </c>
    </row>
    <row r="34" spans="2:17" x14ac:dyDescent="0.3">
      <c r="B34" s="58" t="s">
        <v>980</v>
      </c>
      <c r="C34" s="301">
        <f>SUMIF(BTS_매출관리!C:C,B34,BTS_매출관리!I:I)</f>
        <v>143000</v>
      </c>
      <c r="D34" s="58">
        <f t="shared" si="0"/>
        <v>37</v>
      </c>
      <c r="E34" t="s">
        <v>3809</v>
      </c>
      <c r="F34" t="s">
        <v>3692</v>
      </c>
      <c r="G34" t="s">
        <v>3814</v>
      </c>
      <c r="O34" t="s">
        <v>3684</v>
      </c>
      <c r="P34">
        <v>2</v>
      </c>
      <c r="Q34" t="s">
        <v>3809</v>
      </c>
    </row>
    <row r="35" spans="2:17" x14ac:dyDescent="0.3">
      <c r="B35" s="269" t="s">
        <v>1355</v>
      </c>
      <c r="C35" s="268">
        <f>SUMIF(BTS_매출관리!C:C,B35,BTS_매출관리!I:I)</f>
        <v>143000</v>
      </c>
      <c r="D35" s="269">
        <f t="shared" si="0"/>
        <v>37</v>
      </c>
      <c r="E35" t="s">
        <v>3809</v>
      </c>
      <c r="F35" t="s">
        <v>3693</v>
      </c>
      <c r="G35" t="s">
        <v>3814</v>
      </c>
      <c r="O35" t="s">
        <v>3714</v>
      </c>
      <c r="P35">
        <v>1</v>
      </c>
    </row>
    <row r="36" spans="2:17" x14ac:dyDescent="0.3">
      <c r="B36" s="58" t="s">
        <v>1333</v>
      </c>
      <c r="C36" s="301">
        <f>SUMIF(BTS_매출관리!C:C,B36,BTS_매출관리!I:I)</f>
        <v>0</v>
      </c>
      <c r="D36" s="58">
        <f t="shared" si="0"/>
        <v>39</v>
      </c>
      <c r="F36" t="s">
        <v>3694</v>
      </c>
      <c r="G36" t="s">
        <v>3808</v>
      </c>
      <c r="O36" t="s">
        <v>3715</v>
      </c>
      <c r="P36">
        <v>1</v>
      </c>
      <c r="Q36" t="s">
        <v>3809</v>
      </c>
    </row>
    <row r="37" spans="2:17" x14ac:dyDescent="0.3">
      <c r="B37" s="58" t="s">
        <v>1784</v>
      </c>
      <c r="C37" s="301">
        <f>SUMIF(BTS_매출관리!C:C,B37,BTS_매출관리!I:I)</f>
        <v>0</v>
      </c>
      <c r="D37" s="58">
        <f t="shared" si="0"/>
        <v>39</v>
      </c>
      <c r="E37" t="s">
        <v>3809</v>
      </c>
      <c r="F37" t="s">
        <v>3695</v>
      </c>
      <c r="G37" t="s">
        <v>3808</v>
      </c>
    </row>
    <row r="38" spans="2:17" x14ac:dyDescent="0.3">
      <c r="B38" s="58" t="s">
        <v>1671</v>
      </c>
      <c r="C38" s="301">
        <f>SUMIF(BTS_매출관리!C:C,B38,BTS_매출관리!I:I)</f>
        <v>0</v>
      </c>
      <c r="D38" s="58">
        <f t="shared" si="0"/>
        <v>39</v>
      </c>
      <c r="E38" t="s">
        <v>3773</v>
      </c>
      <c r="F38" t="s">
        <v>3696</v>
      </c>
      <c r="G38" t="s">
        <v>3814</v>
      </c>
    </row>
    <row r="39" spans="2:17" x14ac:dyDescent="0.3">
      <c r="B39" s="58" t="s">
        <v>1018</v>
      </c>
      <c r="C39" s="301">
        <f>SUMIF(BTS_매출관리!C:C,B39,BTS_매출관리!I:I)</f>
        <v>0</v>
      </c>
      <c r="D39" s="58">
        <f t="shared" si="0"/>
        <v>39</v>
      </c>
      <c r="E39" t="s">
        <v>3809</v>
      </c>
      <c r="F39" t="s">
        <v>3697</v>
      </c>
      <c r="G39" t="s">
        <v>3814</v>
      </c>
    </row>
    <row r="40" spans="2:17" x14ac:dyDescent="0.3">
      <c r="B40" s="58" t="s">
        <v>1341</v>
      </c>
      <c r="C40" s="301">
        <f>SUMIF(BTS_매출관리!C:C,B40,BTS_매출관리!I:I)</f>
        <v>1040000</v>
      </c>
      <c r="D40" s="58">
        <f t="shared" si="0"/>
        <v>24</v>
      </c>
      <c r="F40" t="s">
        <v>3698</v>
      </c>
      <c r="G40" t="s">
        <v>3814</v>
      </c>
    </row>
    <row r="41" spans="2:17" x14ac:dyDescent="0.3">
      <c r="B41" s="58" t="s">
        <v>1276</v>
      </c>
      <c r="C41" s="301">
        <f>SUMIF(BTS_매출관리!C:C,B41,BTS_매출관리!I:I)</f>
        <v>0</v>
      </c>
      <c r="D41" s="58">
        <f t="shared" si="0"/>
        <v>39</v>
      </c>
      <c r="E41" t="s">
        <v>3809</v>
      </c>
      <c r="F41" t="s">
        <v>3700</v>
      </c>
      <c r="G41" t="s">
        <v>3808</v>
      </c>
    </row>
    <row r="42" spans="2:17" x14ac:dyDescent="0.3">
      <c r="B42" s="58" t="s">
        <v>1058</v>
      </c>
      <c r="C42" s="301">
        <f>SUMIF(BTS_매출관리!C:C,B42,BTS_매출관리!I:I)</f>
        <v>0</v>
      </c>
      <c r="D42" s="58">
        <f t="shared" si="0"/>
        <v>39</v>
      </c>
      <c r="F42" t="s">
        <v>1328</v>
      </c>
      <c r="G42" t="s">
        <v>3814</v>
      </c>
    </row>
    <row r="43" spans="2:17" x14ac:dyDescent="0.3">
      <c r="B43" s="58" t="s">
        <v>1148</v>
      </c>
      <c r="C43" s="301">
        <f>SUMIF(BTS_매출관리!C:C,B43,BTS_매출관리!I:I)</f>
        <v>1170000</v>
      </c>
      <c r="D43" s="58">
        <f t="shared" si="0"/>
        <v>21</v>
      </c>
      <c r="F43" t="s">
        <v>3795</v>
      </c>
      <c r="G43" t="s">
        <v>3808</v>
      </c>
    </row>
    <row r="44" spans="2:17" x14ac:dyDescent="0.3">
      <c r="B44" s="58" t="s">
        <v>2472</v>
      </c>
      <c r="C44" s="301">
        <f>SUMIF(BTS_매출관리!C:C,B44,BTS_매출관리!I:I)</f>
        <v>0</v>
      </c>
      <c r="D44" s="58">
        <f t="shared" si="0"/>
        <v>39</v>
      </c>
      <c r="E44" t="s">
        <v>3809</v>
      </c>
      <c r="F44" t="s">
        <v>3796</v>
      </c>
      <c r="G44" t="s">
        <v>3808</v>
      </c>
    </row>
    <row r="45" spans="2:17" x14ac:dyDescent="0.3">
      <c r="B45" s="58" t="s">
        <v>1317</v>
      </c>
      <c r="C45" s="301">
        <f>SUMIF(BTS_매출관리!C:C,B45,BTS_매출관리!I:I)</f>
        <v>0</v>
      </c>
      <c r="D45" s="58">
        <f t="shared" si="0"/>
        <v>39</v>
      </c>
      <c r="E45" t="s">
        <v>3809</v>
      </c>
      <c r="F45" t="s">
        <v>3797</v>
      </c>
      <c r="G45" t="s">
        <v>3808</v>
      </c>
      <c r="M45">
        <v>17</v>
      </c>
    </row>
    <row r="46" spans="2:17" x14ac:dyDescent="0.3">
      <c r="B46" s="58" t="s">
        <v>2361</v>
      </c>
      <c r="C46" s="301">
        <f>SUMIF(BTS_매출관리!C:C,B46,BTS_매출관리!I:I)</f>
        <v>0</v>
      </c>
      <c r="D46" s="58">
        <f t="shared" si="0"/>
        <v>39</v>
      </c>
      <c r="F46" t="s">
        <v>3810</v>
      </c>
      <c r="G46" t="s">
        <v>3808</v>
      </c>
    </row>
    <row r="47" spans="2:17" x14ac:dyDescent="0.3">
      <c r="B47" s="58" t="s">
        <v>1307</v>
      </c>
      <c r="C47" s="301">
        <f>SUMIF(BTS_매출관리!C:C,B47,BTS_매출관리!I:I)</f>
        <v>0</v>
      </c>
      <c r="D47" s="58">
        <f t="shared" si="0"/>
        <v>39</v>
      </c>
      <c r="E47" t="s">
        <v>3809</v>
      </c>
      <c r="F47" s="58" t="s">
        <v>1035</v>
      </c>
      <c r="G47" t="s">
        <v>3808</v>
      </c>
      <c r="K47" t="s">
        <v>3808</v>
      </c>
      <c r="L47">
        <f>COUNTIF(G22:G49,"스팸")</f>
        <v>17</v>
      </c>
    </row>
    <row r="48" spans="2:17" x14ac:dyDescent="0.3">
      <c r="B48" s="58" t="s">
        <v>1346</v>
      </c>
      <c r="C48" s="301">
        <f>SUMIF(BTS_매출관리!C:C,B48,BTS_매출관리!I:I)</f>
        <v>0</v>
      </c>
      <c r="D48" s="58">
        <f t="shared" si="0"/>
        <v>39</v>
      </c>
      <c r="F48" s="58" t="s">
        <v>1357</v>
      </c>
      <c r="G48" t="s">
        <v>3814</v>
      </c>
      <c r="K48" t="s">
        <v>3814</v>
      </c>
      <c r="L48">
        <f>COUNTIF(G22:G49,"반반")</f>
        <v>10</v>
      </c>
    </row>
    <row r="49" spans="2:7" x14ac:dyDescent="0.3">
      <c r="B49" s="58" t="s">
        <v>1271</v>
      </c>
      <c r="C49" s="301">
        <f>SUMIF(BTS_매출관리!C:C,B49,BTS_매출관리!I:I)</f>
        <v>0</v>
      </c>
      <c r="D49" s="58">
        <f t="shared" si="0"/>
        <v>39</v>
      </c>
      <c r="F49" t="s">
        <v>1321</v>
      </c>
      <c r="G49" t="s">
        <v>3814</v>
      </c>
    </row>
    <row r="50" spans="2:7" x14ac:dyDescent="0.3">
      <c r="B50" s="58" t="s">
        <v>2916</v>
      </c>
      <c r="C50" s="301">
        <f>SUMIF(BTS_매출관리!C:C,B50,BTS_매출관리!I:I)</f>
        <v>0</v>
      </c>
      <c r="D50" s="58">
        <f t="shared" si="0"/>
        <v>39</v>
      </c>
    </row>
    <row r="51" spans="2:7" x14ac:dyDescent="0.3">
      <c r="B51" s="58" t="s">
        <v>1617</v>
      </c>
      <c r="C51" s="301">
        <f>SUMIF(BTS_매출관리!C:C,B51,BTS_매출관리!I:I)</f>
        <v>0</v>
      </c>
      <c r="D51" s="58">
        <f t="shared" si="0"/>
        <v>39</v>
      </c>
    </row>
    <row r="52" spans="2:7" x14ac:dyDescent="0.3">
      <c r="B52" s="47" t="s">
        <v>1345</v>
      </c>
      <c r="C52" s="302">
        <f>SUMIF(BTS_매출관리!C:C,B52,BTS_매출관리!I:I)</f>
        <v>0</v>
      </c>
      <c r="D52" s="47">
        <f t="shared" si="0"/>
        <v>39</v>
      </c>
    </row>
    <row r="53" spans="2:7" x14ac:dyDescent="0.3">
      <c r="B53" s="47" t="s">
        <v>2561</v>
      </c>
      <c r="C53" s="302">
        <f>SUMIF(BTS_매출관리!C:C,B53,BTS_매출관리!I:I)</f>
        <v>0</v>
      </c>
      <c r="D53" s="47">
        <f t="shared" si="0"/>
        <v>39</v>
      </c>
      <c r="E53" t="s">
        <v>3809</v>
      </c>
    </row>
    <row r="54" spans="2:7" x14ac:dyDescent="0.3">
      <c r="B54" s="47" t="s">
        <v>1288</v>
      </c>
      <c r="C54" s="302">
        <f>SUMIF(BTS_매출관리!C:C,B54,BTS_매출관리!I:I)</f>
        <v>0</v>
      </c>
      <c r="D54" s="47">
        <f t="shared" si="0"/>
        <v>39</v>
      </c>
    </row>
    <row r="55" spans="2:7" x14ac:dyDescent="0.3">
      <c r="B55" s="47" t="s">
        <v>1357</v>
      </c>
      <c r="C55" s="302">
        <f>SUMIF(BTS_매출관리!C:C,B55,BTS_매출관리!I:I)</f>
        <v>0</v>
      </c>
      <c r="D55" s="47">
        <f t="shared" si="0"/>
        <v>39</v>
      </c>
      <c r="E55" t="s">
        <v>2863</v>
      </c>
    </row>
    <row r="56" spans="2:7" x14ac:dyDescent="0.3">
      <c r="B56" t="s">
        <v>983</v>
      </c>
      <c r="C56" s="300">
        <f>SUMIF(BTS_매출관리!C:C,B56,BTS_매출관리!I:I)</f>
        <v>0</v>
      </c>
      <c r="D56" s="47">
        <f t="shared" si="0"/>
        <v>39</v>
      </c>
    </row>
    <row r="57" spans="2:7" x14ac:dyDescent="0.3">
      <c r="B57" s="47" t="s">
        <v>1303</v>
      </c>
      <c r="C57" s="302">
        <f>SUMIF(BTS_매출관리!C:C,B57,BTS_매출관리!I:I)</f>
        <v>0</v>
      </c>
      <c r="D57" s="47">
        <f t="shared" si="0"/>
        <v>39</v>
      </c>
    </row>
    <row r="58" spans="2:7" x14ac:dyDescent="0.3">
      <c r="B58" s="47" t="s">
        <v>1330</v>
      </c>
      <c r="C58" s="302">
        <f>SUMIF(BTS_매출관리!C:C,B58,BTS_매출관리!I:I)</f>
        <v>1500000</v>
      </c>
      <c r="D58" s="47">
        <f t="shared" si="0"/>
        <v>16</v>
      </c>
    </row>
    <row r="59" spans="2:7" x14ac:dyDescent="0.3">
      <c r="B59" s="47" t="s">
        <v>1284</v>
      </c>
      <c r="C59" s="302">
        <f>SUMIF(BTS_매출관리!C:C,B59,BTS_매출관리!I:I)</f>
        <v>0</v>
      </c>
      <c r="D59" s="47">
        <f t="shared" si="0"/>
        <v>39</v>
      </c>
    </row>
    <row r="60" spans="2:7" x14ac:dyDescent="0.3">
      <c r="B60" s="47" t="s">
        <v>1299</v>
      </c>
      <c r="C60" s="302">
        <f>SUMIF(BTS_매출관리!C:C,B60,BTS_매출관리!I:I)</f>
        <v>0</v>
      </c>
      <c r="D60" s="47">
        <f t="shared" si="0"/>
        <v>39</v>
      </c>
    </row>
    <row r="61" spans="2:7" x14ac:dyDescent="0.3">
      <c r="B61" s="47" t="s">
        <v>2865</v>
      </c>
      <c r="C61" s="302">
        <f>SUMIF(BTS_매출관리!C:C,B61,BTS_매출관리!I:I)</f>
        <v>0</v>
      </c>
      <c r="D61" s="47">
        <f t="shared" si="0"/>
        <v>39</v>
      </c>
    </row>
    <row r="62" spans="2:7" x14ac:dyDescent="0.3">
      <c r="B62" s="47" t="s">
        <v>1296</v>
      </c>
      <c r="C62" s="302">
        <f>SUMIF(BTS_매출관리!C:C,B62,BTS_매출관리!I:I)</f>
        <v>0</v>
      </c>
      <c r="D62" s="47">
        <f t="shared" si="0"/>
        <v>39</v>
      </c>
    </row>
    <row r="63" spans="2:7" x14ac:dyDescent="0.3">
      <c r="B63" s="47" t="s">
        <v>2784</v>
      </c>
      <c r="C63" s="302">
        <f>SUMIF(BTS_매출관리!C:C,B63,BTS_매출관리!I:I)</f>
        <v>0</v>
      </c>
      <c r="D63" s="47">
        <f t="shared" si="0"/>
        <v>39</v>
      </c>
      <c r="E63" t="s">
        <v>3809</v>
      </c>
    </row>
    <row r="64" spans="2:7" x14ac:dyDescent="0.3">
      <c r="B64" s="47" t="s">
        <v>1356</v>
      </c>
      <c r="C64" s="302">
        <f>SUMIF(BTS_매출관리!C:C,B64,BTS_매출관리!I:I)</f>
        <v>0</v>
      </c>
      <c r="D64" s="47">
        <f t="shared" si="0"/>
        <v>39</v>
      </c>
    </row>
    <row r="65" spans="2:5" x14ac:dyDescent="0.3">
      <c r="B65" s="47" t="s">
        <v>1359</v>
      </c>
      <c r="C65" s="302">
        <f>SUMIF(BTS_매출관리!C:C,B65,BTS_매출관리!I:I)</f>
        <v>0</v>
      </c>
      <c r="D65" s="47">
        <f t="shared" si="0"/>
        <v>39</v>
      </c>
      <c r="E65" t="s">
        <v>3809</v>
      </c>
    </row>
    <row r="66" spans="2:5" x14ac:dyDescent="0.3">
      <c r="B66" s="47" t="s">
        <v>3291</v>
      </c>
      <c r="C66" s="302">
        <f>SUMIF(BTS_매출관리!C:C,B66,BTS_매출관리!I:I)</f>
        <v>0</v>
      </c>
      <c r="D66" s="47">
        <f t="shared" ref="D66:D129" si="1">RANK(C66,C:C,0)</f>
        <v>39</v>
      </c>
    </row>
    <row r="67" spans="2:5" x14ac:dyDescent="0.3">
      <c r="B67" t="s">
        <v>2860</v>
      </c>
      <c r="C67" s="52">
        <f>SUMIF(BTS_매출관리!C:C,B67,BTS_매출관리!I:I)</f>
        <v>0</v>
      </c>
      <c r="D67">
        <f t="shared" si="1"/>
        <v>39</v>
      </c>
      <c r="E67" t="s">
        <v>3809</v>
      </c>
    </row>
    <row r="68" spans="2:5" x14ac:dyDescent="0.3">
      <c r="B68" t="s">
        <v>2283</v>
      </c>
      <c r="C68" s="52">
        <f>SUMIF(BTS_매출관리!C:C,B68,BTS_매출관리!I:I)</f>
        <v>0</v>
      </c>
      <c r="D68">
        <f t="shared" si="1"/>
        <v>39</v>
      </c>
    </row>
    <row r="69" spans="2:5" x14ac:dyDescent="0.3">
      <c r="B69" t="s">
        <v>1351</v>
      </c>
      <c r="C69" s="52">
        <f>SUMIF(BTS_매출관리!C:C,B69,BTS_매출관리!I:I)</f>
        <v>0</v>
      </c>
      <c r="D69">
        <f t="shared" si="1"/>
        <v>39</v>
      </c>
    </row>
    <row r="70" spans="2:5" x14ac:dyDescent="0.3">
      <c r="B70" t="s">
        <v>1321</v>
      </c>
      <c r="C70" s="52">
        <f>SUMIF(BTS_매출관리!C:C,B70,BTS_매출관리!I:I)</f>
        <v>0</v>
      </c>
      <c r="D70">
        <f t="shared" si="1"/>
        <v>39</v>
      </c>
    </row>
    <row r="71" spans="2:5" x14ac:dyDescent="0.3">
      <c r="B71" t="s">
        <v>3120</v>
      </c>
      <c r="C71" s="52">
        <f>SUMIF(BTS_매출관리!C:C,B71,BTS_매출관리!I:I)</f>
        <v>0</v>
      </c>
      <c r="D71">
        <f t="shared" si="1"/>
        <v>39</v>
      </c>
    </row>
    <row r="72" spans="2:5" x14ac:dyDescent="0.3">
      <c r="B72" t="s">
        <v>2375</v>
      </c>
      <c r="C72" s="52">
        <f>SUMIF(BTS_매출관리!C:C,B72,BTS_매출관리!I:I)</f>
        <v>0</v>
      </c>
      <c r="D72">
        <f t="shared" si="1"/>
        <v>39</v>
      </c>
    </row>
    <row r="73" spans="2:5" x14ac:dyDescent="0.3">
      <c r="B73" t="s">
        <v>1611</v>
      </c>
      <c r="C73" s="300">
        <f>SUMIF(BTS_매출관리!C:C,B73,BTS_매출관리!I:I)</f>
        <v>0</v>
      </c>
      <c r="D73">
        <f t="shared" si="1"/>
        <v>39</v>
      </c>
    </row>
    <row r="74" spans="2:5" x14ac:dyDescent="0.3">
      <c r="B74" t="s">
        <v>2757</v>
      </c>
      <c r="C74" s="52">
        <f>SUMIF(BTS_매출관리!C:C,B74,BTS_매출관리!I:I)</f>
        <v>0</v>
      </c>
      <c r="D74">
        <f t="shared" si="1"/>
        <v>39</v>
      </c>
    </row>
    <row r="75" spans="2:5" x14ac:dyDescent="0.3">
      <c r="B75" t="s">
        <v>1571</v>
      </c>
      <c r="C75" s="300">
        <f>SUMIF(BTS_매출관리!C:C,B75,BTS_매출관리!I:I)</f>
        <v>0</v>
      </c>
      <c r="D75">
        <f t="shared" si="1"/>
        <v>39</v>
      </c>
    </row>
    <row r="76" spans="2:5" x14ac:dyDescent="0.3">
      <c r="B76" t="s">
        <v>3546</v>
      </c>
      <c r="C76" s="52">
        <f>SUMIF(BTS_매출관리!C:C,B76,BTS_매출관리!I:I)</f>
        <v>0</v>
      </c>
      <c r="D76">
        <f t="shared" si="1"/>
        <v>39</v>
      </c>
    </row>
    <row r="77" spans="2:5" x14ac:dyDescent="0.3">
      <c r="B77" t="s">
        <v>1328</v>
      </c>
      <c r="C77" s="52">
        <f>SUMIF(BTS_매출관리!C:C,B77,BTS_매출관리!I:I)</f>
        <v>0</v>
      </c>
      <c r="D77">
        <f t="shared" si="1"/>
        <v>39</v>
      </c>
    </row>
    <row r="78" spans="2:5" x14ac:dyDescent="0.3">
      <c r="B78" t="s">
        <v>1904</v>
      </c>
      <c r="C78" s="300">
        <f>SUMIF(BTS_매출관리!C:C,B78,BTS_매출관리!I:I)</f>
        <v>0</v>
      </c>
      <c r="D78">
        <f t="shared" si="1"/>
        <v>39</v>
      </c>
    </row>
    <row r="79" spans="2:5" x14ac:dyDescent="0.3">
      <c r="B79" t="s">
        <v>2258</v>
      </c>
      <c r="C79" s="52">
        <f>SUMIF(BTS_매출관리!C:C,B79,BTS_매출관리!I:I)</f>
        <v>0</v>
      </c>
      <c r="D79">
        <f t="shared" si="1"/>
        <v>39</v>
      </c>
    </row>
    <row r="80" spans="2:5" x14ac:dyDescent="0.3">
      <c r="B80" t="s">
        <v>3637</v>
      </c>
      <c r="C80" s="52">
        <f>SUMIF(BTS_매출관리!C:C,B80,BTS_매출관리!I:I)</f>
        <v>0</v>
      </c>
      <c r="D80">
        <f t="shared" si="1"/>
        <v>39</v>
      </c>
    </row>
    <row r="81" spans="2:4" x14ac:dyDescent="0.3">
      <c r="B81" t="s">
        <v>1283</v>
      </c>
      <c r="C81" s="300">
        <f>SUMIF(BTS_매출관리!C:C,B81,BTS_매출관리!I:I)</f>
        <v>0</v>
      </c>
      <c r="D81">
        <f t="shared" si="1"/>
        <v>39</v>
      </c>
    </row>
    <row r="82" spans="2:4" x14ac:dyDescent="0.3">
      <c r="B82" t="s">
        <v>2869</v>
      </c>
      <c r="C82" s="52">
        <f>SUMIF(BTS_매출관리!C:C,B82,BTS_매출관리!I:I)</f>
        <v>0</v>
      </c>
      <c r="D82">
        <f t="shared" si="1"/>
        <v>39</v>
      </c>
    </row>
    <row r="83" spans="2:4" x14ac:dyDescent="0.3">
      <c r="B83" t="s">
        <v>2365</v>
      </c>
      <c r="C83" s="52">
        <f>SUMIF(BTS_매출관리!C:C,B83,BTS_매출관리!I:I)</f>
        <v>0</v>
      </c>
      <c r="D83">
        <f t="shared" si="1"/>
        <v>39</v>
      </c>
    </row>
    <row r="84" spans="2:4" x14ac:dyDescent="0.3">
      <c r="B84" t="s">
        <v>1339</v>
      </c>
      <c r="C84" s="52">
        <f>SUMIF(BTS_매출관리!C:C,B84,BTS_매출관리!I:I)</f>
        <v>0</v>
      </c>
      <c r="D84">
        <f t="shared" si="1"/>
        <v>39</v>
      </c>
    </row>
    <row r="85" spans="2:4" x14ac:dyDescent="0.3">
      <c r="B85" t="s">
        <v>2890</v>
      </c>
      <c r="C85" s="52">
        <f>SUMIF(BTS_매출관리!C:C,B85,BTS_매출관리!I:I)</f>
        <v>0</v>
      </c>
      <c r="D85">
        <f t="shared" si="1"/>
        <v>39</v>
      </c>
    </row>
    <row r="86" spans="2:4" x14ac:dyDescent="0.3">
      <c r="B86" t="s">
        <v>1305</v>
      </c>
      <c r="C86" s="300">
        <f>SUMIF(BTS_매출관리!C:C,B86,BTS_매출관리!I:I)</f>
        <v>0</v>
      </c>
      <c r="D86">
        <f t="shared" si="1"/>
        <v>39</v>
      </c>
    </row>
    <row r="87" spans="2:4" x14ac:dyDescent="0.3">
      <c r="B87" t="s">
        <v>1228</v>
      </c>
      <c r="C87" s="52">
        <f>SUMIF(BTS_매출관리!C:C,B87,BTS_매출관리!I:I)</f>
        <v>0</v>
      </c>
      <c r="D87">
        <f t="shared" si="1"/>
        <v>39</v>
      </c>
    </row>
    <row r="88" spans="2:4" x14ac:dyDescent="0.3">
      <c r="B88" t="s">
        <v>1292</v>
      </c>
      <c r="C88" s="300">
        <f>SUMIF(BTS_매출관리!C:C,B88,BTS_매출관리!I:I)</f>
        <v>0</v>
      </c>
      <c r="D88">
        <f t="shared" si="1"/>
        <v>39</v>
      </c>
    </row>
    <row r="89" spans="2:4" x14ac:dyDescent="0.3">
      <c r="B89" t="s">
        <v>2307</v>
      </c>
      <c r="C89" s="52">
        <f>SUMIF(BTS_매출관리!C:C,B89,BTS_매출관리!I:I)</f>
        <v>0</v>
      </c>
      <c r="D89">
        <f t="shared" si="1"/>
        <v>39</v>
      </c>
    </row>
    <row r="90" spans="2:4" x14ac:dyDescent="0.3">
      <c r="B90" t="s">
        <v>2017</v>
      </c>
      <c r="C90" s="52">
        <f>SUMIF(BTS_매출관리!C:C,B90,BTS_매출관리!I:I)</f>
        <v>0</v>
      </c>
      <c r="D90">
        <f t="shared" si="1"/>
        <v>39</v>
      </c>
    </row>
    <row r="91" spans="2:4" x14ac:dyDescent="0.3">
      <c r="B91" t="s">
        <v>1275</v>
      </c>
      <c r="C91" s="300">
        <f>SUMIF(BTS_매출관리!C:C,B91,BTS_매출관리!I:I)</f>
        <v>0</v>
      </c>
      <c r="D91">
        <f t="shared" si="1"/>
        <v>39</v>
      </c>
    </row>
    <row r="92" spans="2:4" x14ac:dyDescent="0.3">
      <c r="B92" t="s">
        <v>2789</v>
      </c>
      <c r="C92" s="52">
        <f>SUMIF(BTS_매출관리!C:C,B92,BTS_매출관리!I:I)</f>
        <v>0</v>
      </c>
      <c r="D92">
        <f t="shared" si="1"/>
        <v>39</v>
      </c>
    </row>
    <row r="93" spans="2:4" x14ac:dyDescent="0.3">
      <c r="B93" t="s">
        <v>1294</v>
      </c>
      <c r="C93" s="300">
        <f>SUMIF(BTS_매출관리!C:C,B93,BTS_매출관리!I:I)</f>
        <v>0</v>
      </c>
      <c r="D93">
        <f t="shared" si="1"/>
        <v>39</v>
      </c>
    </row>
    <row r="94" spans="2:4" x14ac:dyDescent="0.3">
      <c r="B94" t="s">
        <v>2762</v>
      </c>
      <c r="C94" s="52">
        <f>SUMIF(BTS_매출관리!C:C,B94,BTS_매출관리!I:I)</f>
        <v>0</v>
      </c>
      <c r="D94">
        <f t="shared" si="1"/>
        <v>39</v>
      </c>
    </row>
    <row r="95" spans="2:4" x14ac:dyDescent="0.3">
      <c r="B95" t="s">
        <v>2704</v>
      </c>
      <c r="C95" s="52">
        <f>SUMIF(BTS_매출관리!C:C,B95,BTS_매출관리!I:I)</f>
        <v>0</v>
      </c>
      <c r="D95">
        <f t="shared" si="1"/>
        <v>39</v>
      </c>
    </row>
    <row r="96" spans="2:4" x14ac:dyDescent="0.3">
      <c r="B96" t="s">
        <v>2896</v>
      </c>
      <c r="C96" s="52">
        <f>SUMIF(BTS_매출관리!C:C,B96,BTS_매출관리!I:I)</f>
        <v>0</v>
      </c>
      <c r="D96">
        <f t="shared" si="1"/>
        <v>39</v>
      </c>
    </row>
    <row r="97" spans="2:4" x14ac:dyDescent="0.3">
      <c r="B97" t="s">
        <v>1007</v>
      </c>
      <c r="C97" s="52">
        <f>SUMIF(BTS_매출관리!C:C,B97,BTS_매출관리!I:I)</f>
        <v>0</v>
      </c>
      <c r="D97">
        <f t="shared" si="1"/>
        <v>39</v>
      </c>
    </row>
    <row r="98" spans="2:4" x14ac:dyDescent="0.3">
      <c r="B98" t="s">
        <v>2742</v>
      </c>
      <c r="C98" s="52">
        <f>SUMIF(BTS_매출관리!C:C,B98,BTS_매출관리!I:I)</f>
        <v>0</v>
      </c>
      <c r="D98">
        <f t="shared" si="1"/>
        <v>39</v>
      </c>
    </row>
    <row r="99" spans="2:4" x14ac:dyDescent="0.3">
      <c r="B99" t="s">
        <v>2095</v>
      </c>
      <c r="C99" s="52">
        <f>SUMIF(BTS_매출관리!C:C,B99,BTS_매출관리!I:I)</f>
        <v>0</v>
      </c>
      <c r="D99">
        <f t="shared" si="1"/>
        <v>39</v>
      </c>
    </row>
    <row r="100" spans="2:4" x14ac:dyDescent="0.3">
      <c r="B100" t="s">
        <v>1285</v>
      </c>
      <c r="C100" s="300">
        <f>SUMIF(BTS_매출관리!C:C,B100,BTS_매출관리!I:I)</f>
        <v>0</v>
      </c>
      <c r="D100">
        <f t="shared" si="1"/>
        <v>39</v>
      </c>
    </row>
    <row r="101" spans="2:4" x14ac:dyDescent="0.3">
      <c r="B101" t="s">
        <v>2769</v>
      </c>
      <c r="C101" s="52">
        <f>SUMIF(BTS_매출관리!C:C,B101,BTS_매출관리!I:I)</f>
        <v>0</v>
      </c>
      <c r="D101">
        <f t="shared" si="1"/>
        <v>39</v>
      </c>
    </row>
    <row r="102" spans="2:4" x14ac:dyDescent="0.3">
      <c r="B102" t="s">
        <v>2935</v>
      </c>
      <c r="C102" s="52">
        <f>SUMIF(BTS_매출관리!C:C,B102,BTS_매출관리!I:I)</f>
        <v>0</v>
      </c>
      <c r="D102">
        <f t="shared" si="1"/>
        <v>39</v>
      </c>
    </row>
    <row r="103" spans="2:4" x14ac:dyDescent="0.3">
      <c r="B103" t="s">
        <v>3029</v>
      </c>
      <c r="C103" s="52">
        <f>SUMIF(BTS_매출관리!C:C,B103,BTS_매출관리!I:I)</f>
        <v>0</v>
      </c>
      <c r="D103">
        <f t="shared" si="1"/>
        <v>39</v>
      </c>
    </row>
    <row r="104" spans="2:4" x14ac:dyDescent="0.3">
      <c r="B104" t="s">
        <v>1234</v>
      </c>
      <c r="C104" s="300">
        <f>SUMIF(BTS_매출관리!C:C,B104,BTS_매출관리!I:I)</f>
        <v>0</v>
      </c>
      <c r="D104">
        <f t="shared" si="1"/>
        <v>39</v>
      </c>
    </row>
    <row r="105" spans="2:4" x14ac:dyDescent="0.3">
      <c r="B105" t="s">
        <v>2942</v>
      </c>
      <c r="C105" s="52">
        <f>SUMIF(BTS_매출관리!C:C,B105,BTS_매출관리!I:I)</f>
        <v>0</v>
      </c>
      <c r="D105">
        <f t="shared" si="1"/>
        <v>39</v>
      </c>
    </row>
    <row r="106" spans="2:4" x14ac:dyDescent="0.3">
      <c r="B106" t="s">
        <v>2133</v>
      </c>
      <c r="C106" s="52">
        <f>SUMIF(BTS_매출관리!C:C,B106,BTS_매출관리!I:I)</f>
        <v>0</v>
      </c>
      <c r="D106">
        <f t="shared" si="1"/>
        <v>39</v>
      </c>
    </row>
    <row r="107" spans="2:4" x14ac:dyDescent="0.3">
      <c r="B107" t="s">
        <v>2148</v>
      </c>
      <c r="C107" s="52">
        <f>SUMIF(BTS_매출관리!C:C,B107,BTS_매출관리!I:I)</f>
        <v>0</v>
      </c>
      <c r="D107">
        <f t="shared" si="1"/>
        <v>39</v>
      </c>
    </row>
    <row r="108" spans="2:4" x14ac:dyDescent="0.3">
      <c r="B108" t="s">
        <v>2039</v>
      </c>
      <c r="C108" s="52">
        <f>SUMIF(BTS_매출관리!C:C,B108,BTS_매출관리!I:I)</f>
        <v>0</v>
      </c>
      <c r="D108">
        <f t="shared" si="1"/>
        <v>39</v>
      </c>
    </row>
    <row r="109" spans="2:4" x14ac:dyDescent="0.3">
      <c r="B109" t="s">
        <v>1191</v>
      </c>
      <c r="C109" s="52">
        <f>SUMIF(BTS_매출관리!C:C,B109,BTS_매출관리!I:I)</f>
        <v>1750000</v>
      </c>
      <c r="D109">
        <f t="shared" si="1"/>
        <v>12</v>
      </c>
    </row>
    <row r="110" spans="2:4" x14ac:dyDescent="0.3">
      <c r="B110" t="s">
        <v>1238</v>
      </c>
      <c r="C110" s="52">
        <f>SUMIF(BTS_매출관리!C:C,B110,BTS_매출관리!I:I)</f>
        <v>0</v>
      </c>
      <c r="D110">
        <f t="shared" si="1"/>
        <v>39</v>
      </c>
    </row>
    <row r="111" spans="2:4" x14ac:dyDescent="0.3">
      <c r="B111" t="s">
        <v>1329</v>
      </c>
      <c r="C111" s="52">
        <f>SUMIF(BTS_매출관리!C:C,B111,BTS_매출관리!I:I)</f>
        <v>0</v>
      </c>
      <c r="D111">
        <f t="shared" si="1"/>
        <v>39</v>
      </c>
    </row>
    <row r="112" spans="2:4" x14ac:dyDescent="0.3">
      <c r="B112" t="s">
        <v>1360</v>
      </c>
      <c r="C112" s="52">
        <f>SUMIF(BTS_매출관리!C:C,B112,BTS_매출관리!I:I)</f>
        <v>0</v>
      </c>
      <c r="D112">
        <f t="shared" si="1"/>
        <v>39</v>
      </c>
    </row>
    <row r="113" spans="2:4" x14ac:dyDescent="0.3">
      <c r="B113" t="s">
        <v>3187</v>
      </c>
      <c r="C113" s="52">
        <f>SUMIF(BTS_매출관리!C:C,B113,BTS_매출관리!I:I)</f>
        <v>0</v>
      </c>
      <c r="D113">
        <f t="shared" si="1"/>
        <v>39</v>
      </c>
    </row>
    <row r="114" spans="2:4" x14ac:dyDescent="0.3">
      <c r="B114" t="s">
        <v>1658</v>
      </c>
      <c r="C114" s="52">
        <f>SUMIF(BTS_매출관리!C:C,B114,BTS_매출관리!I:I)</f>
        <v>0</v>
      </c>
      <c r="D114">
        <f t="shared" si="1"/>
        <v>39</v>
      </c>
    </row>
    <row r="115" spans="2:4" x14ac:dyDescent="0.3">
      <c r="B115" t="s">
        <v>1316</v>
      </c>
      <c r="C115" s="52">
        <f>SUMIF(BTS_매출관리!C:C,B115,BTS_매출관리!I:I)</f>
        <v>0</v>
      </c>
      <c r="D115">
        <f t="shared" si="1"/>
        <v>39</v>
      </c>
    </row>
    <row r="116" spans="2:4" x14ac:dyDescent="0.3">
      <c r="B116" t="s">
        <v>1278</v>
      </c>
      <c r="C116" s="300">
        <f>SUMIF(BTS_매출관리!C:C,B116,BTS_매출관리!I:I)</f>
        <v>0</v>
      </c>
      <c r="D116">
        <f t="shared" si="1"/>
        <v>39</v>
      </c>
    </row>
    <row r="117" spans="2:4" x14ac:dyDescent="0.3">
      <c r="B117" t="s">
        <v>1319</v>
      </c>
      <c r="C117" s="52">
        <f>SUMIF(BTS_매출관리!C:C,B117,BTS_매출관리!I:I)</f>
        <v>0</v>
      </c>
      <c r="D117">
        <f t="shared" si="1"/>
        <v>39</v>
      </c>
    </row>
    <row r="118" spans="2:4" x14ac:dyDescent="0.3">
      <c r="B118" t="s">
        <v>2592</v>
      </c>
      <c r="C118" s="300">
        <f>SUMIF(BTS_매출관리!C:C,B118,BTS_매출관리!I:I)</f>
        <v>0</v>
      </c>
      <c r="D118">
        <f t="shared" si="1"/>
        <v>39</v>
      </c>
    </row>
    <row r="119" spans="2:4" x14ac:dyDescent="0.3">
      <c r="B119" t="s">
        <v>1308</v>
      </c>
      <c r="C119" s="300">
        <f>SUMIF(BTS_매출관리!C:C,B119,BTS_매출관리!I:I)</f>
        <v>0</v>
      </c>
      <c r="D119">
        <f t="shared" si="1"/>
        <v>39</v>
      </c>
    </row>
    <row r="120" spans="2:4" x14ac:dyDescent="0.3">
      <c r="B120" t="s">
        <v>3077</v>
      </c>
      <c r="C120" s="52">
        <f>SUMIF(BTS_매출관리!C:C,B120,BTS_매출관리!I:I)</f>
        <v>0</v>
      </c>
      <c r="D120">
        <f t="shared" si="1"/>
        <v>39</v>
      </c>
    </row>
    <row r="121" spans="2:4" x14ac:dyDescent="0.3">
      <c r="B121" t="s">
        <v>1348</v>
      </c>
      <c r="C121" s="52">
        <f>SUMIF(BTS_매출관리!C:C,B121,BTS_매출관리!I:I)</f>
        <v>0</v>
      </c>
      <c r="D121">
        <f t="shared" si="1"/>
        <v>39</v>
      </c>
    </row>
    <row r="122" spans="2:4" x14ac:dyDescent="0.3">
      <c r="B122" t="s">
        <v>1322</v>
      </c>
      <c r="C122" s="52">
        <f>SUMIF(BTS_매출관리!C:C,B122,BTS_매출관리!I:I)</f>
        <v>0</v>
      </c>
      <c r="D122">
        <f t="shared" si="1"/>
        <v>39</v>
      </c>
    </row>
    <row r="123" spans="2:4" x14ac:dyDescent="0.3">
      <c r="B123" t="s">
        <v>1156</v>
      </c>
      <c r="C123" s="52">
        <f>SUMIF(BTS_매출관리!C:C,B123,BTS_매출관리!I:I)</f>
        <v>0</v>
      </c>
      <c r="D123">
        <f t="shared" si="1"/>
        <v>39</v>
      </c>
    </row>
    <row r="124" spans="2:4" x14ac:dyDescent="0.3">
      <c r="B124" t="s">
        <v>2034</v>
      </c>
      <c r="C124" s="52">
        <f>SUMIF(BTS_매출관리!C:C,B124,BTS_매출관리!I:I)</f>
        <v>0</v>
      </c>
      <c r="D124">
        <f t="shared" si="1"/>
        <v>39</v>
      </c>
    </row>
    <row r="125" spans="2:4" x14ac:dyDescent="0.3">
      <c r="B125" t="s">
        <v>3463</v>
      </c>
      <c r="C125" s="52">
        <f>SUMIF(BTS_매출관리!C:C,B125,BTS_매출관리!I:I)</f>
        <v>0</v>
      </c>
      <c r="D125">
        <f t="shared" si="1"/>
        <v>39</v>
      </c>
    </row>
    <row r="126" spans="2:4" x14ac:dyDescent="0.3">
      <c r="B126" t="s">
        <v>2873</v>
      </c>
      <c r="C126" s="52">
        <f>SUMIF(BTS_매출관리!C:C,B126,BTS_매출관리!I:I)</f>
        <v>0</v>
      </c>
      <c r="D126">
        <f t="shared" si="1"/>
        <v>39</v>
      </c>
    </row>
    <row r="127" spans="2:4" x14ac:dyDescent="0.3">
      <c r="B127" t="s">
        <v>3021</v>
      </c>
      <c r="C127" s="52">
        <f>SUMIF(BTS_매출관리!C:C,B127,BTS_매출관리!I:I)</f>
        <v>0</v>
      </c>
      <c r="D127">
        <f t="shared" si="1"/>
        <v>39</v>
      </c>
    </row>
    <row r="128" spans="2:4" x14ac:dyDescent="0.3">
      <c r="B128" t="s">
        <v>3578</v>
      </c>
      <c r="C128" s="52">
        <f>SUMIF(BTS_매출관리!C:C,B128,BTS_매출관리!I:I)</f>
        <v>0</v>
      </c>
      <c r="D128">
        <f t="shared" si="1"/>
        <v>39</v>
      </c>
    </row>
    <row r="129" spans="2:4" x14ac:dyDescent="0.3">
      <c r="B129" t="s">
        <v>1323</v>
      </c>
      <c r="C129" s="52">
        <f>SUMIF(BTS_매출관리!C:C,B129,BTS_매출관리!I:I)</f>
        <v>0</v>
      </c>
      <c r="D129">
        <f t="shared" si="1"/>
        <v>39</v>
      </c>
    </row>
    <row r="130" spans="2:4" x14ac:dyDescent="0.3">
      <c r="B130" t="s">
        <v>1188</v>
      </c>
      <c r="C130" s="52">
        <f>SUMIF(BTS_매출관리!C:C,B130,BTS_매출관리!I:I)</f>
        <v>0</v>
      </c>
      <c r="D130">
        <f t="shared" ref="D130:D193" si="2">RANK(C130,C:C,0)</f>
        <v>39</v>
      </c>
    </row>
    <row r="131" spans="2:4" x14ac:dyDescent="0.3">
      <c r="B131" t="s">
        <v>2809</v>
      </c>
      <c r="C131" s="52">
        <f>SUMIF(BTS_매출관리!C:C,B131,BTS_매출관리!I:I)</f>
        <v>0</v>
      </c>
      <c r="D131">
        <f t="shared" si="2"/>
        <v>39</v>
      </c>
    </row>
    <row r="132" spans="2:4" x14ac:dyDescent="0.3">
      <c r="B132" t="s">
        <v>3210</v>
      </c>
      <c r="C132" s="52">
        <f>SUMIF(BTS_매출관리!C:C,B132,BTS_매출관리!I:I)</f>
        <v>0</v>
      </c>
      <c r="D132">
        <f t="shared" si="2"/>
        <v>39</v>
      </c>
    </row>
    <row r="133" spans="2:4" x14ac:dyDescent="0.3">
      <c r="B133" t="s">
        <v>2381</v>
      </c>
      <c r="C133" s="52">
        <f>SUMIF(BTS_매출관리!C:C,B133,BTS_매출관리!I:I)</f>
        <v>0</v>
      </c>
      <c r="D133">
        <f t="shared" si="2"/>
        <v>39</v>
      </c>
    </row>
    <row r="134" spans="2:4" x14ac:dyDescent="0.3">
      <c r="B134" t="s">
        <v>1301</v>
      </c>
      <c r="C134" s="300">
        <f>SUMIF(BTS_매출관리!C:C,B134,BTS_매출관리!I:I)</f>
        <v>0</v>
      </c>
      <c r="D134">
        <f t="shared" si="2"/>
        <v>39</v>
      </c>
    </row>
    <row r="135" spans="2:4" x14ac:dyDescent="0.3">
      <c r="B135" t="s">
        <v>2491</v>
      </c>
      <c r="C135" s="52">
        <f>SUMIF(BTS_매출관리!C:C,B135,BTS_매출관리!I:I)</f>
        <v>0</v>
      </c>
      <c r="D135">
        <f t="shared" si="2"/>
        <v>39</v>
      </c>
    </row>
    <row r="136" spans="2:4" x14ac:dyDescent="0.3">
      <c r="B136" t="s">
        <v>1297</v>
      </c>
      <c r="C136" s="300">
        <f>SUMIF(BTS_매출관리!C:C,B136,BTS_매출관리!I:I)</f>
        <v>0</v>
      </c>
      <c r="D136">
        <f t="shared" si="2"/>
        <v>39</v>
      </c>
    </row>
    <row r="137" spans="2:4" x14ac:dyDescent="0.3">
      <c r="B137" t="s">
        <v>2468</v>
      </c>
      <c r="C137" s="52">
        <f>SUMIF(BTS_매출관리!C:C,B137,BTS_매출관리!I:I)</f>
        <v>0</v>
      </c>
      <c r="D137">
        <f t="shared" si="2"/>
        <v>39</v>
      </c>
    </row>
    <row r="138" spans="2:4" x14ac:dyDescent="0.3">
      <c r="B138" t="s">
        <v>1314</v>
      </c>
      <c r="C138" s="300">
        <f>SUMIF(BTS_매출관리!C:C,B138,BTS_매출관리!I:I)</f>
        <v>0</v>
      </c>
      <c r="D138">
        <f t="shared" si="2"/>
        <v>39</v>
      </c>
    </row>
    <row r="139" spans="2:4" x14ac:dyDescent="0.3">
      <c r="B139" t="s">
        <v>1318</v>
      </c>
      <c r="C139" s="52">
        <f>SUMIF(BTS_매출관리!C:C,B139,BTS_매출관리!I:I)</f>
        <v>0</v>
      </c>
      <c r="D139">
        <f t="shared" si="2"/>
        <v>39</v>
      </c>
    </row>
    <row r="140" spans="2:4" x14ac:dyDescent="0.3">
      <c r="B140" t="s">
        <v>1344</v>
      </c>
      <c r="C140" s="52">
        <f>SUMIF(BTS_매출관리!C:C,B140,BTS_매출관리!I:I)</f>
        <v>0</v>
      </c>
      <c r="D140">
        <f t="shared" si="2"/>
        <v>39</v>
      </c>
    </row>
    <row r="141" spans="2:4" x14ac:dyDescent="0.3">
      <c r="B141" t="s">
        <v>1354</v>
      </c>
      <c r="C141" s="52">
        <f>SUMIF(BTS_매출관리!C:C,B141,BTS_매출관리!I:I)</f>
        <v>0</v>
      </c>
      <c r="D141">
        <f t="shared" si="2"/>
        <v>39</v>
      </c>
    </row>
    <row r="142" spans="2:4" x14ac:dyDescent="0.3">
      <c r="B142" t="s">
        <v>3151</v>
      </c>
      <c r="C142" s="52">
        <f>SUMIF(BTS_매출관리!C:C,B142,BTS_매출관리!I:I)</f>
        <v>0</v>
      </c>
      <c r="D142">
        <f t="shared" si="2"/>
        <v>39</v>
      </c>
    </row>
    <row r="143" spans="2:4" x14ac:dyDescent="0.3">
      <c r="B143" t="s">
        <v>3459</v>
      </c>
      <c r="C143" s="52">
        <f>SUMIF(BTS_매출관리!C:C,B143,BTS_매출관리!I:I)</f>
        <v>0</v>
      </c>
      <c r="D143">
        <f t="shared" si="2"/>
        <v>39</v>
      </c>
    </row>
    <row r="144" spans="2:4" x14ac:dyDescent="0.3">
      <c r="B144" t="s">
        <v>2053</v>
      </c>
      <c r="C144" s="52">
        <f>SUMIF(BTS_매출관리!C:C,B144,BTS_매출관리!I:I)</f>
        <v>0</v>
      </c>
      <c r="D144">
        <f t="shared" si="2"/>
        <v>39</v>
      </c>
    </row>
    <row r="145" spans="2:4" x14ac:dyDescent="0.3">
      <c r="B145" t="s">
        <v>3452</v>
      </c>
      <c r="C145" s="52">
        <f>SUMIF(BTS_매출관리!C:C,B145,BTS_매출관리!I:I)</f>
        <v>0</v>
      </c>
      <c r="D145">
        <f t="shared" si="2"/>
        <v>39</v>
      </c>
    </row>
    <row r="146" spans="2:4" x14ac:dyDescent="0.3">
      <c r="B146" t="s">
        <v>3504</v>
      </c>
      <c r="C146" s="52">
        <f>SUMIF(BTS_매출관리!C:C,B146,BTS_매출관리!I:I)</f>
        <v>0</v>
      </c>
      <c r="D146">
        <f t="shared" si="2"/>
        <v>39</v>
      </c>
    </row>
    <row r="147" spans="2:4" x14ac:dyDescent="0.3">
      <c r="B147" t="s">
        <v>2964</v>
      </c>
      <c r="C147" s="52">
        <f>SUMIF(BTS_매출관리!C:C,B147,BTS_매출관리!I:I)</f>
        <v>0</v>
      </c>
      <c r="D147">
        <f t="shared" si="2"/>
        <v>39</v>
      </c>
    </row>
    <row r="148" spans="2:4" x14ac:dyDescent="0.3">
      <c r="B148" t="s">
        <v>3729</v>
      </c>
      <c r="C148" s="52">
        <f>SUMIF(BTS_매출관리!C:C,B148,BTS_매출관리!I:I)</f>
        <v>0</v>
      </c>
      <c r="D148">
        <f t="shared" si="2"/>
        <v>39</v>
      </c>
    </row>
    <row r="149" spans="2:4" x14ac:dyDescent="0.3">
      <c r="B149" t="s">
        <v>2633</v>
      </c>
      <c r="C149" s="52">
        <f>SUMIF(BTS_매출관리!C:C,B149,BTS_매출관리!I:I)</f>
        <v>0</v>
      </c>
      <c r="D149">
        <f t="shared" si="2"/>
        <v>39</v>
      </c>
    </row>
    <row r="150" spans="2:4" x14ac:dyDescent="0.3">
      <c r="B150" t="s">
        <v>2277</v>
      </c>
      <c r="C150" s="52">
        <f>SUMIF(BTS_매출관리!C:C,B150,BTS_매출관리!I:I)</f>
        <v>0</v>
      </c>
      <c r="D150">
        <f t="shared" si="2"/>
        <v>39</v>
      </c>
    </row>
    <row r="151" spans="2:4" x14ac:dyDescent="0.3">
      <c r="B151" t="s">
        <v>3350</v>
      </c>
      <c r="C151" s="52">
        <f>SUMIF(BTS_매출관리!C:C,B151,BTS_매출관리!I:I)</f>
        <v>0</v>
      </c>
      <c r="D151">
        <f t="shared" si="2"/>
        <v>39</v>
      </c>
    </row>
    <row r="152" spans="2:4" x14ac:dyDescent="0.3">
      <c r="B152" t="s">
        <v>1277</v>
      </c>
      <c r="C152" s="300">
        <f>SUMIF(BTS_매출관리!C:C,B152,BTS_매출관리!I:I)</f>
        <v>0</v>
      </c>
      <c r="D152">
        <f t="shared" si="2"/>
        <v>39</v>
      </c>
    </row>
    <row r="153" spans="2:4" x14ac:dyDescent="0.3">
      <c r="B153" t="s">
        <v>1310</v>
      </c>
      <c r="C153" s="300">
        <f>SUMIF(BTS_매출관리!C:C,B153,BTS_매출관리!I:I)</f>
        <v>0</v>
      </c>
      <c r="D153">
        <f t="shared" si="2"/>
        <v>39</v>
      </c>
    </row>
    <row r="154" spans="2:4" x14ac:dyDescent="0.3">
      <c r="B154" t="s">
        <v>3263</v>
      </c>
      <c r="C154" s="52">
        <f>SUMIF(BTS_매출관리!C:C,B154,BTS_매출관리!I:I)</f>
        <v>0</v>
      </c>
      <c r="D154">
        <f t="shared" si="2"/>
        <v>39</v>
      </c>
    </row>
    <row r="155" spans="2:4" x14ac:dyDescent="0.3">
      <c r="B155" t="s">
        <v>1838</v>
      </c>
      <c r="C155" s="52">
        <f>SUMIF(BTS_매출관리!C:C,B155,BTS_매출관리!I:I)</f>
        <v>0</v>
      </c>
      <c r="D155">
        <f t="shared" si="2"/>
        <v>39</v>
      </c>
    </row>
    <row r="156" spans="2:4" x14ac:dyDescent="0.3">
      <c r="B156" t="s">
        <v>2732</v>
      </c>
      <c r="C156" s="52">
        <f>SUMIF(BTS_매출관리!C:C,B156,BTS_매출관리!I:I)</f>
        <v>0</v>
      </c>
      <c r="D156">
        <f t="shared" si="2"/>
        <v>39</v>
      </c>
    </row>
    <row r="157" spans="2:4" x14ac:dyDescent="0.3">
      <c r="B157" t="s">
        <v>3183</v>
      </c>
      <c r="C157" s="52">
        <f>SUMIF(BTS_매출관리!C:C,B157,BTS_매출관리!I:I)</f>
        <v>0</v>
      </c>
      <c r="D157">
        <f t="shared" si="2"/>
        <v>39</v>
      </c>
    </row>
    <row r="158" spans="2:4" x14ac:dyDescent="0.3">
      <c r="B158" t="s">
        <v>1335</v>
      </c>
      <c r="C158" s="52">
        <f>SUMIF(BTS_매출관리!C:C,B158,BTS_매출관리!I:I)</f>
        <v>0</v>
      </c>
      <c r="D158">
        <f t="shared" si="2"/>
        <v>39</v>
      </c>
    </row>
    <row r="159" spans="2:4" x14ac:dyDescent="0.3">
      <c r="B159" t="s">
        <v>1291</v>
      </c>
      <c r="C159" s="52">
        <f>SUMIF(BTS_매출관리!C:C,B159,BTS_매출관리!I:I)</f>
        <v>0</v>
      </c>
      <c r="D159">
        <f t="shared" si="2"/>
        <v>39</v>
      </c>
    </row>
    <row r="160" spans="2:4" x14ac:dyDescent="0.3">
      <c r="B160" t="s">
        <v>1282</v>
      </c>
      <c r="C160" s="52">
        <f>SUMIF(BTS_매출관리!C:C,B160,BTS_매출관리!I:I)</f>
        <v>0</v>
      </c>
      <c r="D160">
        <f t="shared" si="2"/>
        <v>39</v>
      </c>
    </row>
    <row r="161" spans="2:4" x14ac:dyDescent="0.3">
      <c r="B161" t="s">
        <v>1286</v>
      </c>
      <c r="C161" s="52">
        <f>SUMIF(BTS_매출관리!C:C,B161,BTS_매출관리!I:I)</f>
        <v>0</v>
      </c>
      <c r="D161">
        <f t="shared" si="2"/>
        <v>39</v>
      </c>
    </row>
    <row r="162" spans="2:4" x14ac:dyDescent="0.3">
      <c r="B162" t="s">
        <v>1293</v>
      </c>
      <c r="C162" s="52">
        <f>SUMIF(BTS_매출관리!C:C,B162,BTS_매출관리!I:I)</f>
        <v>0</v>
      </c>
      <c r="D162">
        <f t="shared" si="2"/>
        <v>39</v>
      </c>
    </row>
    <row r="163" spans="2:4" x14ac:dyDescent="0.3">
      <c r="B163" t="s">
        <v>1077</v>
      </c>
      <c r="C163" s="52">
        <f>SUMIF(BTS_매출관리!C:C,B163,BTS_매출관리!I:I)</f>
        <v>0</v>
      </c>
      <c r="D163">
        <f t="shared" si="2"/>
        <v>39</v>
      </c>
    </row>
    <row r="164" spans="2:4" x14ac:dyDescent="0.3">
      <c r="B164" t="s">
        <v>1300</v>
      </c>
      <c r="C164" s="52">
        <f>SUMIF(BTS_매출관리!C:C,B164,BTS_매출관리!I:I)</f>
        <v>0</v>
      </c>
      <c r="D164">
        <f t="shared" si="2"/>
        <v>39</v>
      </c>
    </row>
    <row r="165" spans="2:4" x14ac:dyDescent="0.3">
      <c r="B165" t="s">
        <v>1304</v>
      </c>
      <c r="C165" s="52">
        <f>SUMIF(BTS_매출관리!C:C,B165,BTS_매출관리!I:I)</f>
        <v>0</v>
      </c>
      <c r="D165">
        <f t="shared" si="2"/>
        <v>39</v>
      </c>
    </row>
    <row r="166" spans="2:4" x14ac:dyDescent="0.3">
      <c r="B166" t="s">
        <v>1012</v>
      </c>
      <c r="C166" s="52">
        <f>SUMIF(BTS_매출관리!C:C,B166,BTS_매출관리!I:I)</f>
        <v>0</v>
      </c>
      <c r="D166">
        <f t="shared" si="2"/>
        <v>39</v>
      </c>
    </row>
    <row r="167" spans="2:4" x14ac:dyDescent="0.3">
      <c r="B167" t="s">
        <v>1309</v>
      </c>
      <c r="C167" s="52">
        <f>SUMIF(BTS_매출관리!C:C,B167,BTS_매출관리!I:I)</f>
        <v>0</v>
      </c>
      <c r="D167">
        <f t="shared" si="2"/>
        <v>39</v>
      </c>
    </row>
    <row r="168" spans="2:4" x14ac:dyDescent="0.3">
      <c r="B168" t="s">
        <v>1311</v>
      </c>
      <c r="C168" s="52">
        <f>SUMIF(BTS_매출관리!C:C,B168,BTS_매출관리!I:I)</f>
        <v>0</v>
      </c>
      <c r="D168">
        <f t="shared" si="2"/>
        <v>39</v>
      </c>
    </row>
    <row r="169" spans="2:4" x14ac:dyDescent="0.3">
      <c r="B169" t="s">
        <v>1312</v>
      </c>
      <c r="C169" s="52">
        <f>SUMIF(BTS_매출관리!C:C,B169,BTS_매출관리!I:I)</f>
        <v>0</v>
      </c>
      <c r="D169">
        <f t="shared" si="2"/>
        <v>39</v>
      </c>
    </row>
    <row r="170" spans="2:4" x14ac:dyDescent="0.3">
      <c r="B170" t="s">
        <v>1089</v>
      </c>
      <c r="C170" s="52">
        <f>SUMIF(BTS_매출관리!C:C,B170,BTS_매출관리!I:I)</f>
        <v>0</v>
      </c>
      <c r="D170">
        <f t="shared" si="2"/>
        <v>39</v>
      </c>
    </row>
    <row r="171" spans="2:4" x14ac:dyDescent="0.3">
      <c r="B171" t="s">
        <v>997</v>
      </c>
      <c r="C171" s="52">
        <f>SUMIF(BTS_매출관리!C:C,B171,BTS_매출관리!I:I)</f>
        <v>0</v>
      </c>
      <c r="D171">
        <f t="shared" si="2"/>
        <v>39</v>
      </c>
    </row>
    <row r="172" spans="2:4" x14ac:dyDescent="0.3">
      <c r="B172" t="s">
        <v>1320</v>
      </c>
      <c r="C172" s="52">
        <f>SUMIF(BTS_매출관리!C:C,B172,BTS_매출관리!I:I)</f>
        <v>0</v>
      </c>
      <c r="D172">
        <f t="shared" si="2"/>
        <v>39</v>
      </c>
    </row>
    <row r="173" spans="2:4" x14ac:dyDescent="0.3">
      <c r="B173" t="s">
        <v>1325</v>
      </c>
      <c r="C173" s="52">
        <f>SUMIF(BTS_매출관리!C:C,B173,BTS_매출관리!I:I)</f>
        <v>0</v>
      </c>
      <c r="D173">
        <f t="shared" si="2"/>
        <v>39</v>
      </c>
    </row>
    <row r="174" spans="2:4" x14ac:dyDescent="0.3">
      <c r="B174" t="s">
        <v>1327</v>
      </c>
      <c r="C174" s="52">
        <f>SUMIF(BTS_매출관리!C:C,B174,BTS_매출관리!I:I)</f>
        <v>0</v>
      </c>
      <c r="D174">
        <f t="shared" si="2"/>
        <v>39</v>
      </c>
    </row>
    <row r="175" spans="2:4" x14ac:dyDescent="0.3">
      <c r="B175" t="s">
        <v>1331</v>
      </c>
      <c r="C175" s="52">
        <f>SUMIF(BTS_매출관리!C:C,B175,BTS_매출관리!I:I)</f>
        <v>0</v>
      </c>
      <c r="D175">
        <f t="shared" si="2"/>
        <v>39</v>
      </c>
    </row>
    <row r="176" spans="2:4" x14ac:dyDescent="0.3">
      <c r="B176" t="s">
        <v>1337</v>
      </c>
      <c r="C176" s="52">
        <f>SUMIF(BTS_매출관리!C:C,B176,BTS_매출관리!I:I)</f>
        <v>0</v>
      </c>
      <c r="D176">
        <f t="shared" si="2"/>
        <v>39</v>
      </c>
    </row>
    <row r="177" spans="2:4" x14ac:dyDescent="0.3">
      <c r="B177" t="s">
        <v>1338</v>
      </c>
      <c r="C177" s="52">
        <f>SUMIF(BTS_매출관리!C:C,B177,BTS_매출관리!I:I)</f>
        <v>0</v>
      </c>
      <c r="D177">
        <f t="shared" si="2"/>
        <v>39</v>
      </c>
    </row>
    <row r="178" spans="2:4" x14ac:dyDescent="0.3">
      <c r="B178" t="s">
        <v>1340</v>
      </c>
      <c r="C178" s="52">
        <f>SUMIF(BTS_매출관리!C:C,B178,BTS_매출관리!I:I)</f>
        <v>0</v>
      </c>
      <c r="D178">
        <f t="shared" si="2"/>
        <v>39</v>
      </c>
    </row>
    <row r="179" spans="2:4" x14ac:dyDescent="0.3">
      <c r="B179" t="s">
        <v>1343</v>
      </c>
      <c r="C179" s="52">
        <f>SUMIF(BTS_매출관리!C:C,B179,BTS_매출관리!I:I)</f>
        <v>0</v>
      </c>
      <c r="D179">
        <f t="shared" si="2"/>
        <v>39</v>
      </c>
    </row>
    <row r="180" spans="2:4" x14ac:dyDescent="0.3">
      <c r="B180" t="s">
        <v>1347</v>
      </c>
      <c r="C180" s="52">
        <f>SUMIF(BTS_매출관리!C:C,B180,BTS_매출관리!I:I)</f>
        <v>0</v>
      </c>
      <c r="D180">
        <f t="shared" si="2"/>
        <v>39</v>
      </c>
    </row>
    <row r="181" spans="2:4" x14ac:dyDescent="0.3">
      <c r="B181" t="s">
        <v>1350</v>
      </c>
      <c r="C181" s="52">
        <f>SUMIF(BTS_매출관리!C:C,B181,BTS_매출관리!I:I)</f>
        <v>0</v>
      </c>
      <c r="D181">
        <f t="shared" si="2"/>
        <v>39</v>
      </c>
    </row>
    <row r="182" spans="2:4" x14ac:dyDescent="0.3">
      <c r="B182" t="s">
        <v>1054</v>
      </c>
      <c r="C182" s="52">
        <f>SUMIF(BTS_매출관리!C:C,B182,BTS_매출관리!I:I)</f>
        <v>0</v>
      </c>
      <c r="D182">
        <f t="shared" si="2"/>
        <v>39</v>
      </c>
    </row>
    <row r="183" spans="2:4" x14ac:dyDescent="0.3">
      <c r="B183" t="s">
        <v>1358</v>
      </c>
      <c r="C183" s="52">
        <f>SUMIF(BTS_매출관리!C:C,B183,BTS_매출관리!I:I)</f>
        <v>0</v>
      </c>
      <c r="D183">
        <f t="shared" si="2"/>
        <v>39</v>
      </c>
    </row>
    <row r="184" spans="2:4" x14ac:dyDescent="0.3">
      <c r="B184" t="s">
        <v>1565</v>
      </c>
      <c r="C184" s="52">
        <f>SUMIF(BTS_매출관리!C:C,B184,BTS_매출관리!I:I)</f>
        <v>0</v>
      </c>
      <c r="D184">
        <f t="shared" si="2"/>
        <v>39</v>
      </c>
    </row>
    <row r="185" spans="2:4" x14ac:dyDescent="0.3">
      <c r="B185" t="s">
        <v>2371</v>
      </c>
      <c r="C185" s="52">
        <f>SUMIF(BTS_매출관리!C:C,B185,BTS_매출관리!I:I)</f>
        <v>0</v>
      </c>
      <c r="D185">
        <f t="shared" si="2"/>
        <v>39</v>
      </c>
    </row>
    <row r="186" spans="2:4" x14ac:dyDescent="0.3">
      <c r="B186" t="s">
        <v>2677</v>
      </c>
      <c r="C186" s="52">
        <f>SUMIF(BTS_매출관리!C:C,B186,BTS_매출관리!I:I)</f>
        <v>0</v>
      </c>
      <c r="D186">
        <f t="shared" si="2"/>
        <v>39</v>
      </c>
    </row>
    <row r="187" spans="2:4" x14ac:dyDescent="0.3">
      <c r="B187" t="s">
        <v>2930</v>
      </c>
      <c r="C187" s="52">
        <f>SUMIF(BTS_매출관리!C:C,B187,BTS_매출관리!I:I)</f>
        <v>0</v>
      </c>
      <c r="D187">
        <f t="shared" si="2"/>
        <v>39</v>
      </c>
    </row>
    <row r="188" spans="2:4" x14ac:dyDescent="0.3">
      <c r="C188" s="52">
        <f>SUMIF(BTS_매출관리!C:C,B188,BTS_매출관리!I:I)</f>
        <v>0</v>
      </c>
      <c r="D188">
        <f t="shared" si="2"/>
        <v>39</v>
      </c>
    </row>
    <row r="189" spans="2:4" x14ac:dyDescent="0.3">
      <c r="C189" s="52">
        <f>SUMIF(BTS_매출관리!C:C,B189,BTS_매출관리!I:I)</f>
        <v>0</v>
      </c>
      <c r="D189">
        <f t="shared" si="2"/>
        <v>39</v>
      </c>
    </row>
    <row r="190" spans="2:4" x14ac:dyDescent="0.3">
      <c r="C190" s="52">
        <f>SUMIF(BTS_매출관리!C:C,B190,BTS_매출관리!I:I)</f>
        <v>0</v>
      </c>
      <c r="D190">
        <f t="shared" si="2"/>
        <v>39</v>
      </c>
    </row>
    <row r="191" spans="2:4" x14ac:dyDescent="0.3">
      <c r="C191" s="52">
        <f>SUMIF(BTS_매출관리!C:C,B191,BTS_매출관리!I:I)</f>
        <v>0</v>
      </c>
      <c r="D191">
        <f t="shared" si="2"/>
        <v>39</v>
      </c>
    </row>
    <row r="192" spans="2:4" x14ac:dyDescent="0.3">
      <c r="C192" s="52">
        <f>SUMIF(BTS_매출관리!C:C,B192,BTS_매출관리!I:I)</f>
        <v>0</v>
      </c>
      <c r="D192">
        <f t="shared" si="2"/>
        <v>39</v>
      </c>
    </row>
    <row r="193" spans="3:4" x14ac:dyDescent="0.3">
      <c r="C193" s="52">
        <f>SUMIF(BTS_매출관리!C:C,B193,BTS_매출관리!I:I)</f>
        <v>0</v>
      </c>
      <c r="D193">
        <f t="shared" si="2"/>
        <v>39</v>
      </c>
    </row>
    <row r="194" spans="3:4" x14ac:dyDescent="0.3">
      <c r="C194" s="52">
        <f>SUMIF(BTS_매출관리!C:C,B194,BTS_매출관리!I:I)</f>
        <v>0</v>
      </c>
      <c r="D194">
        <f t="shared" ref="D194:D224" si="3">RANK(C194,C:C,0)</f>
        <v>39</v>
      </c>
    </row>
    <row r="195" spans="3:4" x14ac:dyDescent="0.3">
      <c r="C195" s="52">
        <f>SUMIF(BTS_매출관리!C:C,B195,BTS_매출관리!I:I)</f>
        <v>0</v>
      </c>
      <c r="D195">
        <f t="shared" si="3"/>
        <v>39</v>
      </c>
    </row>
    <row r="196" spans="3:4" x14ac:dyDescent="0.3">
      <c r="C196" s="52">
        <f>SUMIF(BTS_매출관리!C:C,B196,BTS_매출관리!I:I)</f>
        <v>0</v>
      </c>
      <c r="D196">
        <f t="shared" si="3"/>
        <v>39</v>
      </c>
    </row>
    <row r="197" spans="3:4" x14ac:dyDescent="0.3">
      <c r="C197" s="52">
        <f>SUMIF(BTS_매출관리!C:C,B197,BTS_매출관리!I:I)</f>
        <v>0</v>
      </c>
      <c r="D197">
        <f t="shared" si="3"/>
        <v>39</v>
      </c>
    </row>
    <row r="198" spans="3:4" x14ac:dyDescent="0.3">
      <c r="C198" s="52">
        <f>SUMIF(BTS_매출관리!C:C,B198,BTS_매출관리!I:I)</f>
        <v>0</v>
      </c>
      <c r="D198">
        <f t="shared" si="3"/>
        <v>39</v>
      </c>
    </row>
    <row r="199" spans="3:4" x14ac:dyDescent="0.3">
      <c r="C199" s="52">
        <f>SUMIF(BTS_매출관리!C:C,B199,BTS_매출관리!I:I)</f>
        <v>0</v>
      </c>
      <c r="D199">
        <f t="shared" si="3"/>
        <v>39</v>
      </c>
    </row>
    <row r="200" spans="3:4" x14ac:dyDescent="0.3">
      <c r="C200" s="52">
        <f>SUMIF(BTS_매출관리!C:C,B200,BTS_매출관리!I:I)</f>
        <v>0</v>
      </c>
      <c r="D200">
        <f t="shared" si="3"/>
        <v>39</v>
      </c>
    </row>
    <row r="201" spans="3:4" x14ac:dyDescent="0.3">
      <c r="C201" s="52">
        <f>SUMIF(BTS_매출관리!C:C,B201,BTS_매출관리!I:I)</f>
        <v>0</v>
      </c>
      <c r="D201">
        <f t="shared" si="3"/>
        <v>39</v>
      </c>
    </row>
    <row r="202" spans="3:4" x14ac:dyDescent="0.3">
      <c r="C202" s="52">
        <f>SUMIF(BTS_매출관리!C:C,B202,BTS_매출관리!I:I)</f>
        <v>0</v>
      </c>
      <c r="D202">
        <f t="shared" si="3"/>
        <v>39</v>
      </c>
    </row>
    <row r="203" spans="3:4" x14ac:dyDescent="0.3">
      <c r="C203" s="52">
        <f>SUMIF(BTS_매출관리!C:C,B203,BTS_매출관리!I:I)</f>
        <v>0</v>
      </c>
      <c r="D203">
        <f t="shared" si="3"/>
        <v>39</v>
      </c>
    </row>
    <row r="204" spans="3:4" x14ac:dyDescent="0.3">
      <c r="C204" s="52">
        <f>SUMIF(BTS_매출관리!C:C,B204,BTS_매출관리!I:I)</f>
        <v>0</v>
      </c>
      <c r="D204">
        <f t="shared" si="3"/>
        <v>39</v>
      </c>
    </row>
    <row r="205" spans="3:4" x14ac:dyDescent="0.3">
      <c r="C205" s="52">
        <f>SUMIF(BTS_매출관리!C:C,B205,BTS_매출관리!I:I)</f>
        <v>0</v>
      </c>
      <c r="D205">
        <f t="shared" si="3"/>
        <v>39</v>
      </c>
    </row>
    <row r="206" spans="3:4" x14ac:dyDescent="0.3">
      <c r="C206" s="52">
        <f>SUMIF(BTS_매출관리!C:C,B206,BTS_매출관리!I:I)</f>
        <v>0</v>
      </c>
      <c r="D206">
        <f t="shared" si="3"/>
        <v>39</v>
      </c>
    </row>
    <row r="207" spans="3:4" x14ac:dyDescent="0.3">
      <c r="C207" s="52">
        <f>SUMIF(BTS_매출관리!C:C,B207,BTS_매출관리!I:I)</f>
        <v>0</v>
      </c>
      <c r="D207">
        <f t="shared" si="3"/>
        <v>39</v>
      </c>
    </row>
    <row r="208" spans="3:4" x14ac:dyDescent="0.3">
      <c r="C208" s="52">
        <f>SUMIF(BTS_매출관리!C:C,B208,BTS_매출관리!I:I)</f>
        <v>0</v>
      </c>
      <c r="D208">
        <f t="shared" si="3"/>
        <v>39</v>
      </c>
    </row>
    <row r="209" spans="3:4" x14ac:dyDescent="0.3">
      <c r="C209" s="52">
        <f>SUMIF(BTS_매출관리!C:C,B209,BTS_매출관리!I:I)</f>
        <v>0</v>
      </c>
      <c r="D209">
        <f t="shared" si="3"/>
        <v>39</v>
      </c>
    </row>
    <row r="210" spans="3:4" x14ac:dyDescent="0.3">
      <c r="C210" s="52">
        <f>SUMIF(BTS_매출관리!C:C,B210,BTS_매출관리!I:I)</f>
        <v>0</v>
      </c>
      <c r="D210">
        <f t="shared" si="3"/>
        <v>39</v>
      </c>
    </row>
    <row r="211" spans="3:4" x14ac:dyDescent="0.3">
      <c r="C211" s="52">
        <f>SUMIF(BTS_매출관리!C:C,B211,BTS_매출관리!I:I)</f>
        <v>0</v>
      </c>
      <c r="D211">
        <f t="shared" si="3"/>
        <v>39</v>
      </c>
    </row>
    <row r="212" spans="3:4" x14ac:dyDescent="0.3">
      <c r="C212" s="52">
        <f>SUMIF(BTS_매출관리!C:C,B212,BTS_매출관리!I:I)</f>
        <v>0</v>
      </c>
      <c r="D212">
        <f t="shared" si="3"/>
        <v>39</v>
      </c>
    </row>
    <row r="213" spans="3:4" x14ac:dyDescent="0.3">
      <c r="C213" s="52">
        <f>SUMIF(BTS_매출관리!C:C,B213,BTS_매출관리!I:I)</f>
        <v>0</v>
      </c>
      <c r="D213">
        <f t="shared" si="3"/>
        <v>39</v>
      </c>
    </row>
    <row r="214" spans="3:4" x14ac:dyDescent="0.3">
      <c r="C214" s="52">
        <f>SUMIF(BTS_매출관리!C:C,B214,BTS_매출관리!I:I)</f>
        <v>0</v>
      </c>
      <c r="D214">
        <f t="shared" si="3"/>
        <v>39</v>
      </c>
    </row>
    <row r="215" spans="3:4" x14ac:dyDescent="0.3">
      <c r="C215" s="52">
        <f>SUMIF(BTS_매출관리!C:C,B215,BTS_매출관리!I:I)</f>
        <v>0</v>
      </c>
      <c r="D215">
        <f t="shared" si="3"/>
        <v>39</v>
      </c>
    </row>
    <row r="216" spans="3:4" x14ac:dyDescent="0.3">
      <c r="C216" s="52">
        <f>SUMIF(BTS_매출관리!C:C,B216,BTS_매출관리!I:I)</f>
        <v>0</v>
      </c>
      <c r="D216">
        <f t="shared" si="3"/>
        <v>39</v>
      </c>
    </row>
    <row r="217" spans="3:4" x14ac:dyDescent="0.3">
      <c r="C217" s="52">
        <f>SUMIF(BTS_매출관리!C:C,B217,BTS_매출관리!I:I)</f>
        <v>0</v>
      </c>
      <c r="D217">
        <f t="shared" si="3"/>
        <v>39</v>
      </c>
    </row>
    <row r="218" spans="3:4" x14ac:dyDescent="0.3">
      <c r="C218" s="52">
        <f>SUMIF(BTS_매출관리!C:C,B218,BTS_매출관리!I:I)</f>
        <v>0</v>
      </c>
      <c r="D218">
        <f t="shared" si="3"/>
        <v>39</v>
      </c>
    </row>
    <row r="219" spans="3:4" x14ac:dyDescent="0.3">
      <c r="C219" s="52">
        <f>SUMIF(BTS_매출관리!C:C,B219,BTS_매출관리!I:I)</f>
        <v>0</v>
      </c>
      <c r="D219">
        <f t="shared" si="3"/>
        <v>39</v>
      </c>
    </row>
    <row r="220" spans="3:4" x14ac:dyDescent="0.3">
      <c r="C220" s="52">
        <f>SUMIF(BTS_매출관리!C:C,B220,BTS_매출관리!I:I)</f>
        <v>0</v>
      </c>
      <c r="D220">
        <f t="shared" si="3"/>
        <v>39</v>
      </c>
    </row>
    <row r="221" spans="3:4" x14ac:dyDescent="0.3">
      <c r="C221" s="52">
        <f>SUMIF(BTS_매출관리!C:C,B221,BTS_매출관리!I:I)</f>
        <v>0</v>
      </c>
      <c r="D221">
        <f t="shared" si="3"/>
        <v>39</v>
      </c>
    </row>
    <row r="222" spans="3:4" x14ac:dyDescent="0.3">
      <c r="C222" s="52">
        <f>SUMIF(BTS_매출관리!C:C,B222,BTS_매출관리!I:I)</f>
        <v>0</v>
      </c>
      <c r="D222">
        <f t="shared" si="3"/>
        <v>39</v>
      </c>
    </row>
    <row r="223" spans="3:4" x14ac:dyDescent="0.3">
      <c r="C223" s="52">
        <f>SUMIF(BTS_매출관리!C:C,B223,BTS_매출관리!I:I)</f>
        <v>0</v>
      </c>
      <c r="D223">
        <f t="shared" si="3"/>
        <v>39</v>
      </c>
    </row>
    <row r="224" spans="3:4" x14ac:dyDescent="0.3">
      <c r="C224" s="52">
        <f>SUMIF(BTS_매출관리!C:C,B224,BTS_매출관리!I:I)</f>
        <v>0</v>
      </c>
      <c r="D224">
        <f t="shared" si="3"/>
        <v>39</v>
      </c>
    </row>
  </sheetData>
  <autoFilter ref="A1:D224" xr:uid="{EBAD9640-D19C-4B03-BA40-3E32D1FC9E65}">
    <sortState xmlns:xlrd2="http://schemas.microsoft.com/office/spreadsheetml/2017/richdata2" ref="A2:D224">
      <sortCondition ref="D1:D224"/>
    </sortState>
  </autoFilter>
  <phoneticPr fontId="2" type="noConversion"/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D53994-BFA3-4D96-9967-8C339358C0E4}">
  <sheetPr codeName="sht_Fast_order_table"/>
  <dimension ref="A1:O149"/>
  <sheetViews>
    <sheetView topLeftCell="A44" workbookViewId="0">
      <selection activeCell="C73" sqref="C73"/>
    </sheetView>
  </sheetViews>
  <sheetFormatPr defaultRowHeight="16.5" x14ac:dyDescent="0.3"/>
  <cols>
    <col min="1" max="1" width="4.25" style="250" customWidth="1"/>
    <col min="2" max="2" width="10.25" style="258" bestFit="1" customWidth="1"/>
    <col min="3" max="3" width="9" style="249"/>
    <col min="4" max="4" width="10" style="249" customWidth="1"/>
    <col min="5" max="5" width="5.5" style="249" customWidth="1"/>
    <col min="6" max="6" width="5.25" style="249" bestFit="1" customWidth="1"/>
    <col min="7" max="7" width="10.875" style="249" bestFit="1" customWidth="1"/>
    <col min="8" max="8" width="11.625" style="249" customWidth="1"/>
    <col min="9" max="9" width="9" style="249"/>
    <col min="10" max="10" width="11.625" style="249" customWidth="1"/>
    <col min="11" max="11" width="9" style="249"/>
    <col min="12" max="12" width="15" style="249" bestFit="1" customWidth="1"/>
    <col min="13" max="13" width="12.75" style="249" customWidth="1"/>
    <col min="14" max="14" width="9" style="249"/>
    <col min="15" max="15" width="11.625" style="249" bestFit="1" customWidth="1"/>
    <col min="16" max="253" width="9" style="249"/>
    <col min="254" max="254" width="2" style="249" customWidth="1"/>
    <col min="255" max="255" width="5" style="249" customWidth="1"/>
    <col min="256" max="257" width="3.625" style="249" customWidth="1"/>
    <col min="258" max="258" width="9" style="249"/>
    <col min="259" max="259" width="10" style="249" customWidth="1"/>
    <col min="260" max="261" width="5.5" style="249" customWidth="1"/>
    <col min="262" max="262" width="9" style="249"/>
    <col min="263" max="263" width="11.625" style="249" customWidth="1"/>
    <col min="264" max="264" width="9" style="249"/>
    <col min="265" max="265" width="11.625" style="249" customWidth="1"/>
    <col min="266" max="266" width="9" style="249"/>
    <col min="267" max="267" width="15" style="249" bestFit="1" customWidth="1"/>
    <col min="268" max="268" width="13.625" style="249" bestFit="1" customWidth="1"/>
    <col min="269" max="509" width="9" style="249"/>
    <col min="510" max="510" width="2" style="249" customWidth="1"/>
    <col min="511" max="511" width="5" style="249" customWidth="1"/>
    <col min="512" max="513" width="3.625" style="249" customWidth="1"/>
    <col min="514" max="514" width="9" style="249"/>
    <col min="515" max="515" width="10" style="249" customWidth="1"/>
    <col min="516" max="517" width="5.5" style="249" customWidth="1"/>
    <col min="518" max="518" width="9" style="249"/>
    <col min="519" max="519" width="11.625" style="249" customWidth="1"/>
    <col min="520" max="520" width="9" style="249"/>
    <col min="521" max="521" width="11.625" style="249" customWidth="1"/>
    <col min="522" max="522" width="9" style="249"/>
    <col min="523" max="523" width="15" style="249" bestFit="1" customWidth="1"/>
    <col min="524" max="524" width="13.625" style="249" bestFit="1" customWidth="1"/>
    <col min="525" max="765" width="9" style="249"/>
    <col min="766" max="766" width="2" style="249" customWidth="1"/>
    <col min="767" max="767" width="5" style="249" customWidth="1"/>
    <col min="768" max="769" width="3.625" style="249" customWidth="1"/>
    <col min="770" max="770" width="9" style="249"/>
    <col min="771" max="771" width="10" style="249" customWidth="1"/>
    <col min="772" max="773" width="5.5" style="249" customWidth="1"/>
    <col min="774" max="774" width="9" style="249"/>
    <col min="775" max="775" width="11.625" style="249" customWidth="1"/>
    <col min="776" max="776" width="9" style="249"/>
    <col min="777" max="777" width="11.625" style="249" customWidth="1"/>
    <col min="778" max="778" width="9" style="249"/>
    <col min="779" max="779" width="15" style="249" bestFit="1" customWidth="1"/>
    <col min="780" max="780" width="13.625" style="249" bestFit="1" customWidth="1"/>
    <col min="781" max="1021" width="9" style="249"/>
    <col min="1022" max="1022" width="2" style="249" customWidth="1"/>
    <col min="1023" max="1023" width="5" style="249" customWidth="1"/>
    <col min="1024" max="1025" width="3.625" style="249" customWidth="1"/>
    <col min="1026" max="1026" width="9" style="249"/>
    <col min="1027" max="1027" width="10" style="249" customWidth="1"/>
    <col min="1028" max="1029" width="5.5" style="249" customWidth="1"/>
    <col min="1030" max="1030" width="9" style="249"/>
    <col min="1031" max="1031" width="11.625" style="249" customWidth="1"/>
    <col min="1032" max="1032" width="9" style="249"/>
    <col min="1033" max="1033" width="11.625" style="249" customWidth="1"/>
    <col min="1034" max="1034" width="9" style="249"/>
    <col min="1035" max="1035" width="15" style="249" bestFit="1" customWidth="1"/>
    <col min="1036" max="1036" width="13.625" style="249" bestFit="1" customWidth="1"/>
    <col min="1037" max="1277" width="9" style="249"/>
    <col min="1278" max="1278" width="2" style="249" customWidth="1"/>
    <col min="1279" max="1279" width="5" style="249" customWidth="1"/>
    <col min="1280" max="1281" width="3.625" style="249" customWidth="1"/>
    <col min="1282" max="1282" width="9" style="249"/>
    <col min="1283" max="1283" width="10" style="249" customWidth="1"/>
    <col min="1284" max="1285" width="5.5" style="249" customWidth="1"/>
    <col min="1286" max="1286" width="9" style="249"/>
    <col min="1287" max="1287" width="11.625" style="249" customWidth="1"/>
    <col min="1288" max="1288" width="9" style="249"/>
    <col min="1289" max="1289" width="11.625" style="249" customWidth="1"/>
    <col min="1290" max="1290" width="9" style="249"/>
    <col min="1291" max="1291" width="15" style="249" bestFit="1" customWidth="1"/>
    <col min="1292" max="1292" width="13.625" style="249" bestFit="1" customWidth="1"/>
    <col min="1293" max="1533" width="9" style="249"/>
    <col min="1534" max="1534" width="2" style="249" customWidth="1"/>
    <col min="1535" max="1535" width="5" style="249" customWidth="1"/>
    <col min="1536" max="1537" width="3.625" style="249" customWidth="1"/>
    <col min="1538" max="1538" width="9" style="249"/>
    <col min="1539" max="1539" width="10" style="249" customWidth="1"/>
    <col min="1540" max="1541" width="5.5" style="249" customWidth="1"/>
    <col min="1542" max="1542" width="9" style="249"/>
    <col min="1543" max="1543" width="11.625" style="249" customWidth="1"/>
    <col min="1544" max="1544" width="9" style="249"/>
    <col min="1545" max="1545" width="11.625" style="249" customWidth="1"/>
    <col min="1546" max="1546" width="9" style="249"/>
    <col min="1547" max="1547" width="15" style="249" bestFit="1" customWidth="1"/>
    <col min="1548" max="1548" width="13.625" style="249" bestFit="1" customWidth="1"/>
    <col min="1549" max="1789" width="9" style="249"/>
    <col min="1790" max="1790" width="2" style="249" customWidth="1"/>
    <col min="1791" max="1791" width="5" style="249" customWidth="1"/>
    <col min="1792" max="1793" width="3.625" style="249" customWidth="1"/>
    <col min="1794" max="1794" width="9" style="249"/>
    <col min="1795" max="1795" width="10" style="249" customWidth="1"/>
    <col min="1796" max="1797" width="5.5" style="249" customWidth="1"/>
    <col min="1798" max="1798" width="9" style="249"/>
    <col min="1799" max="1799" width="11.625" style="249" customWidth="1"/>
    <col min="1800" max="1800" width="9" style="249"/>
    <col min="1801" max="1801" width="11.625" style="249" customWidth="1"/>
    <col min="1802" max="1802" width="9" style="249"/>
    <col min="1803" max="1803" width="15" style="249" bestFit="1" customWidth="1"/>
    <col min="1804" max="1804" width="13.625" style="249" bestFit="1" customWidth="1"/>
    <col min="1805" max="2045" width="9" style="249"/>
    <col min="2046" max="2046" width="2" style="249" customWidth="1"/>
    <col min="2047" max="2047" width="5" style="249" customWidth="1"/>
    <col min="2048" max="2049" width="3.625" style="249" customWidth="1"/>
    <col min="2050" max="2050" width="9" style="249"/>
    <col min="2051" max="2051" width="10" style="249" customWidth="1"/>
    <col min="2052" max="2053" width="5.5" style="249" customWidth="1"/>
    <col min="2054" max="2054" width="9" style="249"/>
    <col min="2055" max="2055" width="11.625" style="249" customWidth="1"/>
    <col min="2056" max="2056" width="9" style="249"/>
    <col min="2057" max="2057" width="11.625" style="249" customWidth="1"/>
    <col min="2058" max="2058" width="9" style="249"/>
    <col min="2059" max="2059" width="15" style="249" bestFit="1" customWidth="1"/>
    <col min="2060" max="2060" width="13.625" style="249" bestFit="1" customWidth="1"/>
    <col min="2061" max="2301" width="9" style="249"/>
    <col min="2302" max="2302" width="2" style="249" customWidth="1"/>
    <col min="2303" max="2303" width="5" style="249" customWidth="1"/>
    <col min="2304" max="2305" width="3.625" style="249" customWidth="1"/>
    <col min="2306" max="2306" width="9" style="249"/>
    <col min="2307" max="2307" width="10" style="249" customWidth="1"/>
    <col min="2308" max="2309" width="5.5" style="249" customWidth="1"/>
    <col min="2310" max="2310" width="9" style="249"/>
    <col min="2311" max="2311" width="11.625" style="249" customWidth="1"/>
    <col min="2312" max="2312" width="9" style="249"/>
    <col min="2313" max="2313" width="11.625" style="249" customWidth="1"/>
    <col min="2314" max="2314" width="9" style="249"/>
    <col min="2315" max="2315" width="15" style="249" bestFit="1" customWidth="1"/>
    <col min="2316" max="2316" width="13.625" style="249" bestFit="1" customWidth="1"/>
    <col min="2317" max="2557" width="9" style="249"/>
    <col min="2558" max="2558" width="2" style="249" customWidth="1"/>
    <col min="2559" max="2559" width="5" style="249" customWidth="1"/>
    <col min="2560" max="2561" width="3.625" style="249" customWidth="1"/>
    <col min="2562" max="2562" width="9" style="249"/>
    <col min="2563" max="2563" width="10" style="249" customWidth="1"/>
    <col min="2564" max="2565" width="5.5" style="249" customWidth="1"/>
    <col min="2566" max="2566" width="9" style="249"/>
    <col min="2567" max="2567" width="11.625" style="249" customWidth="1"/>
    <col min="2568" max="2568" width="9" style="249"/>
    <col min="2569" max="2569" width="11.625" style="249" customWidth="1"/>
    <col min="2570" max="2570" width="9" style="249"/>
    <col min="2571" max="2571" width="15" style="249" bestFit="1" customWidth="1"/>
    <col min="2572" max="2572" width="13.625" style="249" bestFit="1" customWidth="1"/>
    <col min="2573" max="2813" width="9" style="249"/>
    <col min="2814" max="2814" width="2" style="249" customWidth="1"/>
    <col min="2815" max="2815" width="5" style="249" customWidth="1"/>
    <col min="2816" max="2817" width="3.625" style="249" customWidth="1"/>
    <col min="2818" max="2818" width="9" style="249"/>
    <col min="2819" max="2819" width="10" style="249" customWidth="1"/>
    <col min="2820" max="2821" width="5.5" style="249" customWidth="1"/>
    <col min="2822" max="2822" width="9" style="249"/>
    <col min="2823" max="2823" width="11.625" style="249" customWidth="1"/>
    <col min="2824" max="2824" width="9" style="249"/>
    <col min="2825" max="2825" width="11.625" style="249" customWidth="1"/>
    <col min="2826" max="2826" width="9" style="249"/>
    <col min="2827" max="2827" width="15" style="249" bestFit="1" customWidth="1"/>
    <col min="2828" max="2828" width="13.625" style="249" bestFit="1" customWidth="1"/>
    <col min="2829" max="3069" width="9" style="249"/>
    <col min="3070" max="3070" width="2" style="249" customWidth="1"/>
    <col min="3071" max="3071" width="5" style="249" customWidth="1"/>
    <col min="3072" max="3073" width="3.625" style="249" customWidth="1"/>
    <col min="3074" max="3074" width="9" style="249"/>
    <col min="3075" max="3075" width="10" style="249" customWidth="1"/>
    <col min="3076" max="3077" width="5.5" style="249" customWidth="1"/>
    <col min="3078" max="3078" width="9" style="249"/>
    <col min="3079" max="3079" width="11.625" style="249" customWidth="1"/>
    <col min="3080" max="3080" width="9" style="249"/>
    <col min="3081" max="3081" width="11.625" style="249" customWidth="1"/>
    <col min="3082" max="3082" width="9" style="249"/>
    <col min="3083" max="3083" width="15" style="249" bestFit="1" customWidth="1"/>
    <col min="3084" max="3084" width="13.625" style="249" bestFit="1" customWidth="1"/>
    <col min="3085" max="3325" width="9" style="249"/>
    <col min="3326" max="3326" width="2" style="249" customWidth="1"/>
    <col min="3327" max="3327" width="5" style="249" customWidth="1"/>
    <col min="3328" max="3329" width="3.625" style="249" customWidth="1"/>
    <col min="3330" max="3330" width="9" style="249"/>
    <col min="3331" max="3331" width="10" style="249" customWidth="1"/>
    <col min="3332" max="3333" width="5.5" style="249" customWidth="1"/>
    <col min="3334" max="3334" width="9" style="249"/>
    <col min="3335" max="3335" width="11.625" style="249" customWidth="1"/>
    <col min="3336" max="3336" width="9" style="249"/>
    <col min="3337" max="3337" width="11.625" style="249" customWidth="1"/>
    <col min="3338" max="3338" width="9" style="249"/>
    <col min="3339" max="3339" width="15" style="249" bestFit="1" customWidth="1"/>
    <col min="3340" max="3340" width="13.625" style="249" bestFit="1" customWidth="1"/>
    <col min="3341" max="3581" width="9" style="249"/>
    <col min="3582" max="3582" width="2" style="249" customWidth="1"/>
    <col min="3583" max="3583" width="5" style="249" customWidth="1"/>
    <col min="3584" max="3585" width="3.625" style="249" customWidth="1"/>
    <col min="3586" max="3586" width="9" style="249"/>
    <col min="3587" max="3587" width="10" style="249" customWidth="1"/>
    <col min="3588" max="3589" width="5.5" style="249" customWidth="1"/>
    <col min="3590" max="3590" width="9" style="249"/>
    <col min="3591" max="3591" width="11.625" style="249" customWidth="1"/>
    <col min="3592" max="3592" width="9" style="249"/>
    <col min="3593" max="3593" width="11.625" style="249" customWidth="1"/>
    <col min="3594" max="3594" width="9" style="249"/>
    <col min="3595" max="3595" width="15" style="249" bestFit="1" customWidth="1"/>
    <col min="3596" max="3596" width="13.625" style="249" bestFit="1" customWidth="1"/>
    <col min="3597" max="3837" width="9" style="249"/>
    <col min="3838" max="3838" width="2" style="249" customWidth="1"/>
    <col min="3839" max="3839" width="5" style="249" customWidth="1"/>
    <col min="3840" max="3841" width="3.625" style="249" customWidth="1"/>
    <col min="3842" max="3842" width="9" style="249"/>
    <col min="3843" max="3843" width="10" style="249" customWidth="1"/>
    <col min="3844" max="3845" width="5.5" style="249" customWidth="1"/>
    <col min="3846" max="3846" width="9" style="249"/>
    <col min="3847" max="3847" width="11.625" style="249" customWidth="1"/>
    <col min="3848" max="3848" width="9" style="249"/>
    <col min="3849" max="3849" width="11.625" style="249" customWidth="1"/>
    <col min="3850" max="3850" width="9" style="249"/>
    <col min="3851" max="3851" width="15" style="249" bestFit="1" customWidth="1"/>
    <col min="3852" max="3852" width="13.625" style="249" bestFit="1" customWidth="1"/>
    <col min="3853" max="4093" width="9" style="249"/>
    <col min="4094" max="4094" width="2" style="249" customWidth="1"/>
    <col min="4095" max="4095" width="5" style="249" customWidth="1"/>
    <col min="4096" max="4097" width="3.625" style="249" customWidth="1"/>
    <col min="4098" max="4098" width="9" style="249"/>
    <col min="4099" max="4099" width="10" style="249" customWidth="1"/>
    <col min="4100" max="4101" width="5.5" style="249" customWidth="1"/>
    <col min="4102" max="4102" width="9" style="249"/>
    <col min="4103" max="4103" width="11.625" style="249" customWidth="1"/>
    <col min="4104" max="4104" width="9" style="249"/>
    <col min="4105" max="4105" width="11.625" style="249" customWidth="1"/>
    <col min="4106" max="4106" width="9" style="249"/>
    <col min="4107" max="4107" width="15" style="249" bestFit="1" customWidth="1"/>
    <col min="4108" max="4108" width="13.625" style="249" bestFit="1" customWidth="1"/>
    <col min="4109" max="4349" width="9" style="249"/>
    <col min="4350" max="4350" width="2" style="249" customWidth="1"/>
    <col min="4351" max="4351" width="5" style="249" customWidth="1"/>
    <col min="4352" max="4353" width="3.625" style="249" customWidth="1"/>
    <col min="4354" max="4354" width="9" style="249"/>
    <col min="4355" max="4355" width="10" style="249" customWidth="1"/>
    <col min="4356" max="4357" width="5.5" style="249" customWidth="1"/>
    <col min="4358" max="4358" width="9" style="249"/>
    <col min="4359" max="4359" width="11.625" style="249" customWidth="1"/>
    <col min="4360" max="4360" width="9" style="249"/>
    <col min="4361" max="4361" width="11.625" style="249" customWidth="1"/>
    <col min="4362" max="4362" width="9" style="249"/>
    <col min="4363" max="4363" width="15" style="249" bestFit="1" customWidth="1"/>
    <col min="4364" max="4364" width="13.625" style="249" bestFit="1" customWidth="1"/>
    <col min="4365" max="4605" width="9" style="249"/>
    <col min="4606" max="4606" width="2" style="249" customWidth="1"/>
    <col min="4607" max="4607" width="5" style="249" customWidth="1"/>
    <col min="4608" max="4609" width="3.625" style="249" customWidth="1"/>
    <col min="4610" max="4610" width="9" style="249"/>
    <col min="4611" max="4611" width="10" style="249" customWidth="1"/>
    <col min="4612" max="4613" width="5.5" style="249" customWidth="1"/>
    <col min="4614" max="4614" width="9" style="249"/>
    <col min="4615" max="4615" width="11.625" style="249" customWidth="1"/>
    <col min="4616" max="4616" width="9" style="249"/>
    <col min="4617" max="4617" width="11.625" style="249" customWidth="1"/>
    <col min="4618" max="4618" width="9" style="249"/>
    <col min="4619" max="4619" width="15" style="249" bestFit="1" customWidth="1"/>
    <col min="4620" max="4620" width="13.625" style="249" bestFit="1" customWidth="1"/>
    <col min="4621" max="4861" width="9" style="249"/>
    <col min="4862" max="4862" width="2" style="249" customWidth="1"/>
    <col min="4863" max="4863" width="5" style="249" customWidth="1"/>
    <col min="4864" max="4865" width="3.625" style="249" customWidth="1"/>
    <col min="4866" max="4866" width="9" style="249"/>
    <col min="4867" max="4867" width="10" style="249" customWidth="1"/>
    <col min="4868" max="4869" width="5.5" style="249" customWidth="1"/>
    <col min="4870" max="4870" width="9" style="249"/>
    <col min="4871" max="4871" width="11.625" style="249" customWidth="1"/>
    <col min="4872" max="4872" width="9" style="249"/>
    <col min="4873" max="4873" width="11.625" style="249" customWidth="1"/>
    <col min="4874" max="4874" width="9" style="249"/>
    <col min="4875" max="4875" width="15" style="249" bestFit="1" customWidth="1"/>
    <col min="4876" max="4876" width="13.625" style="249" bestFit="1" customWidth="1"/>
    <col min="4877" max="5117" width="9" style="249"/>
    <col min="5118" max="5118" width="2" style="249" customWidth="1"/>
    <col min="5119" max="5119" width="5" style="249" customWidth="1"/>
    <col min="5120" max="5121" width="3.625" style="249" customWidth="1"/>
    <col min="5122" max="5122" width="9" style="249"/>
    <col min="5123" max="5123" width="10" style="249" customWidth="1"/>
    <col min="5124" max="5125" width="5.5" style="249" customWidth="1"/>
    <col min="5126" max="5126" width="9" style="249"/>
    <col min="5127" max="5127" width="11.625" style="249" customWidth="1"/>
    <col min="5128" max="5128" width="9" style="249"/>
    <col min="5129" max="5129" width="11.625" style="249" customWidth="1"/>
    <col min="5130" max="5130" width="9" style="249"/>
    <col min="5131" max="5131" width="15" style="249" bestFit="1" customWidth="1"/>
    <col min="5132" max="5132" width="13.625" style="249" bestFit="1" customWidth="1"/>
    <col min="5133" max="5373" width="9" style="249"/>
    <col min="5374" max="5374" width="2" style="249" customWidth="1"/>
    <col min="5375" max="5375" width="5" style="249" customWidth="1"/>
    <col min="5376" max="5377" width="3.625" style="249" customWidth="1"/>
    <col min="5378" max="5378" width="9" style="249"/>
    <col min="5379" max="5379" width="10" style="249" customWidth="1"/>
    <col min="5380" max="5381" width="5.5" style="249" customWidth="1"/>
    <col min="5382" max="5382" width="9" style="249"/>
    <col min="5383" max="5383" width="11.625" style="249" customWidth="1"/>
    <col min="5384" max="5384" width="9" style="249"/>
    <col min="5385" max="5385" width="11.625" style="249" customWidth="1"/>
    <col min="5386" max="5386" width="9" style="249"/>
    <col min="5387" max="5387" width="15" style="249" bestFit="1" customWidth="1"/>
    <col min="5388" max="5388" width="13.625" style="249" bestFit="1" customWidth="1"/>
    <col min="5389" max="5629" width="9" style="249"/>
    <col min="5630" max="5630" width="2" style="249" customWidth="1"/>
    <col min="5631" max="5631" width="5" style="249" customWidth="1"/>
    <col min="5632" max="5633" width="3.625" style="249" customWidth="1"/>
    <col min="5634" max="5634" width="9" style="249"/>
    <col min="5635" max="5635" width="10" style="249" customWidth="1"/>
    <col min="5636" max="5637" width="5.5" style="249" customWidth="1"/>
    <col min="5638" max="5638" width="9" style="249"/>
    <col min="5639" max="5639" width="11.625" style="249" customWidth="1"/>
    <col min="5640" max="5640" width="9" style="249"/>
    <col min="5641" max="5641" width="11.625" style="249" customWidth="1"/>
    <col min="5642" max="5642" width="9" style="249"/>
    <col min="5643" max="5643" width="15" style="249" bestFit="1" customWidth="1"/>
    <col min="5644" max="5644" width="13.625" style="249" bestFit="1" customWidth="1"/>
    <col min="5645" max="5885" width="9" style="249"/>
    <col min="5886" max="5886" width="2" style="249" customWidth="1"/>
    <col min="5887" max="5887" width="5" style="249" customWidth="1"/>
    <col min="5888" max="5889" width="3.625" style="249" customWidth="1"/>
    <col min="5890" max="5890" width="9" style="249"/>
    <col min="5891" max="5891" width="10" style="249" customWidth="1"/>
    <col min="5892" max="5893" width="5.5" style="249" customWidth="1"/>
    <col min="5894" max="5894" width="9" style="249"/>
    <col min="5895" max="5895" width="11.625" style="249" customWidth="1"/>
    <col min="5896" max="5896" width="9" style="249"/>
    <col min="5897" max="5897" width="11.625" style="249" customWidth="1"/>
    <col min="5898" max="5898" width="9" style="249"/>
    <col min="5899" max="5899" width="15" style="249" bestFit="1" customWidth="1"/>
    <col min="5900" max="5900" width="13.625" style="249" bestFit="1" customWidth="1"/>
    <col min="5901" max="6141" width="9" style="249"/>
    <col min="6142" max="6142" width="2" style="249" customWidth="1"/>
    <col min="6143" max="6143" width="5" style="249" customWidth="1"/>
    <col min="6144" max="6145" width="3.625" style="249" customWidth="1"/>
    <col min="6146" max="6146" width="9" style="249"/>
    <col min="6147" max="6147" width="10" style="249" customWidth="1"/>
    <col min="6148" max="6149" width="5.5" style="249" customWidth="1"/>
    <col min="6150" max="6150" width="9" style="249"/>
    <col min="6151" max="6151" width="11.625" style="249" customWidth="1"/>
    <col min="6152" max="6152" width="9" style="249"/>
    <col min="6153" max="6153" width="11.625" style="249" customWidth="1"/>
    <col min="6154" max="6154" width="9" style="249"/>
    <col min="6155" max="6155" width="15" style="249" bestFit="1" customWidth="1"/>
    <col min="6156" max="6156" width="13.625" style="249" bestFit="1" customWidth="1"/>
    <col min="6157" max="6397" width="9" style="249"/>
    <col min="6398" max="6398" width="2" style="249" customWidth="1"/>
    <col min="6399" max="6399" width="5" style="249" customWidth="1"/>
    <col min="6400" max="6401" width="3.625" style="249" customWidth="1"/>
    <col min="6402" max="6402" width="9" style="249"/>
    <col min="6403" max="6403" width="10" style="249" customWidth="1"/>
    <col min="6404" max="6405" width="5.5" style="249" customWidth="1"/>
    <col min="6406" max="6406" width="9" style="249"/>
    <col min="6407" max="6407" width="11.625" style="249" customWidth="1"/>
    <col min="6408" max="6408" width="9" style="249"/>
    <col min="6409" max="6409" width="11.625" style="249" customWidth="1"/>
    <col min="6410" max="6410" width="9" style="249"/>
    <col min="6411" max="6411" width="15" style="249" bestFit="1" customWidth="1"/>
    <col min="6412" max="6412" width="13.625" style="249" bestFit="1" customWidth="1"/>
    <col min="6413" max="6653" width="9" style="249"/>
    <col min="6654" max="6654" width="2" style="249" customWidth="1"/>
    <col min="6655" max="6655" width="5" style="249" customWidth="1"/>
    <col min="6656" max="6657" width="3.625" style="249" customWidth="1"/>
    <col min="6658" max="6658" width="9" style="249"/>
    <col min="6659" max="6659" width="10" style="249" customWidth="1"/>
    <col min="6660" max="6661" width="5.5" style="249" customWidth="1"/>
    <col min="6662" max="6662" width="9" style="249"/>
    <col min="6663" max="6663" width="11.625" style="249" customWidth="1"/>
    <col min="6664" max="6664" width="9" style="249"/>
    <col min="6665" max="6665" width="11.625" style="249" customWidth="1"/>
    <col min="6666" max="6666" width="9" style="249"/>
    <col min="6667" max="6667" width="15" style="249" bestFit="1" customWidth="1"/>
    <col min="6668" max="6668" width="13.625" style="249" bestFit="1" customWidth="1"/>
    <col min="6669" max="6909" width="9" style="249"/>
    <col min="6910" max="6910" width="2" style="249" customWidth="1"/>
    <col min="6911" max="6911" width="5" style="249" customWidth="1"/>
    <col min="6912" max="6913" width="3.625" style="249" customWidth="1"/>
    <col min="6914" max="6914" width="9" style="249"/>
    <col min="6915" max="6915" width="10" style="249" customWidth="1"/>
    <col min="6916" max="6917" width="5.5" style="249" customWidth="1"/>
    <col min="6918" max="6918" width="9" style="249"/>
    <col min="6919" max="6919" width="11.625" style="249" customWidth="1"/>
    <col min="6920" max="6920" width="9" style="249"/>
    <col min="6921" max="6921" width="11.625" style="249" customWidth="1"/>
    <col min="6922" max="6922" width="9" style="249"/>
    <col min="6923" max="6923" width="15" style="249" bestFit="1" customWidth="1"/>
    <col min="6924" max="6924" width="13.625" style="249" bestFit="1" customWidth="1"/>
    <col min="6925" max="7165" width="9" style="249"/>
    <col min="7166" max="7166" width="2" style="249" customWidth="1"/>
    <col min="7167" max="7167" width="5" style="249" customWidth="1"/>
    <col min="7168" max="7169" width="3.625" style="249" customWidth="1"/>
    <col min="7170" max="7170" width="9" style="249"/>
    <col min="7171" max="7171" width="10" style="249" customWidth="1"/>
    <col min="7172" max="7173" width="5.5" style="249" customWidth="1"/>
    <col min="7174" max="7174" width="9" style="249"/>
    <col min="7175" max="7175" width="11.625" style="249" customWidth="1"/>
    <col min="7176" max="7176" width="9" style="249"/>
    <col min="7177" max="7177" width="11.625" style="249" customWidth="1"/>
    <col min="7178" max="7178" width="9" style="249"/>
    <col min="7179" max="7179" width="15" style="249" bestFit="1" customWidth="1"/>
    <col min="7180" max="7180" width="13.625" style="249" bestFit="1" customWidth="1"/>
    <col min="7181" max="7421" width="9" style="249"/>
    <col min="7422" max="7422" width="2" style="249" customWidth="1"/>
    <col min="7423" max="7423" width="5" style="249" customWidth="1"/>
    <col min="7424" max="7425" width="3.625" style="249" customWidth="1"/>
    <col min="7426" max="7426" width="9" style="249"/>
    <col min="7427" max="7427" width="10" style="249" customWidth="1"/>
    <col min="7428" max="7429" width="5.5" style="249" customWidth="1"/>
    <col min="7430" max="7430" width="9" style="249"/>
    <col min="7431" max="7431" width="11.625" style="249" customWidth="1"/>
    <col min="7432" max="7432" width="9" style="249"/>
    <col min="7433" max="7433" width="11.625" style="249" customWidth="1"/>
    <col min="7434" max="7434" width="9" style="249"/>
    <col min="7435" max="7435" width="15" style="249" bestFit="1" customWidth="1"/>
    <col min="7436" max="7436" width="13.625" style="249" bestFit="1" customWidth="1"/>
    <col min="7437" max="7677" width="9" style="249"/>
    <col min="7678" max="7678" width="2" style="249" customWidth="1"/>
    <col min="7679" max="7679" width="5" style="249" customWidth="1"/>
    <col min="7680" max="7681" width="3.625" style="249" customWidth="1"/>
    <col min="7682" max="7682" width="9" style="249"/>
    <col min="7683" max="7683" width="10" style="249" customWidth="1"/>
    <col min="7684" max="7685" width="5.5" style="249" customWidth="1"/>
    <col min="7686" max="7686" width="9" style="249"/>
    <col min="7687" max="7687" width="11.625" style="249" customWidth="1"/>
    <col min="7688" max="7688" width="9" style="249"/>
    <col min="7689" max="7689" width="11.625" style="249" customWidth="1"/>
    <col min="7690" max="7690" width="9" style="249"/>
    <col min="7691" max="7691" width="15" style="249" bestFit="1" customWidth="1"/>
    <col min="7692" max="7692" width="13.625" style="249" bestFit="1" customWidth="1"/>
    <col min="7693" max="7933" width="9" style="249"/>
    <col min="7934" max="7934" width="2" style="249" customWidth="1"/>
    <col min="7935" max="7935" width="5" style="249" customWidth="1"/>
    <col min="7936" max="7937" width="3.625" style="249" customWidth="1"/>
    <col min="7938" max="7938" width="9" style="249"/>
    <col min="7939" max="7939" width="10" style="249" customWidth="1"/>
    <col min="7940" max="7941" width="5.5" style="249" customWidth="1"/>
    <col min="7942" max="7942" width="9" style="249"/>
    <col min="7943" max="7943" width="11.625" style="249" customWidth="1"/>
    <col min="7944" max="7944" width="9" style="249"/>
    <col min="7945" max="7945" width="11.625" style="249" customWidth="1"/>
    <col min="7946" max="7946" width="9" style="249"/>
    <col min="7947" max="7947" width="15" style="249" bestFit="1" customWidth="1"/>
    <col min="7948" max="7948" width="13.625" style="249" bestFit="1" customWidth="1"/>
    <col min="7949" max="8189" width="9" style="249"/>
    <col min="8190" max="8190" width="2" style="249" customWidth="1"/>
    <col min="8191" max="8191" width="5" style="249" customWidth="1"/>
    <col min="8192" max="8193" width="3.625" style="249" customWidth="1"/>
    <col min="8194" max="8194" width="9" style="249"/>
    <col min="8195" max="8195" width="10" style="249" customWidth="1"/>
    <col min="8196" max="8197" width="5.5" style="249" customWidth="1"/>
    <col min="8198" max="8198" width="9" style="249"/>
    <col min="8199" max="8199" width="11.625" style="249" customWidth="1"/>
    <col min="8200" max="8200" width="9" style="249"/>
    <col min="8201" max="8201" width="11.625" style="249" customWidth="1"/>
    <col min="8202" max="8202" width="9" style="249"/>
    <col min="8203" max="8203" width="15" style="249" bestFit="1" customWidth="1"/>
    <col min="8204" max="8204" width="13.625" style="249" bestFit="1" customWidth="1"/>
    <col min="8205" max="8445" width="9" style="249"/>
    <col min="8446" max="8446" width="2" style="249" customWidth="1"/>
    <col min="8447" max="8447" width="5" style="249" customWidth="1"/>
    <col min="8448" max="8449" width="3.625" style="249" customWidth="1"/>
    <col min="8450" max="8450" width="9" style="249"/>
    <col min="8451" max="8451" width="10" style="249" customWidth="1"/>
    <col min="8452" max="8453" width="5.5" style="249" customWidth="1"/>
    <col min="8454" max="8454" width="9" style="249"/>
    <col min="8455" max="8455" width="11.625" style="249" customWidth="1"/>
    <col min="8456" max="8456" width="9" style="249"/>
    <col min="8457" max="8457" width="11.625" style="249" customWidth="1"/>
    <col min="8458" max="8458" width="9" style="249"/>
    <col min="8459" max="8459" width="15" style="249" bestFit="1" customWidth="1"/>
    <col min="8460" max="8460" width="13.625" style="249" bestFit="1" customWidth="1"/>
    <col min="8461" max="8701" width="9" style="249"/>
    <col min="8702" max="8702" width="2" style="249" customWidth="1"/>
    <col min="8703" max="8703" width="5" style="249" customWidth="1"/>
    <col min="8704" max="8705" width="3.625" style="249" customWidth="1"/>
    <col min="8706" max="8706" width="9" style="249"/>
    <col min="8707" max="8707" width="10" style="249" customWidth="1"/>
    <col min="8708" max="8709" width="5.5" style="249" customWidth="1"/>
    <col min="8710" max="8710" width="9" style="249"/>
    <col min="8711" max="8711" width="11.625" style="249" customWidth="1"/>
    <col min="8712" max="8712" width="9" style="249"/>
    <col min="8713" max="8713" width="11.625" style="249" customWidth="1"/>
    <col min="8714" max="8714" width="9" style="249"/>
    <col min="8715" max="8715" width="15" style="249" bestFit="1" customWidth="1"/>
    <col min="8716" max="8716" width="13.625" style="249" bestFit="1" customWidth="1"/>
    <col min="8717" max="8957" width="9" style="249"/>
    <col min="8958" max="8958" width="2" style="249" customWidth="1"/>
    <col min="8959" max="8959" width="5" style="249" customWidth="1"/>
    <col min="8960" max="8961" width="3.625" style="249" customWidth="1"/>
    <col min="8962" max="8962" width="9" style="249"/>
    <col min="8963" max="8963" width="10" style="249" customWidth="1"/>
    <col min="8964" max="8965" width="5.5" style="249" customWidth="1"/>
    <col min="8966" max="8966" width="9" style="249"/>
    <col min="8967" max="8967" width="11.625" style="249" customWidth="1"/>
    <col min="8968" max="8968" width="9" style="249"/>
    <col min="8969" max="8969" width="11.625" style="249" customWidth="1"/>
    <col min="8970" max="8970" width="9" style="249"/>
    <col min="8971" max="8971" width="15" style="249" bestFit="1" customWidth="1"/>
    <col min="8972" max="8972" width="13.625" style="249" bestFit="1" customWidth="1"/>
    <col min="8973" max="9213" width="9" style="249"/>
    <col min="9214" max="9214" width="2" style="249" customWidth="1"/>
    <col min="9215" max="9215" width="5" style="249" customWidth="1"/>
    <col min="9216" max="9217" width="3.625" style="249" customWidth="1"/>
    <col min="9218" max="9218" width="9" style="249"/>
    <col min="9219" max="9219" width="10" style="249" customWidth="1"/>
    <col min="9220" max="9221" width="5.5" style="249" customWidth="1"/>
    <col min="9222" max="9222" width="9" style="249"/>
    <col min="9223" max="9223" width="11.625" style="249" customWidth="1"/>
    <col min="9224" max="9224" width="9" style="249"/>
    <col min="9225" max="9225" width="11.625" style="249" customWidth="1"/>
    <col min="9226" max="9226" width="9" style="249"/>
    <col min="9227" max="9227" width="15" style="249" bestFit="1" customWidth="1"/>
    <col min="9228" max="9228" width="13.625" style="249" bestFit="1" customWidth="1"/>
    <col min="9229" max="9469" width="9" style="249"/>
    <col min="9470" max="9470" width="2" style="249" customWidth="1"/>
    <col min="9471" max="9471" width="5" style="249" customWidth="1"/>
    <col min="9472" max="9473" width="3.625" style="249" customWidth="1"/>
    <col min="9474" max="9474" width="9" style="249"/>
    <col min="9475" max="9475" width="10" style="249" customWidth="1"/>
    <col min="9476" max="9477" width="5.5" style="249" customWidth="1"/>
    <col min="9478" max="9478" width="9" style="249"/>
    <col min="9479" max="9479" width="11.625" style="249" customWidth="1"/>
    <col min="9480" max="9480" width="9" style="249"/>
    <col min="9481" max="9481" width="11.625" style="249" customWidth="1"/>
    <col min="9482" max="9482" width="9" style="249"/>
    <col min="9483" max="9483" width="15" style="249" bestFit="1" customWidth="1"/>
    <col min="9484" max="9484" width="13.625" style="249" bestFit="1" customWidth="1"/>
    <col min="9485" max="9725" width="9" style="249"/>
    <col min="9726" max="9726" width="2" style="249" customWidth="1"/>
    <col min="9727" max="9727" width="5" style="249" customWidth="1"/>
    <col min="9728" max="9729" width="3.625" style="249" customWidth="1"/>
    <col min="9730" max="9730" width="9" style="249"/>
    <col min="9731" max="9731" width="10" style="249" customWidth="1"/>
    <col min="9732" max="9733" width="5.5" style="249" customWidth="1"/>
    <col min="9734" max="9734" width="9" style="249"/>
    <col min="9735" max="9735" width="11.625" style="249" customWidth="1"/>
    <col min="9736" max="9736" width="9" style="249"/>
    <col min="9737" max="9737" width="11.625" style="249" customWidth="1"/>
    <col min="9738" max="9738" width="9" style="249"/>
    <col min="9739" max="9739" width="15" style="249" bestFit="1" customWidth="1"/>
    <col min="9740" max="9740" width="13.625" style="249" bestFit="1" customWidth="1"/>
    <col min="9741" max="9981" width="9" style="249"/>
    <col min="9982" max="9982" width="2" style="249" customWidth="1"/>
    <col min="9983" max="9983" width="5" style="249" customWidth="1"/>
    <col min="9984" max="9985" width="3.625" style="249" customWidth="1"/>
    <col min="9986" max="9986" width="9" style="249"/>
    <col min="9987" max="9987" width="10" style="249" customWidth="1"/>
    <col min="9988" max="9989" width="5.5" style="249" customWidth="1"/>
    <col min="9990" max="9990" width="9" style="249"/>
    <col min="9991" max="9991" width="11.625" style="249" customWidth="1"/>
    <col min="9992" max="9992" width="9" style="249"/>
    <col min="9993" max="9993" width="11.625" style="249" customWidth="1"/>
    <col min="9994" max="9994" width="9" style="249"/>
    <col min="9995" max="9995" width="15" style="249" bestFit="1" customWidth="1"/>
    <col min="9996" max="9996" width="13.625" style="249" bestFit="1" customWidth="1"/>
    <col min="9997" max="10237" width="9" style="249"/>
    <col min="10238" max="10238" width="2" style="249" customWidth="1"/>
    <col min="10239" max="10239" width="5" style="249" customWidth="1"/>
    <col min="10240" max="10241" width="3.625" style="249" customWidth="1"/>
    <col min="10242" max="10242" width="9" style="249"/>
    <col min="10243" max="10243" width="10" style="249" customWidth="1"/>
    <col min="10244" max="10245" width="5.5" style="249" customWidth="1"/>
    <col min="10246" max="10246" width="9" style="249"/>
    <col min="10247" max="10247" width="11.625" style="249" customWidth="1"/>
    <col min="10248" max="10248" width="9" style="249"/>
    <col min="10249" max="10249" width="11.625" style="249" customWidth="1"/>
    <col min="10250" max="10250" width="9" style="249"/>
    <col min="10251" max="10251" width="15" style="249" bestFit="1" customWidth="1"/>
    <col min="10252" max="10252" width="13.625" style="249" bestFit="1" customWidth="1"/>
    <col min="10253" max="10493" width="9" style="249"/>
    <col min="10494" max="10494" width="2" style="249" customWidth="1"/>
    <col min="10495" max="10495" width="5" style="249" customWidth="1"/>
    <col min="10496" max="10497" width="3.625" style="249" customWidth="1"/>
    <col min="10498" max="10498" width="9" style="249"/>
    <col min="10499" max="10499" width="10" style="249" customWidth="1"/>
    <col min="10500" max="10501" width="5.5" style="249" customWidth="1"/>
    <col min="10502" max="10502" width="9" style="249"/>
    <col min="10503" max="10503" width="11.625" style="249" customWidth="1"/>
    <col min="10504" max="10504" width="9" style="249"/>
    <col min="10505" max="10505" width="11.625" style="249" customWidth="1"/>
    <col min="10506" max="10506" width="9" style="249"/>
    <col min="10507" max="10507" width="15" style="249" bestFit="1" customWidth="1"/>
    <col min="10508" max="10508" width="13.625" style="249" bestFit="1" customWidth="1"/>
    <col min="10509" max="10749" width="9" style="249"/>
    <col min="10750" max="10750" width="2" style="249" customWidth="1"/>
    <col min="10751" max="10751" width="5" style="249" customWidth="1"/>
    <col min="10752" max="10753" width="3.625" style="249" customWidth="1"/>
    <col min="10754" max="10754" width="9" style="249"/>
    <col min="10755" max="10755" width="10" style="249" customWidth="1"/>
    <col min="10756" max="10757" width="5.5" style="249" customWidth="1"/>
    <col min="10758" max="10758" width="9" style="249"/>
    <col min="10759" max="10759" width="11.625" style="249" customWidth="1"/>
    <col min="10760" max="10760" width="9" style="249"/>
    <col min="10761" max="10761" width="11.625" style="249" customWidth="1"/>
    <col min="10762" max="10762" width="9" style="249"/>
    <col min="10763" max="10763" width="15" style="249" bestFit="1" customWidth="1"/>
    <col min="10764" max="10764" width="13.625" style="249" bestFit="1" customWidth="1"/>
    <col min="10765" max="11005" width="9" style="249"/>
    <col min="11006" max="11006" width="2" style="249" customWidth="1"/>
    <col min="11007" max="11007" width="5" style="249" customWidth="1"/>
    <col min="11008" max="11009" width="3.625" style="249" customWidth="1"/>
    <col min="11010" max="11010" width="9" style="249"/>
    <col min="11011" max="11011" width="10" style="249" customWidth="1"/>
    <col min="11012" max="11013" width="5.5" style="249" customWidth="1"/>
    <col min="11014" max="11014" width="9" style="249"/>
    <col min="11015" max="11015" width="11.625" style="249" customWidth="1"/>
    <col min="11016" max="11016" width="9" style="249"/>
    <col min="11017" max="11017" width="11.625" style="249" customWidth="1"/>
    <col min="11018" max="11018" width="9" style="249"/>
    <col min="11019" max="11019" width="15" style="249" bestFit="1" customWidth="1"/>
    <col min="11020" max="11020" width="13.625" style="249" bestFit="1" customWidth="1"/>
    <col min="11021" max="11261" width="9" style="249"/>
    <col min="11262" max="11262" width="2" style="249" customWidth="1"/>
    <col min="11263" max="11263" width="5" style="249" customWidth="1"/>
    <col min="11264" max="11265" width="3.625" style="249" customWidth="1"/>
    <col min="11266" max="11266" width="9" style="249"/>
    <col min="11267" max="11267" width="10" style="249" customWidth="1"/>
    <col min="11268" max="11269" width="5.5" style="249" customWidth="1"/>
    <col min="11270" max="11270" width="9" style="249"/>
    <col min="11271" max="11271" width="11.625" style="249" customWidth="1"/>
    <col min="11272" max="11272" width="9" style="249"/>
    <col min="11273" max="11273" width="11.625" style="249" customWidth="1"/>
    <col min="11274" max="11274" width="9" style="249"/>
    <col min="11275" max="11275" width="15" style="249" bestFit="1" customWidth="1"/>
    <col min="11276" max="11276" width="13.625" style="249" bestFit="1" customWidth="1"/>
    <col min="11277" max="11517" width="9" style="249"/>
    <col min="11518" max="11518" width="2" style="249" customWidth="1"/>
    <col min="11519" max="11519" width="5" style="249" customWidth="1"/>
    <col min="11520" max="11521" width="3.625" style="249" customWidth="1"/>
    <col min="11522" max="11522" width="9" style="249"/>
    <col min="11523" max="11523" width="10" style="249" customWidth="1"/>
    <col min="11524" max="11525" width="5.5" style="249" customWidth="1"/>
    <col min="11526" max="11526" width="9" style="249"/>
    <col min="11527" max="11527" width="11.625" style="249" customWidth="1"/>
    <col min="11528" max="11528" width="9" style="249"/>
    <col min="11529" max="11529" width="11.625" style="249" customWidth="1"/>
    <col min="11530" max="11530" width="9" style="249"/>
    <col min="11531" max="11531" width="15" style="249" bestFit="1" customWidth="1"/>
    <col min="11532" max="11532" width="13.625" style="249" bestFit="1" customWidth="1"/>
    <col min="11533" max="11773" width="9" style="249"/>
    <col min="11774" max="11774" width="2" style="249" customWidth="1"/>
    <col min="11775" max="11775" width="5" style="249" customWidth="1"/>
    <col min="11776" max="11777" width="3.625" style="249" customWidth="1"/>
    <col min="11778" max="11778" width="9" style="249"/>
    <col min="11779" max="11779" width="10" style="249" customWidth="1"/>
    <col min="11780" max="11781" width="5.5" style="249" customWidth="1"/>
    <col min="11782" max="11782" width="9" style="249"/>
    <col min="11783" max="11783" width="11.625" style="249" customWidth="1"/>
    <col min="11784" max="11784" width="9" style="249"/>
    <col min="11785" max="11785" width="11.625" style="249" customWidth="1"/>
    <col min="11786" max="11786" width="9" style="249"/>
    <col min="11787" max="11787" width="15" style="249" bestFit="1" customWidth="1"/>
    <col min="11788" max="11788" width="13.625" style="249" bestFit="1" customWidth="1"/>
    <col min="11789" max="12029" width="9" style="249"/>
    <col min="12030" max="12030" width="2" style="249" customWidth="1"/>
    <col min="12031" max="12031" width="5" style="249" customWidth="1"/>
    <col min="12032" max="12033" width="3.625" style="249" customWidth="1"/>
    <col min="12034" max="12034" width="9" style="249"/>
    <col min="12035" max="12035" width="10" style="249" customWidth="1"/>
    <col min="12036" max="12037" width="5.5" style="249" customWidth="1"/>
    <col min="12038" max="12038" width="9" style="249"/>
    <col min="12039" max="12039" width="11.625" style="249" customWidth="1"/>
    <col min="12040" max="12040" width="9" style="249"/>
    <col min="12041" max="12041" width="11.625" style="249" customWidth="1"/>
    <col min="12042" max="12042" width="9" style="249"/>
    <col min="12043" max="12043" width="15" style="249" bestFit="1" customWidth="1"/>
    <col min="12044" max="12044" width="13.625" style="249" bestFit="1" customWidth="1"/>
    <col min="12045" max="12285" width="9" style="249"/>
    <col min="12286" max="12286" width="2" style="249" customWidth="1"/>
    <col min="12287" max="12287" width="5" style="249" customWidth="1"/>
    <col min="12288" max="12289" width="3.625" style="249" customWidth="1"/>
    <col min="12290" max="12290" width="9" style="249"/>
    <col min="12291" max="12291" width="10" style="249" customWidth="1"/>
    <col min="12292" max="12293" width="5.5" style="249" customWidth="1"/>
    <col min="12294" max="12294" width="9" style="249"/>
    <col min="12295" max="12295" width="11.625" style="249" customWidth="1"/>
    <col min="12296" max="12296" width="9" style="249"/>
    <col min="12297" max="12297" width="11.625" style="249" customWidth="1"/>
    <col min="12298" max="12298" width="9" style="249"/>
    <col min="12299" max="12299" width="15" style="249" bestFit="1" customWidth="1"/>
    <col min="12300" max="12300" width="13.625" style="249" bestFit="1" customWidth="1"/>
    <col min="12301" max="12541" width="9" style="249"/>
    <col min="12542" max="12542" width="2" style="249" customWidth="1"/>
    <col min="12543" max="12543" width="5" style="249" customWidth="1"/>
    <col min="12544" max="12545" width="3.625" style="249" customWidth="1"/>
    <col min="12546" max="12546" width="9" style="249"/>
    <col min="12547" max="12547" width="10" style="249" customWidth="1"/>
    <col min="12548" max="12549" width="5.5" style="249" customWidth="1"/>
    <col min="12550" max="12550" width="9" style="249"/>
    <col min="12551" max="12551" width="11.625" style="249" customWidth="1"/>
    <col min="12552" max="12552" width="9" style="249"/>
    <col min="12553" max="12553" width="11.625" style="249" customWidth="1"/>
    <col min="12554" max="12554" width="9" style="249"/>
    <col min="12555" max="12555" width="15" style="249" bestFit="1" customWidth="1"/>
    <col min="12556" max="12556" width="13.625" style="249" bestFit="1" customWidth="1"/>
    <col min="12557" max="12797" width="9" style="249"/>
    <col min="12798" max="12798" width="2" style="249" customWidth="1"/>
    <col min="12799" max="12799" width="5" style="249" customWidth="1"/>
    <col min="12800" max="12801" width="3.625" style="249" customWidth="1"/>
    <col min="12802" max="12802" width="9" style="249"/>
    <col min="12803" max="12803" width="10" style="249" customWidth="1"/>
    <col min="12804" max="12805" width="5.5" style="249" customWidth="1"/>
    <col min="12806" max="12806" width="9" style="249"/>
    <col min="12807" max="12807" width="11.625" style="249" customWidth="1"/>
    <col min="12808" max="12808" width="9" style="249"/>
    <col min="12809" max="12809" width="11.625" style="249" customWidth="1"/>
    <col min="12810" max="12810" width="9" style="249"/>
    <col min="12811" max="12811" width="15" style="249" bestFit="1" customWidth="1"/>
    <col min="12812" max="12812" width="13.625" style="249" bestFit="1" customWidth="1"/>
    <col min="12813" max="13053" width="9" style="249"/>
    <col min="13054" max="13054" width="2" style="249" customWidth="1"/>
    <col min="13055" max="13055" width="5" style="249" customWidth="1"/>
    <col min="13056" max="13057" width="3.625" style="249" customWidth="1"/>
    <col min="13058" max="13058" width="9" style="249"/>
    <col min="13059" max="13059" width="10" style="249" customWidth="1"/>
    <col min="13060" max="13061" width="5.5" style="249" customWidth="1"/>
    <col min="13062" max="13062" width="9" style="249"/>
    <col min="13063" max="13063" width="11.625" style="249" customWidth="1"/>
    <col min="13064" max="13064" width="9" style="249"/>
    <col min="13065" max="13065" width="11.625" style="249" customWidth="1"/>
    <col min="13066" max="13066" width="9" style="249"/>
    <col min="13067" max="13067" width="15" style="249" bestFit="1" customWidth="1"/>
    <col min="13068" max="13068" width="13.625" style="249" bestFit="1" customWidth="1"/>
    <col min="13069" max="13309" width="9" style="249"/>
    <col min="13310" max="13310" width="2" style="249" customWidth="1"/>
    <col min="13311" max="13311" width="5" style="249" customWidth="1"/>
    <col min="13312" max="13313" width="3.625" style="249" customWidth="1"/>
    <col min="13314" max="13314" width="9" style="249"/>
    <col min="13315" max="13315" width="10" style="249" customWidth="1"/>
    <col min="13316" max="13317" width="5.5" style="249" customWidth="1"/>
    <col min="13318" max="13318" width="9" style="249"/>
    <col min="13319" max="13319" width="11.625" style="249" customWidth="1"/>
    <col min="13320" max="13320" width="9" style="249"/>
    <col min="13321" max="13321" width="11.625" style="249" customWidth="1"/>
    <col min="13322" max="13322" width="9" style="249"/>
    <col min="13323" max="13323" width="15" style="249" bestFit="1" customWidth="1"/>
    <col min="13324" max="13324" width="13.625" style="249" bestFit="1" customWidth="1"/>
    <col min="13325" max="13565" width="9" style="249"/>
    <col min="13566" max="13566" width="2" style="249" customWidth="1"/>
    <col min="13567" max="13567" width="5" style="249" customWidth="1"/>
    <col min="13568" max="13569" width="3.625" style="249" customWidth="1"/>
    <col min="13570" max="13570" width="9" style="249"/>
    <col min="13571" max="13571" width="10" style="249" customWidth="1"/>
    <col min="13572" max="13573" width="5.5" style="249" customWidth="1"/>
    <col min="13574" max="13574" width="9" style="249"/>
    <col min="13575" max="13575" width="11.625" style="249" customWidth="1"/>
    <col min="13576" max="13576" width="9" style="249"/>
    <col min="13577" max="13577" width="11.625" style="249" customWidth="1"/>
    <col min="13578" max="13578" width="9" style="249"/>
    <col min="13579" max="13579" width="15" style="249" bestFit="1" customWidth="1"/>
    <col min="13580" max="13580" width="13.625" style="249" bestFit="1" customWidth="1"/>
    <col min="13581" max="13821" width="9" style="249"/>
    <col min="13822" max="13822" width="2" style="249" customWidth="1"/>
    <col min="13823" max="13823" width="5" style="249" customWidth="1"/>
    <col min="13824" max="13825" width="3.625" style="249" customWidth="1"/>
    <col min="13826" max="13826" width="9" style="249"/>
    <col min="13827" max="13827" width="10" style="249" customWidth="1"/>
    <col min="13828" max="13829" width="5.5" style="249" customWidth="1"/>
    <col min="13830" max="13830" width="9" style="249"/>
    <col min="13831" max="13831" width="11.625" style="249" customWidth="1"/>
    <col min="13832" max="13832" width="9" style="249"/>
    <col min="13833" max="13833" width="11.625" style="249" customWidth="1"/>
    <col min="13834" max="13834" width="9" style="249"/>
    <col min="13835" max="13835" width="15" style="249" bestFit="1" customWidth="1"/>
    <col min="13836" max="13836" width="13.625" style="249" bestFit="1" customWidth="1"/>
    <col min="13837" max="14077" width="9" style="249"/>
    <col min="14078" max="14078" width="2" style="249" customWidth="1"/>
    <col min="14079" max="14079" width="5" style="249" customWidth="1"/>
    <col min="14080" max="14081" width="3.625" style="249" customWidth="1"/>
    <col min="14082" max="14082" width="9" style="249"/>
    <col min="14083" max="14083" width="10" style="249" customWidth="1"/>
    <col min="14084" max="14085" width="5.5" style="249" customWidth="1"/>
    <col min="14086" max="14086" width="9" style="249"/>
    <col min="14087" max="14087" width="11.625" style="249" customWidth="1"/>
    <col min="14088" max="14088" width="9" style="249"/>
    <col min="14089" max="14089" width="11.625" style="249" customWidth="1"/>
    <col min="14090" max="14090" width="9" style="249"/>
    <col min="14091" max="14091" width="15" style="249" bestFit="1" customWidth="1"/>
    <col min="14092" max="14092" width="13.625" style="249" bestFit="1" customWidth="1"/>
    <col min="14093" max="14333" width="9" style="249"/>
    <col min="14334" max="14334" width="2" style="249" customWidth="1"/>
    <col min="14335" max="14335" width="5" style="249" customWidth="1"/>
    <col min="14336" max="14337" width="3.625" style="249" customWidth="1"/>
    <col min="14338" max="14338" width="9" style="249"/>
    <col min="14339" max="14339" width="10" style="249" customWidth="1"/>
    <col min="14340" max="14341" width="5.5" style="249" customWidth="1"/>
    <col min="14342" max="14342" width="9" style="249"/>
    <col min="14343" max="14343" width="11.625" style="249" customWidth="1"/>
    <col min="14344" max="14344" width="9" style="249"/>
    <col min="14345" max="14345" width="11.625" style="249" customWidth="1"/>
    <col min="14346" max="14346" width="9" style="249"/>
    <col min="14347" max="14347" width="15" style="249" bestFit="1" customWidth="1"/>
    <col min="14348" max="14348" width="13.625" style="249" bestFit="1" customWidth="1"/>
    <col min="14349" max="14589" width="9" style="249"/>
    <col min="14590" max="14590" width="2" style="249" customWidth="1"/>
    <col min="14591" max="14591" width="5" style="249" customWidth="1"/>
    <col min="14592" max="14593" width="3.625" style="249" customWidth="1"/>
    <col min="14594" max="14594" width="9" style="249"/>
    <col min="14595" max="14595" width="10" style="249" customWidth="1"/>
    <col min="14596" max="14597" width="5.5" style="249" customWidth="1"/>
    <col min="14598" max="14598" width="9" style="249"/>
    <col min="14599" max="14599" width="11.625" style="249" customWidth="1"/>
    <col min="14600" max="14600" width="9" style="249"/>
    <col min="14601" max="14601" width="11.625" style="249" customWidth="1"/>
    <col min="14602" max="14602" width="9" style="249"/>
    <col min="14603" max="14603" width="15" style="249" bestFit="1" customWidth="1"/>
    <col min="14604" max="14604" width="13.625" style="249" bestFit="1" customWidth="1"/>
    <col min="14605" max="14845" width="9" style="249"/>
    <col min="14846" max="14846" width="2" style="249" customWidth="1"/>
    <col min="14847" max="14847" width="5" style="249" customWidth="1"/>
    <col min="14848" max="14849" width="3.625" style="249" customWidth="1"/>
    <col min="14850" max="14850" width="9" style="249"/>
    <col min="14851" max="14851" width="10" style="249" customWidth="1"/>
    <col min="14852" max="14853" width="5.5" style="249" customWidth="1"/>
    <col min="14854" max="14854" width="9" style="249"/>
    <col min="14855" max="14855" width="11.625" style="249" customWidth="1"/>
    <col min="14856" max="14856" width="9" style="249"/>
    <col min="14857" max="14857" width="11.625" style="249" customWidth="1"/>
    <col min="14858" max="14858" width="9" style="249"/>
    <col min="14859" max="14859" width="15" style="249" bestFit="1" customWidth="1"/>
    <col min="14860" max="14860" width="13.625" style="249" bestFit="1" customWidth="1"/>
    <col min="14861" max="15101" width="9" style="249"/>
    <col min="15102" max="15102" width="2" style="249" customWidth="1"/>
    <col min="15103" max="15103" width="5" style="249" customWidth="1"/>
    <col min="15104" max="15105" width="3.625" style="249" customWidth="1"/>
    <col min="15106" max="15106" width="9" style="249"/>
    <col min="15107" max="15107" width="10" style="249" customWidth="1"/>
    <col min="15108" max="15109" width="5.5" style="249" customWidth="1"/>
    <col min="15110" max="15110" width="9" style="249"/>
    <col min="15111" max="15111" width="11.625" style="249" customWidth="1"/>
    <col min="15112" max="15112" width="9" style="249"/>
    <col min="15113" max="15113" width="11.625" style="249" customWidth="1"/>
    <col min="15114" max="15114" width="9" style="249"/>
    <col min="15115" max="15115" width="15" style="249" bestFit="1" customWidth="1"/>
    <col min="15116" max="15116" width="13.625" style="249" bestFit="1" customWidth="1"/>
    <col min="15117" max="15357" width="9" style="249"/>
    <col min="15358" max="15358" width="2" style="249" customWidth="1"/>
    <col min="15359" max="15359" width="5" style="249" customWidth="1"/>
    <col min="15360" max="15361" width="3.625" style="249" customWidth="1"/>
    <col min="15362" max="15362" width="9" style="249"/>
    <col min="15363" max="15363" width="10" style="249" customWidth="1"/>
    <col min="15364" max="15365" width="5.5" style="249" customWidth="1"/>
    <col min="15366" max="15366" width="9" style="249"/>
    <col min="15367" max="15367" width="11.625" style="249" customWidth="1"/>
    <col min="15368" max="15368" width="9" style="249"/>
    <col min="15369" max="15369" width="11.625" style="249" customWidth="1"/>
    <col min="15370" max="15370" width="9" style="249"/>
    <col min="15371" max="15371" width="15" style="249" bestFit="1" customWidth="1"/>
    <col min="15372" max="15372" width="13.625" style="249" bestFit="1" customWidth="1"/>
    <col min="15373" max="15613" width="9" style="249"/>
    <col min="15614" max="15614" width="2" style="249" customWidth="1"/>
    <col min="15615" max="15615" width="5" style="249" customWidth="1"/>
    <col min="15616" max="15617" width="3.625" style="249" customWidth="1"/>
    <col min="15618" max="15618" width="9" style="249"/>
    <col min="15619" max="15619" width="10" style="249" customWidth="1"/>
    <col min="15620" max="15621" width="5.5" style="249" customWidth="1"/>
    <col min="15622" max="15622" width="9" style="249"/>
    <col min="15623" max="15623" width="11.625" style="249" customWidth="1"/>
    <col min="15624" max="15624" width="9" style="249"/>
    <col min="15625" max="15625" width="11.625" style="249" customWidth="1"/>
    <col min="15626" max="15626" width="9" style="249"/>
    <col min="15627" max="15627" width="15" style="249" bestFit="1" customWidth="1"/>
    <col min="15628" max="15628" width="13.625" style="249" bestFit="1" customWidth="1"/>
    <col min="15629" max="15869" width="9" style="249"/>
    <col min="15870" max="15870" width="2" style="249" customWidth="1"/>
    <col min="15871" max="15871" width="5" style="249" customWidth="1"/>
    <col min="15872" max="15873" width="3.625" style="249" customWidth="1"/>
    <col min="15874" max="15874" width="9" style="249"/>
    <col min="15875" max="15875" width="10" style="249" customWidth="1"/>
    <col min="15876" max="15877" width="5.5" style="249" customWidth="1"/>
    <col min="15878" max="15878" width="9" style="249"/>
    <col min="15879" max="15879" width="11.625" style="249" customWidth="1"/>
    <col min="15880" max="15880" width="9" style="249"/>
    <col min="15881" max="15881" width="11.625" style="249" customWidth="1"/>
    <col min="15882" max="15882" width="9" style="249"/>
    <col min="15883" max="15883" width="15" style="249" bestFit="1" customWidth="1"/>
    <col min="15884" max="15884" width="13.625" style="249" bestFit="1" customWidth="1"/>
    <col min="15885" max="16125" width="9" style="249"/>
    <col min="16126" max="16126" width="2" style="249" customWidth="1"/>
    <col min="16127" max="16127" width="5" style="249" customWidth="1"/>
    <col min="16128" max="16129" width="3.625" style="249" customWidth="1"/>
    <col min="16130" max="16130" width="9" style="249"/>
    <col min="16131" max="16131" width="10" style="249" customWidth="1"/>
    <col min="16132" max="16133" width="5.5" style="249" customWidth="1"/>
    <col min="16134" max="16134" width="9" style="249"/>
    <col min="16135" max="16135" width="11.625" style="249" customWidth="1"/>
    <col min="16136" max="16136" width="9" style="249"/>
    <col min="16137" max="16137" width="11.625" style="249" customWidth="1"/>
    <col min="16138" max="16138" width="9" style="249"/>
    <col min="16139" max="16139" width="15" style="249" bestFit="1" customWidth="1"/>
    <col min="16140" max="16140" width="13.625" style="249" bestFit="1" customWidth="1"/>
    <col min="16141" max="16384" width="9" style="249"/>
  </cols>
  <sheetData>
    <row r="1" spans="1:15" x14ac:dyDescent="0.3">
      <c r="A1" s="450" t="s">
        <v>2</v>
      </c>
      <c r="B1" s="455" t="s">
        <v>2322</v>
      </c>
      <c r="C1" s="453" t="s">
        <v>2524</v>
      </c>
      <c r="D1" s="450" t="s">
        <v>2553</v>
      </c>
      <c r="E1" s="450" t="s">
        <v>36</v>
      </c>
      <c r="F1" s="450" t="s">
        <v>2708</v>
      </c>
      <c r="G1" s="450"/>
      <c r="H1" s="450" t="s">
        <v>2709</v>
      </c>
      <c r="I1" s="450"/>
      <c r="J1" s="450" t="s">
        <v>2710</v>
      </c>
      <c r="K1" s="450"/>
      <c r="L1" s="275"/>
    </row>
    <row r="2" spans="1:15" ht="17.25" thickBot="1" x14ac:dyDescent="0.35">
      <c r="A2" s="451"/>
      <c r="B2" s="456"/>
      <c r="C2" s="454"/>
      <c r="D2" s="451"/>
      <c r="E2" s="451"/>
      <c r="F2" s="281" t="s">
        <v>2525</v>
      </c>
      <c r="G2" s="281" t="s">
        <v>2526</v>
      </c>
      <c r="H2" s="281" t="s">
        <v>2527</v>
      </c>
      <c r="I2" s="281" t="s">
        <v>2528</v>
      </c>
      <c r="J2" s="281" t="s">
        <v>2527</v>
      </c>
      <c r="K2" s="281" t="s">
        <v>2528</v>
      </c>
      <c r="L2" s="281"/>
    </row>
    <row r="3" spans="1:15" ht="18" customHeight="1" x14ac:dyDescent="0.3">
      <c r="A3" s="272">
        <v>1</v>
      </c>
      <c r="B3" s="276">
        <v>45659</v>
      </c>
      <c r="C3" s="277" t="s">
        <v>2529</v>
      </c>
      <c r="D3" s="277" t="s">
        <v>2530</v>
      </c>
      <c r="E3" s="277" t="s">
        <v>2531</v>
      </c>
      <c r="F3" s="278">
        <v>1</v>
      </c>
      <c r="G3" s="278">
        <f t="shared" ref="G3:G67" si="0">L3/F3/1.1</f>
        <v>278181.81818181818</v>
      </c>
      <c r="H3" s="279">
        <f t="shared" ref="H3:H67" si="1">F3*G3</f>
        <v>278181.81818181818</v>
      </c>
      <c r="I3" s="279">
        <f>H3*10%</f>
        <v>27818.18181818182</v>
      </c>
      <c r="J3" s="279">
        <f>IF(E3="매출",F3*G3,0)</f>
        <v>0</v>
      </c>
      <c r="K3" s="279">
        <f t="shared" ref="K3:K39" si="2">J3*10%</f>
        <v>0</v>
      </c>
      <c r="L3" s="280">
        <v>306000</v>
      </c>
      <c r="M3" s="273"/>
      <c r="O3" s="274"/>
    </row>
    <row r="4" spans="1:15" ht="18" customHeight="1" x14ac:dyDescent="0.3">
      <c r="A4" s="251">
        <v>2</v>
      </c>
      <c r="B4" s="257">
        <v>45663</v>
      </c>
      <c r="C4" s="252" t="s">
        <v>2532</v>
      </c>
      <c r="D4" s="252" t="s">
        <v>2533</v>
      </c>
      <c r="E4" s="252" t="s">
        <v>2531</v>
      </c>
      <c r="F4" s="253">
        <v>1</v>
      </c>
      <c r="G4" s="253">
        <f t="shared" si="0"/>
        <v>21818.181818181816</v>
      </c>
      <c r="H4" s="254">
        <f t="shared" si="1"/>
        <v>21818.181818181816</v>
      </c>
      <c r="I4" s="254">
        <f t="shared" ref="I4:I68" si="3">H4*10%</f>
        <v>2181.8181818181815</v>
      </c>
      <c r="J4" s="254">
        <f t="shared" ref="J4:J68" si="4">IF(E4="매출",F4*G4,0)</f>
        <v>0</v>
      </c>
      <c r="K4" s="254">
        <f t="shared" si="2"/>
        <v>0</v>
      </c>
      <c r="L4" s="255">
        <v>24000</v>
      </c>
      <c r="M4" s="273"/>
    </row>
    <row r="5" spans="1:15" ht="18" customHeight="1" x14ac:dyDescent="0.3">
      <c r="A5" s="251">
        <v>3</v>
      </c>
      <c r="B5" s="257">
        <v>45663</v>
      </c>
      <c r="C5" s="252" t="s">
        <v>2529</v>
      </c>
      <c r="D5" s="252" t="s">
        <v>2530</v>
      </c>
      <c r="E5" s="252" t="s">
        <v>2531</v>
      </c>
      <c r="F5" s="253">
        <v>1</v>
      </c>
      <c r="G5" s="253">
        <f t="shared" si="0"/>
        <v>600909.09090909082</v>
      </c>
      <c r="H5" s="254">
        <f t="shared" si="1"/>
        <v>600909.09090909082</v>
      </c>
      <c r="I5" s="254">
        <f t="shared" si="3"/>
        <v>60090.909090909088</v>
      </c>
      <c r="J5" s="254">
        <f t="shared" si="4"/>
        <v>0</v>
      </c>
      <c r="K5" s="254">
        <f t="shared" si="2"/>
        <v>0</v>
      </c>
      <c r="L5" s="255">
        <v>661000</v>
      </c>
      <c r="M5" s="273"/>
    </row>
    <row r="6" spans="1:15" ht="18" customHeight="1" x14ac:dyDescent="0.3">
      <c r="A6" s="251">
        <v>4</v>
      </c>
      <c r="B6" s="257">
        <v>45670</v>
      </c>
      <c r="C6" s="252" t="s">
        <v>2529</v>
      </c>
      <c r="D6" s="252" t="s">
        <v>2530</v>
      </c>
      <c r="E6" s="252" t="s">
        <v>2531</v>
      </c>
      <c r="F6" s="253">
        <v>1</v>
      </c>
      <c r="G6" s="253">
        <f t="shared" si="0"/>
        <v>417272.72727272724</v>
      </c>
      <c r="H6" s="254">
        <f t="shared" si="1"/>
        <v>417272.72727272724</v>
      </c>
      <c r="I6" s="254">
        <f t="shared" si="3"/>
        <v>41727.272727272728</v>
      </c>
      <c r="J6" s="254">
        <f t="shared" si="4"/>
        <v>0</v>
      </c>
      <c r="K6" s="254">
        <f t="shared" si="2"/>
        <v>0</v>
      </c>
      <c r="L6" s="255">
        <v>459000</v>
      </c>
      <c r="M6" s="273"/>
    </row>
    <row r="7" spans="1:15" ht="18" customHeight="1" x14ac:dyDescent="0.3">
      <c r="A7" s="251">
        <v>5</v>
      </c>
      <c r="B7" s="257">
        <v>45671</v>
      </c>
      <c r="C7" s="252" t="s">
        <v>2529</v>
      </c>
      <c r="D7" s="252" t="s">
        <v>2530</v>
      </c>
      <c r="E7" s="252" t="s">
        <v>2534</v>
      </c>
      <c r="F7" s="253">
        <v>1</v>
      </c>
      <c r="G7" s="253">
        <f t="shared" si="0"/>
        <v>87818.181818181809</v>
      </c>
      <c r="H7" s="254">
        <f t="shared" si="1"/>
        <v>87818.181818181809</v>
      </c>
      <c r="I7" s="254">
        <f t="shared" si="3"/>
        <v>8781.818181818182</v>
      </c>
      <c r="J7" s="254">
        <f t="shared" si="4"/>
        <v>0</v>
      </c>
      <c r="K7" s="254">
        <f t="shared" si="2"/>
        <v>0</v>
      </c>
      <c r="L7" s="255">
        <v>96600</v>
      </c>
      <c r="M7" s="273"/>
    </row>
    <row r="8" spans="1:15" ht="18" customHeight="1" x14ac:dyDescent="0.3">
      <c r="A8" s="251">
        <v>6</v>
      </c>
      <c r="B8" s="257">
        <v>45671</v>
      </c>
      <c r="C8" s="252" t="s">
        <v>2535</v>
      </c>
      <c r="D8" s="252" t="s">
        <v>2536</v>
      </c>
      <c r="E8" s="252" t="s">
        <v>2531</v>
      </c>
      <c r="F8" s="253">
        <v>1</v>
      </c>
      <c r="G8" s="253">
        <f t="shared" si="0"/>
        <v>49999.999999999993</v>
      </c>
      <c r="H8" s="254">
        <f t="shared" si="1"/>
        <v>49999.999999999993</v>
      </c>
      <c r="I8" s="254">
        <f t="shared" si="3"/>
        <v>5000</v>
      </c>
      <c r="J8" s="254">
        <f t="shared" si="4"/>
        <v>0</v>
      </c>
      <c r="K8" s="254">
        <f t="shared" si="2"/>
        <v>0</v>
      </c>
      <c r="L8" s="255">
        <v>55000</v>
      </c>
      <c r="M8" s="273"/>
    </row>
    <row r="9" spans="1:15" ht="18" customHeight="1" x14ac:dyDescent="0.3">
      <c r="A9" s="251">
        <v>7</v>
      </c>
      <c r="B9" s="257">
        <v>45680</v>
      </c>
      <c r="C9" s="252" t="s">
        <v>2537</v>
      </c>
      <c r="D9" s="252" t="s">
        <v>2538</v>
      </c>
      <c r="E9" s="252" t="s">
        <v>2531</v>
      </c>
      <c r="F9" s="253">
        <v>1</v>
      </c>
      <c r="G9" s="253">
        <f t="shared" si="0"/>
        <v>727272.72727272718</v>
      </c>
      <c r="H9" s="254">
        <f t="shared" si="1"/>
        <v>727272.72727272718</v>
      </c>
      <c r="I9" s="254">
        <f t="shared" si="3"/>
        <v>72727.272727272721</v>
      </c>
      <c r="J9" s="254">
        <f t="shared" si="4"/>
        <v>0</v>
      </c>
      <c r="K9" s="254">
        <f t="shared" si="2"/>
        <v>0</v>
      </c>
      <c r="L9" s="255">
        <v>800000</v>
      </c>
      <c r="M9" s="273"/>
    </row>
    <row r="10" spans="1:15" ht="18" customHeight="1" x14ac:dyDescent="0.3">
      <c r="A10" s="251">
        <v>8</v>
      </c>
      <c r="B10" s="257">
        <v>45681</v>
      </c>
      <c r="C10" s="252" t="s">
        <v>2539</v>
      </c>
      <c r="D10" s="252" t="s">
        <v>2530</v>
      </c>
      <c r="E10" s="252" t="s">
        <v>2534</v>
      </c>
      <c r="F10" s="253">
        <v>1</v>
      </c>
      <c r="G10" s="253">
        <f t="shared" si="0"/>
        <v>766363.63636363635</v>
      </c>
      <c r="H10" s="254">
        <f t="shared" si="1"/>
        <v>766363.63636363635</v>
      </c>
      <c r="I10" s="254">
        <f t="shared" si="3"/>
        <v>76636.363636363632</v>
      </c>
      <c r="J10" s="254">
        <f t="shared" si="4"/>
        <v>0</v>
      </c>
      <c r="K10" s="254">
        <f t="shared" si="2"/>
        <v>0</v>
      </c>
      <c r="L10" s="255">
        <v>843000</v>
      </c>
      <c r="M10" s="273"/>
    </row>
    <row r="11" spans="1:15" ht="18" customHeight="1" x14ac:dyDescent="0.3">
      <c r="A11" s="251">
        <v>9</v>
      </c>
      <c r="B11" s="257">
        <v>45681</v>
      </c>
      <c r="C11" s="252" t="s">
        <v>2540</v>
      </c>
      <c r="D11" s="252" t="s">
        <v>2530</v>
      </c>
      <c r="E11" s="252" t="s">
        <v>2534</v>
      </c>
      <c r="F11" s="253">
        <v>1</v>
      </c>
      <c r="G11" s="253">
        <f t="shared" si="0"/>
        <v>299090.90909090906</v>
      </c>
      <c r="H11" s="254">
        <f t="shared" si="1"/>
        <v>299090.90909090906</v>
      </c>
      <c r="I11" s="254">
        <f t="shared" si="3"/>
        <v>29909.090909090908</v>
      </c>
      <c r="J11" s="254">
        <f t="shared" si="4"/>
        <v>0</v>
      </c>
      <c r="K11" s="254">
        <f t="shared" si="2"/>
        <v>0</v>
      </c>
      <c r="L11" s="255">
        <v>329000</v>
      </c>
      <c r="M11" s="273"/>
    </row>
    <row r="12" spans="1:15" ht="18" customHeight="1" x14ac:dyDescent="0.3">
      <c r="A12" s="251">
        <v>10</v>
      </c>
      <c r="B12" s="257">
        <v>45691</v>
      </c>
      <c r="C12" s="252" t="s">
        <v>2529</v>
      </c>
      <c r="D12" s="252" t="s">
        <v>2530</v>
      </c>
      <c r="E12" s="252" t="s">
        <v>2531</v>
      </c>
      <c r="F12" s="253">
        <v>1</v>
      </c>
      <c r="G12" s="253">
        <f t="shared" si="0"/>
        <v>87818.181818181809</v>
      </c>
      <c r="H12" s="254">
        <f t="shared" si="1"/>
        <v>87818.181818181809</v>
      </c>
      <c r="I12" s="254">
        <f t="shared" si="3"/>
        <v>8781.818181818182</v>
      </c>
      <c r="J12" s="254">
        <f t="shared" si="4"/>
        <v>0</v>
      </c>
      <c r="K12" s="254">
        <f t="shared" si="2"/>
        <v>0</v>
      </c>
      <c r="L12" s="255">
        <v>96600</v>
      </c>
      <c r="M12" s="273"/>
    </row>
    <row r="13" spans="1:15" ht="18" customHeight="1" x14ac:dyDescent="0.3">
      <c r="A13" s="251">
        <v>11</v>
      </c>
      <c r="B13" s="257">
        <v>45699</v>
      </c>
      <c r="C13" s="252" t="s">
        <v>2529</v>
      </c>
      <c r="D13" s="252" t="s">
        <v>2530</v>
      </c>
      <c r="E13" s="252" t="s">
        <v>2531</v>
      </c>
      <c r="F13" s="253">
        <v>1</v>
      </c>
      <c r="G13" s="253">
        <f t="shared" si="0"/>
        <v>139090.90909090909</v>
      </c>
      <c r="H13" s="254">
        <f t="shared" si="1"/>
        <v>139090.90909090909</v>
      </c>
      <c r="I13" s="254">
        <f t="shared" si="3"/>
        <v>13909.09090909091</v>
      </c>
      <c r="J13" s="254">
        <f t="shared" si="4"/>
        <v>0</v>
      </c>
      <c r="K13" s="254">
        <f t="shared" si="2"/>
        <v>0</v>
      </c>
      <c r="L13" s="255">
        <v>153000</v>
      </c>
      <c r="M13" s="273"/>
    </row>
    <row r="14" spans="1:15" ht="18" customHeight="1" x14ac:dyDescent="0.3">
      <c r="A14" s="251">
        <v>12</v>
      </c>
      <c r="B14" s="257">
        <v>45699</v>
      </c>
      <c r="C14" s="252" t="s">
        <v>2532</v>
      </c>
      <c r="D14" s="252" t="s">
        <v>2533</v>
      </c>
      <c r="E14" s="252" t="s">
        <v>2534</v>
      </c>
      <c r="F14" s="253">
        <v>1</v>
      </c>
      <c r="G14" s="253">
        <f t="shared" si="0"/>
        <v>21818.181818181816</v>
      </c>
      <c r="H14" s="254">
        <f t="shared" si="1"/>
        <v>21818.181818181816</v>
      </c>
      <c r="I14" s="254">
        <f t="shared" si="3"/>
        <v>2181.8181818181815</v>
      </c>
      <c r="J14" s="254">
        <f t="shared" si="4"/>
        <v>0</v>
      </c>
      <c r="K14" s="254">
        <f t="shared" si="2"/>
        <v>0</v>
      </c>
      <c r="L14" s="255">
        <v>24000</v>
      </c>
      <c r="M14" s="273"/>
    </row>
    <row r="15" spans="1:15" ht="18" customHeight="1" x14ac:dyDescent="0.3">
      <c r="A15" s="251">
        <v>13</v>
      </c>
      <c r="B15" s="257">
        <v>45706</v>
      </c>
      <c r="C15" s="252" t="s">
        <v>2529</v>
      </c>
      <c r="D15" s="252" t="s">
        <v>2530</v>
      </c>
      <c r="E15" s="252" t="s">
        <v>2534</v>
      </c>
      <c r="F15" s="253">
        <v>1</v>
      </c>
      <c r="G15" s="253">
        <f t="shared" si="0"/>
        <v>87818.181818181809</v>
      </c>
      <c r="H15" s="254">
        <f t="shared" si="1"/>
        <v>87818.181818181809</v>
      </c>
      <c r="I15" s="254">
        <f t="shared" si="3"/>
        <v>8781.818181818182</v>
      </c>
      <c r="J15" s="254">
        <f t="shared" si="4"/>
        <v>0</v>
      </c>
      <c r="K15" s="254">
        <f t="shared" si="2"/>
        <v>0</v>
      </c>
      <c r="L15" s="255">
        <v>96600</v>
      </c>
      <c r="M15" s="273"/>
    </row>
    <row r="16" spans="1:15" ht="18" customHeight="1" x14ac:dyDescent="0.3">
      <c r="A16" s="251">
        <v>14</v>
      </c>
      <c r="B16" s="257">
        <v>45714</v>
      </c>
      <c r="C16" s="252" t="s">
        <v>2541</v>
      </c>
      <c r="D16" s="252" t="s">
        <v>2542</v>
      </c>
      <c r="E16" s="252" t="s">
        <v>2534</v>
      </c>
      <c r="F16" s="253">
        <v>1</v>
      </c>
      <c r="G16" s="253">
        <f t="shared" si="0"/>
        <v>97636.363636363632</v>
      </c>
      <c r="H16" s="254">
        <f t="shared" si="1"/>
        <v>97636.363636363632</v>
      </c>
      <c r="I16" s="254">
        <f t="shared" si="3"/>
        <v>9763.636363636364</v>
      </c>
      <c r="J16" s="254">
        <f t="shared" si="4"/>
        <v>0</v>
      </c>
      <c r="K16" s="254">
        <f t="shared" si="2"/>
        <v>0</v>
      </c>
      <c r="L16" s="255">
        <v>107400</v>
      </c>
      <c r="M16" s="273"/>
    </row>
    <row r="17" spans="1:13" ht="18" customHeight="1" x14ac:dyDescent="0.3">
      <c r="A17" s="251">
        <v>15</v>
      </c>
      <c r="B17" s="257">
        <v>45714</v>
      </c>
      <c r="C17" s="252" t="s">
        <v>2529</v>
      </c>
      <c r="D17" s="252" t="s">
        <v>2530</v>
      </c>
      <c r="E17" s="252" t="s">
        <v>2534</v>
      </c>
      <c r="F17" s="253">
        <v>1</v>
      </c>
      <c r="G17" s="253">
        <f t="shared" si="0"/>
        <v>278181.81818181818</v>
      </c>
      <c r="H17" s="254">
        <f t="shared" si="1"/>
        <v>278181.81818181818</v>
      </c>
      <c r="I17" s="254">
        <f t="shared" si="3"/>
        <v>27818.18181818182</v>
      </c>
      <c r="J17" s="254">
        <f t="shared" si="4"/>
        <v>0</v>
      </c>
      <c r="K17" s="254">
        <f t="shared" si="2"/>
        <v>0</v>
      </c>
      <c r="L17" s="255">
        <v>306000</v>
      </c>
      <c r="M17" s="273"/>
    </row>
    <row r="18" spans="1:13" ht="18" customHeight="1" x14ac:dyDescent="0.3">
      <c r="A18" s="251">
        <v>16</v>
      </c>
      <c r="B18" s="257">
        <v>45719</v>
      </c>
      <c r="C18" s="252" t="s">
        <v>2540</v>
      </c>
      <c r="D18" s="252" t="s">
        <v>2530</v>
      </c>
      <c r="E18" s="252" t="s">
        <v>2531</v>
      </c>
      <c r="F18" s="253">
        <v>1</v>
      </c>
      <c r="G18" s="253">
        <f t="shared" si="0"/>
        <v>346363.63636363635</v>
      </c>
      <c r="H18" s="254">
        <f t="shared" si="1"/>
        <v>346363.63636363635</v>
      </c>
      <c r="I18" s="254">
        <f t="shared" si="3"/>
        <v>34636.36363636364</v>
      </c>
      <c r="J18" s="254">
        <f t="shared" si="4"/>
        <v>0</v>
      </c>
      <c r="K18" s="254">
        <f t="shared" si="2"/>
        <v>0</v>
      </c>
      <c r="L18" s="255">
        <v>381000</v>
      </c>
      <c r="M18" s="273"/>
    </row>
    <row r="19" spans="1:13" ht="18" customHeight="1" x14ac:dyDescent="0.3">
      <c r="A19" s="251">
        <v>17</v>
      </c>
      <c r="B19" s="257">
        <v>45719</v>
      </c>
      <c r="C19" s="252" t="s">
        <v>2543</v>
      </c>
      <c r="D19" s="252" t="s">
        <v>2544</v>
      </c>
      <c r="E19" s="252" t="s">
        <v>2534</v>
      </c>
      <c r="F19" s="253">
        <v>1</v>
      </c>
      <c r="G19" s="253">
        <f t="shared" si="0"/>
        <v>209090.90909090909</v>
      </c>
      <c r="H19" s="254">
        <f t="shared" si="1"/>
        <v>209090.90909090909</v>
      </c>
      <c r="I19" s="254">
        <f t="shared" si="3"/>
        <v>20909.090909090912</v>
      </c>
      <c r="J19" s="254">
        <f t="shared" si="4"/>
        <v>0</v>
      </c>
      <c r="K19" s="254">
        <f t="shared" si="2"/>
        <v>0</v>
      </c>
      <c r="L19" s="255">
        <v>230000</v>
      </c>
      <c r="M19" s="273"/>
    </row>
    <row r="20" spans="1:13" ht="18" customHeight="1" x14ac:dyDescent="0.3">
      <c r="A20" s="251">
        <v>18</v>
      </c>
      <c r="B20" s="257">
        <v>45719</v>
      </c>
      <c r="C20" s="252" t="s">
        <v>2539</v>
      </c>
      <c r="D20" s="252" t="s">
        <v>2530</v>
      </c>
      <c r="E20" s="252" t="s">
        <v>2534</v>
      </c>
      <c r="F20" s="253">
        <v>1</v>
      </c>
      <c r="G20" s="253">
        <f t="shared" si="0"/>
        <v>203636.36363636362</v>
      </c>
      <c r="H20" s="254">
        <f t="shared" si="1"/>
        <v>203636.36363636362</v>
      </c>
      <c r="I20" s="254">
        <f t="shared" si="3"/>
        <v>20363.636363636364</v>
      </c>
      <c r="J20" s="254">
        <f t="shared" si="4"/>
        <v>0</v>
      </c>
      <c r="K20" s="254">
        <f t="shared" si="2"/>
        <v>0</v>
      </c>
      <c r="L20" s="255">
        <v>224000</v>
      </c>
      <c r="M20" s="273"/>
    </row>
    <row r="21" spans="1:13" ht="18" customHeight="1" x14ac:dyDescent="0.3">
      <c r="A21" s="251">
        <v>19</v>
      </c>
      <c r="B21" s="257">
        <v>45719</v>
      </c>
      <c r="C21" s="252" t="s">
        <v>2545</v>
      </c>
      <c r="D21" s="252" t="s">
        <v>2542</v>
      </c>
      <c r="E21" s="252" t="s">
        <v>2534</v>
      </c>
      <c r="F21" s="253">
        <v>1</v>
      </c>
      <c r="G21" s="253">
        <f t="shared" si="0"/>
        <v>161909.09090909088</v>
      </c>
      <c r="H21" s="254">
        <f t="shared" si="1"/>
        <v>161909.09090909088</v>
      </c>
      <c r="I21" s="254">
        <f t="shared" si="3"/>
        <v>16190.909090909088</v>
      </c>
      <c r="J21" s="254">
        <f t="shared" si="4"/>
        <v>0</v>
      </c>
      <c r="K21" s="254">
        <f t="shared" si="2"/>
        <v>0</v>
      </c>
      <c r="L21" s="255">
        <v>178100</v>
      </c>
      <c r="M21" s="273"/>
    </row>
    <row r="22" spans="1:13" ht="18" customHeight="1" x14ac:dyDescent="0.3">
      <c r="A22" s="251">
        <v>20</v>
      </c>
      <c r="B22" s="257">
        <v>45720</v>
      </c>
      <c r="C22" s="252" t="s">
        <v>2546</v>
      </c>
      <c r="D22" s="252" t="s">
        <v>2547</v>
      </c>
      <c r="E22" s="252" t="s">
        <v>2534</v>
      </c>
      <c r="F22" s="253">
        <v>1</v>
      </c>
      <c r="G22" s="253">
        <f t="shared" si="0"/>
        <v>74181.818181818177</v>
      </c>
      <c r="H22" s="254">
        <f t="shared" si="1"/>
        <v>74181.818181818177</v>
      </c>
      <c r="I22" s="254">
        <f t="shared" si="3"/>
        <v>7418.181818181818</v>
      </c>
      <c r="J22" s="254">
        <f t="shared" si="4"/>
        <v>0</v>
      </c>
      <c r="K22" s="254">
        <f t="shared" si="2"/>
        <v>0</v>
      </c>
      <c r="L22" s="255">
        <v>81600</v>
      </c>
      <c r="M22" s="273"/>
    </row>
    <row r="23" spans="1:13" ht="18" customHeight="1" x14ac:dyDescent="0.3">
      <c r="A23" s="251">
        <v>21</v>
      </c>
      <c r="B23" s="257">
        <v>45720</v>
      </c>
      <c r="C23" s="252" t="s">
        <v>2548</v>
      </c>
      <c r="D23" s="252" t="s">
        <v>2549</v>
      </c>
      <c r="E23" s="252" t="s">
        <v>2534</v>
      </c>
      <c r="F23" s="253">
        <v>1</v>
      </c>
      <c r="G23" s="253">
        <f t="shared" si="0"/>
        <v>9090909.0909090899</v>
      </c>
      <c r="H23" s="254">
        <f t="shared" si="1"/>
        <v>9090909.0909090899</v>
      </c>
      <c r="I23" s="254">
        <f t="shared" si="3"/>
        <v>909090.90909090906</v>
      </c>
      <c r="J23" s="254">
        <f t="shared" si="4"/>
        <v>0</v>
      </c>
      <c r="K23" s="254">
        <f t="shared" si="2"/>
        <v>0</v>
      </c>
      <c r="L23" s="255">
        <v>10000000</v>
      </c>
      <c r="M23" s="273"/>
    </row>
    <row r="24" spans="1:13" ht="18" customHeight="1" x14ac:dyDescent="0.3">
      <c r="A24" s="251">
        <v>22</v>
      </c>
      <c r="B24" s="257">
        <v>45722</v>
      </c>
      <c r="C24" s="252" t="s">
        <v>2532</v>
      </c>
      <c r="D24" s="252" t="s">
        <v>2533</v>
      </c>
      <c r="E24" s="252" t="s">
        <v>2534</v>
      </c>
      <c r="F24" s="253">
        <v>1</v>
      </c>
      <c r="G24" s="253">
        <f t="shared" si="0"/>
        <v>21818.181818181816</v>
      </c>
      <c r="H24" s="254">
        <f t="shared" si="1"/>
        <v>21818.181818181816</v>
      </c>
      <c r="I24" s="254">
        <f t="shared" si="3"/>
        <v>2181.8181818181815</v>
      </c>
      <c r="J24" s="254">
        <f t="shared" si="4"/>
        <v>0</v>
      </c>
      <c r="K24" s="254">
        <f t="shared" si="2"/>
        <v>0</v>
      </c>
      <c r="L24" s="255">
        <v>24000</v>
      </c>
      <c r="M24" s="273"/>
    </row>
    <row r="25" spans="1:13" ht="18" customHeight="1" x14ac:dyDescent="0.3">
      <c r="A25" s="251">
        <v>23</v>
      </c>
      <c r="B25" s="257">
        <v>45727</v>
      </c>
      <c r="C25" s="252" t="s">
        <v>2529</v>
      </c>
      <c r="D25" s="252" t="s">
        <v>2530</v>
      </c>
      <c r="E25" s="252" t="s">
        <v>2534</v>
      </c>
      <c r="F25" s="253">
        <v>1</v>
      </c>
      <c r="G25" s="253">
        <f t="shared" si="0"/>
        <v>139090.90909090909</v>
      </c>
      <c r="H25" s="254">
        <f t="shared" si="1"/>
        <v>139090.90909090909</v>
      </c>
      <c r="I25" s="254">
        <f t="shared" si="3"/>
        <v>13909.09090909091</v>
      </c>
      <c r="J25" s="254">
        <f t="shared" si="4"/>
        <v>0</v>
      </c>
      <c r="K25" s="254">
        <f t="shared" si="2"/>
        <v>0</v>
      </c>
      <c r="L25" s="255">
        <v>153000</v>
      </c>
      <c r="M25" s="273"/>
    </row>
    <row r="26" spans="1:13" ht="18" customHeight="1" x14ac:dyDescent="0.3">
      <c r="A26" s="251">
        <v>24</v>
      </c>
      <c r="B26" s="257">
        <v>45747</v>
      </c>
      <c r="C26" s="252" t="s">
        <v>2529</v>
      </c>
      <c r="D26" s="252" t="s">
        <v>2550</v>
      </c>
      <c r="E26" s="252" t="s">
        <v>2534</v>
      </c>
      <c r="F26" s="253">
        <v>1</v>
      </c>
      <c r="G26" s="253">
        <f t="shared" si="0"/>
        <v>405818.18181818177</v>
      </c>
      <c r="H26" s="254">
        <f t="shared" si="1"/>
        <v>405818.18181818177</v>
      </c>
      <c r="I26" s="254">
        <f t="shared" si="3"/>
        <v>40581.818181818177</v>
      </c>
      <c r="J26" s="254">
        <f t="shared" si="4"/>
        <v>0</v>
      </c>
      <c r="K26" s="254">
        <f t="shared" si="2"/>
        <v>0</v>
      </c>
      <c r="L26" s="255">
        <v>446400</v>
      </c>
      <c r="M26" s="273"/>
    </row>
    <row r="27" spans="1:13" ht="18" customHeight="1" x14ac:dyDescent="0.3">
      <c r="A27" s="251">
        <v>25</v>
      </c>
      <c r="B27" s="257">
        <v>45749</v>
      </c>
      <c r="C27" s="252" t="s">
        <v>2551</v>
      </c>
      <c r="D27" s="252" t="s">
        <v>2530</v>
      </c>
      <c r="E27" s="252" t="s">
        <v>2534</v>
      </c>
      <c r="F27" s="253">
        <v>1</v>
      </c>
      <c r="G27" s="253">
        <f t="shared" si="0"/>
        <v>131818.18181818179</v>
      </c>
      <c r="H27" s="254">
        <f t="shared" si="1"/>
        <v>131818.18181818179</v>
      </c>
      <c r="I27" s="254">
        <f t="shared" si="3"/>
        <v>13181.81818181818</v>
      </c>
      <c r="J27" s="254">
        <f t="shared" si="4"/>
        <v>0</v>
      </c>
      <c r="K27" s="254">
        <f t="shared" si="2"/>
        <v>0</v>
      </c>
      <c r="L27" s="255">
        <v>145000</v>
      </c>
      <c r="M27" s="273"/>
    </row>
    <row r="28" spans="1:13" ht="18" customHeight="1" x14ac:dyDescent="0.3">
      <c r="A28" s="251">
        <v>26</v>
      </c>
      <c r="B28" s="257">
        <v>45761</v>
      </c>
      <c r="C28" s="252" t="s">
        <v>2529</v>
      </c>
      <c r="D28" s="252" t="s">
        <v>2530</v>
      </c>
      <c r="E28" s="252" t="s">
        <v>2534</v>
      </c>
      <c r="F28" s="253">
        <v>1</v>
      </c>
      <c r="G28" s="253">
        <f t="shared" si="0"/>
        <v>139090.90909090909</v>
      </c>
      <c r="H28" s="254">
        <f t="shared" si="1"/>
        <v>139090.90909090909</v>
      </c>
      <c r="I28" s="254">
        <f t="shared" si="3"/>
        <v>13909.09090909091</v>
      </c>
      <c r="J28" s="254">
        <f t="shared" si="4"/>
        <v>0</v>
      </c>
      <c r="K28" s="254">
        <f t="shared" si="2"/>
        <v>0</v>
      </c>
      <c r="L28" s="255">
        <v>153000</v>
      </c>
      <c r="M28" s="273"/>
    </row>
    <row r="29" spans="1:13" ht="18" customHeight="1" x14ac:dyDescent="0.3">
      <c r="A29" s="251">
        <v>27</v>
      </c>
      <c r="B29" s="257">
        <v>45762</v>
      </c>
      <c r="C29" s="252" t="s">
        <v>2529</v>
      </c>
      <c r="D29" s="252" t="s">
        <v>2530</v>
      </c>
      <c r="E29" s="252" t="s">
        <v>2534</v>
      </c>
      <c r="F29" s="253">
        <v>1</v>
      </c>
      <c r="G29" s="253">
        <f t="shared" si="0"/>
        <v>1429090.9090909089</v>
      </c>
      <c r="H29" s="254">
        <f t="shared" si="1"/>
        <v>1429090.9090909089</v>
      </c>
      <c r="I29" s="254">
        <f t="shared" si="3"/>
        <v>142909.09090909091</v>
      </c>
      <c r="J29" s="254">
        <f t="shared" si="4"/>
        <v>0</v>
      </c>
      <c r="K29" s="254">
        <f t="shared" si="2"/>
        <v>0</v>
      </c>
      <c r="L29" s="255">
        <v>1572000</v>
      </c>
      <c r="M29" s="273"/>
    </row>
    <row r="30" spans="1:13" ht="18" customHeight="1" x14ac:dyDescent="0.3">
      <c r="A30" s="251">
        <v>28</v>
      </c>
      <c r="B30" s="257">
        <v>45776</v>
      </c>
      <c r="C30" s="252" t="s">
        <v>2539</v>
      </c>
      <c r="D30" s="252" t="s">
        <v>2530</v>
      </c>
      <c r="E30" s="252" t="s">
        <v>2534</v>
      </c>
      <c r="F30" s="253">
        <v>1</v>
      </c>
      <c r="G30" s="253">
        <f t="shared" si="0"/>
        <v>636363.63636363635</v>
      </c>
      <c r="H30" s="254">
        <f t="shared" si="1"/>
        <v>636363.63636363635</v>
      </c>
      <c r="I30" s="254">
        <f t="shared" si="3"/>
        <v>63636.36363636364</v>
      </c>
      <c r="J30" s="254">
        <f t="shared" si="4"/>
        <v>0</v>
      </c>
      <c r="K30" s="254">
        <f t="shared" si="2"/>
        <v>0</v>
      </c>
      <c r="L30" s="255">
        <v>700000</v>
      </c>
      <c r="M30" s="273"/>
    </row>
    <row r="31" spans="1:13" ht="18" customHeight="1" x14ac:dyDescent="0.3">
      <c r="A31" s="251">
        <v>29</v>
      </c>
      <c r="B31" s="257">
        <v>45776</v>
      </c>
      <c r="C31" s="252" t="s">
        <v>2543</v>
      </c>
      <c r="D31" s="252" t="s">
        <v>2544</v>
      </c>
      <c r="E31" s="252" t="s">
        <v>2534</v>
      </c>
      <c r="F31" s="253">
        <v>1</v>
      </c>
      <c r="G31" s="253">
        <f t="shared" si="0"/>
        <v>541818.18181818177</v>
      </c>
      <c r="H31" s="254">
        <f t="shared" si="1"/>
        <v>541818.18181818177</v>
      </c>
      <c r="I31" s="254">
        <f t="shared" si="3"/>
        <v>54181.818181818177</v>
      </c>
      <c r="J31" s="254">
        <f t="shared" si="4"/>
        <v>0</v>
      </c>
      <c r="K31" s="254">
        <f t="shared" si="2"/>
        <v>0</v>
      </c>
      <c r="L31" s="255">
        <v>596000</v>
      </c>
      <c r="M31" s="273"/>
    </row>
    <row r="32" spans="1:13" ht="18" customHeight="1" x14ac:dyDescent="0.3">
      <c r="A32" s="251">
        <v>30</v>
      </c>
      <c r="B32" s="257">
        <v>45776</v>
      </c>
      <c r="C32" s="252" t="s">
        <v>2541</v>
      </c>
      <c r="D32" s="252" t="s">
        <v>2542</v>
      </c>
      <c r="E32" s="252" t="s">
        <v>2534</v>
      </c>
      <c r="F32" s="253">
        <v>1</v>
      </c>
      <c r="G32" s="253">
        <f t="shared" si="0"/>
        <v>125999.99999999999</v>
      </c>
      <c r="H32" s="254">
        <f t="shared" si="1"/>
        <v>125999.99999999999</v>
      </c>
      <c r="I32" s="254">
        <f t="shared" si="3"/>
        <v>12600</v>
      </c>
      <c r="J32" s="254">
        <f t="shared" si="4"/>
        <v>0</v>
      </c>
      <c r="K32" s="254">
        <f t="shared" si="2"/>
        <v>0</v>
      </c>
      <c r="L32" s="255">
        <v>138600</v>
      </c>
      <c r="M32" s="273"/>
    </row>
    <row r="33" spans="1:13" ht="18" customHeight="1" x14ac:dyDescent="0.3">
      <c r="A33" s="251">
        <v>31</v>
      </c>
      <c r="B33" s="257">
        <v>45776</v>
      </c>
      <c r="C33" s="252" t="s">
        <v>2540</v>
      </c>
      <c r="D33" s="252" t="s">
        <v>2530</v>
      </c>
      <c r="E33" s="252" t="s">
        <v>2534</v>
      </c>
      <c r="F33" s="253">
        <v>1</v>
      </c>
      <c r="G33" s="253">
        <f t="shared" si="0"/>
        <v>409999.99999999994</v>
      </c>
      <c r="H33" s="254">
        <f t="shared" si="1"/>
        <v>409999.99999999994</v>
      </c>
      <c r="I33" s="254">
        <f t="shared" si="3"/>
        <v>41000</v>
      </c>
      <c r="J33" s="254">
        <f t="shared" si="4"/>
        <v>0</v>
      </c>
      <c r="K33" s="254">
        <f t="shared" si="2"/>
        <v>0</v>
      </c>
      <c r="L33" s="255">
        <v>451000</v>
      </c>
      <c r="M33" s="273"/>
    </row>
    <row r="34" spans="1:13" ht="18.75" customHeight="1" x14ac:dyDescent="0.3">
      <c r="A34" s="251">
        <v>32</v>
      </c>
      <c r="B34" s="257">
        <v>45776</v>
      </c>
      <c r="C34" s="252" t="s">
        <v>2545</v>
      </c>
      <c r="D34" s="252" t="s">
        <v>2542</v>
      </c>
      <c r="E34" s="252" t="s">
        <v>2534</v>
      </c>
      <c r="F34" s="253">
        <v>1</v>
      </c>
      <c r="G34" s="253">
        <f t="shared" si="0"/>
        <v>221818.18181818179</v>
      </c>
      <c r="H34" s="254">
        <f t="shared" si="1"/>
        <v>221818.18181818179</v>
      </c>
      <c r="I34" s="254">
        <f t="shared" si="3"/>
        <v>22181.81818181818</v>
      </c>
      <c r="J34" s="254">
        <f t="shared" si="4"/>
        <v>0</v>
      </c>
      <c r="K34" s="254">
        <f t="shared" si="2"/>
        <v>0</v>
      </c>
      <c r="L34" s="255">
        <v>244000</v>
      </c>
      <c r="M34" s="273"/>
    </row>
    <row r="35" spans="1:13" ht="18" customHeight="1" x14ac:dyDescent="0.3">
      <c r="A35" s="251">
        <v>33</v>
      </c>
      <c r="B35" s="257">
        <v>45785</v>
      </c>
      <c r="C35" s="252" t="s">
        <v>2532</v>
      </c>
      <c r="D35" s="252" t="s">
        <v>2533</v>
      </c>
      <c r="E35" s="252" t="s">
        <v>2534</v>
      </c>
      <c r="F35" s="253">
        <v>1</v>
      </c>
      <c r="G35" s="253">
        <f t="shared" si="0"/>
        <v>43636.363636363632</v>
      </c>
      <c r="H35" s="254">
        <f t="shared" si="1"/>
        <v>43636.363636363632</v>
      </c>
      <c r="I35" s="254">
        <f t="shared" si="3"/>
        <v>4363.6363636363631</v>
      </c>
      <c r="J35" s="254">
        <f t="shared" si="4"/>
        <v>0</v>
      </c>
      <c r="K35" s="254">
        <f t="shared" si="2"/>
        <v>0</v>
      </c>
      <c r="L35" s="255">
        <v>48000</v>
      </c>
      <c r="M35" s="273"/>
    </row>
    <row r="36" spans="1:13" ht="20.25" customHeight="1" x14ac:dyDescent="0.3">
      <c r="A36" s="251">
        <v>34</v>
      </c>
      <c r="B36" s="257">
        <v>45786</v>
      </c>
      <c r="C36" s="252" t="s">
        <v>2529</v>
      </c>
      <c r="D36" s="252" t="s">
        <v>2530</v>
      </c>
      <c r="E36" s="252" t="s">
        <v>2534</v>
      </c>
      <c r="F36" s="253">
        <v>1</v>
      </c>
      <c r="G36" s="253">
        <f t="shared" si="0"/>
        <v>155454.54545454544</v>
      </c>
      <c r="H36" s="254">
        <f t="shared" si="1"/>
        <v>155454.54545454544</v>
      </c>
      <c r="I36" s="254">
        <f t="shared" si="3"/>
        <v>15545.454545454544</v>
      </c>
      <c r="J36" s="254">
        <f t="shared" si="4"/>
        <v>0</v>
      </c>
      <c r="K36" s="254">
        <f t="shared" si="2"/>
        <v>0</v>
      </c>
      <c r="L36" s="255">
        <v>171000</v>
      </c>
      <c r="M36" s="273"/>
    </row>
    <row r="37" spans="1:13" ht="18" customHeight="1" x14ac:dyDescent="0.3">
      <c r="A37" s="251">
        <v>35</v>
      </c>
      <c r="B37" s="257">
        <v>45791</v>
      </c>
      <c r="C37" s="252" t="s">
        <v>2532</v>
      </c>
      <c r="D37" s="252" t="s">
        <v>2533</v>
      </c>
      <c r="E37" s="252" t="s">
        <v>2534</v>
      </c>
      <c r="F37" s="253">
        <v>1</v>
      </c>
      <c r="G37" s="253">
        <f t="shared" si="0"/>
        <v>21818.181818181816</v>
      </c>
      <c r="H37" s="254">
        <f t="shared" si="1"/>
        <v>21818.181818181816</v>
      </c>
      <c r="I37" s="254">
        <f t="shared" si="3"/>
        <v>2181.8181818181815</v>
      </c>
      <c r="J37" s="254">
        <f t="shared" si="4"/>
        <v>0</v>
      </c>
      <c r="K37" s="254">
        <f t="shared" si="2"/>
        <v>0</v>
      </c>
      <c r="L37" s="255">
        <v>24000</v>
      </c>
      <c r="M37" s="273"/>
    </row>
    <row r="38" spans="1:13" ht="18.75" customHeight="1" x14ac:dyDescent="0.3">
      <c r="A38" s="251">
        <v>36</v>
      </c>
      <c r="B38" s="257">
        <v>45797</v>
      </c>
      <c r="C38" s="252" t="s">
        <v>2548</v>
      </c>
      <c r="D38" s="252" t="s">
        <v>2549</v>
      </c>
      <c r="E38" s="252" t="s">
        <v>2534</v>
      </c>
      <c r="F38" s="253">
        <v>1</v>
      </c>
      <c r="G38" s="253">
        <f>L38/F38/1.1</f>
        <v>12727272.727272727</v>
      </c>
      <c r="H38" s="254">
        <f>F38*G38</f>
        <v>12727272.727272727</v>
      </c>
      <c r="I38" s="254">
        <f>H38*10%</f>
        <v>1272727.2727272727</v>
      </c>
      <c r="J38" s="254">
        <f>IF(E38="매출",F38*G38,0)</f>
        <v>0</v>
      </c>
      <c r="K38" s="254">
        <f>J38*10%</f>
        <v>0</v>
      </c>
      <c r="L38" s="255">
        <v>14000000</v>
      </c>
      <c r="M38" s="273"/>
    </row>
    <row r="39" spans="1:13" ht="18.75" customHeight="1" x14ac:dyDescent="0.3">
      <c r="A39" s="251">
        <v>37</v>
      </c>
      <c r="B39" s="257">
        <v>45803</v>
      </c>
      <c r="C39" s="252" t="s">
        <v>2529</v>
      </c>
      <c r="D39" s="252" t="s">
        <v>2530</v>
      </c>
      <c r="E39" s="252" t="s">
        <v>2534</v>
      </c>
      <c r="F39" s="253">
        <v>1</v>
      </c>
      <c r="G39" s="253">
        <f t="shared" si="0"/>
        <v>729090.90909090906</v>
      </c>
      <c r="H39" s="254">
        <f t="shared" si="1"/>
        <v>729090.90909090906</v>
      </c>
      <c r="I39" s="254">
        <f t="shared" si="3"/>
        <v>72909.090909090912</v>
      </c>
      <c r="J39" s="254">
        <f t="shared" si="4"/>
        <v>0</v>
      </c>
      <c r="K39" s="254">
        <f t="shared" si="2"/>
        <v>0</v>
      </c>
      <c r="L39" s="255">
        <v>802000</v>
      </c>
      <c r="M39" s="273"/>
    </row>
    <row r="40" spans="1:13" ht="18" customHeight="1" x14ac:dyDescent="0.3">
      <c r="A40" s="251">
        <v>38</v>
      </c>
      <c r="B40" s="257">
        <v>45806</v>
      </c>
      <c r="C40" s="252" t="s">
        <v>2532</v>
      </c>
      <c r="D40" s="252" t="s">
        <v>2533</v>
      </c>
      <c r="E40" s="252" t="s">
        <v>2534</v>
      </c>
      <c r="F40" s="253">
        <v>1</v>
      </c>
      <c r="G40" s="253">
        <f t="shared" si="0"/>
        <v>43636.363636363632</v>
      </c>
      <c r="H40" s="254">
        <f t="shared" si="1"/>
        <v>43636.363636363632</v>
      </c>
      <c r="I40" s="254">
        <f t="shared" si="3"/>
        <v>4363.6363636363631</v>
      </c>
      <c r="J40" s="254">
        <f t="shared" si="4"/>
        <v>0</v>
      </c>
      <c r="K40" s="254">
        <f t="shared" ref="K40:K51" si="5">J40*10%</f>
        <v>0</v>
      </c>
      <c r="L40" s="255">
        <v>48000</v>
      </c>
      <c r="M40" s="273"/>
    </row>
    <row r="41" spans="1:13" ht="18" customHeight="1" x14ac:dyDescent="0.3">
      <c r="A41" s="251">
        <v>39</v>
      </c>
      <c r="B41" s="257">
        <v>45810</v>
      </c>
      <c r="C41" s="252" t="s">
        <v>2546</v>
      </c>
      <c r="D41" s="252" t="s">
        <v>2547</v>
      </c>
      <c r="E41" s="252" t="s">
        <v>2534</v>
      </c>
      <c r="F41" s="253">
        <v>1</v>
      </c>
      <c r="G41" s="253">
        <f t="shared" si="0"/>
        <v>74181.818181818177</v>
      </c>
      <c r="H41" s="254">
        <f t="shared" si="1"/>
        <v>74181.818181818177</v>
      </c>
      <c r="I41" s="254">
        <f t="shared" si="3"/>
        <v>7418.181818181818</v>
      </c>
      <c r="J41" s="254">
        <f t="shared" si="4"/>
        <v>0</v>
      </c>
      <c r="K41" s="254">
        <f t="shared" si="5"/>
        <v>0</v>
      </c>
      <c r="L41" s="255">
        <v>81600</v>
      </c>
      <c r="M41" s="273"/>
    </row>
    <row r="42" spans="1:13" ht="18.75" customHeight="1" x14ac:dyDescent="0.3">
      <c r="A42" s="251">
        <v>40</v>
      </c>
      <c r="B42" s="257">
        <v>45786</v>
      </c>
      <c r="C42" s="252" t="s">
        <v>2548</v>
      </c>
      <c r="D42" s="252" t="s">
        <v>2549</v>
      </c>
      <c r="E42" s="252" t="s">
        <v>2534</v>
      </c>
      <c r="F42" s="253">
        <v>1</v>
      </c>
      <c r="G42" s="253">
        <f t="shared" si="0"/>
        <v>12727272.727272727</v>
      </c>
      <c r="H42" s="254">
        <f t="shared" si="1"/>
        <v>12727272.727272727</v>
      </c>
      <c r="I42" s="254">
        <f t="shared" si="3"/>
        <v>1272727.2727272727</v>
      </c>
      <c r="J42" s="254">
        <f t="shared" si="4"/>
        <v>0</v>
      </c>
      <c r="K42" s="254">
        <f t="shared" si="5"/>
        <v>0</v>
      </c>
      <c r="L42" s="255">
        <v>14000000</v>
      </c>
      <c r="M42" s="273"/>
    </row>
    <row r="43" spans="1:13" ht="18" customHeight="1" x14ac:dyDescent="0.3">
      <c r="A43" s="251">
        <v>41</v>
      </c>
      <c r="B43" s="257">
        <v>45828</v>
      </c>
      <c r="C43" s="252" t="s">
        <v>2529</v>
      </c>
      <c r="D43" s="252" t="s">
        <v>2530</v>
      </c>
      <c r="E43" s="252" t="s">
        <v>2534</v>
      </c>
      <c r="F43" s="253">
        <v>1</v>
      </c>
      <c r="G43" s="253">
        <f t="shared" si="0"/>
        <v>583636.36363636365</v>
      </c>
      <c r="H43" s="254">
        <f t="shared" si="1"/>
        <v>583636.36363636365</v>
      </c>
      <c r="I43" s="254">
        <f t="shared" si="3"/>
        <v>58363.636363636368</v>
      </c>
      <c r="J43" s="254">
        <f t="shared" si="4"/>
        <v>0</v>
      </c>
      <c r="K43" s="254">
        <f t="shared" si="5"/>
        <v>0</v>
      </c>
      <c r="L43" s="255">
        <v>642000</v>
      </c>
      <c r="M43" s="273"/>
    </row>
    <row r="44" spans="1:13" ht="18" customHeight="1" x14ac:dyDescent="0.3">
      <c r="A44" s="251">
        <v>42</v>
      </c>
      <c r="B44" s="257">
        <v>45838</v>
      </c>
      <c r="C44" s="252" t="s">
        <v>2539</v>
      </c>
      <c r="D44" s="252" t="s">
        <v>2530</v>
      </c>
      <c r="E44" s="252" t="s">
        <v>2534</v>
      </c>
      <c r="F44" s="253">
        <v>1</v>
      </c>
      <c r="G44" s="253">
        <f t="shared" si="0"/>
        <v>469999.99999999994</v>
      </c>
      <c r="H44" s="254">
        <f t="shared" si="1"/>
        <v>469999.99999999994</v>
      </c>
      <c r="I44" s="254">
        <f t="shared" si="3"/>
        <v>47000</v>
      </c>
      <c r="J44" s="254">
        <f t="shared" si="4"/>
        <v>0</v>
      </c>
      <c r="K44" s="254">
        <f t="shared" si="5"/>
        <v>0</v>
      </c>
      <c r="L44" s="255">
        <v>517000</v>
      </c>
      <c r="M44" s="273"/>
    </row>
    <row r="45" spans="1:13" ht="18" customHeight="1" x14ac:dyDescent="0.3">
      <c r="A45" s="251">
        <v>43</v>
      </c>
      <c r="B45" s="257">
        <v>45838</v>
      </c>
      <c r="C45" s="252" t="s">
        <v>2545</v>
      </c>
      <c r="D45" s="252" t="s">
        <v>2542</v>
      </c>
      <c r="E45" s="252" t="s">
        <v>2534</v>
      </c>
      <c r="F45" s="253">
        <v>1</v>
      </c>
      <c r="G45" s="253">
        <f t="shared" si="0"/>
        <v>166363.63636363635</v>
      </c>
      <c r="H45" s="254">
        <f t="shared" si="1"/>
        <v>166363.63636363635</v>
      </c>
      <c r="I45" s="254">
        <f t="shared" si="3"/>
        <v>16636.363636363636</v>
      </c>
      <c r="J45" s="254">
        <f t="shared" si="4"/>
        <v>0</v>
      </c>
      <c r="K45" s="254">
        <f t="shared" si="5"/>
        <v>0</v>
      </c>
      <c r="L45" s="255">
        <v>183000</v>
      </c>
      <c r="M45" s="273"/>
    </row>
    <row r="46" spans="1:13" ht="18" customHeight="1" x14ac:dyDescent="0.3">
      <c r="A46" s="251">
        <v>44</v>
      </c>
      <c r="B46" s="257">
        <v>45838</v>
      </c>
      <c r="C46" s="252" t="s">
        <v>2540</v>
      </c>
      <c r="D46" s="252" t="s">
        <v>2530</v>
      </c>
      <c r="E46" s="252" t="s">
        <v>2534</v>
      </c>
      <c r="F46" s="253">
        <v>1</v>
      </c>
      <c r="G46" s="253">
        <f t="shared" si="0"/>
        <v>645454.54545454541</v>
      </c>
      <c r="H46" s="254">
        <f t="shared" si="1"/>
        <v>645454.54545454541</v>
      </c>
      <c r="I46" s="254">
        <f t="shared" si="3"/>
        <v>64545.454545454544</v>
      </c>
      <c r="J46" s="254">
        <f t="shared" si="4"/>
        <v>0</v>
      </c>
      <c r="K46" s="254">
        <f t="shared" si="5"/>
        <v>0</v>
      </c>
      <c r="L46" s="255">
        <v>710000</v>
      </c>
      <c r="M46" s="273"/>
    </row>
    <row r="47" spans="1:13" ht="18" customHeight="1" x14ac:dyDescent="0.3">
      <c r="A47" s="251">
        <v>45</v>
      </c>
      <c r="B47" s="257">
        <v>45838</v>
      </c>
      <c r="C47" s="252" t="s">
        <v>2541</v>
      </c>
      <c r="D47" s="252" t="s">
        <v>2542</v>
      </c>
      <c r="E47" s="252" t="s">
        <v>2534</v>
      </c>
      <c r="F47" s="253">
        <v>1</v>
      </c>
      <c r="G47" s="253">
        <f t="shared" si="0"/>
        <v>192363.63636363635</v>
      </c>
      <c r="H47" s="254">
        <f t="shared" si="1"/>
        <v>192363.63636363635</v>
      </c>
      <c r="I47" s="254">
        <f t="shared" si="3"/>
        <v>19236.363636363636</v>
      </c>
      <c r="J47" s="254">
        <f t="shared" si="4"/>
        <v>0</v>
      </c>
      <c r="K47" s="254">
        <f t="shared" si="5"/>
        <v>0</v>
      </c>
      <c r="L47" s="255">
        <v>211600</v>
      </c>
      <c r="M47" s="273"/>
    </row>
    <row r="48" spans="1:13" ht="18" customHeight="1" x14ac:dyDescent="0.3">
      <c r="A48" s="251">
        <v>46</v>
      </c>
      <c r="B48" s="257">
        <v>45861</v>
      </c>
      <c r="C48" s="252" t="s">
        <v>2973</v>
      </c>
      <c r="D48" s="252" t="s">
        <v>2974</v>
      </c>
      <c r="E48" s="252" t="s">
        <v>2534</v>
      </c>
      <c r="F48" s="253">
        <v>1</v>
      </c>
      <c r="G48" s="253">
        <f t="shared" si="0"/>
        <v>466363.63636363635</v>
      </c>
      <c r="H48" s="254">
        <f t="shared" si="1"/>
        <v>466363.63636363635</v>
      </c>
      <c r="I48" s="254">
        <f t="shared" si="3"/>
        <v>46636.36363636364</v>
      </c>
      <c r="J48" s="254">
        <f t="shared" si="4"/>
        <v>0</v>
      </c>
      <c r="K48" s="254">
        <f t="shared" si="5"/>
        <v>0</v>
      </c>
      <c r="L48" s="255">
        <v>513000</v>
      </c>
    </row>
    <row r="49" spans="1:12" ht="18" customHeight="1" x14ac:dyDescent="0.3">
      <c r="A49" s="251">
        <v>47</v>
      </c>
      <c r="B49" s="257">
        <v>45866</v>
      </c>
      <c r="C49" s="252" t="s">
        <v>3052</v>
      </c>
      <c r="D49" s="252" t="s">
        <v>3053</v>
      </c>
      <c r="E49" s="252" t="s">
        <v>2534</v>
      </c>
      <c r="F49" s="253">
        <v>1</v>
      </c>
      <c r="G49" s="253">
        <f t="shared" si="0"/>
        <v>147727.27272727271</v>
      </c>
      <c r="H49" s="254">
        <f t="shared" si="1"/>
        <v>147727.27272727271</v>
      </c>
      <c r="I49" s="254">
        <f t="shared" si="3"/>
        <v>14772.727272727272</v>
      </c>
      <c r="J49" s="254">
        <f t="shared" si="4"/>
        <v>0</v>
      </c>
      <c r="K49" s="254">
        <f t="shared" si="5"/>
        <v>0</v>
      </c>
      <c r="L49" s="255">
        <v>162500</v>
      </c>
    </row>
    <row r="50" spans="1:12" ht="18" customHeight="1" x14ac:dyDescent="0.3">
      <c r="A50" s="251">
        <v>48</v>
      </c>
      <c r="B50" s="257">
        <v>45867</v>
      </c>
      <c r="C50" s="252" t="s">
        <v>2529</v>
      </c>
      <c r="D50" s="252" t="s">
        <v>2974</v>
      </c>
      <c r="E50" s="252" t="s">
        <v>2534</v>
      </c>
      <c r="F50" s="253">
        <v>1</v>
      </c>
      <c r="G50" s="253">
        <f t="shared" si="0"/>
        <v>406363.63636363635</v>
      </c>
      <c r="H50" s="254">
        <f t="shared" si="1"/>
        <v>406363.63636363635</v>
      </c>
      <c r="I50" s="254">
        <f t="shared" si="3"/>
        <v>40636.36363636364</v>
      </c>
      <c r="J50" s="254">
        <f t="shared" si="4"/>
        <v>0</v>
      </c>
      <c r="K50" s="254">
        <f t="shared" si="5"/>
        <v>0</v>
      </c>
      <c r="L50" s="255">
        <v>447000</v>
      </c>
    </row>
    <row r="51" spans="1:12" ht="18" customHeight="1" x14ac:dyDescent="0.3">
      <c r="A51" s="251">
        <v>49</v>
      </c>
      <c r="B51" s="257">
        <v>45848</v>
      </c>
      <c r="C51" s="252" t="s">
        <v>2548</v>
      </c>
      <c r="D51" s="252" t="s">
        <v>3056</v>
      </c>
      <c r="E51" s="252" t="s">
        <v>2534</v>
      </c>
      <c r="F51" s="285">
        <v>1</v>
      </c>
      <c r="G51" s="253">
        <f t="shared" si="0"/>
        <v>872545.45454545447</v>
      </c>
      <c r="H51" s="254">
        <f t="shared" si="1"/>
        <v>872545.45454545447</v>
      </c>
      <c r="I51" s="254">
        <f t="shared" si="3"/>
        <v>87254.545454545456</v>
      </c>
      <c r="J51" s="254">
        <f t="shared" si="4"/>
        <v>0</v>
      </c>
      <c r="K51" s="254">
        <f t="shared" si="5"/>
        <v>0</v>
      </c>
      <c r="L51" s="255">
        <v>959800</v>
      </c>
    </row>
    <row r="52" spans="1:12" ht="18" customHeight="1" x14ac:dyDescent="0.3">
      <c r="A52" s="251">
        <v>50</v>
      </c>
      <c r="B52" s="257">
        <v>45867</v>
      </c>
      <c r="C52" s="252" t="s">
        <v>3054</v>
      </c>
      <c r="D52" s="252" t="s">
        <v>3055</v>
      </c>
      <c r="E52" s="252" t="s">
        <v>2534</v>
      </c>
      <c r="F52" s="285">
        <v>1</v>
      </c>
      <c r="G52" s="253">
        <f t="shared" si="0"/>
        <v>135000</v>
      </c>
      <c r="H52" s="254">
        <f t="shared" si="1"/>
        <v>135000</v>
      </c>
      <c r="I52" s="254">
        <f t="shared" si="3"/>
        <v>13500</v>
      </c>
      <c r="J52" s="254">
        <f t="shared" si="4"/>
        <v>0</v>
      </c>
      <c r="K52" s="254"/>
      <c r="L52" s="255">
        <v>148500</v>
      </c>
    </row>
    <row r="53" spans="1:12" ht="18" customHeight="1" x14ac:dyDescent="0.3">
      <c r="A53" s="251">
        <v>51</v>
      </c>
      <c r="B53" s="257">
        <v>45867</v>
      </c>
      <c r="C53" s="252" t="s">
        <v>2548</v>
      </c>
      <c r="D53" s="252" t="s">
        <v>3056</v>
      </c>
      <c r="E53" s="252" t="s">
        <v>2534</v>
      </c>
      <c r="F53" s="285">
        <v>1</v>
      </c>
      <c r="G53" s="253">
        <f t="shared" si="0"/>
        <v>2398545.4545454541</v>
      </c>
      <c r="H53" s="254">
        <f t="shared" si="1"/>
        <v>2398545.4545454541</v>
      </c>
      <c r="I53" s="254">
        <f t="shared" si="3"/>
        <v>239854.54545454541</v>
      </c>
      <c r="J53" s="254">
        <f t="shared" si="4"/>
        <v>0</v>
      </c>
      <c r="K53" s="254"/>
      <c r="L53" s="255">
        <v>2638400</v>
      </c>
    </row>
    <row r="54" spans="1:12" ht="18" customHeight="1" x14ac:dyDescent="0.3">
      <c r="A54" s="251">
        <v>52</v>
      </c>
      <c r="B54" s="257">
        <v>45867</v>
      </c>
      <c r="C54" s="252" t="s">
        <v>3057</v>
      </c>
      <c r="D54" s="252" t="s">
        <v>3058</v>
      </c>
      <c r="E54" s="252" t="s">
        <v>2534</v>
      </c>
      <c r="F54" s="285">
        <v>1</v>
      </c>
      <c r="G54" s="253">
        <f t="shared" si="0"/>
        <v>43636.363636363632</v>
      </c>
      <c r="H54" s="254">
        <f t="shared" si="1"/>
        <v>43636.363636363632</v>
      </c>
      <c r="I54" s="254">
        <f t="shared" si="3"/>
        <v>4363.6363636363631</v>
      </c>
      <c r="J54" s="254">
        <f t="shared" si="4"/>
        <v>0</v>
      </c>
      <c r="K54" s="254"/>
      <c r="L54" s="255">
        <v>48000</v>
      </c>
    </row>
    <row r="55" spans="1:12" ht="18" customHeight="1" x14ac:dyDescent="0.3">
      <c r="A55" s="251">
        <v>53</v>
      </c>
      <c r="B55" s="257">
        <v>45881</v>
      </c>
      <c r="C55" s="252" t="s">
        <v>2539</v>
      </c>
      <c r="D55" s="252" t="s">
        <v>2530</v>
      </c>
      <c r="E55" s="252" t="s">
        <v>2534</v>
      </c>
      <c r="F55" s="285">
        <v>1</v>
      </c>
      <c r="G55" s="253">
        <f t="shared" si="0"/>
        <v>486363.63636363635</v>
      </c>
      <c r="H55" s="254">
        <f t="shared" si="1"/>
        <v>486363.63636363635</v>
      </c>
      <c r="I55" s="254">
        <f t="shared" si="3"/>
        <v>48636.36363636364</v>
      </c>
      <c r="J55" s="254">
        <f t="shared" si="4"/>
        <v>0</v>
      </c>
      <c r="K55" s="254"/>
      <c r="L55" s="255">
        <v>535000</v>
      </c>
    </row>
    <row r="56" spans="1:12" ht="18" customHeight="1" x14ac:dyDescent="0.3">
      <c r="A56" s="251">
        <v>54</v>
      </c>
      <c r="B56" s="257">
        <v>45881</v>
      </c>
      <c r="C56" s="252" t="s">
        <v>2545</v>
      </c>
      <c r="D56" s="252" t="s">
        <v>2542</v>
      </c>
      <c r="E56" s="252" t="s">
        <v>2534</v>
      </c>
      <c r="F56" s="285">
        <v>1</v>
      </c>
      <c r="G56" s="253">
        <f t="shared" si="0"/>
        <v>218727.27272727271</v>
      </c>
      <c r="H56" s="254">
        <f t="shared" si="1"/>
        <v>218727.27272727271</v>
      </c>
      <c r="I56" s="254">
        <f t="shared" si="3"/>
        <v>21872.727272727272</v>
      </c>
      <c r="J56" s="254">
        <f t="shared" si="4"/>
        <v>0</v>
      </c>
      <c r="K56" s="254"/>
      <c r="L56" s="255">
        <v>240600</v>
      </c>
    </row>
    <row r="57" spans="1:12" ht="18" customHeight="1" x14ac:dyDescent="0.3">
      <c r="A57" s="251">
        <v>55</v>
      </c>
      <c r="B57" s="257">
        <v>45881</v>
      </c>
      <c r="C57" s="252" t="s">
        <v>2541</v>
      </c>
      <c r="D57" s="252" t="s">
        <v>2542</v>
      </c>
      <c r="E57" s="252" t="s">
        <v>2534</v>
      </c>
      <c r="F57" s="285">
        <v>1</v>
      </c>
      <c r="G57" s="253">
        <f t="shared" si="0"/>
        <v>22454.545454545452</v>
      </c>
      <c r="H57" s="254">
        <f t="shared" si="1"/>
        <v>22454.545454545452</v>
      </c>
      <c r="I57" s="254">
        <f t="shared" si="3"/>
        <v>2245.4545454545455</v>
      </c>
      <c r="J57" s="254">
        <f t="shared" si="4"/>
        <v>0</v>
      </c>
      <c r="K57" s="254"/>
      <c r="L57" s="255">
        <v>24700</v>
      </c>
    </row>
    <row r="58" spans="1:12" ht="18" customHeight="1" x14ac:dyDescent="0.3">
      <c r="A58" s="251">
        <v>56</v>
      </c>
      <c r="B58" s="257">
        <v>45881</v>
      </c>
      <c r="C58" s="252" t="s">
        <v>2540</v>
      </c>
      <c r="D58" s="252" t="s">
        <v>2530</v>
      </c>
      <c r="E58" s="252" t="s">
        <v>2534</v>
      </c>
      <c r="F58" s="285">
        <v>1</v>
      </c>
      <c r="G58" s="253">
        <f t="shared" si="0"/>
        <v>116363.63636363635</v>
      </c>
      <c r="H58" s="254">
        <f t="shared" si="1"/>
        <v>116363.63636363635</v>
      </c>
      <c r="I58" s="254">
        <f t="shared" si="3"/>
        <v>11636.363636363636</v>
      </c>
      <c r="J58" s="254">
        <f t="shared" si="4"/>
        <v>0</v>
      </c>
      <c r="K58" s="254"/>
      <c r="L58" s="255">
        <v>128000</v>
      </c>
    </row>
    <row r="59" spans="1:12" ht="18" customHeight="1" x14ac:dyDescent="0.3">
      <c r="A59" s="251">
        <v>57</v>
      </c>
      <c r="B59" s="257">
        <v>45881</v>
      </c>
      <c r="C59" s="252" t="s">
        <v>2535</v>
      </c>
      <c r="D59" s="252" t="s">
        <v>2536</v>
      </c>
      <c r="E59" s="252" t="s">
        <v>2534</v>
      </c>
      <c r="F59" s="285">
        <v>1</v>
      </c>
      <c r="G59" s="253">
        <f t="shared" si="0"/>
        <v>61818.181818181816</v>
      </c>
      <c r="H59" s="254">
        <f t="shared" si="1"/>
        <v>61818.181818181816</v>
      </c>
      <c r="I59" s="254">
        <f t="shared" si="3"/>
        <v>6181.818181818182</v>
      </c>
      <c r="J59" s="254">
        <f t="shared" si="4"/>
        <v>0</v>
      </c>
      <c r="K59" s="254">
        <f>J59*10%</f>
        <v>0</v>
      </c>
      <c r="L59" s="255">
        <v>68000</v>
      </c>
    </row>
    <row r="60" spans="1:12" ht="18" customHeight="1" x14ac:dyDescent="0.3">
      <c r="A60" s="251">
        <v>58</v>
      </c>
      <c r="B60" s="257">
        <v>45881</v>
      </c>
      <c r="C60" s="252" t="s">
        <v>2529</v>
      </c>
      <c r="D60" s="252" t="s">
        <v>2530</v>
      </c>
      <c r="E60" s="252" t="s">
        <v>2534</v>
      </c>
      <c r="F60" s="285">
        <v>1</v>
      </c>
      <c r="G60" s="253">
        <f t="shared" si="0"/>
        <v>777272.72727272718</v>
      </c>
      <c r="H60" s="254">
        <f t="shared" si="1"/>
        <v>777272.72727272718</v>
      </c>
      <c r="I60" s="254">
        <f t="shared" si="3"/>
        <v>77727.272727272721</v>
      </c>
      <c r="J60" s="254">
        <f t="shared" si="4"/>
        <v>0</v>
      </c>
      <c r="K60" s="254"/>
      <c r="L60" s="255">
        <v>855000</v>
      </c>
    </row>
    <row r="61" spans="1:12" ht="18" customHeight="1" x14ac:dyDescent="0.3">
      <c r="A61" s="251">
        <v>60</v>
      </c>
      <c r="B61" s="257"/>
      <c r="C61" s="252"/>
      <c r="D61" s="252"/>
      <c r="E61" s="252" t="s">
        <v>2534</v>
      </c>
      <c r="F61" s="253">
        <v>1</v>
      </c>
      <c r="G61" s="253">
        <f t="shared" si="0"/>
        <v>0</v>
      </c>
      <c r="H61" s="254">
        <f t="shared" si="1"/>
        <v>0</v>
      </c>
      <c r="I61" s="254">
        <f t="shared" si="3"/>
        <v>0</v>
      </c>
      <c r="J61" s="254">
        <f t="shared" si="4"/>
        <v>0</v>
      </c>
      <c r="K61" s="254"/>
      <c r="L61" s="255"/>
    </row>
    <row r="62" spans="1:12" ht="18" customHeight="1" x14ac:dyDescent="0.3">
      <c r="A62" s="251">
        <v>61</v>
      </c>
      <c r="B62" s="257"/>
      <c r="C62" s="252"/>
      <c r="D62" s="252"/>
      <c r="E62" s="252" t="s">
        <v>2534</v>
      </c>
      <c r="F62" s="253">
        <v>1</v>
      </c>
      <c r="G62" s="253">
        <f t="shared" si="0"/>
        <v>0</v>
      </c>
      <c r="H62" s="254">
        <f t="shared" si="1"/>
        <v>0</v>
      </c>
      <c r="I62" s="254">
        <f t="shared" si="3"/>
        <v>0</v>
      </c>
      <c r="J62" s="254">
        <f t="shared" si="4"/>
        <v>0</v>
      </c>
      <c r="K62" s="254"/>
      <c r="L62" s="255"/>
    </row>
    <row r="63" spans="1:12" ht="18" customHeight="1" x14ac:dyDescent="0.3">
      <c r="A63" s="251">
        <v>62</v>
      </c>
      <c r="B63" s="257"/>
      <c r="C63" s="252"/>
      <c r="D63" s="252"/>
      <c r="E63" s="252" t="s">
        <v>2534</v>
      </c>
      <c r="F63" s="253">
        <v>1</v>
      </c>
      <c r="G63" s="253">
        <f t="shared" si="0"/>
        <v>0</v>
      </c>
      <c r="H63" s="254">
        <f t="shared" si="1"/>
        <v>0</v>
      </c>
      <c r="I63" s="254">
        <f t="shared" si="3"/>
        <v>0</v>
      </c>
      <c r="J63" s="254">
        <f t="shared" si="4"/>
        <v>0</v>
      </c>
      <c r="K63" s="254"/>
      <c r="L63" s="255"/>
    </row>
    <row r="64" spans="1:12" ht="18" customHeight="1" x14ac:dyDescent="0.3">
      <c r="A64" s="251">
        <v>63</v>
      </c>
      <c r="B64" s="257"/>
      <c r="C64" s="252"/>
      <c r="D64" s="252"/>
      <c r="E64" s="252" t="s">
        <v>2534</v>
      </c>
      <c r="F64" s="253">
        <v>1</v>
      </c>
      <c r="G64" s="253">
        <f t="shared" si="0"/>
        <v>0</v>
      </c>
      <c r="H64" s="254">
        <f t="shared" si="1"/>
        <v>0</v>
      </c>
      <c r="I64" s="254">
        <f t="shared" si="3"/>
        <v>0</v>
      </c>
      <c r="J64" s="254">
        <f t="shared" si="4"/>
        <v>0</v>
      </c>
      <c r="K64" s="254">
        <f>J64*10%</f>
        <v>0</v>
      </c>
      <c r="L64" s="255"/>
    </row>
    <row r="65" spans="1:12" ht="18" customHeight="1" x14ac:dyDescent="0.3">
      <c r="A65" s="251">
        <v>64</v>
      </c>
      <c r="B65" s="257"/>
      <c r="C65" s="252"/>
      <c r="D65" s="252"/>
      <c r="E65" s="252" t="s">
        <v>2534</v>
      </c>
      <c r="F65" s="253">
        <v>1</v>
      </c>
      <c r="G65" s="253">
        <f t="shared" si="0"/>
        <v>0</v>
      </c>
      <c r="H65" s="254">
        <f t="shared" si="1"/>
        <v>0</v>
      </c>
      <c r="I65" s="254">
        <f t="shared" si="3"/>
        <v>0</v>
      </c>
      <c r="J65" s="254">
        <f t="shared" si="4"/>
        <v>0</v>
      </c>
      <c r="K65" s="254"/>
      <c r="L65" s="255"/>
    </row>
    <row r="66" spans="1:12" ht="18" customHeight="1" x14ac:dyDescent="0.3">
      <c r="A66" s="251">
        <v>65</v>
      </c>
      <c r="B66" s="257"/>
      <c r="C66" s="252"/>
      <c r="D66" s="252"/>
      <c r="E66" s="252" t="s">
        <v>2534</v>
      </c>
      <c r="F66" s="253">
        <v>1</v>
      </c>
      <c r="G66" s="253">
        <f t="shared" si="0"/>
        <v>0</v>
      </c>
      <c r="H66" s="254">
        <f t="shared" si="1"/>
        <v>0</v>
      </c>
      <c r="I66" s="254">
        <f t="shared" si="3"/>
        <v>0</v>
      </c>
      <c r="J66" s="254">
        <f t="shared" si="4"/>
        <v>0</v>
      </c>
      <c r="K66" s="254"/>
      <c r="L66" s="255"/>
    </row>
    <row r="67" spans="1:12" ht="18" customHeight="1" x14ac:dyDescent="0.3">
      <c r="A67" s="251">
        <v>66</v>
      </c>
      <c r="B67" s="257"/>
      <c r="C67" s="252"/>
      <c r="D67" s="252"/>
      <c r="E67" s="252" t="s">
        <v>2534</v>
      </c>
      <c r="F67" s="253">
        <v>1</v>
      </c>
      <c r="G67" s="253">
        <f t="shared" si="0"/>
        <v>0</v>
      </c>
      <c r="H67" s="254">
        <f t="shared" si="1"/>
        <v>0</v>
      </c>
      <c r="I67" s="254">
        <f t="shared" si="3"/>
        <v>0</v>
      </c>
      <c r="J67" s="254">
        <f t="shared" si="4"/>
        <v>0</v>
      </c>
      <c r="K67" s="254"/>
      <c r="L67" s="255"/>
    </row>
    <row r="68" spans="1:12" ht="18" customHeight="1" x14ac:dyDescent="0.3">
      <c r="A68" s="251">
        <v>67</v>
      </c>
      <c r="B68" s="257"/>
      <c r="C68" s="252"/>
      <c r="D68" s="252"/>
      <c r="E68" s="252" t="s">
        <v>2534</v>
      </c>
      <c r="F68" s="253">
        <v>1</v>
      </c>
      <c r="G68" s="253">
        <f t="shared" ref="G68:G131" si="6">L68/F68/1.1</f>
        <v>0</v>
      </c>
      <c r="H68" s="254">
        <f t="shared" ref="H68:H131" si="7">F68*G68</f>
        <v>0</v>
      </c>
      <c r="I68" s="254">
        <f t="shared" si="3"/>
        <v>0</v>
      </c>
      <c r="J68" s="254">
        <f t="shared" si="4"/>
        <v>0</v>
      </c>
      <c r="K68" s="254"/>
      <c r="L68" s="255"/>
    </row>
    <row r="69" spans="1:12" ht="18" customHeight="1" x14ac:dyDescent="0.3">
      <c r="A69" s="251">
        <v>68</v>
      </c>
      <c r="B69" s="257"/>
      <c r="C69" s="252"/>
      <c r="D69" s="252"/>
      <c r="E69" s="252" t="s">
        <v>2534</v>
      </c>
      <c r="F69" s="253">
        <v>1</v>
      </c>
      <c r="G69" s="253">
        <f t="shared" si="6"/>
        <v>0</v>
      </c>
      <c r="H69" s="254">
        <f t="shared" si="7"/>
        <v>0</v>
      </c>
      <c r="I69" s="254">
        <f t="shared" ref="I69:I132" si="8">H69*10%</f>
        <v>0</v>
      </c>
      <c r="J69" s="254">
        <f t="shared" ref="J69:J132" si="9">IF(E69="매출",F69*G69,0)</f>
        <v>0</v>
      </c>
      <c r="K69" s="254"/>
      <c r="L69" s="255"/>
    </row>
    <row r="70" spans="1:12" ht="18" customHeight="1" x14ac:dyDescent="0.3">
      <c r="A70" s="251">
        <v>69</v>
      </c>
      <c r="B70" s="257"/>
      <c r="C70" s="252"/>
      <c r="D70" s="252"/>
      <c r="E70" s="252" t="s">
        <v>2534</v>
      </c>
      <c r="F70" s="253">
        <v>1</v>
      </c>
      <c r="G70" s="253">
        <f t="shared" si="6"/>
        <v>0</v>
      </c>
      <c r="H70" s="254">
        <f t="shared" si="7"/>
        <v>0</v>
      </c>
      <c r="I70" s="254">
        <f t="shared" si="8"/>
        <v>0</v>
      </c>
      <c r="J70" s="254">
        <f t="shared" si="9"/>
        <v>0</v>
      </c>
      <c r="K70" s="254">
        <f>J70*10%</f>
        <v>0</v>
      </c>
      <c r="L70" s="255"/>
    </row>
    <row r="71" spans="1:12" ht="18" customHeight="1" x14ac:dyDescent="0.3">
      <c r="A71" s="251">
        <v>70</v>
      </c>
      <c r="B71" s="257"/>
      <c r="C71" s="252"/>
      <c r="D71" s="252"/>
      <c r="E71" s="252" t="s">
        <v>2534</v>
      </c>
      <c r="F71" s="253">
        <v>1</v>
      </c>
      <c r="G71" s="253">
        <f t="shared" si="6"/>
        <v>0</v>
      </c>
      <c r="H71" s="254">
        <f t="shared" si="7"/>
        <v>0</v>
      </c>
      <c r="I71" s="254">
        <f t="shared" si="8"/>
        <v>0</v>
      </c>
      <c r="J71" s="254">
        <f t="shared" si="9"/>
        <v>0</v>
      </c>
      <c r="K71" s="254"/>
      <c r="L71" s="255"/>
    </row>
    <row r="72" spans="1:12" ht="18" customHeight="1" x14ac:dyDescent="0.3">
      <c r="A72" s="251">
        <v>71</v>
      </c>
      <c r="B72" s="257"/>
      <c r="C72" s="252"/>
      <c r="D72" s="252"/>
      <c r="E72" s="252" t="s">
        <v>2534</v>
      </c>
      <c r="F72" s="253">
        <v>1</v>
      </c>
      <c r="G72" s="253">
        <f t="shared" si="6"/>
        <v>0</v>
      </c>
      <c r="H72" s="254">
        <f t="shared" si="7"/>
        <v>0</v>
      </c>
      <c r="I72" s="254">
        <f t="shared" si="8"/>
        <v>0</v>
      </c>
      <c r="J72" s="254">
        <f t="shared" si="9"/>
        <v>0</v>
      </c>
      <c r="K72" s="254"/>
      <c r="L72" s="255"/>
    </row>
    <row r="73" spans="1:12" ht="18" customHeight="1" x14ac:dyDescent="0.3">
      <c r="A73" s="251">
        <v>72</v>
      </c>
      <c r="B73" s="257"/>
      <c r="C73" s="252"/>
      <c r="D73" s="252"/>
      <c r="E73" s="252" t="s">
        <v>2534</v>
      </c>
      <c r="F73" s="253">
        <v>1</v>
      </c>
      <c r="G73" s="253">
        <f t="shared" si="6"/>
        <v>0</v>
      </c>
      <c r="H73" s="254">
        <f t="shared" si="7"/>
        <v>0</v>
      </c>
      <c r="I73" s="254">
        <f t="shared" si="8"/>
        <v>0</v>
      </c>
      <c r="J73" s="254">
        <f t="shared" si="9"/>
        <v>0</v>
      </c>
      <c r="K73" s="254"/>
      <c r="L73" s="255"/>
    </row>
    <row r="74" spans="1:12" ht="18" customHeight="1" x14ac:dyDescent="0.3">
      <c r="A74" s="251">
        <v>73</v>
      </c>
      <c r="B74" s="257"/>
      <c r="C74" s="252"/>
      <c r="D74" s="252"/>
      <c r="E74" s="252" t="s">
        <v>2534</v>
      </c>
      <c r="F74" s="253">
        <v>1</v>
      </c>
      <c r="G74" s="253">
        <f t="shared" si="6"/>
        <v>0</v>
      </c>
      <c r="H74" s="254">
        <f t="shared" si="7"/>
        <v>0</v>
      </c>
      <c r="I74" s="254">
        <f t="shared" si="8"/>
        <v>0</v>
      </c>
      <c r="J74" s="254">
        <f t="shared" si="9"/>
        <v>0</v>
      </c>
      <c r="K74" s="254"/>
      <c r="L74" s="255"/>
    </row>
    <row r="75" spans="1:12" ht="18" customHeight="1" x14ac:dyDescent="0.3">
      <c r="A75" s="251">
        <v>74</v>
      </c>
      <c r="B75" s="257"/>
      <c r="C75" s="252"/>
      <c r="D75" s="252"/>
      <c r="E75" s="252" t="s">
        <v>2534</v>
      </c>
      <c r="F75" s="253">
        <v>1</v>
      </c>
      <c r="G75" s="253">
        <f t="shared" si="6"/>
        <v>0</v>
      </c>
      <c r="H75" s="254">
        <f t="shared" si="7"/>
        <v>0</v>
      </c>
      <c r="I75" s="254">
        <f t="shared" si="8"/>
        <v>0</v>
      </c>
      <c r="J75" s="254">
        <f t="shared" si="9"/>
        <v>0</v>
      </c>
      <c r="K75" s="254"/>
      <c r="L75" s="255"/>
    </row>
    <row r="76" spans="1:12" ht="18" customHeight="1" x14ac:dyDescent="0.3">
      <c r="A76" s="251">
        <v>75</v>
      </c>
      <c r="B76" s="257"/>
      <c r="C76" s="252"/>
      <c r="D76" s="252"/>
      <c r="E76" s="252" t="s">
        <v>2534</v>
      </c>
      <c r="F76" s="253">
        <v>1</v>
      </c>
      <c r="G76" s="253">
        <f t="shared" si="6"/>
        <v>0</v>
      </c>
      <c r="H76" s="254">
        <f t="shared" si="7"/>
        <v>0</v>
      </c>
      <c r="I76" s="254">
        <f t="shared" si="8"/>
        <v>0</v>
      </c>
      <c r="J76" s="254">
        <f t="shared" si="9"/>
        <v>0</v>
      </c>
      <c r="K76" s="254">
        <f>J76*10%</f>
        <v>0</v>
      </c>
      <c r="L76" s="255"/>
    </row>
    <row r="77" spans="1:12" ht="18" customHeight="1" x14ac:dyDescent="0.3">
      <c r="A77" s="251">
        <v>76</v>
      </c>
      <c r="B77" s="257"/>
      <c r="C77" s="252"/>
      <c r="D77" s="252"/>
      <c r="E77" s="252" t="s">
        <v>2534</v>
      </c>
      <c r="F77" s="253">
        <v>1</v>
      </c>
      <c r="G77" s="253">
        <f t="shared" si="6"/>
        <v>0</v>
      </c>
      <c r="H77" s="254">
        <f t="shared" si="7"/>
        <v>0</v>
      </c>
      <c r="I77" s="254">
        <f t="shared" si="8"/>
        <v>0</v>
      </c>
      <c r="J77" s="254">
        <f t="shared" si="9"/>
        <v>0</v>
      </c>
      <c r="K77" s="254"/>
      <c r="L77" s="255"/>
    </row>
    <row r="78" spans="1:12" ht="18" customHeight="1" x14ac:dyDescent="0.3">
      <c r="A78" s="251">
        <v>77</v>
      </c>
      <c r="B78" s="257"/>
      <c r="C78" s="252"/>
      <c r="D78" s="252"/>
      <c r="E78" s="252" t="s">
        <v>2534</v>
      </c>
      <c r="F78" s="253">
        <v>1</v>
      </c>
      <c r="G78" s="253">
        <f t="shared" si="6"/>
        <v>0</v>
      </c>
      <c r="H78" s="254">
        <f t="shared" si="7"/>
        <v>0</v>
      </c>
      <c r="I78" s="254">
        <f t="shared" si="8"/>
        <v>0</v>
      </c>
      <c r="J78" s="254">
        <f t="shared" si="9"/>
        <v>0</v>
      </c>
      <c r="K78" s="254"/>
      <c r="L78" s="255"/>
    </row>
    <row r="79" spans="1:12" ht="18" customHeight="1" x14ac:dyDescent="0.3">
      <c r="A79" s="251">
        <v>78</v>
      </c>
      <c r="B79" s="257"/>
      <c r="C79" s="252"/>
      <c r="D79" s="252"/>
      <c r="E79" s="252" t="s">
        <v>2534</v>
      </c>
      <c r="F79" s="253">
        <v>1</v>
      </c>
      <c r="G79" s="253">
        <f t="shared" si="6"/>
        <v>0</v>
      </c>
      <c r="H79" s="254">
        <f t="shared" si="7"/>
        <v>0</v>
      </c>
      <c r="I79" s="254">
        <f t="shared" si="8"/>
        <v>0</v>
      </c>
      <c r="J79" s="254">
        <f t="shared" si="9"/>
        <v>0</v>
      </c>
      <c r="K79" s="254"/>
      <c r="L79" s="255"/>
    </row>
    <row r="80" spans="1:12" ht="18" customHeight="1" x14ac:dyDescent="0.3">
      <c r="A80" s="251">
        <v>79</v>
      </c>
      <c r="B80" s="257"/>
      <c r="C80" s="252"/>
      <c r="D80" s="252"/>
      <c r="E80" s="252" t="s">
        <v>2534</v>
      </c>
      <c r="F80" s="253">
        <v>1</v>
      </c>
      <c r="G80" s="253">
        <f t="shared" si="6"/>
        <v>0</v>
      </c>
      <c r="H80" s="254">
        <f t="shared" si="7"/>
        <v>0</v>
      </c>
      <c r="I80" s="254">
        <f t="shared" si="8"/>
        <v>0</v>
      </c>
      <c r="J80" s="254">
        <f t="shared" si="9"/>
        <v>0</v>
      </c>
      <c r="K80" s="254"/>
      <c r="L80" s="255"/>
    </row>
    <row r="81" spans="1:12" ht="18" customHeight="1" x14ac:dyDescent="0.3">
      <c r="A81" s="251">
        <v>80</v>
      </c>
      <c r="B81" s="257"/>
      <c r="C81" s="252"/>
      <c r="D81" s="252"/>
      <c r="E81" s="252" t="s">
        <v>2534</v>
      </c>
      <c r="F81" s="253">
        <v>1</v>
      </c>
      <c r="G81" s="253">
        <f t="shared" si="6"/>
        <v>0</v>
      </c>
      <c r="H81" s="254">
        <f t="shared" si="7"/>
        <v>0</v>
      </c>
      <c r="I81" s="254">
        <f t="shared" si="8"/>
        <v>0</v>
      </c>
      <c r="J81" s="254">
        <f t="shared" si="9"/>
        <v>0</v>
      </c>
      <c r="K81" s="254"/>
      <c r="L81" s="255"/>
    </row>
    <row r="82" spans="1:12" ht="18" customHeight="1" x14ac:dyDescent="0.3">
      <c r="A82" s="251">
        <v>81</v>
      </c>
      <c r="B82" s="257"/>
      <c r="C82" s="252"/>
      <c r="D82" s="252"/>
      <c r="E82" s="252" t="s">
        <v>2534</v>
      </c>
      <c r="F82" s="253">
        <v>1</v>
      </c>
      <c r="G82" s="253">
        <f t="shared" si="6"/>
        <v>0</v>
      </c>
      <c r="H82" s="254">
        <f t="shared" si="7"/>
        <v>0</v>
      </c>
      <c r="I82" s="254">
        <f t="shared" si="8"/>
        <v>0</v>
      </c>
      <c r="J82" s="254">
        <f t="shared" si="9"/>
        <v>0</v>
      </c>
      <c r="K82" s="254">
        <f>J82*10%</f>
        <v>0</v>
      </c>
      <c r="L82" s="255"/>
    </row>
    <row r="83" spans="1:12" ht="18" customHeight="1" x14ac:dyDescent="0.3">
      <c r="A83" s="251"/>
      <c r="B83" s="257"/>
      <c r="C83" s="252"/>
      <c r="D83" s="252"/>
      <c r="E83" s="252" t="s">
        <v>2534</v>
      </c>
      <c r="F83" s="253">
        <v>1</v>
      </c>
      <c r="G83" s="253">
        <f t="shared" si="6"/>
        <v>0</v>
      </c>
      <c r="H83" s="254">
        <f t="shared" si="7"/>
        <v>0</v>
      </c>
      <c r="I83" s="254">
        <f t="shared" si="8"/>
        <v>0</v>
      </c>
      <c r="J83" s="254">
        <f t="shared" si="9"/>
        <v>0</v>
      </c>
      <c r="K83" s="254"/>
      <c r="L83" s="255"/>
    </row>
    <row r="84" spans="1:12" ht="18" customHeight="1" x14ac:dyDescent="0.3">
      <c r="A84" s="251"/>
      <c r="B84" s="257"/>
      <c r="C84" s="252"/>
      <c r="D84" s="252"/>
      <c r="E84" s="252" t="s">
        <v>2534</v>
      </c>
      <c r="F84" s="253">
        <v>1</v>
      </c>
      <c r="G84" s="253">
        <f t="shared" si="6"/>
        <v>0</v>
      </c>
      <c r="H84" s="254">
        <f t="shared" si="7"/>
        <v>0</v>
      </c>
      <c r="I84" s="254">
        <f t="shared" si="8"/>
        <v>0</v>
      </c>
      <c r="J84" s="254">
        <f t="shared" si="9"/>
        <v>0</v>
      </c>
      <c r="K84" s="254"/>
      <c r="L84" s="255"/>
    </row>
    <row r="85" spans="1:12" ht="18" customHeight="1" x14ac:dyDescent="0.3">
      <c r="A85" s="251"/>
      <c r="B85" s="257"/>
      <c r="C85" s="252"/>
      <c r="D85" s="252"/>
      <c r="E85" s="252" t="s">
        <v>2534</v>
      </c>
      <c r="F85" s="253">
        <v>1</v>
      </c>
      <c r="G85" s="253">
        <f t="shared" si="6"/>
        <v>0</v>
      </c>
      <c r="H85" s="254">
        <f t="shared" si="7"/>
        <v>0</v>
      </c>
      <c r="I85" s="254">
        <f t="shared" si="8"/>
        <v>0</v>
      </c>
      <c r="J85" s="254">
        <f t="shared" si="9"/>
        <v>0</v>
      </c>
      <c r="K85" s="254"/>
      <c r="L85" s="255"/>
    </row>
    <row r="86" spans="1:12" ht="18" customHeight="1" x14ac:dyDescent="0.3">
      <c r="A86" s="251"/>
      <c r="B86" s="257"/>
      <c r="C86" s="252"/>
      <c r="D86" s="252"/>
      <c r="E86" s="252" t="s">
        <v>2534</v>
      </c>
      <c r="F86" s="253">
        <v>1</v>
      </c>
      <c r="G86" s="253">
        <f t="shared" si="6"/>
        <v>0</v>
      </c>
      <c r="H86" s="254">
        <f t="shared" si="7"/>
        <v>0</v>
      </c>
      <c r="I86" s="254">
        <f t="shared" si="8"/>
        <v>0</v>
      </c>
      <c r="J86" s="254">
        <f t="shared" si="9"/>
        <v>0</v>
      </c>
      <c r="K86" s="254"/>
      <c r="L86" s="255"/>
    </row>
    <row r="87" spans="1:12" ht="18" customHeight="1" x14ac:dyDescent="0.3">
      <c r="A87" s="251"/>
      <c r="B87" s="257"/>
      <c r="C87" s="252"/>
      <c r="D87" s="252"/>
      <c r="E87" s="252" t="s">
        <v>2534</v>
      </c>
      <c r="F87" s="253">
        <v>1</v>
      </c>
      <c r="G87" s="253">
        <f t="shared" si="6"/>
        <v>0</v>
      </c>
      <c r="H87" s="254">
        <f t="shared" si="7"/>
        <v>0</v>
      </c>
      <c r="I87" s="254">
        <f t="shared" si="8"/>
        <v>0</v>
      </c>
      <c r="J87" s="254">
        <f t="shared" si="9"/>
        <v>0</v>
      </c>
      <c r="K87" s="254"/>
      <c r="L87" s="255"/>
    </row>
    <row r="88" spans="1:12" ht="18" customHeight="1" x14ac:dyDescent="0.3">
      <c r="A88" s="251"/>
      <c r="B88" s="257"/>
      <c r="C88" s="252"/>
      <c r="D88" s="252"/>
      <c r="E88" s="252" t="s">
        <v>2534</v>
      </c>
      <c r="F88" s="253">
        <v>1</v>
      </c>
      <c r="G88" s="253">
        <f t="shared" si="6"/>
        <v>0</v>
      </c>
      <c r="H88" s="254">
        <f t="shared" si="7"/>
        <v>0</v>
      </c>
      <c r="I88" s="254">
        <f t="shared" si="8"/>
        <v>0</v>
      </c>
      <c r="J88" s="254">
        <f t="shared" si="9"/>
        <v>0</v>
      </c>
      <c r="K88" s="254">
        <f>J88*10%</f>
        <v>0</v>
      </c>
      <c r="L88" s="255"/>
    </row>
    <row r="89" spans="1:12" ht="18" customHeight="1" x14ac:dyDescent="0.3">
      <c r="A89" s="251"/>
      <c r="B89" s="257"/>
      <c r="C89" s="252"/>
      <c r="D89" s="252"/>
      <c r="E89" s="252" t="s">
        <v>2531</v>
      </c>
      <c r="F89" s="253">
        <v>1</v>
      </c>
      <c r="G89" s="253">
        <f t="shared" si="6"/>
        <v>0</v>
      </c>
      <c r="H89" s="254">
        <f t="shared" si="7"/>
        <v>0</v>
      </c>
      <c r="I89" s="254">
        <f t="shared" si="8"/>
        <v>0</v>
      </c>
      <c r="J89" s="254">
        <f t="shared" si="9"/>
        <v>0</v>
      </c>
      <c r="K89" s="254"/>
      <c r="L89" s="255"/>
    </row>
    <row r="90" spans="1:12" ht="18" customHeight="1" x14ac:dyDescent="0.3">
      <c r="A90" s="251"/>
      <c r="B90" s="257"/>
      <c r="C90" s="252"/>
      <c r="D90" s="252"/>
      <c r="E90" s="252" t="s">
        <v>2534</v>
      </c>
      <c r="F90" s="253">
        <v>1</v>
      </c>
      <c r="G90" s="253">
        <f t="shared" si="6"/>
        <v>0</v>
      </c>
      <c r="H90" s="254">
        <f t="shared" si="7"/>
        <v>0</v>
      </c>
      <c r="I90" s="254">
        <f t="shared" si="8"/>
        <v>0</v>
      </c>
      <c r="J90" s="254">
        <f t="shared" si="9"/>
        <v>0</v>
      </c>
      <c r="K90" s="254"/>
      <c r="L90" s="255"/>
    </row>
    <row r="91" spans="1:12" ht="18" customHeight="1" x14ac:dyDescent="0.3">
      <c r="A91" s="251"/>
      <c r="B91" s="257"/>
      <c r="C91" s="252"/>
      <c r="D91" s="252"/>
      <c r="E91" s="252" t="s">
        <v>2534</v>
      </c>
      <c r="F91" s="253">
        <v>1</v>
      </c>
      <c r="G91" s="253">
        <f t="shared" si="6"/>
        <v>0</v>
      </c>
      <c r="H91" s="254">
        <f t="shared" si="7"/>
        <v>0</v>
      </c>
      <c r="I91" s="254">
        <f t="shared" si="8"/>
        <v>0</v>
      </c>
      <c r="J91" s="254">
        <f t="shared" si="9"/>
        <v>0</v>
      </c>
      <c r="K91" s="254"/>
      <c r="L91" s="255"/>
    </row>
    <row r="92" spans="1:12" ht="18" customHeight="1" x14ac:dyDescent="0.3">
      <c r="A92" s="251"/>
      <c r="B92" s="257"/>
      <c r="C92" s="252"/>
      <c r="D92" s="252"/>
      <c r="E92" s="252" t="s">
        <v>2534</v>
      </c>
      <c r="F92" s="253">
        <v>1</v>
      </c>
      <c r="G92" s="253">
        <f t="shared" si="6"/>
        <v>0</v>
      </c>
      <c r="H92" s="254">
        <f t="shared" si="7"/>
        <v>0</v>
      </c>
      <c r="I92" s="254">
        <f t="shared" si="8"/>
        <v>0</v>
      </c>
      <c r="J92" s="254">
        <f t="shared" si="9"/>
        <v>0</v>
      </c>
      <c r="K92" s="254"/>
      <c r="L92" s="255"/>
    </row>
    <row r="93" spans="1:12" ht="18" customHeight="1" x14ac:dyDescent="0.3">
      <c r="A93" s="251"/>
      <c r="B93" s="257"/>
      <c r="C93" s="252"/>
      <c r="D93" s="252"/>
      <c r="E93" s="252" t="s">
        <v>2534</v>
      </c>
      <c r="F93" s="253">
        <v>1</v>
      </c>
      <c r="G93" s="253">
        <f t="shared" si="6"/>
        <v>0</v>
      </c>
      <c r="H93" s="254">
        <f t="shared" si="7"/>
        <v>0</v>
      </c>
      <c r="I93" s="254">
        <f t="shared" si="8"/>
        <v>0</v>
      </c>
      <c r="J93" s="254">
        <f t="shared" si="9"/>
        <v>0</v>
      </c>
      <c r="K93" s="254"/>
      <c r="L93" s="255"/>
    </row>
    <row r="94" spans="1:12" ht="18" customHeight="1" x14ac:dyDescent="0.3">
      <c r="A94" s="251"/>
      <c r="B94" s="257"/>
      <c r="C94" s="252"/>
      <c r="D94" s="252"/>
      <c r="E94" s="252" t="s">
        <v>2534</v>
      </c>
      <c r="F94" s="253">
        <v>1</v>
      </c>
      <c r="G94" s="253">
        <f t="shared" si="6"/>
        <v>0</v>
      </c>
      <c r="H94" s="254">
        <f t="shared" si="7"/>
        <v>0</v>
      </c>
      <c r="I94" s="254">
        <f t="shared" si="8"/>
        <v>0</v>
      </c>
      <c r="J94" s="254">
        <f t="shared" si="9"/>
        <v>0</v>
      </c>
      <c r="K94" s="254">
        <f>J94*10%</f>
        <v>0</v>
      </c>
      <c r="L94" s="255"/>
    </row>
    <row r="95" spans="1:12" ht="18" customHeight="1" x14ac:dyDescent="0.3">
      <c r="A95" s="251"/>
      <c r="B95" s="257"/>
      <c r="C95" s="252"/>
      <c r="D95" s="252"/>
      <c r="E95" s="252" t="s">
        <v>2534</v>
      </c>
      <c r="F95" s="253">
        <v>1</v>
      </c>
      <c r="G95" s="253">
        <f t="shared" si="6"/>
        <v>0</v>
      </c>
      <c r="H95" s="254">
        <f t="shared" si="7"/>
        <v>0</v>
      </c>
      <c r="I95" s="254">
        <f t="shared" si="8"/>
        <v>0</v>
      </c>
      <c r="J95" s="254">
        <f t="shared" si="9"/>
        <v>0</v>
      </c>
      <c r="K95" s="254"/>
      <c r="L95" s="255"/>
    </row>
    <row r="96" spans="1:12" ht="18" customHeight="1" x14ac:dyDescent="0.3">
      <c r="A96" s="251"/>
      <c r="B96" s="257"/>
      <c r="C96" s="252"/>
      <c r="D96" s="252"/>
      <c r="E96" s="252" t="s">
        <v>2534</v>
      </c>
      <c r="F96" s="253">
        <v>1</v>
      </c>
      <c r="G96" s="253">
        <f t="shared" si="6"/>
        <v>0</v>
      </c>
      <c r="H96" s="254">
        <f t="shared" si="7"/>
        <v>0</v>
      </c>
      <c r="I96" s="254">
        <f t="shared" si="8"/>
        <v>0</v>
      </c>
      <c r="J96" s="254">
        <f t="shared" si="9"/>
        <v>0</v>
      </c>
      <c r="K96" s="254"/>
      <c r="L96" s="255"/>
    </row>
    <row r="97" spans="1:12" ht="18" customHeight="1" x14ac:dyDescent="0.3">
      <c r="A97" s="251"/>
      <c r="B97" s="257"/>
      <c r="C97" s="252"/>
      <c r="D97" s="252"/>
      <c r="E97" s="252" t="s">
        <v>2534</v>
      </c>
      <c r="F97" s="253">
        <v>1</v>
      </c>
      <c r="G97" s="253">
        <f t="shared" si="6"/>
        <v>0</v>
      </c>
      <c r="H97" s="254">
        <f t="shared" si="7"/>
        <v>0</v>
      </c>
      <c r="I97" s="254">
        <f t="shared" si="8"/>
        <v>0</v>
      </c>
      <c r="J97" s="254">
        <f t="shared" si="9"/>
        <v>0</v>
      </c>
      <c r="K97" s="254"/>
      <c r="L97" s="255"/>
    </row>
    <row r="98" spans="1:12" ht="18" customHeight="1" x14ac:dyDescent="0.3">
      <c r="A98" s="251"/>
      <c r="B98" s="257"/>
      <c r="C98" s="252"/>
      <c r="D98" s="252"/>
      <c r="E98" s="252" t="s">
        <v>2534</v>
      </c>
      <c r="F98" s="253">
        <v>1</v>
      </c>
      <c r="G98" s="253">
        <f t="shared" si="6"/>
        <v>0</v>
      </c>
      <c r="H98" s="254">
        <f t="shared" si="7"/>
        <v>0</v>
      </c>
      <c r="I98" s="254">
        <f t="shared" si="8"/>
        <v>0</v>
      </c>
      <c r="J98" s="254">
        <f t="shared" si="9"/>
        <v>0</v>
      </c>
      <c r="K98" s="254"/>
      <c r="L98" s="255"/>
    </row>
    <row r="99" spans="1:12" ht="18" customHeight="1" x14ac:dyDescent="0.3">
      <c r="A99" s="251"/>
      <c r="B99" s="257"/>
      <c r="C99" s="252"/>
      <c r="D99" s="252"/>
      <c r="E99" s="252" t="s">
        <v>2534</v>
      </c>
      <c r="F99" s="253">
        <v>1</v>
      </c>
      <c r="G99" s="253">
        <f t="shared" si="6"/>
        <v>0</v>
      </c>
      <c r="H99" s="254">
        <f t="shared" si="7"/>
        <v>0</v>
      </c>
      <c r="I99" s="254">
        <f t="shared" si="8"/>
        <v>0</v>
      </c>
      <c r="J99" s="254">
        <f t="shared" si="9"/>
        <v>0</v>
      </c>
      <c r="K99" s="254"/>
      <c r="L99" s="255"/>
    </row>
    <row r="100" spans="1:12" ht="18" customHeight="1" x14ac:dyDescent="0.3">
      <c r="A100" s="251"/>
      <c r="B100" s="257"/>
      <c r="C100" s="252"/>
      <c r="D100" s="252"/>
      <c r="E100" s="252" t="s">
        <v>2534</v>
      </c>
      <c r="F100" s="253">
        <v>1</v>
      </c>
      <c r="G100" s="253">
        <f t="shared" si="6"/>
        <v>0</v>
      </c>
      <c r="H100" s="254">
        <f t="shared" si="7"/>
        <v>0</v>
      </c>
      <c r="I100" s="254">
        <f t="shared" si="8"/>
        <v>0</v>
      </c>
      <c r="J100" s="254">
        <f t="shared" si="9"/>
        <v>0</v>
      </c>
      <c r="K100" s="254">
        <f>J100*10%</f>
        <v>0</v>
      </c>
      <c r="L100" s="255"/>
    </row>
    <row r="101" spans="1:12" ht="18" customHeight="1" x14ac:dyDescent="0.3">
      <c r="A101" s="251"/>
      <c r="B101" s="257"/>
      <c r="C101" s="252"/>
      <c r="D101" s="252"/>
      <c r="E101" s="252" t="s">
        <v>2534</v>
      </c>
      <c r="F101" s="253">
        <v>1</v>
      </c>
      <c r="G101" s="253">
        <f t="shared" si="6"/>
        <v>0</v>
      </c>
      <c r="H101" s="254">
        <f t="shared" si="7"/>
        <v>0</v>
      </c>
      <c r="I101" s="254">
        <f t="shared" si="8"/>
        <v>0</v>
      </c>
      <c r="J101" s="254">
        <f t="shared" si="9"/>
        <v>0</v>
      </c>
      <c r="K101" s="254"/>
      <c r="L101" s="255"/>
    </row>
    <row r="102" spans="1:12" ht="18" customHeight="1" x14ac:dyDescent="0.3">
      <c r="A102" s="251"/>
      <c r="B102" s="257"/>
      <c r="C102" s="252"/>
      <c r="D102" s="252"/>
      <c r="E102" s="252" t="s">
        <v>2534</v>
      </c>
      <c r="F102" s="253">
        <v>1</v>
      </c>
      <c r="G102" s="253">
        <f t="shared" si="6"/>
        <v>0</v>
      </c>
      <c r="H102" s="254">
        <f t="shared" si="7"/>
        <v>0</v>
      </c>
      <c r="I102" s="254">
        <f t="shared" si="8"/>
        <v>0</v>
      </c>
      <c r="J102" s="254">
        <f t="shared" si="9"/>
        <v>0</v>
      </c>
      <c r="K102" s="254"/>
      <c r="L102" s="255"/>
    </row>
    <row r="103" spans="1:12" ht="18" customHeight="1" x14ac:dyDescent="0.3">
      <c r="A103" s="251"/>
      <c r="B103" s="257"/>
      <c r="C103" s="252"/>
      <c r="D103" s="252"/>
      <c r="E103" s="252" t="s">
        <v>2534</v>
      </c>
      <c r="F103" s="253">
        <v>1</v>
      </c>
      <c r="G103" s="253">
        <f t="shared" si="6"/>
        <v>0</v>
      </c>
      <c r="H103" s="254">
        <f t="shared" si="7"/>
        <v>0</v>
      </c>
      <c r="I103" s="254">
        <f t="shared" si="8"/>
        <v>0</v>
      </c>
      <c r="J103" s="254">
        <f t="shared" si="9"/>
        <v>0</v>
      </c>
      <c r="K103" s="254"/>
      <c r="L103" s="255"/>
    </row>
    <row r="104" spans="1:12" ht="18" customHeight="1" x14ac:dyDescent="0.3">
      <c r="A104" s="251"/>
      <c r="B104" s="257"/>
      <c r="C104" s="252"/>
      <c r="D104" s="252"/>
      <c r="E104" s="252" t="s">
        <v>2534</v>
      </c>
      <c r="F104" s="253">
        <v>1</v>
      </c>
      <c r="G104" s="253">
        <f t="shared" si="6"/>
        <v>0</v>
      </c>
      <c r="H104" s="254">
        <f t="shared" si="7"/>
        <v>0</v>
      </c>
      <c r="I104" s="254">
        <f t="shared" si="8"/>
        <v>0</v>
      </c>
      <c r="J104" s="254">
        <f t="shared" si="9"/>
        <v>0</v>
      </c>
      <c r="K104" s="254"/>
      <c r="L104" s="255"/>
    </row>
    <row r="105" spans="1:12" ht="18" customHeight="1" x14ac:dyDescent="0.3">
      <c r="A105" s="251"/>
      <c r="B105" s="257"/>
      <c r="C105" s="252"/>
      <c r="D105" s="252"/>
      <c r="E105" s="252" t="s">
        <v>2534</v>
      </c>
      <c r="F105" s="253">
        <v>1</v>
      </c>
      <c r="G105" s="253">
        <f t="shared" si="6"/>
        <v>0</v>
      </c>
      <c r="H105" s="254">
        <f t="shared" si="7"/>
        <v>0</v>
      </c>
      <c r="I105" s="254">
        <f t="shared" si="8"/>
        <v>0</v>
      </c>
      <c r="J105" s="254">
        <f t="shared" si="9"/>
        <v>0</v>
      </c>
      <c r="K105" s="254"/>
      <c r="L105" s="255"/>
    </row>
    <row r="106" spans="1:12" ht="18" customHeight="1" x14ac:dyDescent="0.3">
      <c r="A106" s="251"/>
      <c r="B106" s="257"/>
      <c r="C106" s="252"/>
      <c r="D106" s="252"/>
      <c r="E106" s="252" t="s">
        <v>2534</v>
      </c>
      <c r="F106" s="253">
        <v>1</v>
      </c>
      <c r="G106" s="253">
        <f t="shared" si="6"/>
        <v>0</v>
      </c>
      <c r="H106" s="254">
        <f t="shared" si="7"/>
        <v>0</v>
      </c>
      <c r="I106" s="254">
        <f t="shared" si="8"/>
        <v>0</v>
      </c>
      <c r="J106" s="254">
        <f t="shared" si="9"/>
        <v>0</v>
      </c>
      <c r="K106" s="254">
        <f>J106*10%</f>
        <v>0</v>
      </c>
      <c r="L106" s="255"/>
    </row>
    <row r="107" spans="1:12" ht="18" customHeight="1" x14ac:dyDescent="0.3">
      <c r="A107" s="251"/>
      <c r="B107" s="257"/>
      <c r="C107" s="252"/>
      <c r="D107" s="252"/>
      <c r="E107" s="252" t="s">
        <v>2534</v>
      </c>
      <c r="F107" s="253">
        <v>1</v>
      </c>
      <c r="G107" s="253">
        <f t="shared" si="6"/>
        <v>0</v>
      </c>
      <c r="H107" s="254">
        <f t="shared" si="7"/>
        <v>0</v>
      </c>
      <c r="I107" s="254">
        <f t="shared" si="8"/>
        <v>0</v>
      </c>
      <c r="J107" s="254">
        <f t="shared" si="9"/>
        <v>0</v>
      </c>
      <c r="K107" s="254"/>
      <c r="L107" s="255"/>
    </row>
    <row r="108" spans="1:12" ht="18" customHeight="1" x14ac:dyDescent="0.3">
      <c r="A108" s="251"/>
      <c r="B108" s="257"/>
      <c r="C108" s="252"/>
      <c r="D108" s="252"/>
      <c r="E108" s="252" t="s">
        <v>2534</v>
      </c>
      <c r="F108" s="253">
        <v>1</v>
      </c>
      <c r="G108" s="253">
        <f t="shared" si="6"/>
        <v>0</v>
      </c>
      <c r="H108" s="254">
        <f t="shared" si="7"/>
        <v>0</v>
      </c>
      <c r="I108" s="254">
        <f t="shared" si="8"/>
        <v>0</v>
      </c>
      <c r="J108" s="254">
        <f t="shared" si="9"/>
        <v>0</v>
      </c>
      <c r="K108" s="254"/>
      <c r="L108" s="255"/>
    </row>
    <row r="109" spans="1:12" ht="18" customHeight="1" x14ac:dyDescent="0.3">
      <c r="A109" s="251"/>
      <c r="B109" s="257"/>
      <c r="C109" s="252"/>
      <c r="D109" s="252"/>
      <c r="E109" s="252" t="s">
        <v>2534</v>
      </c>
      <c r="F109" s="253">
        <v>1</v>
      </c>
      <c r="G109" s="253">
        <f t="shared" si="6"/>
        <v>0</v>
      </c>
      <c r="H109" s="254">
        <f t="shared" si="7"/>
        <v>0</v>
      </c>
      <c r="I109" s="254">
        <f t="shared" si="8"/>
        <v>0</v>
      </c>
      <c r="J109" s="254">
        <f t="shared" si="9"/>
        <v>0</v>
      </c>
      <c r="K109" s="254"/>
      <c r="L109" s="255"/>
    </row>
    <row r="110" spans="1:12" ht="18" customHeight="1" x14ac:dyDescent="0.3">
      <c r="A110" s="251"/>
      <c r="B110" s="257"/>
      <c r="C110" s="252"/>
      <c r="D110" s="252"/>
      <c r="E110" s="252" t="s">
        <v>2534</v>
      </c>
      <c r="F110" s="253">
        <v>1</v>
      </c>
      <c r="G110" s="253">
        <f t="shared" si="6"/>
        <v>0</v>
      </c>
      <c r="H110" s="254">
        <f t="shared" si="7"/>
        <v>0</v>
      </c>
      <c r="I110" s="254">
        <f t="shared" si="8"/>
        <v>0</v>
      </c>
      <c r="J110" s="254">
        <f t="shared" si="9"/>
        <v>0</v>
      </c>
      <c r="K110" s="254"/>
      <c r="L110" s="255"/>
    </row>
    <row r="111" spans="1:12" ht="18" customHeight="1" x14ac:dyDescent="0.3">
      <c r="A111" s="251"/>
      <c r="B111" s="257"/>
      <c r="C111" s="252"/>
      <c r="D111" s="252"/>
      <c r="E111" s="252" t="s">
        <v>2534</v>
      </c>
      <c r="F111" s="253">
        <v>1</v>
      </c>
      <c r="G111" s="253">
        <f t="shared" si="6"/>
        <v>0</v>
      </c>
      <c r="H111" s="254">
        <f t="shared" si="7"/>
        <v>0</v>
      </c>
      <c r="I111" s="254">
        <f t="shared" si="8"/>
        <v>0</v>
      </c>
      <c r="J111" s="254">
        <f t="shared" si="9"/>
        <v>0</v>
      </c>
      <c r="K111" s="254"/>
      <c r="L111" s="255"/>
    </row>
    <row r="112" spans="1:12" ht="18" customHeight="1" x14ac:dyDescent="0.3">
      <c r="A112" s="251"/>
      <c r="B112" s="257"/>
      <c r="C112" s="252"/>
      <c r="D112" s="252"/>
      <c r="E112" s="252" t="s">
        <v>2534</v>
      </c>
      <c r="F112" s="253">
        <v>1</v>
      </c>
      <c r="G112" s="253">
        <f t="shared" si="6"/>
        <v>0</v>
      </c>
      <c r="H112" s="254">
        <f t="shared" si="7"/>
        <v>0</v>
      </c>
      <c r="I112" s="254">
        <f t="shared" si="8"/>
        <v>0</v>
      </c>
      <c r="J112" s="254">
        <f t="shared" si="9"/>
        <v>0</v>
      </c>
      <c r="K112" s="254">
        <f>J112*10%</f>
        <v>0</v>
      </c>
      <c r="L112" s="255"/>
    </row>
    <row r="113" spans="1:12" ht="18" customHeight="1" x14ac:dyDescent="0.3">
      <c r="A113" s="251"/>
      <c r="B113" s="257"/>
      <c r="C113" s="252"/>
      <c r="D113" s="252"/>
      <c r="E113" s="252" t="s">
        <v>2534</v>
      </c>
      <c r="F113" s="253">
        <v>1</v>
      </c>
      <c r="G113" s="253">
        <f t="shared" si="6"/>
        <v>0</v>
      </c>
      <c r="H113" s="254">
        <f t="shared" si="7"/>
        <v>0</v>
      </c>
      <c r="I113" s="254">
        <f t="shared" si="8"/>
        <v>0</v>
      </c>
      <c r="J113" s="254">
        <f t="shared" si="9"/>
        <v>0</v>
      </c>
      <c r="K113" s="254"/>
      <c r="L113" s="255"/>
    </row>
    <row r="114" spans="1:12" ht="18" customHeight="1" x14ac:dyDescent="0.3">
      <c r="A114" s="251"/>
      <c r="B114" s="257"/>
      <c r="C114" s="252"/>
      <c r="D114" s="252"/>
      <c r="E114" s="252" t="s">
        <v>2534</v>
      </c>
      <c r="F114" s="253">
        <v>1</v>
      </c>
      <c r="G114" s="253">
        <f t="shared" si="6"/>
        <v>0</v>
      </c>
      <c r="H114" s="254">
        <f t="shared" si="7"/>
        <v>0</v>
      </c>
      <c r="I114" s="254">
        <f t="shared" si="8"/>
        <v>0</v>
      </c>
      <c r="J114" s="254">
        <f t="shared" si="9"/>
        <v>0</v>
      </c>
      <c r="K114" s="254"/>
      <c r="L114" s="255"/>
    </row>
    <row r="115" spans="1:12" ht="18" customHeight="1" x14ac:dyDescent="0.3">
      <c r="A115" s="251"/>
      <c r="B115" s="257"/>
      <c r="C115" s="252"/>
      <c r="D115" s="252"/>
      <c r="E115" s="252" t="s">
        <v>2534</v>
      </c>
      <c r="F115" s="253">
        <v>1</v>
      </c>
      <c r="G115" s="253">
        <f t="shared" si="6"/>
        <v>0</v>
      </c>
      <c r="H115" s="254">
        <f t="shared" si="7"/>
        <v>0</v>
      </c>
      <c r="I115" s="254">
        <f t="shared" si="8"/>
        <v>0</v>
      </c>
      <c r="J115" s="254">
        <f t="shared" si="9"/>
        <v>0</v>
      </c>
      <c r="K115" s="254"/>
      <c r="L115" s="255"/>
    </row>
    <row r="116" spans="1:12" ht="18" customHeight="1" x14ac:dyDescent="0.3">
      <c r="A116" s="251"/>
      <c r="B116" s="257"/>
      <c r="C116" s="252"/>
      <c r="D116" s="252"/>
      <c r="E116" s="252" t="s">
        <v>2534</v>
      </c>
      <c r="F116" s="253">
        <v>1</v>
      </c>
      <c r="G116" s="253">
        <f t="shared" si="6"/>
        <v>0</v>
      </c>
      <c r="H116" s="254">
        <f t="shared" si="7"/>
        <v>0</v>
      </c>
      <c r="I116" s="254">
        <f t="shared" si="8"/>
        <v>0</v>
      </c>
      <c r="J116" s="254">
        <f t="shared" si="9"/>
        <v>0</v>
      </c>
      <c r="K116" s="254"/>
      <c r="L116" s="255"/>
    </row>
    <row r="117" spans="1:12" ht="18" customHeight="1" x14ac:dyDescent="0.3">
      <c r="A117" s="251"/>
      <c r="B117" s="257"/>
      <c r="C117" s="252"/>
      <c r="D117" s="252"/>
      <c r="E117" s="252" t="s">
        <v>2534</v>
      </c>
      <c r="F117" s="253">
        <v>1</v>
      </c>
      <c r="G117" s="253">
        <f t="shared" si="6"/>
        <v>0</v>
      </c>
      <c r="H117" s="254">
        <f t="shared" si="7"/>
        <v>0</v>
      </c>
      <c r="I117" s="254">
        <f t="shared" si="8"/>
        <v>0</v>
      </c>
      <c r="J117" s="254">
        <f t="shared" si="9"/>
        <v>0</v>
      </c>
      <c r="K117" s="254"/>
      <c r="L117" s="255"/>
    </row>
    <row r="118" spans="1:12" ht="18" customHeight="1" x14ac:dyDescent="0.3">
      <c r="A118" s="251"/>
      <c r="B118" s="257"/>
      <c r="C118" s="252"/>
      <c r="D118" s="252"/>
      <c r="E118" s="252" t="s">
        <v>2534</v>
      </c>
      <c r="F118" s="253">
        <v>1</v>
      </c>
      <c r="G118" s="253">
        <f t="shared" si="6"/>
        <v>0</v>
      </c>
      <c r="H118" s="254">
        <f t="shared" si="7"/>
        <v>0</v>
      </c>
      <c r="I118" s="254">
        <f t="shared" si="8"/>
        <v>0</v>
      </c>
      <c r="J118" s="254">
        <f t="shared" si="9"/>
        <v>0</v>
      </c>
      <c r="K118" s="254">
        <f>J118*10%</f>
        <v>0</v>
      </c>
      <c r="L118" s="255"/>
    </row>
    <row r="119" spans="1:12" ht="18" customHeight="1" x14ac:dyDescent="0.3">
      <c r="A119" s="251"/>
      <c r="B119" s="257"/>
      <c r="C119" s="252"/>
      <c r="D119" s="252"/>
      <c r="E119" s="252" t="s">
        <v>2534</v>
      </c>
      <c r="F119" s="253">
        <v>1</v>
      </c>
      <c r="G119" s="253">
        <f t="shared" si="6"/>
        <v>0</v>
      </c>
      <c r="H119" s="254">
        <f t="shared" si="7"/>
        <v>0</v>
      </c>
      <c r="I119" s="254">
        <f t="shared" si="8"/>
        <v>0</v>
      </c>
      <c r="J119" s="254">
        <f t="shared" si="9"/>
        <v>0</v>
      </c>
      <c r="K119" s="254"/>
      <c r="L119" s="255"/>
    </row>
    <row r="120" spans="1:12" ht="18" customHeight="1" x14ac:dyDescent="0.3">
      <c r="A120" s="251"/>
      <c r="B120" s="257"/>
      <c r="C120" s="252"/>
      <c r="D120" s="252"/>
      <c r="E120" s="252" t="s">
        <v>2534</v>
      </c>
      <c r="F120" s="253">
        <v>1</v>
      </c>
      <c r="G120" s="253">
        <f t="shared" si="6"/>
        <v>0</v>
      </c>
      <c r="H120" s="254">
        <f t="shared" si="7"/>
        <v>0</v>
      </c>
      <c r="I120" s="254">
        <f t="shared" si="8"/>
        <v>0</v>
      </c>
      <c r="J120" s="254">
        <f t="shared" si="9"/>
        <v>0</v>
      </c>
      <c r="K120" s="254"/>
      <c r="L120" s="255"/>
    </row>
    <row r="121" spans="1:12" ht="18" customHeight="1" x14ac:dyDescent="0.3">
      <c r="A121" s="251"/>
      <c r="B121" s="257"/>
      <c r="C121" s="252"/>
      <c r="D121" s="252"/>
      <c r="E121" s="252" t="s">
        <v>2534</v>
      </c>
      <c r="F121" s="253">
        <v>1</v>
      </c>
      <c r="G121" s="253">
        <f t="shared" si="6"/>
        <v>0</v>
      </c>
      <c r="H121" s="254">
        <f t="shared" si="7"/>
        <v>0</v>
      </c>
      <c r="I121" s="254">
        <f t="shared" si="8"/>
        <v>0</v>
      </c>
      <c r="J121" s="254">
        <f t="shared" si="9"/>
        <v>0</v>
      </c>
      <c r="K121" s="254"/>
      <c r="L121" s="255"/>
    </row>
    <row r="122" spans="1:12" ht="18" customHeight="1" x14ac:dyDescent="0.3">
      <c r="A122" s="251"/>
      <c r="B122" s="257"/>
      <c r="C122" s="252"/>
      <c r="D122" s="252"/>
      <c r="E122" s="252" t="s">
        <v>2534</v>
      </c>
      <c r="F122" s="253">
        <v>1</v>
      </c>
      <c r="G122" s="253">
        <f t="shared" si="6"/>
        <v>0</v>
      </c>
      <c r="H122" s="254">
        <f t="shared" si="7"/>
        <v>0</v>
      </c>
      <c r="I122" s="254">
        <f t="shared" si="8"/>
        <v>0</v>
      </c>
      <c r="J122" s="254">
        <f t="shared" si="9"/>
        <v>0</v>
      </c>
      <c r="K122" s="254"/>
      <c r="L122" s="255"/>
    </row>
    <row r="123" spans="1:12" ht="18" customHeight="1" x14ac:dyDescent="0.3">
      <c r="A123" s="251"/>
      <c r="B123" s="257"/>
      <c r="C123" s="252"/>
      <c r="D123" s="252"/>
      <c r="E123" s="252" t="s">
        <v>2534</v>
      </c>
      <c r="F123" s="253">
        <v>1</v>
      </c>
      <c r="G123" s="253">
        <f t="shared" si="6"/>
        <v>0</v>
      </c>
      <c r="H123" s="254">
        <f t="shared" si="7"/>
        <v>0</v>
      </c>
      <c r="I123" s="254">
        <f t="shared" si="8"/>
        <v>0</v>
      </c>
      <c r="J123" s="254">
        <f t="shared" si="9"/>
        <v>0</v>
      </c>
      <c r="K123" s="254"/>
      <c r="L123" s="255"/>
    </row>
    <row r="124" spans="1:12" ht="18" customHeight="1" x14ac:dyDescent="0.3">
      <c r="A124" s="251"/>
      <c r="B124" s="257"/>
      <c r="C124" s="252"/>
      <c r="D124" s="252"/>
      <c r="E124" s="252" t="s">
        <v>2534</v>
      </c>
      <c r="F124" s="253">
        <v>1</v>
      </c>
      <c r="G124" s="253">
        <f t="shared" si="6"/>
        <v>0</v>
      </c>
      <c r="H124" s="254">
        <f t="shared" si="7"/>
        <v>0</v>
      </c>
      <c r="I124" s="254">
        <f t="shared" si="8"/>
        <v>0</v>
      </c>
      <c r="J124" s="254">
        <f t="shared" si="9"/>
        <v>0</v>
      </c>
      <c r="K124" s="254">
        <f>J124*10%</f>
        <v>0</v>
      </c>
      <c r="L124" s="255"/>
    </row>
    <row r="125" spans="1:12" ht="18" customHeight="1" x14ac:dyDescent="0.3">
      <c r="A125" s="251"/>
      <c r="B125" s="257"/>
      <c r="C125" s="252"/>
      <c r="D125" s="252"/>
      <c r="E125" s="252" t="s">
        <v>2534</v>
      </c>
      <c r="F125" s="253">
        <v>1</v>
      </c>
      <c r="G125" s="253">
        <f t="shared" si="6"/>
        <v>0</v>
      </c>
      <c r="H125" s="254">
        <f t="shared" si="7"/>
        <v>0</v>
      </c>
      <c r="I125" s="254">
        <f t="shared" si="8"/>
        <v>0</v>
      </c>
      <c r="J125" s="254">
        <f t="shared" si="9"/>
        <v>0</v>
      </c>
      <c r="K125" s="254"/>
      <c r="L125" s="255"/>
    </row>
    <row r="126" spans="1:12" ht="18" customHeight="1" x14ac:dyDescent="0.3">
      <c r="A126" s="251"/>
      <c r="B126" s="257"/>
      <c r="C126" s="252"/>
      <c r="D126" s="252"/>
      <c r="E126" s="252" t="s">
        <v>2534</v>
      </c>
      <c r="F126" s="253">
        <v>1</v>
      </c>
      <c r="G126" s="253">
        <f t="shared" si="6"/>
        <v>0</v>
      </c>
      <c r="H126" s="254">
        <f t="shared" si="7"/>
        <v>0</v>
      </c>
      <c r="I126" s="254">
        <f t="shared" si="8"/>
        <v>0</v>
      </c>
      <c r="J126" s="254">
        <f t="shared" si="9"/>
        <v>0</v>
      </c>
      <c r="K126" s="254"/>
      <c r="L126" s="255"/>
    </row>
    <row r="127" spans="1:12" ht="18" customHeight="1" x14ac:dyDescent="0.3">
      <c r="A127" s="251"/>
      <c r="B127" s="257"/>
      <c r="C127" s="252"/>
      <c r="D127" s="252"/>
      <c r="E127" s="252" t="s">
        <v>2534</v>
      </c>
      <c r="F127" s="253">
        <v>1</v>
      </c>
      <c r="G127" s="253">
        <f t="shared" si="6"/>
        <v>0</v>
      </c>
      <c r="H127" s="254">
        <f t="shared" si="7"/>
        <v>0</v>
      </c>
      <c r="I127" s="254">
        <f t="shared" si="8"/>
        <v>0</v>
      </c>
      <c r="J127" s="254">
        <f t="shared" si="9"/>
        <v>0</v>
      </c>
      <c r="K127" s="254"/>
      <c r="L127" s="255"/>
    </row>
    <row r="128" spans="1:12" ht="18" customHeight="1" x14ac:dyDescent="0.3">
      <c r="A128" s="251"/>
      <c r="B128" s="257"/>
      <c r="C128" s="252"/>
      <c r="D128" s="252"/>
      <c r="E128" s="252" t="s">
        <v>2534</v>
      </c>
      <c r="F128" s="253">
        <v>1</v>
      </c>
      <c r="G128" s="253">
        <f t="shared" si="6"/>
        <v>0</v>
      </c>
      <c r="H128" s="254">
        <f t="shared" si="7"/>
        <v>0</v>
      </c>
      <c r="I128" s="254">
        <f t="shared" si="8"/>
        <v>0</v>
      </c>
      <c r="J128" s="254">
        <f t="shared" si="9"/>
        <v>0</v>
      </c>
      <c r="K128" s="254"/>
      <c r="L128" s="255"/>
    </row>
    <row r="129" spans="1:12" ht="18" customHeight="1" x14ac:dyDescent="0.3">
      <c r="A129" s="251"/>
      <c r="B129" s="257"/>
      <c r="C129" s="252"/>
      <c r="D129" s="252"/>
      <c r="E129" s="252" t="s">
        <v>2534</v>
      </c>
      <c r="F129" s="253">
        <v>1</v>
      </c>
      <c r="G129" s="253">
        <f t="shared" si="6"/>
        <v>0</v>
      </c>
      <c r="H129" s="254">
        <f t="shared" si="7"/>
        <v>0</v>
      </c>
      <c r="I129" s="254">
        <f t="shared" si="8"/>
        <v>0</v>
      </c>
      <c r="J129" s="254">
        <f t="shared" si="9"/>
        <v>0</v>
      </c>
      <c r="K129" s="254"/>
      <c r="L129" s="255"/>
    </row>
    <row r="130" spans="1:12" ht="18" customHeight="1" x14ac:dyDescent="0.3">
      <c r="A130" s="251"/>
      <c r="B130" s="257"/>
      <c r="C130" s="252"/>
      <c r="D130" s="252"/>
      <c r="E130" s="252" t="s">
        <v>2534</v>
      </c>
      <c r="F130" s="253">
        <v>1</v>
      </c>
      <c r="G130" s="253">
        <f t="shared" si="6"/>
        <v>0</v>
      </c>
      <c r="H130" s="254">
        <f t="shared" si="7"/>
        <v>0</v>
      </c>
      <c r="I130" s="254">
        <f t="shared" si="8"/>
        <v>0</v>
      </c>
      <c r="J130" s="254">
        <f t="shared" si="9"/>
        <v>0</v>
      </c>
      <c r="K130" s="254">
        <f>J130*10%</f>
        <v>0</v>
      </c>
      <c r="L130" s="255"/>
    </row>
    <row r="131" spans="1:12" ht="18" customHeight="1" x14ac:dyDescent="0.3">
      <c r="A131" s="251"/>
      <c r="B131" s="257"/>
      <c r="C131" s="252"/>
      <c r="D131" s="252"/>
      <c r="E131" s="252" t="s">
        <v>2534</v>
      </c>
      <c r="F131" s="253">
        <v>1</v>
      </c>
      <c r="G131" s="253">
        <f t="shared" si="6"/>
        <v>0</v>
      </c>
      <c r="H131" s="254">
        <f t="shared" si="7"/>
        <v>0</v>
      </c>
      <c r="I131" s="254">
        <f t="shared" si="8"/>
        <v>0</v>
      </c>
      <c r="J131" s="254">
        <f t="shared" si="9"/>
        <v>0</v>
      </c>
      <c r="K131" s="254"/>
      <c r="L131" s="255"/>
    </row>
    <row r="132" spans="1:12" ht="18" customHeight="1" x14ac:dyDescent="0.3">
      <c r="A132" s="251"/>
      <c r="B132" s="257"/>
      <c r="C132" s="252"/>
      <c r="D132" s="252"/>
      <c r="E132" s="252" t="s">
        <v>2534</v>
      </c>
      <c r="F132" s="253">
        <v>1</v>
      </c>
      <c r="G132" s="253">
        <f t="shared" ref="G132:G148" si="10">L132/F132/1.1</f>
        <v>0</v>
      </c>
      <c r="H132" s="254">
        <f t="shared" ref="H132:H148" si="11">F132*G132</f>
        <v>0</v>
      </c>
      <c r="I132" s="254">
        <f t="shared" si="8"/>
        <v>0</v>
      </c>
      <c r="J132" s="254">
        <f t="shared" si="9"/>
        <v>0</v>
      </c>
      <c r="K132" s="254"/>
      <c r="L132" s="255"/>
    </row>
    <row r="133" spans="1:12" ht="18" customHeight="1" x14ac:dyDescent="0.3">
      <c r="A133" s="251"/>
      <c r="B133" s="257"/>
      <c r="C133" s="252"/>
      <c r="D133" s="252"/>
      <c r="E133" s="252" t="s">
        <v>2534</v>
      </c>
      <c r="F133" s="253">
        <v>1</v>
      </c>
      <c r="G133" s="253">
        <f t="shared" si="10"/>
        <v>0</v>
      </c>
      <c r="H133" s="254">
        <f t="shared" si="11"/>
        <v>0</v>
      </c>
      <c r="I133" s="254">
        <f t="shared" ref="I133:I148" si="12">H133*10%</f>
        <v>0</v>
      </c>
      <c r="J133" s="254">
        <f t="shared" ref="J133:J148" si="13">IF(E133="매출",F133*G133,0)</f>
        <v>0</v>
      </c>
      <c r="K133" s="254"/>
      <c r="L133" s="255"/>
    </row>
    <row r="134" spans="1:12" ht="18" customHeight="1" x14ac:dyDescent="0.3">
      <c r="A134" s="251"/>
      <c r="B134" s="257"/>
      <c r="C134" s="252"/>
      <c r="D134" s="252"/>
      <c r="E134" s="252" t="s">
        <v>2534</v>
      </c>
      <c r="F134" s="253">
        <v>1</v>
      </c>
      <c r="G134" s="253">
        <f t="shared" si="10"/>
        <v>0</v>
      </c>
      <c r="H134" s="254">
        <f t="shared" si="11"/>
        <v>0</v>
      </c>
      <c r="I134" s="254">
        <f t="shared" si="12"/>
        <v>0</v>
      </c>
      <c r="J134" s="254">
        <f t="shared" si="13"/>
        <v>0</v>
      </c>
      <c r="K134" s="254"/>
      <c r="L134" s="255"/>
    </row>
    <row r="135" spans="1:12" ht="18" customHeight="1" x14ac:dyDescent="0.3">
      <c r="A135" s="251"/>
      <c r="B135" s="257"/>
      <c r="C135" s="252"/>
      <c r="D135" s="252"/>
      <c r="E135" s="252"/>
      <c r="F135" s="253"/>
      <c r="G135" s="253" t="e">
        <f t="shared" si="10"/>
        <v>#DIV/0!</v>
      </c>
      <c r="H135" s="254" t="e">
        <f t="shared" si="11"/>
        <v>#DIV/0!</v>
      </c>
      <c r="I135" s="254" t="e">
        <f t="shared" si="12"/>
        <v>#DIV/0!</v>
      </c>
      <c r="J135" s="254">
        <f t="shared" si="13"/>
        <v>0</v>
      </c>
      <c r="K135" s="254"/>
      <c r="L135" s="255"/>
    </row>
    <row r="136" spans="1:12" ht="18" customHeight="1" x14ac:dyDescent="0.3">
      <c r="A136" s="251"/>
      <c r="B136" s="257"/>
      <c r="C136" s="252"/>
      <c r="D136" s="252"/>
      <c r="E136" s="252"/>
      <c r="F136" s="253"/>
      <c r="G136" s="253" t="e">
        <f t="shared" si="10"/>
        <v>#DIV/0!</v>
      </c>
      <c r="H136" s="254" t="e">
        <f t="shared" si="11"/>
        <v>#DIV/0!</v>
      </c>
      <c r="I136" s="254" t="e">
        <f t="shared" si="12"/>
        <v>#DIV/0!</v>
      </c>
      <c r="J136" s="254">
        <f t="shared" si="13"/>
        <v>0</v>
      </c>
      <c r="K136" s="254">
        <f>J136*10%</f>
        <v>0</v>
      </c>
      <c r="L136" s="255"/>
    </row>
    <row r="137" spans="1:12" ht="18" customHeight="1" x14ac:dyDescent="0.3">
      <c r="A137" s="251"/>
      <c r="B137" s="257"/>
      <c r="C137" s="252"/>
      <c r="D137" s="252"/>
      <c r="E137" s="252"/>
      <c r="F137" s="253"/>
      <c r="G137" s="253" t="e">
        <f t="shared" si="10"/>
        <v>#DIV/0!</v>
      </c>
      <c r="H137" s="254" t="e">
        <f t="shared" si="11"/>
        <v>#DIV/0!</v>
      </c>
      <c r="I137" s="254" t="e">
        <f t="shared" si="12"/>
        <v>#DIV/0!</v>
      </c>
      <c r="J137" s="254">
        <f t="shared" si="13"/>
        <v>0</v>
      </c>
      <c r="K137" s="254"/>
      <c r="L137" s="255"/>
    </row>
    <row r="138" spans="1:12" ht="18" customHeight="1" x14ac:dyDescent="0.3">
      <c r="A138" s="251"/>
      <c r="B138" s="257"/>
      <c r="C138" s="252"/>
      <c r="D138" s="252"/>
      <c r="E138" s="252"/>
      <c r="F138" s="253"/>
      <c r="G138" s="253" t="e">
        <f t="shared" si="10"/>
        <v>#DIV/0!</v>
      </c>
      <c r="H138" s="254" t="e">
        <f t="shared" si="11"/>
        <v>#DIV/0!</v>
      </c>
      <c r="I138" s="254" t="e">
        <f t="shared" si="12"/>
        <v>#DIV/0!</v>
      </c>
      <c r="J138" s="254">
        <f t="shared" si="13"/>
        <v>0</v>
      </c>
      <c r="K138" s="254"/>
      <c r="L138" s="255"/>
    </row>
    <row r="139" spans="1:12" ht="18" customHeight="1" x14ac:dyDescent="0.3">
      <c r="A139" s="251"/>
      <c r="B139" s="257"/>
      <c r="C139" s="252"/>
      <c r="D139" s="252"/>
      <c r="E139" s="252"/>
      <c r="F139" s="253"/>
      <c r="G139" s="253" t="e">
        <f t="shared" si="10"/>
        <v>#DIV/0!</v>
      </c>
      <c r="H139" s="254" t="e">
        <f t="shared" si="11"/>
        <v>#DIV/0!</v>
      </c>
      <c r="I139" s="254" t="e">
        <f t="shared" si="12"/>
        <v>#DIV/0!</v>
      </c>
      <c r="J139" s="254">
        <f t="shared" si="13"/>
        <v>0</v>
      </c>
      <c r="K139" s="254"/>
      <c r="L139" s="255"/>
    </row>
    <row r="140" spans="1:12" ht="18" customHeight="1" x14ac:dyDescent="0.3">
      <c r="A140" s="251"/>
      <c r="B140" s="257"/>
      <c r="C140" s="252"/>
      <c r="D140" s="252"/>
      <c r="E140" s="252"/>
      <c r="F140" s="253"/>
      <c r="G140" s="253" t="e">
        <f t="shared" si="10"/>
        <v>#DIV/0!</v>
      </c>
      <c r="H140" s="254" t="e">
        <f t="shared" si="11"/>
        <v>#DIV/0!</v>
      </c>
      <c r="I140" s="254" t="e">
        <f t="shared" si="12"/>
        <v>#DIV/0!</v>
      </c>
      <c r="J140" s="254">
        <f t="shared" si="13"/>
        <v>0</v>
      </c>
      <c r="K140" s="254"/>
      <c r="L140" s="255"/>
    </row>
    <row r="141" spans="1:12" ht="18" customHeight="1" x14ac:dyDescent="0.3">
      <c r="A141" s="251"/>
      <c r="B141" s="257"/>
      <c r="C141" s="252"/>
      <c r="D141" s="252"/>
      <c r="E141" s="252"/>
      <c r="F141" s="253"/>
      <c r="G141" s="253" t="e">
        <f t="shared" si="10"/>
        <v>#DIV/0!</v>
      </c>
      <c r="H141" s="254" t="e">
        <f t="shared" si="11"/>
        <v>#DIV/0!</v>
      </c>
      <c r="I141" s="254" t="e">
        <f t="shared" si="12"/>
        <v>#DIV/0!</v>
      </c>
      <c r="J141" s="254">
        <f t="shared" si="13"/>
        <v>0</v>
      </c>
      <c r="K141" s="254"/>
      <c r="L141" s="255"/>
    </row>
    <row r="142" spans="1:12" ht="18" customHeight="1" x14ac:dyDescent="0.3">
      <c r="A142" s="251"/>
      <c r="B142" s="257"/>
      <c r="C142" s="252"/>
      <c r="D142" s="252"/>
      <c r="E142" s="252"/>
      <c r="F142" s="253"/>
      <c r="G142" s="253" t="e">
        <f t="shared" si="10"/>
        <v>#DIV/0!</v>
      </c>
      <c r="H142" s="254" t="e">
        <f t="shared" si="11"/>
        <v>#DIV/0!</v>
      </c>
      <c r="I142" s="254" t="e">
        <f t="shared" si="12"/>
        <v>#DIV/0!</v>
      </c>
      <c r="J142" s="254">
        <f t="shared" si="13"/>
        <v>0</v>
      </c>
      <c r="K142" s="254">
        <f>J142*10%</f>
        <v>0</v>
      </c>
      <c r="L142" s="255"/>
    </row>
    <row r="143" spans="1:12" ht="18" customHeight="1" x14ac:dyDescent="0.3">
      <c r="A143" s="251"/>
      <c r="B143" s="257"/>
      <c r="C143" s="252"/>
      <c r="D143" s="252"/>
      <c r="E143" s="252"/>
      <c r="F143" s="253"/>
      <c r="G143" s="253" t="e">
        <f t="shared" si="10"/>
        <v>#DIV/0!</v>
      </c>
      <c r="H143" s="254" t="e">
        <f t="shared" si="11"/>
        <v>#DIV/0!</v>
      </c>
      <c r="I143" s="254" t="e">
        <f t="shared" si="12"/>
        <v>#DIV/0!</v>
      </c>
      <c r="J143" s="254">
        <f t="shared" si="13"/>
        <v>0</v>
      </c>
      <c r="K143" s="254"/>
      <c r="L143" s="255"/>
    </row>
    <row r="144" spans="1:12" ht="18" customHeight="1" x14ac:dyDescent="0.3">
      <c r="A144" s="251"/>
      <c r="B144" s="257"/>
      <c r="C144" s="252"/>
      <c r="D144" s="252"/>
      <c r="E144" s="252"/>
      <c r="F144" s="253"/>
      <c r="G144" s="253" t="e">
        <f t="shared" si="10"/>
        <v>#DIV/0!</v>
      </c>
      <c r="H144" s="254" t="e">
        <f t="shared" si="11"/>
        <v>#DIV/0!</v>
      </c>
      <c r="I144" s="254" t="e">
        <f t="shared" si="12"/>
        <v>#DIV/0!</v>
      </c>
      <c r="J144" s="254">
        <f t="shared" si="13"/>
        <v>0</v>
      </c>
      <c r="K144" s="254"/>
      <c r="L144" s="255"/>
    </row>
    <row r="145" spans="1:12" ht="18" customHeight="1" x14ac:dyDescent="0.3">
      <c r="A145" s="251"/>
      <c r="B145" s="257"/>
      <c r="C145" s="252"/>
      <c r="D145" s="252"/>
      <c r="E145" s="252"/>
      <c r="F145" s="253"/>
      <c r="G145" s="253" t="e">
        <f t="shared" si="10"/>
        <v>#DIV/0!</v>
      </c>
      <c r="H145" s="254" t="e">
        <f t="shared" si="11"/>
        <v>#DIV/0!</v>
      </c>
      <c r="I145" s="254" t="e">
        <f t="shared" si="12"/>
        <v>#DIV/0!</v>
      </c>
      <c r="J145" s="254">
        <f t="shared" si="13"/>
        <v>0</v>
      </c>
      <c r="K145" s="254"/>
      <c r="L145" s="255"/>
    </row>
    <row r="146" spans="1:12" ht="18" customHeight="1" x14ac:dyDescent="0.3">
      <c r="A146" s="251"/>
      <c r="B146" s="257"/>
      <c r="C146" s="252"/>
      <c r="D146" s="252"/>
      <c r="E146" s="252"/>
      <c r="F146" s="253"/>
      <c r="G146" s="253" t="e">
        <f t="shared" si="10"/>
        <v>#DIV/0!</v>
      </c>
      <c r="H146" s="254" t="e">
        <f t="shared" si="11"/>
        <v>#DIV/0!</v>
      </c>
      <c r="I146" s="254" t="e">
        <f t="shared" si="12"/>
        <v>#DIV/0!</v>
      </c>
      <c r="J146" s="254">
        <f t="shared" si="13"/>
        <v>0</v>
      </c>
      <c r="K146" s="254"/>
      <c r="L146" s="255"/>
    </row>
    <row r="147" spans="1:12" ht="18" customHeight="1" x14ac:dyDescent="0.3">
      <c r="A147" s="251"/>
      <c r="B147" s="257"/>
      <c r="C147" s="252"/>
      <c r="D147" s="252"/>
      <c r="E147" s="252"/>
      <c r="F147" s="253"/>
      <c r="G147" s="253" t="e">
        <f t="shared" si="10"/>
        <v>#DIV/0!</v>
      </c>
      <c r="H147" s="254" t="e">
        <f t="shared" si="11"/>
        <v>#DIV/0!</v>
      </c>
      <c r="I147" s="254" t="e">
        <f t="shared" si="12"/>
        <v>#DIV/0!</v>
      </c>
      <c r="J147" s="254">
        <f t="shared" si="13"/>
        <v>0</v>
      </c>
      <c r="K147" s="254"/>
      <c r="L147" s="255"/>
    </row>
    <row r="148" spans="1:12" ht="18" customHeight="1" x14ac:dyDescent="0.3">
      <c r="A148" s="251"/>
      <c r="B148" s="257"/>
      <c r="C148" s="252"/>
      <c r="D148" s="252"/>
      <c r="E148" s="252"/>
      <c r="F148" s="253"/>
      <c r="G148" s="253" t="e">
        <f t="shared" si="10"/>
        <v>#DIV/0!</v>
      </c>
      <c r="H148" s="254" t="e">
        <f t="shared" si="11"/>
        <v>#DIV/0!</v>
      </c>
      <c r="I148" s="254" t="e">
        <f t="shared" si="12"/>
        <v>#DIV/0!</v>
      </c>
      <c r="J148" s="254">
        <f t="shared" si="13"/>
        <v>0</v>
      </c>
      <c r="K148" s="254">
        <f>J148*10%</f>
        <v>0</v>
      </c>
      <c r="L148" s="255"/>
    </row>
    <row r="149" spans="1:12" ht="37.5" customHeight="1" x14ac:dyDescent="0.3">
      <c r="A149" s="251"/>
      <c r="B149" s="452" t="s">
        <v>2552</v>
      </c>
      <c r="C149" s="452"/>
      <c r="D149" s="452"/>
      <c r="E149" s="452"/>
      <c r="F149" s="452"/>
      <c r="G149" s="452"/>
      <c r="H149" s="256" t="e">
        <f>SUM(H3:H148)</f>
        <v>#DIV/0!</v>
      </c>
      <c r="I149" s="256" t="e">
        <f>SUM(I3:I148)</f>
        <v>#DIV/0!</v>
      </c>
      <c r="J149" s="256">
        <f>SUM(J3:J148)</f>
        <v>0</v>
      </c>
      <c r="K149" s="256">
        <f>SUM(K3:K148)</f>
        <v>0</v>
      </c>
      <c r="L149" s="255">
        <f>SUM(L3:L148)</f>
        <v>58281600</v>
      </c>
    </row>
  </sheetData>
  <mergeCells count="9">
    <mergeCell ref="A1:A2"/>
    <mergeCell ref="B149:G149"/>
    <mergeCell ref="F1:G1"/>
    <mergeCell ref="H1:I1"/>
    <mergeCell ref="J1:K1"/>
    <mergeCell ref="E1:E2"/>
    <mergeCell ref="D1:D2"/>
    <mergeCell ref="C1:C2"/>
    <mergeCell ref="B1:B2"/>
  </mergeCells>
  <phoneticPr fontId="2" type="noConversion"/>
  <conditionalFormatting sqref="H3:K42 H48:K149">
    <cfRule type="cellIs" dxfId="1" priority="2" stopIfTrue="1" operator="equal">
      <formula>0</formula>
    </cfRule>
  </conditionalFormatting>
  <conditionalFormatting sqref="H43:K47">
    <cfRule type="cellIs" dxfId="0" priority="1" stopIfTrue="1" operator="equal">
      <formula>0</formula>
    </cfRule>
  </conditionalFormatting>
  <dataValidations count="1">
    <dataValidation type="list" allowBlank="1" showInputMessage="1" showErrorMessage="1" errorTitle="입력 오류" error="매입과 매출로만 입력할 수 있다!!!" sqref="WVL983044:WVL983188 E65540:E65684 IZ65540:IZ65684 SV65540:SV65684 ACR65540:ACR65684 AMN65540:AMN65684 AWJ65540:AWJ65684 BGF65540:BGF65684 BQB65540:BQB65684 BZX65540:BZX65684 CJT65540:CJT65684 CTP65540:CTP65684 DDL65540:DDL65684 DNH65540:DNH65684 DXD65540:DXD65684 EGZ65540:EGZ65684 EQV65540:EQV65684 FAR65540:FAR65684 FKN65540:FKN65684 FUJ65540:FUJ65684 GEF65540:GEF65684 GOB65540:GOB65684 GXX65540:GXX65684 HHT65540:HHT65684 HRP65540:HRP65684 IBL65540:IBL65684 ILH65540:ILH65684 IVD65540:IVD65684 JEZ65540:JEZ65684 JOV65540:JOV65684 JYR65540:JYR65684 KIN65540:KIN65684 KSJ65540:KSJ65684 LCF65540:LCF65684 LMB65540:LMB65684 LVX65540:LVX65684 MFT65540:MFT65684 MPP65540:MPP65684 MZL65540:MZL65684 NJH65540:NJH65684 NTD65540:NTD65684 OCZ65540:OCZ65684 OMV65540:OMV65684 OWR65540:OWR65684 PGN65540:PGN65684 PQJ65540:PQJ65684 QAF65540:QAF65684 QKB65540:QKB65684 QTX65540:QTX65684 RDT65540:RDT65684 RNP65540:RNP65684 RXL65540:RXL65684 SHH65540:SHH65684 SRD65540:SRD65684 TAZ65540:TAZ65684 TKV65540:TKV65684 TUR65540:TUR65684 UEN65540:UEN65684 UOJ65540:UOJ65684 UYF65540:UYF65684 VIB65540:VIB65684 VRX65540:VRX65684 WBT65540:WBT65684 WLP65540:WLP65684 WVL65540:WVL65684 E131076:E131220 IZ131076:IZ131220 SV131076:SV131220 ACR131076:ACR131220 AMN131076:AMN131220 AWJ131076:AWJ131220 BGF131076:BGF131220 BQB131076:BQB131220 BZX131076:BZX131220 CJT131076:CJT131220 CTP131076:CTP131220 DDL131076:DDL131220 DNH131076:DNH131220 DXD131076:DXD131220 EGZ131076:EGZ131220 EQV131076:EQV131220 FAR131076:FAR131220 FKN131076:FKN131220 FUJ131076:FUJ131220 GEF131076:GEF131220 GOB131076:GOB131220 GXX131076:GXX131220 HHT131076:HHT131220 HRP131076:HRP131220 IBL131076:IBL131220 ILH131076:ILH131220 IVD131076:IVD131220 JEZ131076:JEZ131220 JOV131076:JOV131220 JYR131076:JYR131220 KIN131076:KIN131220 KSJ131076:KSJ131220 LCF131076:LCF131220 LMB131076:LMB131220 LVX131076:LVX131220 MFT131076:MFT131220 MPP131076:MPP131220 MZL131076:MZL131220 NJH131076:NJH131220 NTD131076:NTD131220 OCZ131076:OCZ131220 OMV131076:OMV131220 OWR131076:OWR131220 PGN131076:PGN131220 PQJ131076:PQJ131220 QAF131076:QAF131220 QKB131076:QKB131220 QTX131076:QTX131220 RDT131076:RDT131220 RNP131076:RNP131220 RXL131076:RXL131220 SHH131076:SHH131220 SRD131076:SRD131220 TAZ131076:TAZ131220 TKV131076:TKV131220 TUR131076:TUR131220 UEN131076:UEN131220 UOJ131076:UOJ131220 UYF131076:UYF131220 VIB131076:VIB131220 VRX131076:VRX131220 WBT131076:WBT131220 WLP131076:WLP131220 WVL131076:WVL131220 E196612:E196756 IZ196612:IZ196756 SV196612:SV196756 ACR196612:ACR196756 AMN196612:AMN196756 AWJ196612:AWJ196756 BGF196612:BGF196756 BQB196612:BQB196756 BZX196612:BZX196756 CJT196612:CJT196756 CTP196612:CTP196756 DDL196612:DDL196756 DNH196612:DNH196756 DXD196612:DXD196756 EGZ196612:EGZ196756 EQV196612:EQV196756 FAR196612:FAR196756 FKN196612:FKN196756 FUJ196612:FUJ196756 GEF196612:GEF196756 GOB196612:GOB196756 GXX196612:GXX196756 HHT196612:HHT196756 HRP196612:HRP196756 IBL196612:IBL196756 ILH196612:ILH196756 IVD196612:IVD196756 JEZ196612:JEZ196756 JOV196612:JOV196756 JYR196612:JYR196756 KIN196612:KIN196756 KSJ196612:KSJ196756 LCF196612:LCF196756 LMB196612:LMB196756 LVX196612:LVX196756 MFT196612:MFT196756 MPP196612:MPP196756 MZL196612:MZL196756 NJH196612:NJH196756 NTD196612:NTD196756 OCZ196612:OCZ196756 OMV196612:OMV196756 OWR196612:OWR196756 PGN196612:PGN196756 PQJ196612:PQJ196756 QAF196612:QAF196756 QKB196612:QKB196756 QTX196612:QTX196756 RDT196612:RDT196756 RNP196612:RNP196756 RXL196612:RXL196756 SHH196612:SHH196756 SRD196612:SRD196756 TAZ196612:TAZ196756 TKV196612:TKV196756 TUR196612:TUR196756 UEN196612:UEN196756 UOJ196612:UOJ196756 UYF196612:UYF196756 VIB196612:VIB196756 VRX196612:VRX196756 WBT196612:WBT196756 WLP196612:WLP196756 WVL196612:WVL196756 E262148:E262292 IZ262148:IZ262292 SV262148:SV262292 ACR262148:ACR262292 AMN262148:AMN262292 AWJ262148:AWJ262292 BGF262148:BGF262292 BQB262148:BQB262292 BZX262148:BZX262292 CJT262148:CJT262292 CTP262148:CTP262292 DDL262148:DDL262292 DNH262148:DNH262292 DXD262148:DXD262292 EGZ262148:EGZ262292 EQV262148:EQV262292 FAR262148:FAR262292 FKN262148:FKN262292 FUJ262148:FUJ262292 GEF262148:GEF262292 GOB262148:GOB262292 GXX262148:GXX262292 HHT262148:HHT262292 HRP262148:HRP262292 IBL262148:IBL262292 ILH262148:ILH262292 IVD262148:IVD262292 JEZ262148:JEZ262292 JOV262148:JOV262292 JYR262148:JYR262292 KIN262148:KIN262292 KSJ262148:KSJ262292 LCF262148:LCF262292 LMB262148:LMB262292 LVX262148:LVX262292 MFT262148:MFT262292 MPP262148:MPP262292 MZL262148:MZL262292 NJH262148:NJH262292 NTD262148:NTD262292 OCZ262148:OCZ262292 OMV262148:OMV262292 OWR262148:OWR262292 PGN262148:PGN262292 PQJ262148:PQJ262292 QAF262148:QAF262292 QKB262148:QKB262292 QTX262148:QTX262292 RDT262148:RDT262292 RNP262148:RNP262292 RXL262148:RXL262292 SHH262148:SHH262292 SRD262148:SRD262292 TAZ262148:TAZ262292 TKV262148:TKV262292 TUR262148:TUR262292 UEN262148:UEN262292 UOJ262148:UOJ262292 UYF262148:UYF262292 VIB262148:VIB262292 VRX262148:VRX262292 WBT262148:WBT262292 WLP262148:WLP262292 WVL262148:WVL262292 E327684:E327828 IZ327684:IZ327828 SV327684:SV327828 ACR327684:ACR327828 AMN327684:AMN327828 AWJ327684:AWJ327828 BGF327684:BGF327828 BQB327684:BQB327828 BZX327684:BZX327828 CJT327684:CJT327828 CTP327684:CTP327828 DDL327684:DDL327828 DNH327684:DNH327828 DXD327684:DXD327828 EGZ327684:EGZ327828 EQV327684:EQV327828 FAR327684:FAR327828 FKN327684:FKN327828 FUJ327684:FUJ327828 GEF327684:GEF327828 GOB327684:GOB327828 GXX327684:GXX327828 HHT327684:HHT327828 HRP327684:HRP327828 IBL327684:IBL327828 ILH327684:ILH327828 IVD327684:IVD327828 JEZ327684:JEZ327828 JOV327684:JOV327828 JYR327684:JYR327828 KIN327684:KIN327828 KSJ327684:KSJ327828 LCF327684:LCF327828 LMB327684:LMB327828 LVX327684:LVX327828 MFT327684:MFT327828 MPP327684:MPP327828 MZL327684:MZL327828 NJH327684:NJH327828 NTD327684:NTD327828 OCZ327684:OCZ327828 OMV327684:OMV327828 OWR327684:OWR327828 PGN327684:PGN327828 PQJ327684:PQJ327828 QAF327684:QAF327828 QKB327684:QKB327828 QTX327684:QTX327828 RDT327684:RDT327828 RNP327684:RNP327828 RXL327684:RXL327828 SHH327684:SHH327828 SRD327684:SRD327828 TAZ327684:TAZ327828 TKV327684:TKV327828 TUR327684:TUR327828 UEN327684:UEN327828 UOJ327684:UOJ327828 UYF327684:UYF327828 VIB327684:VIB327828 VRX327684:VRX327828 WBT327684:WBT327828 WLP327684:WLP327828 WVL327684:WVL327828 E393220:E393364 IZ393220:IZ393364 SV393220:SV393364 ACR393220:ACR393364 AMN393220:AMN393364 AWJ393220:AWJ393364 BGF393220:BGF393364 BQB393220:BQB393364 BZX393220:BZX393364 CJT393220:CJT393364 CTP393220:CTP393364 DDL393220:DDL393364 DNH393220:DNH393364 DXD393220:DXD393364 EGZ393220:EGZ393364 EQV393220:EQV393364 FAR393220:FAR393364 FKN393220:FKN393364 FUJ393220:FUJ393364 GEF393220:GEF393364 GOB393220:GOB393364 GXX393220:GXX393364 HHT393220:HHT393364 HRP393220:HRP393364 IBL393220:IBL393364 ILH393220:ILH393364 IVD393220:IVD393364 JEZ393220:JEZ393364 JOV393220:JOV393364 JYR393220:JYR393364 KIN393220:KIN393364 KSJ393220:KSJ393364 LCF393220:LCF393364 LMB393220:LMB393364 LVX393220:LVX393364 MFT393220:MFT393364 MPP393220:MPP393364 MZL393220:MZL393364 NJH393220:NJH393364 NTD393220:NTD393364 OCZ393220:OCZ393364 OMV393220:OMV393364 OWR393220:OWR393364 PGN393220:PGN393364 PQJ393220:PQJ393364 QAF393220:QAF393364 QKB393220:QKB393364 QTX393220:QTX393364 RDT393220:RDT393364 RNP393220:RNP393364 RXL393220:RXL393364 SHH393220:SHH393364 SRD393220:SRD393364 TAZ393220:TAZ393364 TKV393220:TKV393364 TUR393220:TUR393364 UEN393220:UEN393364 UOJ393220:UOJ393364 UYF393220:UYF393364 VIB393220:VIB393364 VRX393220:VRX393364 WBT393220:WBT393364 WLP393220:WLP393364 WVL393220:WVL393364 E458756:E458900 IZ458756:IZ458900 SV458756:SV458900 ACR458756:ACR458900 AMN458756:AMN458900 AWJ458756:AWJ458900 BGF458756:BGF458900 BQB458756:BQB458900 BZX458756:BZX458900 CJT458756:CJT458900 CTP458756:CTP458900 DDL458756:DDL458900 DNH458756:DNH458900 DXD458756:DXD458900 EGZ458756:EGZ458900 EQV458756:EQV458900 FAR458756:FAR458900 FKN458756:FKN458900 FUJ458756:FUJ458900 GEF458756:GEF458900 GOB458756:GOB458900 GXX458756:GXX458900 HHT458756:HHT458900 HRP458756:HRP458900 IBL458756:IBL458900 ILH458756:ILH458900 IVD458756:IVD458900 JEZ458756:JEZ458900 JOV458756:JOV458900 JYR458756:JYR458900 KIN458756:KIN458900 KSJ458756:KSJ458900 LCF458756:LCF458900 LMB458756:LMB458900 LVX458756:LVX458900 MFT458756:MFT458900 MPP458756:MPP458900 MZL458756:MZL458900 NJH458756:NJH458900 NTD458756:NTD458900 OCZ458756:OCZ458900 OMV458756:OMV458900 OWR458756:OWR458900 PGN458756:PGN458900 PQJ458756:PQJ458900 QAF458756:QAF458900 QKB458756:QKB458900 QTX458756:QTX458900 RDT458756:RDT458900 RNP458756:RNP458900 RXL458756:RXL458900 SHH458756:SHH458900 SRD458756:SRD458900 TAZ458756:TAZ458900 TKV458756:TKV458900 TUR458756:TUR458900 UEN458756:UEN458900 UOJ458756:UOJ458900 UYF458756:UYF458900 VIB458756:VIB458900 VRX458756:VRX458900 WBT458756:WBT458900 WLP458756:WLP458900 WVL458756:WVL458900 E524292:E524436 IZ524292:IZ524436 SV524292:SV524436 ACR524292:ACR524436 AMN524292:AMN524436 AWJ524292:AWJ524436 BGF524292:BGF524436 BQB524292:BQB524436 BZX524292:BZX524436 CJT524292:CJT524436 CTP524292:CTP524436 DDL524292:DDL524436 DNH524292:DNH524436 DXD524292:DXD524436 EGZ524292:EGZ524436 EQV524292:EQV524436 FAR524292:FAR524436 FKN524292:FKN524436 FUJ524292:FUJ524436 GEF524292:GEF524436 GOB524292:GOB524436 GXX524292:GXX524436 HHT524292:HHT524436 HRP524292:HRP524436 IBL524292:IBL524436 ILH524292:ILH524436 IVD524292:IVD524436 JEZ524292:JEZ524436 JOV524292:JOV524436 JYR524292:JYR524436 KIN524292:KIN524436 KSJ524292:KSJ524436 LCF524292:LCF524436 LMB524292:LMB524436 LVX524292:LVX524436 MFT524292:MFT524436 MPP524292:MPP524436 MZL524292:MZL524436 NJH524292:NJH524436 NTD524292:NTD524436 OCZ524292:OCZ524436 OMV524292:OMV524436 OWR524292:OWR524436 PGN524292:PGN524436 PQJ524292:PQJ524436 QAF524292:QAF524436 QKB524292:QKB524436 QTX524292:QTX524436 RDT524292:RDT524436 RNP524292:RNP524436 RXL524292:RXL524436 SHH524292:SHH524436 SRD524292:SRD524436 TAZ524292:TAZ524436 TKV524292:TKV524436 TUR524292:TUR524436 UEN524292:UEN524436 UOJ524292:UOJ524436 UYF524292:UYF524436 VIB524292:VIB524436 VRX524292:VRX524436 WBT524292:WBT524436 WLP524292:WLP524436 WVL524292:WVL524436 E589828:E589972 IZ589828:IZ589972 SV589828:SV589972 ACR589828:ACR589972 AMN589828:AMN589972 AWJ589828:AWJ589972 BGF589828:BGF589972 BQB589828:BQB589972 BZX589828:BZX589972 CJT589828:CJT589972 CTP589828:CTP589972 DDL589828:DDL589972 DNH589828:DNH589972 DXD589828:DXD589972 EGZ589828:EGZ589972 EQV589828:EQV589972 FAR589828:FAR589972 FKN589828:FKN589972 FUJ589828:FUJ589972 GEF589828:GEF589972 GOB589828:GOB589972 GXX589828:GXX589972 HHT589828:HHT589972 HRP589828:HRP589972 IBL589828:IBL589972 ILH589828:ILH589972 IVD589828:IVD589972 JEZ589828:JEZ589972 JOV589828:JOV589972 JYR589828:JYR589972 KIN589828:KIN589972 KSJ589828:KSJ589972 LCF589828:LCF589972 LMB589828:LMB589972 LVX589828:LVX589972 MFT589828:MFT589972 MPP589828:MPP589972 MZL589828:MZL589972 NJH589828:NJH589972 NTD589828:NTD589972 OCZ589828:OCZ589972 OMV589828:OMV589972 OWR589828:OWR589972 PGN589828:PGN589972 PQJ589828:PQJ589972 QAF589828:QAF589972 QKB589828:QKB589972 QTX589828:QTX589972 RDT589828:RDT589972 RNP589828:RNP589972 RXL589828:RXL589972 SHH589828:SHH589972 SRD589828:SRD589972 TAZ589828:TAZ589972 TKV589828:TKV589972 TUR589828:TUR589972 UEN589828:UEN589972 UOJ589828:UOJ589972 UYF589828:UYF589972 VIB589828:VIB589972 VRX589828:VRX589972 WBT589828:WBT589972 WLP589828:WLP589972 WVL589828:WVL589972 E655364:E655508 IZ655364:IZ655508 SV655364:SV655508 ACR655364:ACR655508 AMN655364:AMN655508 AWJ655364:AWJ655508 BGF655364:BGF655508 BQB655364:BQB655508 BZX655364:BZX655508 CJT655364:CJT655508 CTP655364:CTP655508 DDL655364:DDL655508 DNH655364:DNH655508 DXD655364:DXD655508 EGZ655364:EGZ655508 EQV655364:EQV655508 FAR655364:FAR655508 FKN655364:FKN655508 FUJ655364:FUJ655508 GEF655364:GEF655508 GOB655364:GOB655508 GXX655364:GXX655508 HHT655364:HHT655508 HRP655364:HRP655508 IBL655364:IBL655508 ILH655364:ILH655508 IVD655364:IVD655508 JEZ655364:JEZ655508 JOV655364:JOV655508 JYR655364:JYR655508 KIN655364:KIN655508 KSJ655364:KSJ655508 LCF655364:LCF655508 LMB655364:LMB655508 LVX655364:LVX655508 MFT655364:MFT655508 MPP655364:MPP655508 MZL655364:MZL655508 NJH655364:NJH655508 NTD655364:NTD655508 OCZ655364:OCZ655508 OMV655364:OMV655508 OWR655364:OWR655508 PGN655364:PGN655508 PQJ655364:PQJ655508 QAF655364:QAF655508 QKB655364:QKB655508 QTX655364:QTX655508 RDT655364:RDT655508 RNP655364:RNP655508 RXL655364:RXL655508 SHH655364:SHH655508 SRD655364:SRD655508 TAZ655364:TAZ655508 TKV655364:TKV655508 TUR655364:TUR655508 UEN655364:UEN655508 UOJ655364:UOJ655508 UYF655364:UYF655508 VIB655364:VIB655508 VRX655364:VRX655508 WBT655364:WBT655508 WLP655364:WLP655508 WVL655364:WVL655508 E720900:E721044 IZ720900:IZ721044 SV720900:SV721044 ACR720900:ACR721044 AMN720900:AMN721044 AWJ720900:AWJ721044 BGF720900:BGF721044 BQB720900:BQB721044 BZX720900:BZX721044 CJT720900:CJT721044 CTP720900:CTP721044 DDL720900:DDL721044 DNH720900:DNH721044 DXD720900:DXD721044 EGZ720900:EGZ721044 EQV720900:EQV721044 FAR720900:FAR721044 FKN720900:FKN721044 FUJ720900:FUJ721044 GEF720900:GEF721044 GOB720900:GOB721044 GXX720900:GXX721044 HHT720900:HHT721044 HRP720900:HRP721044 IBL720900:IBL721044 ILH720900:ILH721044 IVD720900:IVD721044 JEZ720900:JEZ721044 JOV720900:JOV721044 JYR720900:JYR721044 KIN720900:KIN721044 KSJ720900:KSJ721044 LCF720900:LCF721044 LMB720900:LMB721044 LVX720900:LVX721044 MFT720900:MFT721044 MPP720900:MPP721044 MZL720900:MZL721044 NJH720900:NJH721044 NTD720900:NTD721044 OCZ720900:OCZ721044 OMV720900:OMV721044 OWR720900:OWR721044 PGN720900:PGN721044 PQJ720900:PQJ721044 QAF720900:QAF721044 QKB720900:QKB721044 QTX720900:QTX721044 RDT720900:RDT721044 RNP720900:RNP721044 RXL720900:RXL721044 SHH720900:SHH721044 SRD720900:SRD721044 TAZ720900:TAZ721044 TKV720900:TKV721044 TUR720900:TUR721044 UEN720900:UEN721044 UOJ720900:UOJ721044 UYF720900:UYF721044 VIB720900:VIB721044 VRX720900:VRX721044 WBT720900:WBT721044 WLP720900:WLP721044 WVL720900:WVL721044 E786436:E786580 IZ786436:IZ786580 SV786436:SV786580 ACR786436:ACR786580 AMN786436:AMN786580 AWJ786436:AWJ786580 BGF786436:BGF786580 BQB786436:BQB786580 BZX786436:BZX786580 CJT786436:CJT786580 CTP786436:CTP786580 DDL786436:DDL786580 DNH786436:DNH786580 DXD786436:DXD786580 EGZ786436:EGZ786580 EQV786436:EQV786580 FAR786436:FAR786580 FKN786436:FKN786580 FUJ786436:FUJ786580 GEF786436:GEF786580 GOB786436:GOB786580 GXX786436:GXX786580 HHT786436:HHT786580 HRP786436:HRP786580 IBL786436:IBL786580 ILH786436:ILH786580 IVD786436:IVD786580 JEZ786436:JEZ786580 JOV786436:JOV786580 JYR786436:JYR786580 KIN786436:KIN786580 KSJ786436:KSJ786580 LCF786436:LCF786580 LMB786436:LMB786580 LVX786436:LVX786580 MFT786436:MFT786580 MPP786436:MPP786580 MZL786436:MZL786580 NJH786436:NJH786580 NTD786436:NTD786580 OCZ786436:OCZ786580 OMV786436:OMV786580 OWR786436:OWR786580 PGN786436:PGN786580 PQJ786436:PQJ786580 QAF786436:QAF786580 QKB786436:QKB786580 QTX786436:QTX786580 RDT786436:RDT786580 RNP786436:RNP786580 RXL786436:RXL786580 SHH786436:SHH786580 SRD786436:SRD786580 TAZ786436:TAZ786580 TKV786436:TKV786580 TUR786436:TUR786580 UEN786436:UEN786580 UOJ786436:UOJ786580 UYF786436:UYF786580 VIB786436:VIB786580 VRX786436:VRX786580 WBT786436:WBT786580 WLP786436:WLP786580 WVL786436:WVL786580 E851972:E852116 IZ851972:IZ852116 SV851972:SV852116 ACR851972:ACR852116 AMN851972:AMN852116 AWJ851972:AWJ852116 BGF851972:BGF852116 BQB851972:BQB852116 BZX851972:BZX852116 CJT851972:CJT852116 CTP851972:CTP852116 DDL851972:DDL852116 DNH851972:DNH852116 DXD851972:DXD852116 EGZ851972:EGZ852116 EQV851972:EQV852116 FAR851972:FAR852116 FKN851972:FKN852116 FUJ851972:FUJ852116 GEF851972:GEF852116 GOB851972:GOB852116 GXX851972:GXX852116 HHT851972:HHT852116 HRP851972:HRP852116 IBL851972:IBL852116 ILH851972:ILH852116 IVD851972:IVD852116 JEZ851972:JEZ852116 JOV851972:JOV852116 JYR851972:JYR852116 KIN851972:KIN852116 KSJ851972:KSJ852116 LCF851972:LCF852116 LMB851972:LMB852116 LVX851972:LVX852116 MFT851972:MFT852116 MPP851972:MPP852116 MZL851972:MZL852116 NJH851972:NJH852116 NTD851972:NTD852116 OCZ851972:OCZ852116 OMV851972:OMV852116 OWR851972:OWR852116 PGN851972:PGN852116 PQJ851972:PQJ852116 QAF851972:QAF852116 QKB851972:QKB852116 QTX851972:QTX852116 RDT851972:RDT852116 RNP851972:RNP852116 RXL851972:RXL852116 SHH851972:SHH852116 SRD851972:SRD852116 TAZ851972:TAZ852116 TKV851972:TKV852116 TUR851972:TUR852116 UEN851972:UEN852116 UOJ851972:UOJ852116 UYF851972:UYF852116 VIB851972:VIB852116 VRX851972:VRX852116 WBT851972:WBT852116 WLP851972:WLP852116 WVL851972:WVL852116 E917508:E917652 IZ917508:IZ917652 SV917508:SV917652 ACR917508:ACR917652 AMN917508:AMN917652 AWJ917508:AWJ917652 BGF917508:BGF917652 BQB917508:BQB917652 BZX917508:BZX917652 CJT917508:CJT917652 CTP917508:CTP917652 DDL917508:DDL917652 DNH917508:DNH917652 DXD917508:DXD917652 EGZ917508:EGZ917652 EQV917508:EQV917652 FAR917508:FAR917652 FKN917508:FKN917652 FUJ917508:FUJ917652 GEF917508:GEF917652 GOB917508:GOB917652 GXX917508:GXX917652 HHT917508:HHT917652 HRP917508:HRP917652 IBL917508:IBL917652 ILH917508:ILH917652 IVD917508:IVD917652 JEZ917508:JEZ917652 JOV917508:JOV917652 JYR917508:JYR917652 KIN917508:KIN917652 KSJ917508:KSJ917652 LCF917508:LCF917652 LMB917508:LMB917652 LVX917508:LVX917652 MFT917508:MFT917652 MPP917508:MPP917652 MZL917508:MZL917652 NJH917508:NJH917652 NTD917508:NTD917652 OCZ917508:OCZ917652 OMV917508:OMV917652 OWR917508:OWR917652 PGN917508:PGN917652 PQJ917508:PQJ917652 QAF917508:QAF917652 QKB917508:QKB917652 QTX917508:QTX917652 RDT917508:RDT917652 RNP917508:RNP917652 RXL917508:RXL917652 SHH917508:SHH917652 SRD917508:SRD917652 TAZ917508:TAZ917652 TKV917508:TKV917652 TUR917508:TUR917652 UEN917508:UEN917652 UOJ917508:UOJ917652 UYF917508:UYF917652 VIB917508:VIB917652 VRX917508:VRX917652 WBT917508:WBT917652 WLP917508:WLP917652 WVL917508:WVL917652 E983044:E983188 IZ983044:IZ983188 SV983044:SV983188 ACR983044:ACR983188 AMN983044:AMN983188 AWJ983044:AWJ983188 BGF983044:BGF983188 BQB983044:BQB983188 BZX983044:BZX983188 CJT983044:CJT983188 CTP983044:CTP983188 DDL983044:DDL983188 DNH983044:DNH983188 DXD983044:DXD983188 EGZ983044:EGZ983188 EQV983044:EQV983188 FAR983044:FAR983188 FKN983044:FKN983188 FUJ983044:FUJ983188 GEF983044:GEF983188 GOB983044:GOB983188 GXX983044:GXX983188 HHT983044:HHT983188 HRP983044:HRP983188 IBL983044:IBL983188 ILH983044:ILH983188 IVD983044:IVD983188 JEZ983044:JEZ983188 JOV983044:JOV983188 JYR983044:JYR983188 KIN983044:KIN983188 KSJ983044:KSJ983188 LCF983044:LCF983188 LMB983044:LMB983188 LVX983044:LVX983188 MFT983044:MFT983188 MPP983044:MPP983188 MZL983044:MZL983188 NJH983044:NJH983188 NTD983044:NTD983188 OCZ983044:OCZ983188 OMV983044:OMV983188 OWR983044:OWR983188 PGN983044:PGN983188 PQJ983044:PQJ983188 QAF983044:QAF983188 QKB983044:QKB983188 QTX983044:QTX983188 RDT983044:RDT983188 RNP983044:RNP983188 RXL983044:RXL983188 SHH983044:SHH983188 SRD983044:SRD983188 TAZ983044:TAZ983188 TKV983044:TKV983188 TUR983044:TUR983188 UEN983044:UEN983188 UOJ983044:UOJ983188 UYF983044:UYF983188 VIB983044:VIB983188 VRX983044:VRX983188 WBT983044:WBT983188 WLP983044:WLP983188 E3:E148 WVL3:WVL148 WLP3:WLP148 WBT3:WBT148 VRX3:VRX148 VIB3:VIB148 UYF3:UYF148 UOJ3:UOJ148 UEN3:UEN148 TUR3:TUR148 TKV3:TKV148 TAZ3:TAZ148 SRD3:SRD148 SHH3:SHH148 RXL3:RXL148 RNP3:RNP148 RDT3:RDT148 QTX3:QTX148 QKB3:QKB148 QAF3:QAF148 PQJ3:PQJ148 PGN3:PGN148 OWR3:OWR148 OMV3:OMV148 OCZ3:OCZ148 NTD3:NTD148 NJH3:NJH148 MZL3:MZL148 MPP3:MPP148 MFT3:MFT148 LVX3:LVX148 LMB3:LMB148 LCF3:LCF148 KSJ3:KSJ148 KIN3:KIN148 JYR3:JYR148 JOV3:JOV148 JEZ3:JEZ148 IVD3:IVD148 ILH3:ILH148 IBL3:IBL148 HRP3:HRP148 HHT3:HHT148 GXX3:GXX148 GOB3:GOB148 GEF3:GEF148 FUJ3:FUJ148 FKN3:FKN148 FAR3:FAR148 EQV3:EQV148 EGZ3:EGZ148 DXD3:DXD148 DNH3:DNH148 DDL3:DDL148 CTP3:CTP148 CJT3:CJT148 BZX3:BZX148 BQB3:BQB148 BGF3:BGF148 AWJ3:AWJ148 AMN3:AMN148 ACR3:ACR148 SV3:SV148 IZ3:IZ148" xr:uid="{E074A6FF-CB05-413D-B815-11AD10007B02}">
      <formula1>"매입,매출"</formula1>
    </dataValidation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595B12-9BB4-4A23-95B4-72C35DBC969B}">
  <sheetPr codeName="sht_Fast_SaleManagement"/>
  <dimension ref="A1:R201"/>
  <sheetViews>
    <sheetView workbookViewId="0">
      <selection activeCell="F16" sqref="F16"/>
    </sheetView>
  </sheetViews>
  <sheetFormatPr defaultColWidth="8.75" defaultRowHeight="18" customHeight="1" x14ac:dyDescent="0.3"/>
  <cols>
    <col min="1" max="1" width="6.875" style="82" customWidth="1"/>
    <col min="2" max="2" width="16.375" style="93" customWidth="1"/>
    <col min="3" max="3" width="19.625" style="83" customWidth="1"/>
    <col min="4" max="4" width="19.875" style="113" customWidth="1"/>
    <col min="5" max="5" width="11.375" style="84" customWidth="1"/>
    <col min="6" max="6" width="14.5" style="120" customWidth="1"/>
    <col min="7" max="7" width="13.875" style="85" customWidth="1"/>
    <col min="8" max="8" width="11.75" style="126" customWidth="1"/>
    <col min="9" max="10" width="12.375" style="80" customWidth="1"/>
    <col min="11" max="11" width="13" style="78" customWidth="1"/>
    <col min="12" max="12" width="12.5" style="78" customWidth="1"/>
    <col min="13" max="13" width="11.125" style="69" bestFit="1" customWidth="1"/>
    <col min="14" max="14" width="15.25" style="67" bestFit="1" customWidth="1"/>
    <col min="15" max="15" width="13.125" style="67" bestFit="1" customWidth="1"/>
    <col min="16" max="17" width="15.25" style="67" bestFit="1" customWidth="1"/>
    <col min="18" max="16384" width="8.75" style="67"/>
  </cols>
  <sheetData>
    <row r="1" spans="1:18" ht="18" customHeight="1" x14ac:dyDescent="0.3">
      <c r="A1" s="63"/>
      <c r="B1" s="90"/>
      <c r="C1" s="64"/>
      <c r="D1" s="114"/>
      <c r="E1" s="65"/>
      <c r="F1" s="221"/>
      <c r="G1" s="66"/>
      <c r="H1" s="124"/>
      <c r="I1" s="121"/>
      <c r="J1" s="121"/>
      <c r="K1" s="67"/>
      <c r="L1" s="67"/>
      <c r="M1" s="67"/>
    </row>
    <row r="2" spans="1:18" ht="25.5" customHeight="1" x14ac:dyDescent="0.3">
      <c r="A2" s="70"/>
      <c r="B2" s="91"/>
      <c r="C2" s="71"/>
      <c r="D2" s="115"/>
      <c r="E2" s="72"/>
      <c r="F2" s="222"/>
      <c r="G2" s="73"/>
      <c r="H2" s="125"/>
      <c r="I2" s="122"/>
      <c r="J2" s="122"/>
      <c r="K2" s="67"/>
      <c r="L2" s="67"/>
      <c r="M2" s="67"/>
    </row>
    <row r="3" spans="1:18" ht="15.95" customHeight="1" x14ac:dyDescent="0.3">
      <c r="A3" s="234">
        <v>45825</v>
      </c>
      <c r="B3" s="235" t="s">
        <v>1126</v>
      </c>
      <c r="C3" s="236">
        <f>SUMIF($B:$B,A3,I:I)</f>
        <v>0</v>
      </c>
      <c r="D3" s="237" t="s">
        <v>1124</v>
      </c>
      <c r="E3" s="236">
        <f ca="1">SUMIF($B:$B,TODAY(),E:E)</f>
        <v>0</v>
      </c>
      <c r="F3" s="247" t="s">
        <v>2520</v>
      </c>
      <c r="G3" s="236">
        <f>SUMIF($D:$D,"*schaeffler*",I:I)</f>
        <v>0</v>
      </c>
      <c r="H3" s="239"/>
      <c r="I3" s="240"/>
      <c r="J3" s="69"/>
      <c r="K3" s="69"/>
      <c r="L3" s="67"/>
      <c r="M3" s="67"/>
    </row>
    <row r="4" spans="1:18" ht="15.95" customHeight="1" x14ac:dyDescent="0.3">
      <c r="A4" s="241">
        <f>MONTH(A3)</f>
        <v>6</v>
      </c>
      <c r="B4" s="235" t="s">
        <v>1127</v>
      </c>
      <c r="C4" s="236">
        <f>SUMIFS($I:$I,$B:$B,"&gt;="&amp;DATE(A5,A4,1),$B:$B,"&lt;="&amp;EOMONTH(DATE(A5,A4,1),0))</f>
        <v>0</v>
      </c>
      <c r="D4" s="238"/>
      <c r="E4" s="242"/>
      <c r="F4" s="247" t="s">
        <v>2521</v>
      </c>
      <c r="G4" s="236">
        <f>SUMIF($D:$D,"*schaeffler*",E:E)</f>
        <v>0</v>
      </c>
      <c r="H4" s="244"/>
      <c r="I4" s="240"/>
      <c r="J4" s="69"/>
      <c r="K4" s="69"/>
      <c r="L4" s="67"/>
      <c r="M4" s="67"/>
    </row>
    <row r="5" spans="1:18" ht="15.95" customHeight="1" x14ac:dyDescent="0.3">
      <c r="A5" s="248">
        <f>YEAR(A3)</f>
        <v>2025</v>
      </c>
      <c r="B5" s="235" t="s">
        <v>1128</v>
      </c>
      <c r="C5" s="236">
        <f>SUMIFS($I:$I,$B:$B,"&gt;="&amp;DATE(A5,A4,1),$B:$B,"&lt;="&amp;EOMONTH(DATE(A5,A4,1),0))</f>
        <v>0</v>
      </c>
      <c r="D5" s="245"/>
      <c r="E5" s="242"/>
      <c r="F5" s="243"/>
      <c r="G5" s="242"/>
      <c r="H5" s="244"/>
      <c r="I5" s="240"/>
      <c r="J5" s="69"/>
      <c r="K5" s="69"/>
      <c r="L5" s="67"/>
      <c r="M5" s="67"/>
    </row>
    <row r="6" spans="1:18" ht="15.95" customHeight="1" x14ac:dyDescent="0.3">
      <c r="A6" s="86"/>
      <c r="B6" s="92"/>
      <c r="C6" s="87"/>
      <c r="D6" s="116"/>
      <c r="E6" s="88"/>
      <c r="F6" s="223"/>
      <c r="G6" s="88"/>
      <c r="H6" s="127"/>
      <c r="I6" s="123"/>
      <c r="J6" s="123"/>
      <c r="K6" s="67"/>
      <c r="L6" s="67"/>
      <c r="M6" s="67"/>
    </row>
    <row r="7" spans="1:18" ht="18" customHeight="1" x14ac:dyDescent="0.3">
      <c r="A7" s="70"/>
      <c r="B7" s="91"/>
      <c r="C7" s="71"/>
      <c r="D7" s="115"/>
      <c r="E7" s="72"/>
      <c r="F7" s="222"/>
      <c r="G7" s="73"/>
      <c r="H7" s="125"/>
      <c r="I7" s="122"/>
      <c r="J7" s="122"/>
      <c r="K7" s="74"/>
      <c r="L7" s="74"/>
      <c r="M7" s="54"/>
      <c r="N7" s="54"/>
      <c r="O7" s="54"/>
      <c r="P7" s="54"/>
      <c r="Q7" s="54"/>
      <c r="R7" s="54"/>
    </row>
    <row r="8" spans="1:18" ht="18" customHeight="1" x14ac:dyDescent="0.3">
      <c r="A8" s="75" t="s">
        <v>2</v>
      </c>
      <c r="B8" s="76" t="s">
        <v>14</v>
      </c>
      <c r="C8" s="76" t="s">
        <v>1168</v>
      </c>
      <c r="D8" s="76" t="s">
        <v>2553</v>
      </c>
      <c r="E8" s="77" t="s">
        <v>36</v>
      </c>
      <c r="F8" s="119" t="s">
        <v>42</v>
      </c>
      <c r="G8" s="77" t="s">
        <v>50</v>
      </c>
      <c r="H8" s="119" t="s">
        <v>42</v>
      </c>
      <c r="I8" s="119" t="s">
        <v>1625</v>
      </c>
      <c r="J8" s="119" t="s">
        <v>2554</v>
      </c>
      <c r="K8" s="77" t="s">
        <v>1625</v>
      </c>
      <c r="L8" s="77" t="s">
        <v>2554</v>
      </c>
      <c r="O8" s="54"/>
      <c r="P8" s="54"/>
      <c r="Q8" s="54"/>
      <c r="R8" s="54"/>
    </row>
    <row r="9" spans="1:18" ht="18" customHeight="1" x14ac:dyDescent="0.3">
      <c r="A9" s="89"/>
      <c r="B9" s="94"/>
      <c r="C9" s="85"/>
      <c r="D9" s="112"/>
      <c r="E9" s="79"/>
      <c r="F9" s="224"/>
      <c r="H9" s="128"/>
      <c r="K9" s="80"/>
      <c r="L9" s="81"/>
      <c r="O9" s="54"/>
      <c r="P9" s="54"/>
      <c r="Q9" s="54"/>
      <c r="R9" s="54"/>
    </row>
    <row r="10" spans="1:18" ht="18" customHeight="1" x14ac:dyDescent="0.3">
      <c r="A10" s="89"/>
      <c r="B10" s="94"/>
      <c r="C10" s="85"/>
      <c r="D10" s="112"/>
      <c r="E10" s="79"/>
      <c r="F10" s="224"/>
      <c r="H10" s="128"/>
      <c r="K10" s="80"/>
      <c r="L10" s="81"/>
      <c r="O10" s="54"/>
      <c r="P10" s="54"/>
      <c r="Q10" s="54"/>
      <c r="R10" s="54"/>
    </row>
    <row r="11" spans="1:18" ht="18" customHeight="1" x14ac:dyDescent="0.3">
      <c r="A11" s="89"/>
      <c r="B11" s="94"/>
      <c r="C11" s="85"/>
      <c r="D11" s="112"/>
      <c r="E11" s="79"/>
      <c r="F11" s="224"/>
      <c r="H11" s="128"/>
      <c r="K11" s="80"/>
      <c r="L11" s="81"/>
      <c r="O11" s="54"/>
      <c r="P11" s="54"/>
      <c r="Q11" s="54"/>
      <c r="R11" s="54"/>
    </row>
    <row r="12" spans="1:18" ht="18" customHeight="1" x14ac:dyDescent="0.3">
      <c r="A12" s="89"/>
      <c r="B12" s="94"/>
      <c r="C12" s="85"/>
      <c r="D12" s="112"/>
      <c r="E12" s="79"/>
      <c r="F12" s="224"/>
      <c r="H12" s="128"/>
      <c r="K12" s="80"/>
      <c r="L12" s="81"/>
      <c r="O12" s="54"/>
      <c r="P12" s="54"/>
      <c r="Q12" s="54"/>
      <c r="R12" s="54"/>
    </row>
    <row r="13" spans="1:18" ht="18" customHeight="1" x14ac:dyDescent="0.3">
      <c r="A13" s="89"/>
      <c r="B13" s="94"/>
      <c r="C13" s="85"/>
      <c r="D13" s="112"/>
      <c r="E13" s="78"/>
      <c r="F13" s="80"/>
      <c r="K13" s="80"/>
      <c r="O13" s="54"/>
      <c r="P13" s="54"/>
      <c r="Q13" s="54"/>
      <c r="R13" s="54"/>
    </row>
    <row r="14" spans="1:18" ht="18" customHeight="1" x14ac:dyDescent="0.3">
      <c r="A14" s="89"/>
      <c r="B14" s="94"/>
      <c r="C14" s="85"/>
      <c r="D14" s="112"/>
      <c r="E14" s="79"/>
      <c r="F14" s="224"/>
      <c r="H14" s="128"/>
      <c r="K14" s="80"/>
      <c r="L14" s="81"/>
      <c r="O14" s="54"/>
      <c r="P14" s="54"/>
      <c r="Q14" s="54"/>
      <c r="R14" s="54"/>
    </row>
    <row r="15" spans="1:18" ht="18" customHeight="1" x14ac:dyDescent="0.3">
      <c r="A15" s="89"/>
      <c r="B15" s="94"/>
      <c r="C15" s="85"/>
      <c r="D15" s="112"/>
      <c r="E15" s="78"/>
      <c r="F15" s="80"/>
      <c r="O15" s="54"/>
      <c r="P15" s="54"/>
      <c r="Q15" s="54"/>
      <c r="R15" s="54"/>
    </row>
    <row r="16" spans="1:18" ht="18" customHeight="1" x14ac:dyDescent="0.3">
      <c r="O16" s="54"/>
      <c r="P16" s="54"/>
      <c r="Q16" s="54"/>
      <c r="R16" s="54"/>
    </row>
    <row r="17" spans="1:18" ht="18" customHeight="1" x14ac:dyDescent="0.3">
      <c r="A17" s="89"/>
      <c r="B17" s="94"/>
      <c r="C17" s="85"/>
      <c r="D17" s="112"/>
      <c r="E17" s="78"/>
      <c r="F17" s="80"/>
      <c r="O17" s="54"/>
      <c r="P17" s="54"/>
      <c r="Q17" s="54"/>
      <c r="R17" s="54"/>
    </row>
    <row r="18" spans="1:18" s="68" customFormat="1" ht="18" customHeight="1" x14ac:dyDescent="0.3">
      <c r="A18" s="89"/>
      <c r="B18" s="94"/>
      <c r="C18" s="85"/>
      <c r="D18" s="112"/>
      <c r="E18" s="79"/>
      <c r="F18" s="224"/>
      <c r="G18" s="85"/>
      <c r="H18" s="128"/>
      <c r="I18" s="80"/>
      <c r="J18" s="80"/>
      <c r="K18" s="80"/>
      <c r="L18" s="81"/>
      <c r="M18" s="69"/>
      <c r="N18" s="67"/>
      <c r="O18" s="54"/>
      <c r="P18" s="54"/>
      <c r="Q18" s="54"/>
      <c r="R18" s="54"/>
    </row>
    <row r="19" spans="1:18" s="68" customFormat="1" ht="18" customHeight="1" x14ac:dyDescent="0.3">
      <c r="A19" s="89"/>
      <c r="B19" s="94"/>
      <c r="C19" s="85"/>
      <c r="D19" s="112"/>
      <c r="E19" s="78"/>
      <c r="F19" s="80"/>
      <c r="G19" s="85"/>
      <c r="H19" s="126"/>
      <c r="I19" s="80"/>
      <c r="J19" s="80"/>
      <c r="K19" s="78"/>
      <c r="L19" s="78"/>
      <c r="M19" s="69"/>
      <c r="N19" s="67"/>
      <c r="O19" s="54"/>
      <c r="P19" s="54"/>
      <c r="Q19" s="54"/>
      <c r="R19" s="54"/>
    </row>
    <row r="20" spans="1:18" s="68" customFormat="1" ht="18" customHeight="1" x14ac:dyDescent="0.3">
      <c r="A20" s="89"/>
      <c r="B20" s="94"/>
      <c r="C20" s="85"/>
      <c r="D20" s="112"/>
      <c r="E20" s="79"/>
      <c r="F20" s="224"/>
      <c r="G20" s="85"/>
      <c r="H20" s="128"/>
      <c r="I20" s="80"/>
      <c r="J20" s="80"/>
      <c r="K20" s="80"/>
      <c r="L20" s="81"/>
      <c r="M20" s="69"/>
      <c r="N20" s="67"/>
      <c r="O20" s="54"/>
      <c r="P20" s="54"/>
      <c r="Q20" s="54"/>
      <c r="R20" s="54"/>
    </row>
    <row r="21" spans="1:18" s="68" customFormat="1" ht="18" customHeight="1" x14ac:dyDescent="0.3">
      <c r="A21" s="89"/>
      <c r="B21" s="94"/>
      <c r="C21" s="85"/>
      <c r="D21" s="112"/>
      <c r="E21" s="79"/>
      <c r="F21" s="224"/>
      <c r="G21" s="85"/>
      <c r="H21" s="128"/>
      <c r="I21" s="80"/>
      <c r="J21" s="80"/>
      <c r="K21" s="80"/>
      <c r="L21" s="81"/>
      <c r="M21" s="69"/>
      <c r="N21" s="67"/>
      <c r="O21" s="54"/>
      <c r="P21" s="54"/>
      <c r="Q21" s="54"/>
    </row>
    <row r="22" spans="1:18" s="68" customFormat="1" ht="18" customHeight="1" x14ac:dyDescent="0.3">
      <c r="A22" s="89"/>
      <c r="B22" s="94"/>
      <c r="C22" s="85"/>
      <c r="D22" s="112"/>
      <c r="E22" s="78"/>
      <c r="F22" s="80"/>
      <c r="G22" s="85"/>
      <c r="H22" s="126"/>
      <c r="I22" s="80"/>
      <c r="J22" s="80"/>
      <c r="K22" s="80"/>
      <c r="L22" s="78"/>
      <c r="M22" s="69"/>
      <c r="N22" s="67"/>
    </row>
    <row r="23" spans="1:18" s="68" customFormat="1" ht="18" customHeight="1" x14ac:dyDescent="0.3">
      <c r="A23" s="89"/>
      <c r="B23" s="94"/>
      <c r="C23" s="85"/>
      <c r="D23" s="112"/>
      <c r="E23" s="78"/>
      <c r="F23" s="80"/>
      <c r="G23" s="85"/>
      <c r="H23" s="126"/>
      <c r="I23" s="80"/>
      <c r="J23" s="80"/>
      <c r="K23" s="80"/>
      <c r="L23" s="78"/>
      <c r="M23" s="69"/>
      <c r="N23" s="67"/>
    </row>
    <row r="24" spans="1:18" s="68" customFormat="1" ht="18" customHeight="1" x14ac:dyDescent="0.3">
      <c r="A24" s="89"/>
      <c r="B24" s="94"/>
      <c r="C24" s="85"/>
      <c r="D24" s="112"/>
      <c r="E24" s="78"/>
      <c r="F24" s="80"/>
      <c r="G24" s="85"/>
      <c r="H24" s="126"/>
      <c r="I24" s="80"/>
      <c r="J24" s="80"/>
      <c r="K24" s="78"/>
      <c r="L24" s="78"/>
      <c r="M24" s="69"/>
      <c r="N24" s="67"/>
    </row>
    <row r="25" spans="1:18" ht="18" customHeight="1" x14ac:dyDescent="0.3">
      <c r="A25" s="89"/>
      <c r="B25" s="94"/>
      <c r="C25" s="85"/>
      <c r="D25" s="112"/>
      <c r="E25" s="78"/>
      <c r="F25" s="80"/>
    </row>
    <row r="26" spans="1:18" ht="18" customHeight="1" x14ac:dyDescent="0.3">
      <c r="A26" s="89"/>
      <c r="B26" s="94"/>
      <c r="C26" s="85"/>
      <c r="D26" s="112"/>
      <c r="E26" s="78"/>
      <c r="F26" s="80"/>
    </row>
    <row r="27" spans="1:18" ht="18" customHeight="1" x14ac:dyDescent="0.3">
      <c r="A27" s="89"/>
      <c r="B27" s="94"/>
      <c r="C27" s="85"/>
      <c r="D27" s="112"/>
      <c r="E27" s="78"/>
      <c r="F27" s="80"/>
    </row>
    <row r="28" spans="1:18" ht="18" customHeight="1" x14ac:dyDescent="0.3">
      <c r="A28" s="89"/>
      <c r="B28" s="94"/>
      <c r="C28" s="85"/>
      <c r="D28" s="112"/>
      <c r="E28" s="78"/>
      <c r="F28" s="80"/>
    </row>
    <row r="29" spans="1:18" ht="18" customHeight="1" x14ac:dyDescent="0.3">
      <c r="A29" s="89"/>
      <c r="B29" s="94"/>
      <c r="C29" s="85"/>
      <c r="D29" s="112"/>
      <c r="E29" s="78"/>
      <c r="F29" s="80"/>
    </row>
    <row r="30" spans="1:18" ht="18" customHeight="1" x14ac:dyDescent="0.3">
      <c r="A30" s="89"/>
      <c r="B30" s="94"/>
      <c r="C30" s="85"/>
      <c r="D30" s="112"/>
      <c r="E30" s="78"/>
      <c r="F30" s="80"/>
    </row>
    <row r="31" spans="1:18" ht="18" customHeight="1" x14ac:dyDescent="0.3">
      <c r="A31" s="89"/>
      <c r="B31" s="94"/>
      <c r="C31" s="85"/>
      <c r="D31" s="112"/>
      <c r="E31" s="78"/>
      <c r="F31" s="80"/>
    </row>
    <row r="32" spans="1:18" ht="18" customHeight="1" x14ac:dyDescent="0.3">
      <c r="A32" s="89"/>
      <c r="B32" s="94"/>
      <c r="C32" s="85"/>
      <c r="D32" s="112"/>
      <c r="E32" s="78"/>
      <c r="F32" s="80"/>
    </row>
    <row r="33" spans="1:12" ht="18" customHeight="1" x14ac:dyDescent="0.3">
      <c r="A33" s="89"/>
      <c r="B33" s="94"/>
      <c r="C33" s="85"/>
      <c r="D33" s="112"/>
      <c r="E33" s="79"/>
      <c r="F33" s="224"/>
      <c r="H33" s="128"/>
      <c r="K33" s="80"/>
      <c r="L33" s="81"/>
    </row>
    <row r="42" spans="1:12" ht="18" customHeight="1" x14ac:dyDescent="0.3">
      <c r="B42" s="94"/>
      <c r="C42" s="85"/>
      <c r="D42" s="112"/>
      <c r="E42" s="78"/>
      <c r="F42" s="80"/>
    </row>
    <row r="43" spans="1:12" ht="18" customHeight="1" x14ac:dyDescent="0.3">
      <c r="A43" s="89"/>
      <c r="B43" s="94"/>
      <c r="C43" s="85"/>
      <c r="D43" s="112"/>
      <c r="E43" s="79"/>
      <c r="F43" s="224"/>
      <c r="H43" s="128"/>
      <c r="K43" s="80"/>
      <c r="L43" s="81"/>
    </row>
    <row r="44" spans="1:12" ht="18" customHeight="1" x14ac:dyDescent="0.3">
      <c r="B44" s="94"/>
      <c r="C44" s="85"/>
      <c r="D44" s="112"/>
      <c r="E44" s="78"/>
      <c r="F44" s="80"/>
    </row>
    <row r="45" spans="1:12" ht="18" customHeight="1" x14ac:dyDescent="0.3">
      <c r="B45" s="94"/>
      <c r="C45" s="85"/>
      <c r="D45" s="112"/>
      <c r="E45" s="78"/>
      <c r="F45" s="80"/>
    </row>
    <row r="46" spans="1:12" ht="18" customHeight="1" x14ac:dyDescent="0.3">
      <c r="A46" s="89"/>
      <c r="B46" s="94"/>
      <c r="C46" s="85"/>
      <c r="D46" s="112"/>
      <c r="E46" s="78"/>
      <c r="F46" s="80"/>
    </row>
    <row r="86" spans="6:12" ht="18" customHeight="1" x14ac:dyDescent="0.3">
      <c r="F86" s="80"/>
    </row>
    <row r="88" spans="6:12" ht="18" customHeight="1" x14ac:dyDescent="0.3">
      <c r="F88" s="80"/>
    </row>
    <row r="90" spans="6:12" ht="18" customHeight="1" x14ac:dyDescent="0.3">
      <c r="F90" s="80"/>
    </row>
    <row r="92" spans="6:12" ht="18" customHeight="1" x14ac:dyDescent="0.3">
      <c r="F92" s="80"/>
      <c r="G92" s="120"/>
      <c r="L92" s="120"/>
    </row>
    <row r="93" spans="6:12" ht="18" customHeight="1" x14ac:dyDescent="0.3">
      <c r="F93" s="80"/>
      <c r="G93" s="120"/>
      <c r="L93" s="120"/>
    </row>
    <row r="94" spans="6:12" ht="18" customHeight="1" x14ac:dyDescent="0.3">
      <c r="F94" s="80"/>
      <c r="G94" s="120"/>
      <c r="L94" s="120"/>
    </row>
    <row r="95" spans="6:12" ht="18" customHeight="1" x14ac:dyDescent="0.3">
      <c r="F95" s="80"/>
      <c r="G95" s="120"/>
      <c r="L95" s="120"/>
    </row>
    <row r="96" spans="6:12" ht="18" customHeight="1" x14ac:dyDescent="0.3">
      <c r="F96" s="80"/>
      <c r="G96" s="120"/>
      <c r="L96" s="120"/>
    </row>
    <row r="97" spans="6:12" ht="18" customHeight="1" x14ac:dyDescent="0.3">
      <c r="F97" s="80"/>
      <c r="G97" s="120"/>
      <c r="L97" s="120"/>
    </row>
    <row r="98" spans="6:12" ht="18" customHeight="1" x14ac:dyDescent="0.3">
      <c r="F98" s="80"/>
      <c r="G98" s="120"/>
      <c r="L98" s="120"/>
    </row>
    <row r="99" spans="6:12" ht="18" customHeight="1" x14ac:dyDescent="0.3">
      <c r="F99" s="80"/>
      <c r="G99" s="120"/>
      <c r="L99" s="120"/>
    </row>
    <row r="100" spans="6:12" ht="18" customHeight="1" x14ac:dyDescent="0.3">
      <c r="F100" s="80"/>
      <c r="G100" s="120"/>
      <c r="L100" s="120"/>
    </row>
    <row r="101" spans="6:12" ht="18" customHeight="1" x14ac:dyDescent="0.3">
      <c r="F101" s="80"/>
      <c r="G101" s="120"/>
      <c r="L101" s="120"/>
    </row>
    <row r="102" spans="6:12" ht="18" customHeight="1" x14ac:dyDescent="0.3">
      <c r="F102" s="80"/>
      <c r="G102" s="120"/>
      <c r="L102" s="120"/>
    </row>
    <row r="103" spans="6:12" ht="18" customHeight="1" x14ac:dyDescent="0.3">
      <c r="F103" s="80"/>
      <c r="G103" s="120"/>
      <c r="L103" s="120"/>
    </row>
    <row r="104" spans="6:12" ht="18" customHeight="1" x14ac:dyDescent="0.3">
      <c r="F104" s="80"/>
      <c r="G104" s="120"/>
      <c r="L104" s="120"/>
    </row>
    <row r="105" spans="6:12" ht="18" customHeight="1" x14ac:dyDescent="0.3">
      <c r="F105" s="80"/>
      <c r="G105" s="120"/>
      <c r="L105" s="120"/>
    </row>
    <row r="106" spans="6:12" ht="18" customHeight="1" x14ac:dyDescent="0.3">
      <c r="F106" s="80"/>
      <c r="G106" s="120"/>
      <c r="L106" s="120"/>
    </row>
    <row r="107" spans="6:12" ht="18" customHeight="1" x14ac:dyDescent="0.3">
      <c r="F107" s="80"/>
      <c r="G107" s="120"/>
      <c r="L107" s="120"/>
    </row>
    <row r="108" spans="6:12" ht="18" customHeight="1" x14ac:dyDescent="0.3">
      <c r="F108" s="80"/>
      <c r="G108" s="120"/>
      <c r="L108" s="120"/>
    </row>
    <row r="109" spans="6:12" ht="18" customHeight="1" x14ac:dyDescent="0.3">
      <c r="F109" s="80"/>
      <c r="G109" s="120"/>
      <c r="L109" s="120"/>
    </row>
    <row r="110" spans="6:12" ht="18" customHeight="1" x14ac:dyDescent="0.3">
      <c r="F110" s="80"/>
      <c r="G110" s="120"/>
      <c r="L110" s="120"/>
    </row>
    <row r="111" spans="6:12" ht="18" customHeight="1" x14ac:dyDescent="0.3">
      <c r="F111" s="80"/>
      <c r="G111" s="120"/>
      <c r="L111" s="120"/>
    </row>
    <row r="112" spans="6:12" ht="18" customHeight="1" x14ac:dyDescent="0.3">
      <c r="F112" s="80"/>
      <c r="G112" s="120"/>
      <c r="L112" s="120"/>
    </row>
    <row r="113" spans="6:12" ht="18" customHeight="1" x14ac:dyDescent="0.3">
      <c r="F113" s="80"/>
      <c r="G113" s="120"/>
      <c r="L113" s="120"/>
    </row>
    <row r="114" spans="6:12" ht="18" customHeight="1" x14ac:dyDescent="0.3">
      <c r="F114" s="80"/>
      <c r="G114" s="120"/>
      <c r="L114" s="120"/>
    </row>
    <row r="115" spans="6:12" ht="18" customHeight="1" x14ac:dyDescent="0.3">
      <c r="F115" s="80"/>
      <c r="G115" s="120"/>
      <c r="L115" s="120"/>
    </row>
    <row r="116" spans="6:12" ht="18" customHeight="1" x14ac:dyDescent="0.3">
      <c r="F116" s="80"/>
      <c r="G116" s="120"/>
      <c r="L116" s="120"/>
    </row>
    <row r="117" spans="6:12" ht="18" customHeight="1" x14ac:dyDescent="0.3">
      <c r="F117" s="80"/>
      <c r="G117" s="120"/>
      <c r="L117" s="120"/>
    </row>
    <row r="118" spans="6:12" ht="18" customHeight="1" x14ac:dyDescent="0.3">
      <c r="F118" s="80"/>
      <c r="G118" s="120"/>
      <c r="L118" s="120"/>
    </row>
    <row r="119" spans="6:12" ht="18" customHeight="1" x14ac:dyDescent="0.3">
      <c r="F119" s="80"/>
      <c r="G119" s="120"/>
      <c r="L119" s="120"/>
    </row>
    <row r="120" spans="6:12" ht="18" customHeight="1" x14ac:dyDescent="0.3">
      <c r="F120" s="80"/>
      <c r="G120" s="120"/>
      <c r="L120" s="120"/>
    </row>
    <row r="121" spans="6:12" ht="18" customHeight="1" x14ac:dyDescent="0.3">
      <c r="F121" s="80"/>
      <c r="G121" s="120"/>
      <c r="L121" s="120"/>
    </row>
    <row r="200" spans="9:9" ht="18" customHeight="1" x14ac:dyDescent="0.3">
      <c r="I200" s="126"/>
    </row>
    <row r="201" spans="9:9" ht="18" customHeight="1" x14ac:dyDescent="0.3">
      <c r="I201" s="126"/>
    </row>
  </sheetData>
  <phoneticPr fontId="2" type="noConversion"/>
  <pageMargins left="0.7" right="0.7" top="0.75" bottom="0.75" header="0.3" footer="0.3"/>
  <pageSetup paperSize="256" orientation="portrait" horizontalDpi="203" verticalDpi="203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A49C72-4234-457F-80A3-65174D04BE20}">
  <sheetPr codeName="shtCategory2"/>
  <dimension ref="A1:B6"/>
  <sheetViews>
    <sheetView workbookViewId="0">
      <selection activeCell="A7" sqref="A7"/>
    </sheetView>
  </sheetViews>
  <sheetFormatPr defaultRowHeight="16.5" x14ac:dyDescent="0.3"/>
  <sheetData>
    <row r="1" spans="1:2" x14ac:dyDescent="0.3">
      <c r="A1" t="s">
        <v>36</v>
      </c>
      <c r="B1" s="96">
        <v>1</v>
      </c>
    </row>
    <row r="2" spans="1:2" x14ac:dyDescent="0.3">
      <c r="A2" t="s">
        <v>1999</v>
      </c>
    </row>
    <row r="3" spans="1:2" x14ac:dyDescent="0.3">
      <c r="A3" t="s">
        <v>2001</v>
      </c>
    </row>
    <row r="4" spans="1:2" x14ac:dyDescent="0.3">
      <c r="A4" t="s">
        <v>2002</v>
      </c>
    </row>
    <row r="5" spans="1:2" x14ac:dyDescent="0.3">
      <c r="A5" t="s">
        <v>2003</v>
      </c>
    </row>
    <row r="6" spans="1:2" x14ac:dyDescent="0.3">
      <c r="A6" t="s">
        <v>2005</v>
      </c>
    </row>
  </sheetData>
  <phoneticPr fontId="2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350791-8D9E-4D3A-8D56-9967F64CCCBF}">
  <sheetPr codeName="shtOrder_print"/>
  <dimension ref="A1:U44"/>
  <sheetViews>
    <sheetView zoomScaleNormal="100" workbookViewId="0">
      <selection activeCell="M26" sqref="M26:U26"/>
    </sheetView>
  </sheetViews>
  <sheetFormatPr defaultRowHeight="16.5" x14ac:dyDescent="0.3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 x14ac:dyDescent="0.3">
      <c r="A1" s="327"/>
      <c r="B1" s="328"/>
      <c r="C1" s="328"/>
      <c r="D1" s="328"/>
      <c r="E1" s="328"/>
      <c r="F1" s="328"/>
      <c r="G1" s="328"/>
      <c r="H1" s="98" t="s">
        <v>71</v>
      </c>
      <c r="I1" s="98"/>
      <c r="J1" s="98"/>
      <c r="K1" s="98"/>
      <c r="L1" s="98"/>
      <c r="M1" s="98"/>
      <c r="N1" s="98"/>
      <c r="O1" s="98"/>
      <c r="P1" s="98"/>
      <c r="Q1" s="329" t="s">
        <v>1197</v>
      </c>
      <c r="R1" s="329"/>
      <c r="S1" s="439"/>
      <c r="T1" s="439"/>
      <c r="U1" s="440"/>
    </row>
    <row r="2" spans="1:21" x14ac:dyDescent="0.3">
      <c r="A2" s="307" t="s">
        <v>65</v>
      </c>
      <c r="B2" s="308"/>
      <c r="C2" s="309" t="s">
        <v>2223</v>
      </c>
      <c r="D2" s="310"/>
      <c r="E2" s="310"/>
      <c r="F2" s="310"/>
      <c r="G2" s="311"/>
      <c r="H2" s="309" t="s">
        <v>76</v>
      </c>
      <c r="I2" s="310"/>
      <c r="J2" s="310"/>
      <c r="K2" s="310"/>
      <c r="L2" s="310"/>
      <c r="M2" s="310"/>
      <c r="N2" s="310"/>
      <c r="O2" s="311"/>
      <c r="P2" s="312" t="s">
        <v>63</v>
      </c>
      <c r="Q2" s="313"/>
      <c r="R2" s="313"/>
      <c r="S2" s="308"/>
      <c r="T2" s="314">
        <v>45804</v>
      </c>
      <c r="U2" s="315"/>
    </row>
    <row r="3" spans="1:21" ht="24" customHeight="1" x14ac:dyDescent="0.3">
      <c r="A3" s="382" t="s">
        <v>1167</v>
      </c>
      <c r="B3" s="37" t="s">
        <v>59</v>
      </c>
      <c r="C3" s="506" t="s">
        <v>1541</v>
      </c>
      <c r="D3" s="507"/>
      <c r="E3" s="507"/>
      <c r="F3" s="507"/>
      <c r="G3" s="507"/>
      <c r="H3" s="507"/>
      <c r="I3" s="507"/>
      <c r="J3" s="508"/>
      <c r="K3" s="388" t="s">
        <v>1168</v>
      </c>
      <c r="L3" s="37" t="s">
        <v>59</v>
      </c>
      <c r="M3" s="492" t="s">
        <v>964</v>
      </c>
      <c r="N3" s="493"/>
      <c r="O3" s="493"/>
      <c r="P3" s="493"/>
      <c r="Q3" s="493"/>
      <c r="R3" s="493"/>
      <c r="S3" s="493"/>
      <c r="T3" s="493"/>
      <c r="U3" s="494"/>
    </row>
    <row r="4" spans="1:21" ht="24.95" customHeight="1" x14ac:dyDescent="0.3">
      <c r="A4" s="383"/>
      <c r="B4" s="37" t="s">
        <v>61</v>
      </c>
      <c r="C4" s="436"/>
      <c r="D4" s="437"/>
      <c r="E4" s="437"/>
      <c r="F4" s="437"/>
      <c r="G4" s="437"/>
      <c r="H4" s="437"/>
      <c r="I4" s="437"/>
      <c r="J4" s="438"/>
      <c r="K4" s="389"/>
      <c r="L4" s="37" t="s">
        <v>61</v>
      </c>
      <c r="M4" s="397" t="s">
        <v>962</v>
      </c>
      <c r="N4" s="398"/>
      <c r="O4" s="398"/>
      <c r="P4" s="398"/>
      <c r="Q4" s="398"/>
      <c r="R4" s="399"/>
      <c r="S4" s="38" t="s">
        <v>62</v>
      </c>
      <c r="T4" s="472" t="s">
        <v>73</v>
      </c>
      <c r="U4" s="473"/>
    </row>
    <row r="5" spans="1:21" ht="15.75" customHeight="1" x14ac:dyDescent="0.3">
      <c r="A5" s="383"/>
      <c r="B5" s="38" t="s">
        <v>60</v>
      </c>
      <c r="C5" s="397" t="s">
        <v>1093</v>
      </c>
      <c r="D5" s="398"/>
      <c r="E5" s="398"/>
      <c r="F5" s="398"/>
      <c r="G5" s="398"/>
      <c r="H5" s="398"/>
      <c r="I5" s="398"/>
      <c r="J5" s="399"/>
      <c r="K5" s="389"/>
      <c r="L5" s="38" t="s">
        <v>60</v>
      </c>
      <c r="M5" s="397" t="s">
        <v>74</v>
      </c>
      <c r="N5" s="398"/>
      <c r="O5" s="398"/>
      <c r="P5" s="398"/>
      <c r="Q5" s="398"/>
      <c r="R5" s="398"/>
      <c r="S5" s="398"/>
      <c r="T5" s="398"/>
      <c r="U5" s="400"/>
    </row>
    <row r="6" spans="1:21" ht="15.75" customHeight="1" x14ac:dyDescent="0.3">
      <c r="A6" s="384"/>
      <c r="B6" s="38" t="s">
        <v>75</v>
      </c>
      <c r="C6" s="397" t="s">
        <v>1092</v>
      </c>
      <c r="D6" s="398"/>
      <c r="E6" s="398"/>
      <c r="F6" s="398"/>
      <c r="G6" s="398"/>
      <c r="H6" s="398"/>
      <c r="I6" s="398"/>
      <c r="J6" s="399"/>
      <c r="K6" s="390"/>
      <c r="L6" s="38" t="s">
        <v>75</v>
      </c>
      <c r="M6" s="397" t="s">
        <v>66</v>
      </c>
      <c r="N6" s="398"/>
      <c r="O6" s="398"/>
      <c r="P6" s="398"/>
      <c r="Q6" s="398"/>
      <c r="R6" s="399"/>
      <c r="S6" s="38" t="s">
        <v>22</v>
      </c>
      <c r="T6" s="397" t="s">
        <v>973</v>
      </c>
      <c r="U6" s="400"/>
    </row>
    <row r="7" spans="1:21" ht="15.75" customHeight="1" x14ac:dyDescent="0.3">
      <c r="A7" s="316" t="s">
        <v>70</v>
      </c>
      <c r="B7" s="317"/>
      <c r="C7" s="317"/>
      <c r="D7" s="317"/>
      <c r="E7" s="379"/>
      <c r="F7" s="380" t="s">
        <v>78</v>
      </c>
      <c r="G7" s="317"/>
      <c r="H7" s="317"/>
      <c r="I7" s="379"/>
      <c r="J7" s="380" t="s">
        <v>67</v>
      </c>
      <c r="K7" s="379"/>
      <c r="L7" s="380" t="s">
        <v>42</v>
      </c>
      <c r="M7" s="317"/>
      <c r="N7" s="317"/>
      <c r="O7" s="317"/>
      <c r="P7" s="379"/>
      <c r="Q7" s="380" t="s">
        <v>68</v>
      </c>
      <c r="R7" s="317"/>
      <c r="S7" s="379"/>
      <c r="T7" s="380" t="s">
        <v>69</v>
      </c>
      <c r="U7" s="381"/>
    </row>
    <row r="8" spans="1:21" ht="15" customHeight="1" x14ac:dyDescent="0.3">
      <c r="A8" s="509" t="s">
        <v>1131</v>
      </c>
      <c r="B8" s="510"/>
      <c r="C8" s="510"/>
      <c r="D8" s="510"/>
      <c r="E8" s="511"/>
      <c r="F8" s="512"/>
      <c r="G8" s="510"/>
      <c r="H8" s="510"/>
      <c r="I8" s="511"/>
      <c r="J8" s="513">
        <v>1</v>
      </c>
      <c r="K8" s="425"/>
      <c r="L8" s="514">
        <v>1000000</v>
      </c>
      <c r="M8" s="515"/>
      <c r="N8" s="515"/>
      <c r="O8" s="515"/>
      <c r="P8" s="516"/>
      <c r="Q8" s="514">
        <v>1000000</v>
      </c>
      <c r="R8" s="515"/>
      <c r="S8" s="516"/>
      <c r="T8" s="432"/>
      <c r="U8" s="433"/>
    </row>
    <row r="9" spans="1:21" ht="15" customHeight="1" x14ac:dyDescent="0.3">
      <c r="A9" s="499"/>
      <c r="B9" s="500"/>
      <c r="C9" s="500"/>
      <c r="D9" s="500"/>
      <c r="E9" s="501"/>
      <c r="F9" s="502"/>
      <c r="G9" s="500"/>
      <c r="H9" s="500"/>
      <c r="I9" s="501"/>
      <c r="J9" s="415"/>
      <c r="K9" s="414"/>
      <c r="L9" s="496"/>
      <c r="M9" s="497"/>
      <c r="N9" s="497"/>
      <c r="O9" s="497"/>
      <c r="P9" s="498"/>
      <c r="Q9" s="496"/>
      <c r="R9" s="497"/>
      <c r="S9" s="498"/>
      <c r="T9" s="419"/>
      <c r="U9" s="420"/>
    </row>
    <row r="10" spans="1:21" ht="15" customHeight="1" x14ac:dyDescent="0.3">
      <c r="A10" s="499"/>
      <c r="B10" s="500"/>
      <c r="C10" s="500"/>
      <c r="D10" s="500"/>
      <c r="E10" s="501"/>
      <c r="F10" s="502"/>
      <c r="G10" s="500"/>
      <c r="H10" s="500"/>
      <c r="I10" s="501"/>
      <c r="J10" s="415"/>
      <c r="K10" s="414"/>
      <c r="L10" s="496"/>
      <c r="M10" s="497"/>
      <c r="N10" s="497"/>
      <c r="O10" s="497"/>
      <c r="P10" s="498"/>
      <c r="Q10" s="496"/>
      <c r="R10" s="497"/>
      <c r="S10" s="498"/>
      <c r="T10" s="419"/>
      <c r="U10" s="420"/>
    </row>
    <row r="11" spans="1:21" ht="15" customHeight="1" x14ac:dyDescent="0.3">
      <c r="A11" s="499"/>
      <c r="B11" s="500"/>
      <c r="C11" s="500"/>
      <c r="D11" s="500"/>
      <c r="E11" s="501"/>
      <c r="F11" s="502"/>
      <c r="G11" s="500"/>
      <c r="H11" s="500"/>
      <c r="I11" s="501"/>
      <c r="J11" s="415"/>
      <c r="K11" s="414"/>
      <c r="L11" s="496"/>
      <c r="M11" s="497"/>
      <c r="N11" s="497"/>
      <c r="O11" s="497"/>
      <c r="P11" s="498"/>
      <c r="Q11" s="496"/>
      <c r="R11" s="497"/>
      <c r="S11" s="498"/>
      <c r="T11" s="419"/>
      <c r="U11" s="420"/>
    </row>
    <row r="12" spans="1:21" ht="15" customHeight="1" x14ac:dyDescent="0.3">
      <c r="A12" s="499"/>
      <c r="B12" s="500"/>
      <c r="C12" s="500"/>
      <c r="D12" s="500"/>
      <c r="E12" s="501"/>
      <c r="F12" s="502"/>
      <c r="G12" s="500"/>
      <c r="H12" s="500"/>
      <c r="I12" s="501"/>
      <c r="J12" s="415"/>
      <c r="K12" s="414"/>
      <c r="L12" s="496"/>
      <c r="M12" s="497"/>
      <c r="N12" s="497"/>
      <c r="O12" s="497"/>
      <c r="P12" s="498"/>
      <c r="Q12" s="496"/>
      <c r="R12" s="497"/>
      <c r="S12" s="498"/>
      <c r="T12" s="419"/>
      <c r="U12" s="420"/>
    </row>
    <row r="13" spans="1:21" ht="15" customHeight="1" x14ac:dyDescent="0.3">
      <c r="A13" s="499"/>
      <c r="B13" s="500"/>
      <c r="C13" s="500"/>
      <c r="D13" s="500"/>
      <c r="E13" s="501"/>
      <c r="F13" s="503"/>
      <c r="G13" s="504"/>
      <c r="H13" s="504"/>
      <c r="I13" s="505"/>
      <c r="J13" s="415"/>
      <c r="K13" s="414"/>
      <c r="L13" s="496"/>
      <c r="M13" s="497"/>
      <c r="N13" s="497"/>
      <c r="O13" s="497"/>
      <c r="P13" s="498"/>
      <c r="Q13" s="496"/>
      <c r="R13" s="497"/>
      <c r="S13" s="498"/>
      <c r="T13" s="419"/>
      <c r="U13" s="420"/>
    </row>
    <row r="14" spans="1:21" ht="15" customHeight="1" x14ac:dyDescent="0.3">
      <c r="A14" s="499"/>
      <c r="B14" s="500"/>
      <c r="C14" s="500"/>
      <c r="D14" s="500"/>
      <c r="E14" s="501"/>
      <c r="F14" s="502"/>
      <c r="G14" s="500"/>
      <c r="H14" s="500"/>
      <c r="I14" s="501"/>
      <c r="J14" s="415"/>
      <c r="K14" s="414"/>
      <c r="L14" s="496"/>
      <c r="M14" s="497"/>
      <c r="N14" s="497"/>
      <c r="O14" s="497"/>
      <c r="P14" s="498"/>
      <c r="Q14" s="496"/>
      <c r="R14" s="497"/>
      <c r="S14" s="498"/>
      <c r="T14" s="419"/>
      <c r="U14" s="420"/>
    </row>
    <row r="15" spans="1:21" ht="15" customHeight="1" x14ac:dyDescent="0.3">
      <c r="A15" s="412"/>
      <c r="B15" s="413"/>
      <c r="C15" s="413"/>
      <c r="D15" s="413"/>
      <c r="E15" s="414"/>
      <c r="F15" s="415"/>
      <c r="G15" s="413"/>
      <c r="H15" s="413"/>
      <c r="I15" s="414"/>
      <c r="J15" s="415"/>
      <c r="K15" s="414"/>
      <c r="L15" s="486"/>
      <c r="M15" s="487"/>
      <c r="N15" s="487"/>
      <c r="O15" s="487"/>
      <c r="P15" s="488"/>
      <c r="Q15" s="486"/>
      <c r="R15" s="487"/>
      <c r="S15" s="488"/>
      <c r="T15" s="419"/>
      <c r="U15" s="420"/>
    </row>
    <row r="16" spans="1:21" ht="15" customHeight="1" x14ac:dyDescent="0.3">
      <c r="A16" s="412"/>
      <c r="B16" s="413"/>
      <c r="C16" s="413"/>
      <c r="D16" s="413"/>
      <c r="E16" s="414"/>
      <c r="F16" s="415"/>
      <c r="G16" s="413"/>
      <c r="H16" s="413"/>
      <c r="I16" s="414"/>
      <c r="J16" s="415"/>
      <c r="K16" s="414"/>
      <c r="L16" s="486"/>
      <c r="M16" s="487"/>
      <c r="N16" s="487"/>
      <c r="O16" s="487"/>
      <c r="P16" s="488"/>
      <c r="Q16" s="486"/>
      <c r="R16" s="487"/>
      <c r="S16" s="488"/>
      <c r="T16" s="419"/>
      <c r="U16" s="420"/>
    </row>
    <row r="17" spans="1:21" ht="15" customHeight="1" x14ac:dyDescent="0.3">
      <c r="A17" s="412"/>
      <c r="B17" s="413"/>
      <c r="C17" s="413"/>
      <c r="D17" s="413"/>
      <c r="E17" s="414"/>
      <c r="F17" s="415"/>
      <c r="G17" s="413"/>
      <c r="H17" s="413"/>
      <c r="I17" s="414"/>
      <c r="J17" s="415"/>
      <c r="K17" s="414"/>
      <c r="L17" s="486"/>
      <c r="M17" s="487"/>
      <c r="N17" s="487"/>
      <c r="O17" s="487"/>
      <c r="P17" s="488"/>
      <c r="Q17" s="486"/>
      <c r="R17" s="487"/>
      <c r="S17" s="488"/>
      <c r="T17" s="419"/>
      <c r="U17" s="420"/>
    </row>
    <row r="18" spans="1:21" ht="15" customHeight="1" x14ac:dyDescent="0.3">
      <c r="A18" s="412"/>
      <c r="B18" s="413"/>
      <c r="C18" s="413"/>
      <c r="D18" s="413"/>
      <c r="E18" s="414"/>
      <c r="F18" s="415"/>
      <c r="G18" s="413"/>
      <c r="H18" s="413"/>
      <c r="I18" s="414"/>
      <c r="J18" s="415"/>
      <c r="K18" s="414"/>
      <c r="L18" s="486"/>
      <c r="M18" s="487"/>
      <c r="N18" s="487"/>
      <c r="O18" s="487"/>
      <c r="P18" s="488"/>
      <c r="Q18" s="486"/>
      <c r="R18" s="487"/>
      <c r="S18" s="488"/>
      <c r="T18" s="419"/>
      <c r="U18" s="420"/>
    </row>
    <row r="19" spans="1:21" ht="15" customHeight="1" x14ac:dyDescent="0.3">
      <c r="A19" s="457"/>
      <c r="B19" s="458"/>
      <c r="C19" s="458"/>
      <c r="D19" s="458"/>
      <c r="E19" s="459"/>
      <c r="F19" s="460"/>
      <c r="G19" s="458"/>
      <c r="H19" s="458"/>
      <c r="I19" s="459"/>
      <c r="J19" s="460"/>
      <c r="K19" s="459"/>
      <c r="L19" s="474"/>
      <c r="M19" s="475"/>
      <c r="N19" s="475"/>
      <c r="O19" s="475"/>
      <c r="P19" s="476"/>
      <c r="Q19" s="474"/>
      <c r="R19" s="475"/>
      <c r="S19" s="476"/>
      <c r="T19" s="477"/>
      <c r="U19" s="478"/>
    </row>
    <row r="20" spans="1:21" x14ac:dyDescent="0.3">
      <c r="A20" s="316" t="s">
        <v>80</v>
      </c>
      <c r="B20" s="317"/>
      <c r="C20" s="317"/>
      <c r="D20" s="317"/>
      <c r="E20" s="317"/>
      <c r="F20" s="318">
        <v>2450000</v>
      </c>
      <c r="G20" s="318"/>
      <c r="H20" s="318"/>
      <c r="I20" s="319"/>
      <c r="J20" s="465">
        <f>SUM(J8:K19)</f>
        <v>1</v>
      </c>
      <c r="K20" s="465"/>
      <c r="L20" s="520" t="s">
        <v>959</v>
      </c>
      <c r="M20" s="521"/>
      <c r="N20" s="521"/>
      <c r="O20" s="521"/>
      <c r="P20" s="522"/>
      <c r="Q20" s="358">
        <f>SUM(Q8:S19)</f>
        <v>1000000</v>
      </c>
      <c r="R20" s="318"/>
      <c r="S20" s="318"/>
      <c r="T20" s="318"/>
      <c r="U20" s="359"/>
    </row>
    <row r="21" spans="1:21" ht="17.25" thickBot="1" x14ac:dyDescent="0.35">
      <c r="A21" s="321" t="s">
        <v>90</v>
      </c>
      <c r="B21" s="322"/>
      <c r="C21" s="322"/>
      <c r="D21" s="322"/>
      <c r="E21" s="322"/>
      <c r="F21" s="323">
        <f>F20+Q20</f>
        <v>3450000</v>
      </c>
      <c r="G21" s="323"/>
      <c r="H21" s="323"/>
      <c r="I21" s="324"/>
      <c r="J21" s="325" t="s">
        <v>965</v>
      </c>
      <c r="K21" s="322"/>
      <c r="L21" s="326" t="str">
        <f>T4</f>
        <v>장효주</v>
      </c>
      <c r="M21" s="326"/>
      <c r="N21" s="326"/>
      <c r="O21" s="325" t="s">
        <v>64</v>
      </c>
      <c r="P21" s="351"/>
      <c r="Q21" s="466" t="str">
        <f>C3</f>
        <v>제이오토(대구)</v>
      </c>
      <c r="R21" s="467"/>
      <c r="S21" s="467"/>
      <c r="T21" s="467"/>
      <c r="U21" s="468"/>
    </row>
    <row r="22" spans="1:21" ht="9" customHeight="1" x14ac:dyDescent="0.3">
      <c r="A22" s="446"/>
      <c r="B22" s="446"/>
      <c r="C22" s="446"/>
      <c r="D22" s="446"/>
      <c r="E22" s="446"/>
      <c r="F22" s="446"/>
      <c r="G22" s="446"/>
      <c r="H22" s="446"/>
      <c r="I22" s="446"/>
      <c r="J22" s="446"/>
      <c r="K22" s="446"/>
      <c r="L22" s="446"/>
      <c r="M22" s="446"/>
      <c r="N22" s="446"/>
      <c r="O22" s="446"/>
      <c r="P22" s="446"/>
      <c r="Q22" s="446"/>
      <c r="R22" s="446"/>
      <c r="S22" s="446"/>
      <c r="T22" s="446"/>
      <c r="U22" s="446"/>
    </row>
    <row r="23" spans="1:21" ht="11.25" customHeight="1" thickBot="1" x14ac:dyDescent="0.35">
      <c r="A23" s="306"/>
      <c r="B23" s="306"/>
      <c r="C23" s="306"/>
      <c r="D23" s="306"/>
      <c r="E23" s="306"/>
      <c r="F23" s="306"/>
      <c r="G23" s="306"/>
      <c r="H23" s="306"/>
      <c r="I23" s="306"/>
      <c r="J23" s="306"/>
      <c r="K23" s="306"/>
      <c r="L23" s="306"/>
      <c r="M23" s="306"/>
      <c r="N23" s="306"/>
      <c r="O23" s="306"/>
      <c r="P23" s="306"/>
      <c r="Q23" s="306"/>
      <c r="R23" s="306"/>
      <c r="S23" s="306"/>
      <c r="T23" s="306"/>
      <c r="U23" s="306"/>
    </row>
    <row r="24" spans="1:21" ht="24" customHeight="1" thickBot="1" x14ac:dyDescent="0.35">
      <c r="A24" s="469" t="s">
        <v>71</v>
      </c>
      <c r="B24" s="470"/>
      <c r="C24" s="470"/>
      <c r="D24" s="470"/>
      <c r="E24" s="470"/>
      <c r="F24" s="470"/>
      <c r="G24" s="470"/>
      <c r="H24" s="470"/>
      <c r="I24" s="470"/>
      <c r="J24" s="470"/>
      <c r="K24" s="470"/>
      <c r="L24" s="470"/>
      <c r="M24" s="470"/>
      <c r="N24" s="470"/>
      <c r="O24" s="470"/>
      <c r="P24" s="470"/>
      <c r="Q24" s="470"/>
      <c r="R24" s="470"/>
      <c r="S24" s="470"/>
      <c r="T24" s="470"/>
      <c r="U24" s="471"/>
    </row>
    <row r="25" spans="1:21" x14ac:dyDescent="0.3">
      <c r="A25" s="307" t="s">
        <v>65</v>
      </c>
      <c r="B25" s="308"/>
      <c r="C25" s="309" t="str">
        <f>C2</f>
        <v>카카오뱅크 3333181865047</v>
      </c>
      <c r="D25" s="310"/>
      <c r="E25" s="310"/>
      <c r="F25" s="310"/>
      <c r="G25" s="311"/>
      <c r="H25" s="309" t="s">
        <v>77</v>
      </c>
      <c r="I25" s="310"/>
      <c r="J25" s="310"/>
      <c r="K25" s="310"/>
      <c r="L25" s="310"/>
      <c r="M25" s="310"/>
      <c r="N25" s="310"/>
      <c r="O25" s="311"/>
      <c r="P25" s="312" t="s">
        <v>63</v>
      </c>
      <c r="Q25" s="313"/>
      <c r="R25" s="313"/>
      <c r="S25" s="308"/>
      <c r="T25" s="314">
        <f>T2</f>
        <v>45804</v>
      </c>
      <c r="U25" s="315"/>
    </row>
    <row r="26" spans="1:21" ht="27" customHeight="1" x14ac:dyDescent="0.3">
      <c r="A26" s="382" t="s">
        <v>1167</v>
      </c>
      <c r="B26" s="37" t="s">
        <v>59</v>
      </c>
      <c r="C26" s="489" t="str">
        <f>C3</f>
        <v>제이오토(대구)</v>
      </c>
      <c r="D26" s="490"/>
      <c r="E26" s="490"/>
      <c r="F26" s="490"/>
      <c r="G26" s="490"/>
      <c r="H26" s="490"/>
      <c r="I26" s="490"/>
      <c r="J26" s="491"/>
      <c r="K26" s="388" t="s">
        <v>1168</v>
      </c>
      <c r="L26" s="37" t="s">
        <v>59</v>
      </c>
      <c r="M26" s="492" t="str">
        <f>M3</f>
        <v>BTS&amp;P</v>
      </c>
      <c r="N26" s="493"/>
      <c r="O26" s="493"/>
      <c r="P26" s="493"/>
      <c r="Q26" s="493"/>
      <c r="R26" s="493"/>
      <c r="S26" s="493"/>
      <c r="T26" s="493"/>
      <c r="U26" s="494"/>
    </row>
    <row r="27" spans="1:21" ht="24.95" customHeight="1" x14ac:dyDescent="0.3">
      <c r="A27" s="383"/>
      <c r="B27" s="37" t="s">
        <v>61</v>
      </c>
      <c r="C27" s="517">
        <f>C4</f>
        <v>0</v>
      </c>
      <c r="D27" s="518"/>
      <c r="E27" s="518"/>
      <c r="F27" s="518"/>
      <c r="G27" s="518"/>
      <c r="H27" s="518"/>
      <c r="I27" s="518"/>
      <c r="J27" s="519"/>
      <c r="K27" s="389"/>
      <c r="L27" s="37" t="s">
        <v>61</v>
      </c>
      <c r="M27" s="397" t="str">
        <f>M4</f>
        <v>259-12-01768</v>
      </c>
      <c r="N27" s="398"/>
      <c r="O27" s="398"/>
      <c r="P27" s="398"/>
      <c r="Q27" s="398"/>
      <c r="R27" s="399"/>
      <c r="S27" s="38" t="s">
        <v>62</v>
      </c>
      <c r="T27" s="472" t="str">
        <f>T4</f>
        <v>장효주</v>
      </c>
      <c r="U27" s="473"/>
    </row>
    <row r="28" spans="1:21" ht="15.75" customHeight="1" x14ac:dyDescent="0.3">
      <c r="A28" s="383"/>
      <c r="B28" s="38" t="s">
        <v>10</v>
      </c>
      <c r="C28" s="397" t="str">
        <f>C5</f>
        <v>대구광역시 서구 가르뱅이로 53</v>
      </c>
      <c r="D28" s="398"/>
      <c r="E28" s="398"/>
      <c r="F28" s="398"/>
      <c r="G28" s="398"/>
      <c r="H28" s="398"/>
      <c r="I28" s="398"/>
      <c r="J28" s="399"/>
      <c r="K28" s="389"/>
      <c r="L28" s="38" t="s">
        <v>10</v>
      </c>
      <c r="M28" s="397" t="str">
        <f>M5</f>
        <v>대구 달서구 용산로 28(본리동)</v>
      </c>
      <c r="N28" s="398"/>
      <c r="O28" s="398"/>
      <c r="P28" s="398"/>
      <c r="Q28" s="398"/>
      <c r="R28" s="398"/>
      <c r="S28" s="398"/>
      <c r="T28" s="398"/>
      <c r="U28" s="400"/>
    </row>
    <row r="29" spans="1:21" ht="15.75" customHeight="1" x14ac:dyDescent="0.3">
      <c r="A29" s="384"/>
      <c r="B29" s="38" t="s">
        <v>75</v>
      </c>
      <c r="C29" s="397" t="str">
        <f>C6</f>
        <v>010-5102-8176</v>
      </c>
      <c r="D29" s="398"/>
      <c r="E29" s="398"/>
      <c r="F29" s="398"/>
      <c r="G29" s="398"/>
      <c r="H29" s="398"/>
      <c r="I29" s="398"/>
      <c r="J29" s="399"/>
      <c r="K29" s="390"/>
      <c r="L29" s="38" t="s">
        <v>75</v>
      </c>
      <c r="M29" s="397" t="str">
        <f>M6</f>
        <v>010-5168-3542</v>
      </c>
      <c r="N29" s="398"/>
      <c r="O29" s="398"/>
      <c r="P29" s="398"/>
      <c r="Q29" s="398"/>
      <c r="R29" s="399"/>
      <c r="S29" s="38" t="s">
        <v>22</v>
      </c>
      <c r="T29" s="397"/>
      <c r="U29" s="400"/>
    </row>
    <row r="30" spans="1:21" ht="15.75" customHeight="1" x14ac:dyDescent="0.3">
      <c r="A30" s="316" t="s">
        <v>70</v>
      </c>
      <c r="B30" s="317"/>
      <c r="C30" s="317"/>
      <c r="D30" s="317"/>
      <c r="E30" s="379"/>
      <c r="F30" s="380" t="s">
        <v>44</v>
      </c>
      <c r="G30" s="317"/>
      <c r="H30" s="317"/>
      <c r="I30" s="379"/>
      <c r="J30" s="380" t="s">
        <v>67</v>
      </c>
      <c r="K30" s="379"/>
      <c r="L30" s="380" t="s">
        <v>42</v>
      </c>
      <c r="M30" s="317"/>
      <c r="N30" s="317"/>
      <c r="O30" s="317"/>
      <c r="P30" s="379"/>
      <c r="Q30" s="380" t="s">
        <v>68</v>
      </c>
      <c r="R30" s="317"/>
      <c r="S30" s="379"/>
      <c r="T30" s="380" t="s">
        <v>69</v>
      </c>
      <c r="U30" s="381"/>
    </row>
    <row r="31" spans="1:21" ht="15" customHeight="1" x14ac:dyDescent="0.3">
      <c r="A31" s="483" t="str">
        <f>A8</f>
        <v>8HP70 VALBEBODY</v>
      </c>
      <c r="B31" s="484"/>
      <c r="C31" s="484"/>
      <c r="D31" s="484"/>
      <c r="E31" s="484"/>
      <c r="F31" s="484">
        <f>F8</f>
        <v>0</v>
      </c>
      <c r="G31" s="484"/>
      <c r="H31" s="484"/>
      <c r="I31" s="484"/>
      <c r="J31" s="484">
        <f>J8</f>
        <v>1</v>
      </c>
      <c r="K31" s="484"/>
      <c r="L31" s="485">
        <f>L8</f>
        <v>1000000</v>
      </c>
      <c r="M31" s="485"/>
      <c r="N31" s="485"/>
      <c r="O31" s="485"/>
      <c r="P31" s="485"/>
      <c r="Q31" s="485">
        <f>Q8</f>
        <v>1000000</v>
      </c>
      <c r="R31" s="485"/>
      <c r="S31" s="485"/>
      <c r="T31" s="484">
        <f>T8</f>
        <v>0</v>
      </c>
      <c r="U31" s="495"/>
    </row>
    <row r="32" spans="1:21" ht="15" customHeight="1" x14ac:dyDescent="0.3">
      <c r="A32" s="464">
        <f t="shared" ref="A32:A42" si="0">A9</f>
        <v>0</v>
      </c>
      <c r="B32" s="461"/>
      <c r="C32" s="461"/>
      <c r="D32" s="461"/>
      <c r="E32" s="461"/>
      <c r="F32" s="461">
        <f t="shared" ref="F32:F42" si="1">F9</f>
        <v>0</v>
      </c>
      <c r="G32" s="461"/>
      <c r="H32" s="461"/>
      <c r="I32" s="461"/>
      <c r="J32" s="461">
        <f t="shared" ref="J32:J42" si="2">J9</f>
        <v>0</v>
      </c>
      <c r="K32" s="461"/>
      <c r="L32" s="463">
        <f t="shared" ref="L32:L42" si="3">L9</f>
        <v>0</v>
      </c>
      <c r="M32" s="463"/>
      <c r="N32" s="463"/>
      <c r="O32" s="463"/>
      <c r="P32" s="463"/>
      <c r="Q32" s="463">
        <f t="shared" ref="Q32:Q42" si="4">Q9</f>
        <v>0</v>
      </c>
      <c r="R32" s="463"/>
      <c r="S32" s="463"/>
      <c r="T32" s="461">
        <f t="shared" ref="T32:T42" si="5">T9</f>
        <v>0</v>
      </c>
      <c r="U32" s="462"/>
    </row>
    <row r="33" spans="1:21" ht="15" customHeight="1" x14ac:dyDescent="0.3">
      <c r="A33" s="464">
        <f t="shared" si="0"/>
        <v>0</v>
      </c>
      <c r="B33" s="461"/>
      <c r="C33" s="461"/>
      <c r="D33" s="461"/>
      <c r="E33" s="461"/>
      <c r="F33" s="461">
        <f t="shared" si="1"/>
        <v>0</v>
      </c>
      <c r="G33" s="461"/>
      <c r="H33" s="461"/>
      <c r="I33" s="461"/>
      <c r="J33" s="461">
        <f t="shared" si="2"/>
        <v>0</v>
      </c>
      <c r="K33" s="461"/>
      <c r="L33" s="463">
        <f t="shared" si="3"/>
        <v>0</v>
      </c>
      <c r="M33" s="463"/>
      <c r="N33" s="463"/>
      <c r="O33" s="463"/>
      <c r="P33" s="463"/>
      <c r="Q33" s="463">
        <f t="shared" si="4"/>
        <v>0</v>
      </c>
      <c r="R33" s="463"/>
      <c r="S33" s="463"/>
      <c r="T33" s="461">
        <f t="shared" si="5"/>
        <v>0</v>
      </c>
      <c r="U33" s="462"/>
    </row>
    <row r="34" spans="1:21" ht="15" customHeight="1" x14ac:dyDescent="0.3">
      <c r="A34" s="464">
        <f t="shared" si="0"/>
        <v>0</v>
      </c>
      <c r="B34" s="461"/>
      <c r="C34" s="461"/>
      <c r="D34" s="461"/>
      <c r="E34" s="461"/>
      <c r="F34" s="461">
        <f t="shared" si="1"/>
        <v>0</v>
      </c>
      <c r="G34" s="461"/>
      <c r="H34" s="461"/>
      <c r="I34" s="461"/>
      <c r="J34" s="461">
        <v>1</v>
      </c>
      <c r="K34" s="461"/>
      <c r="L34" s="463">
        <f t="shared" si="3"/>
        <v>0</v>
      </c>
      <c r="M34" s="463"/>
      <c r="N34" s="463"/>
      <c r="O34" s="463"/>
      <c r="P34" s="463"/>
      <c r="Q34" s="463">
        <f t="shared" si="4"/>
        <v>0</v>
      </c>
      <c r="R34" s="463"/>
      <c r="S34" s="463"/>
      <c r="T34" s="461">
        <f t="shared" si="5"/>
        <v>0</v>
      </c>
      <c r="U34" s="462"/>
    </row>
    <row r="35" spans="1:21" ht="15" customHeight="1" x14ac:dyDescent="0.3">
      <c r="A35" s="464">
        <f t="shared" si="0"/>
        <v>0</v>
      </c>
      <c r="B35" s="461"/>
      <c r="C35" s="461"/>
      <c r="D35" s="461"/>
      <c r="E35" s="461"/>
      <c r="F35" s="461">
        <f t="shared" si="1"/>
        <v>0</v>
      </c>
      <c r="G35" s="461"/>
      <c r="H35" s="461"/>
      <c r="I35" s="461"/>
      <c r="J35" s="461">
        <f t="shared" si="2"/>
        <v>0</v>
      </c>
      <c r="K35" s="461"/>
      <c r="L35" s="463">
        <f t="shared" si="3"/>
        <v>0</v>
      </c>
      <c r="M35" s="463"/>
      <c r="N35" s="463"/>
      <c r="O35" s="463"/>
      <c r="P35" s="463"/>
      <c r="Q35" s="463">
        <f t="shared" si="4"/>
        <v>0</v>
      </c>
      <c r="R35" s="463"/>
      <c r="S35" s="463"/>
      <c r="T35" s="461">
        <f t="shared" si="5"/>
        <v>0</v>
      </c>
      <c r="U35" s="462"/>
    </row>
    <row r="36" spans="1:21" ht="15" customHeight="1" x14ac:dyDescent="0.3">
      <c r="A36" s="464">
        <f t="shared" si="0"/>
        <v>0</v>
      </c>
      <c r="B36" s="461"/>
      <c r="C36" s="461"/>
      <c r="D36" s="461"/>
      <c r="E36" s="461"/>
      <c r="F36" s="461">
        <f t="shared" si="1"/>
        <v>0</v>
      </c>
      <c r="G36" s="461"/>
      <c r="H36" s="461"/>
      <c r="I36" s="461"/>
      <c r="J36" s="461">
        <f t="shared" si="2"/>
        <v>0</v>
      </c>
      <c r="K36" s="461"/>
      <c r="L36" s="463">
        <f t="shared" si="3"/>
        <v>0</v>
      </c>
      <c r="M36" s="463"/>
      <c r="N36" s="463"/>
      <c r="O36" s="463"/>
      <c r="P36" s="463"/>
      <c r="Q36" s="463">
        <f t="shared" si="4"/>
        <v>0</v>
      </c>
      <c r="R36" s="463"/>
      <c r="S36" s="463"/>
      <c r="T36" s="461">
        <f t="shared" si="5"/>
        <v>0</v>
      </c>
      <c r="U36" s="462"/>
    </row>
    <row r="37" spans="1:21" ht="15" customHeight="1" x14ac:dyDescent="0.3">
      <c r="A37" s="464">
        <f t="shared" si="0"/>
        <v>0</v>
      </c>
      <c r="B37" s="461"/>
      <c r="C37" s="461"/>
      <c r="D37" s="461"/>
      <c r="E37" s="461"/>
      <c r="F37" s="461">
        <f t="shared" si="1"/>
        <v>0</v>
      </c>
      <c r="G37" s="461"/>
      <c r="H37" s="461"/>
      <c r="I37" s="461"/>
      <c r="J37" s="461">
        <f t="shared" si="2"/>
        <v>0</v>
      </c>
      <c r="K37" s="461"/>
      <c r="L37" s="463">
        <f t="shared" si="3"/>
        <v>0</v>
      </c>
      <c r="M37" s="463"/>
      <c r="N37" s="463"/>
      <c r="O37" s="463"/>
      <c r="P37" s="463"/>
      <c r="Q37" s="463">
        <f t="shared" si="4"/>
        <v>0</v>
      </c>
      <c r="R37" s="463"/>
      <c r="S37" s="463"/>
      <c r="T37" s="461">
        <f t="shared" si="5"/>
        <v>0</v>
      </c>
      <c r="U37" s="462"/>
    </row>
    <row r="38" spans="1:21" ht="15" customHeight="1" x14ac:dyDescent="0.3">
      <c r="A38" s="464">
        <f t="shared" si="0"/>
        <v>0</v>
      </c>
      <c r="B38" s="461"/>
      <c r="C38" s="461"/>
      <c r="D38" s="461"/>
      <c r="E38" s="461"/>
      <c r="F38" s="461">
        <f t="shared" si="1"/>
        <v>0</v>
      </c>
      <c r="G38" s="461"/>
      <c r="H38" s="461"/>
      <c r="I38" s="461"/>
      <c r="J38" s="461">
        <f t="shared" si="2"/>
        <v>0</v>
      </c>
      <c r="K38" s="461"/>
      <c r="L38" s="463">
        <f t="shared" si="3"/>
        <v>0</v>
      </c>
      <c r="M38" s="463"/>
      <c r="N38" s="463"/>
      <c r="O38" s="463"/>
      <c r="P38" s="463"/>
      <c r="Q38" s="463">
        <f t="shared" si="4"/>
        <v>0</v>
      </c>
      <c r="R38" s="463"/>
      <c r="S38" s="463"/>
      <c r="T38" s="461">
        <f t="shared" si="5"/>
        <v>0</v>
      </c>
      <c r="U38" s="462"/>
    </row>
    <row r="39" spans="1:21" ht="15" customHeight="1" x14ac:dyDescent="0.3">
      <c r="A39" s="464">
        <f t="shared" si="0"/>
        <v>0</v>
      </c>
      <c r="B39" s="461"/>
      <c r="C39" s="461"/>
      <c r="D39" s="461"/>
      <c r="E39" s="461"/>
      <c r="F39" s="461">
        <f t="shared" si="1"/>
        <v>0</v>
      </c>
      <c r="G39" s="461"/>
      <c r="H39" s="461"/>
      <c r="I39" s="461"/>
      <c r="J39" s="461">
        <f t="shared" si="2"/>
        <v>0</v>
      </c>
      <c r="K39" s="461"/>
      <c r="L39" s="463">
        <f t="shared" si="3"/>
        <v>0</v>
      </c>
      <c r="M39" s="463"/>
      <c r="N39" s="463"/>
      <c r="O39" s="463"/>
      <c r="P39" s="463"/>
      <c r="Q39" s="463">
        <f t="shared" si="4"/>
        <v>0</v>
      </c>
      <c r="R39" s="463"/>
      <c r="S39" s="463"/>
      <c r="T39" s="461">
        <f t="shared" si="5"/>
        <v>0</v>
      </c>
      <c r="U39" s="462"/>
    </row>
    <row r="40" spans="1:21" ht="15" customHeight="1" x14ac:dyDescent="0.3">
      <c r="A40" s="464">
        <f t="shared" si="0"/>
        <v>0</v>
      </c>
      <c r="B40" s="461"/>
      <c r="C40" s="461"/>
      <c r="D40" s="461"/>
      <c r="E40" s="461"/>
      <c r="F40" s="461">
        <f t="shared" si="1"/>
        <v>0</v>
      </c>
      <c r="G40" s="461"/>
      <c r="H40" s="461"/>
      <c r="I40" s="461"/>
      <c r="J40" s="461">
        <f t="shared" si="2"/>
        <v>0</v>
      </c>
      <c r="K40" s="461"/>
      <c r="L40" s="463">
        <f t="shared" si="3"/>
        <v>0</v>
      </c>
      <c r="M40" s="463"/>
      <c r="N40" s="463"/>
      <c r="O40" s="463"/>
      <c r="P40" s="463"/>
      <c r="Q40" s="463">
        <f t="shared" si="4"/>
        <v>0</v>
      </c>
      <c r="R40" s="463"/>
      <c r="S40" s="463"/>
      <c r="T40" s="461">
        <f t="shared" si="5"/>
        <v>0</v>
      </c>
      <c r="U40" s="462"/>
    </row>
    <row r="41" spans="1:21" ht="15" customHeight="1" x14ac:dyDescent="0.3">
      <c r="A41" s="464">
        <f t="shared" si="0"/>
        <v>0</v>
      </c>
      <c r="B41" s="461"/>
      <c r="C41" s="461"/>
      <c r="D41" s="461"/>
      <c r="E41" s="461"/>
      <c r="F41" s="461">
        <f t="shared" si="1"/>
        <v>0</v>
      </c>
      <c r="G41" s="461"/>
      <c r="H41" s="461"/>
      <c r="I41" s="461"/>
      <c r="J41" s="461">
        <f t="shared" si="2"/>
        <v>0</v>
      </c>
      <c r="K41" s="461"/>
      <c r="L41" s="463">
        <f t="shared" si="3"/>
        <v>0</v>
      </c>
      <c r="M41" s="463"/>
      <c r="N41" s="463"/>
      <c r="O41" s="463"/>
      <c r="P41" s="463"/>
      <c r="Q41" s="463">
        <f t="shared" si="4"/>
        <v>0</v>
      </c>
      <c r="R41" s="463"/>
      <c r="S41" s="463"/>
      <c r="T41" s="461">
        <f t="shared" si="5"/>
        <v>0</v>
      </c>
      <c r="U41" s="462"/>
    </row>
    <row r="42" spans="1:21" ht="15" customHeight="1" x14ac:dyDescent="0.3">
      <c r="A42" s="479">
        <f t="shared" si="0"/>
        <v>0</v>
      </c>
      <c r="B42" s="480"/>
      <c r="C42" s="480"/>
      <c r="D42" s="480"/>
      <c r="E42" s="480"/>
      <c r="F42" s="480">
        <f t="shared" si="1"/>
        <v>0</v>
      </c>
      <c r="G42" s="480"/>
      <c r="H42" s="480"/>
      <c r="I42" s="480"/>
      <c r="J42" s="480">
        <f t="shared" si="2"/>
        <v>0</v>
      </c>
      <c r="K42" s="480"/>
      <c r="L42" s="481">
        <f t="shared" si="3"/>
        <v>0</v>
      </c>
      <c r="M42" s="481"/>
      <c r="N42" s="481"/>
      <c r="O42" s="481"/>
      <c r="P42" s="481"/>
      <c r="Q42" s="481">
        <f t="shared" si="4"/>
        <v>0</v>
      </c>
      <c r="R42" s="481"/>
      <c r="S42" s="481"/>
      <c r="T42" s="480">
        <f t="shared" si="5"/>
        <v>0</v>
      </c>
      <c r="U42" s="482"/>
    </row>
    <row r="43" spans="1:21" x14ac:dyDescent="0.3">
      <c r="A43" s="316" t="s">
        <v>80</v>
      </c>
      <c r="B43" s="317"/>
      <c r="C43" s="317"/>
      <c r="D43" s="317"/>
      <c r="E43" s="317"/>
      <c r="F43" s="318">
        <f>F20</f>
        <v>2450000</v>
      </c>
      <c r="G43" s="318"/>
      <c r="H43" s="318"/>
      <c r="I43" s="319"/>
      <c r="J43" s="465">
        <f>J20</f>
        <v>1</v>
      </c>
      <c r="K43" s="465"/>
      <c r="L43" s="520" t="s">
        <v>959</v>
      </c>
      <c r="M43" s="521"/>
      <c r="N43" s="521"/>
      <c r="O43" s="521"/>
      <c r="P43" s="522"/>
      <c r="Q43" s="523">
        <f>Q20</f>
        <v>1000000</v>
      </c>
      <c r="R43" s="524"/>
      <c r="S43" s="524"/>
      <c r="T43" s="524"/>
      <c r="U43" s="525"/>
    </row>
    <row r="44" spans="1:21" ht="17.25" thickBot="1" x14ac:dyDescent="0.35">
      <c r="A44" s="321" t="s">
        <v>90</v>
      </c>
      <c r="B44" s="322"/>
      <c r="C44" s="322"/>
      <c r="D44" s="322"/>
      <c r="E44" s="322"/>
      <c r="F44" s="323">
        <f>F21</f>
        <v>3450000</v>
      </c>
      <c r="G44" s="323"/>
      <c r="H44" s="323"/>
      <c r="I44" s="324"/>
      <c r="J44" s="325" t="s">
        <v>965</v>
      </c>
      <c r="K44" s="322"/>
      <c r="L44" s="326" t="str">
        <f>L21</f>
        <v>장효주</v>
      </c>
      <c r="M44" s="326"/>
      <c r="N44" s="326"/>
      <c r="O44" s="325" t="s">
        <v>64</v>
      </c>
      <c r="P44" s="351"/>
      <c r="Q44" s="466" t="str">
        <f>Q21</f>
        <v>제이오토(대구)</v>
      </c>
      <c r="R44" s="467"/>
      <c r="S44" s="467"/>
      <c r="T44" s="467"/>
      <c r="U44" s="468"/>
    </row>
  </sheetData>
  <mergeCells count="218">
    <mergeCell ref="S1:U1"/>
    <mergeCell ref="Q1:R1"/>
    <mergeCell ref="A1:G1"/>
    <mergeCell ref="A43:E43"/>
    <mergeCell ref="F43:I43"/>
    <mergeCell ref="L43:P43"/>
    <mergeCell ref="Q43:U43"/>
    <mergeCell ref="J21:K21"/>
    <mergeCell ref="L21:N21"/>
    <mergeCell ref="Q21:U21"/>
    <mergeCell ref="O21:P21"/>
    <mergeCell ref="L30:P30"/>
    <mergeCell ref="L31:P31"/>
    <mergeCell ref="L32:P32"/>
    <mergeCell ref="L33:P33"/>
    <mergeCell ref="L34:P34"/>
    <mergeCell ref="L35:P35"/>
    <mergeCell ref="L36:P36"/>
    <mergeCell ref="L37:P37"/>
    <mergeCell ref="L38:P38"/>
    <mergeCell ref="M29:R29"/>
    <mergeCell ref="T29:U29"/>
    <mergeCell ref="A30:E30"/>
    <mergeCell ref="F30:I30"/>
    <mergeCell ref="J30:K30"/>
    <mergeCell ref="T25:U25"/>
    <mergeCell ref="C27:J27"/>
    <mergeCell ref="P2:S2"/>
    <mergeCell ref="T2:U2"/>
    <mergeCell ref="L19:P19"/>
    <mergeCell ref="L20:P20"/>
    <mergeCell ref="A21:E21"/>
    <mergeCell ref="A20:E20"/>
    <mergeCell ref="F20:I20"/>
    <mergeCell ref="F21:I21"/>
    <mergeCell ref="Q20:U20"/>
    <mergeCell ref="A7:E7"/>
    <mergeCell ref="F7:I7"/>
    <mergeCell ref="Q7:S7"/>
    <mergeCell ref="T7:U7"/>
    <mergeCell ref="J7:K7"/>
    <mergeCell ref="L7:P7"/>
    <mergeCell ref="J20:K20"/>
    <mergeCell ref="Q8:S8"/>
    <mergeCell ref="T8:U8"/>
    <mergeCell ref="A9:E9"/>
    <mergeCell ref="F9:I9"/>
    <mergeCell ref="J9:K9"/>
    <mergeCell ref="Q9:S9"/>
    <mergeCell ref="T9:U9"/>
    <mergeCell ref="K3:K6"/>
    <mergeCell ref="T6:U6"/>
    <mergeCell ref="M3:U3"/>
    <mergeCell ref="M5:U5"/>
    <mergeCell ref="M6:R6"/>
    <mergeCell ref="L9:P9"/>
    <mergeCell ref="A3:A6"/>
    <mergeCell ref="C3:J3"/>
    <mergeCell ref="C5:J5"/>
    <mergeCell ref="M4:R4"/>
    <mergeCell ref="T4:U4"/>
    <mergeCell ref="C4:J4"/>
    <mergeCell ref="A8:E8"/>
    <mergeCell ref="F8:I8"/>
    <mergeCell ref="J8:K8"/>
    <mergeCell ref="L8:P8"/>
    <mergeCell ref="T10:U10"/>
    <mergeCell ref="A11:E11"/>
    <mergeCell ref="F11:I11"/>
    <mergeCell ref="J11:K11"/>
    <mergeCell ref="Q11:S11"/>
    <mergeCell ref="T11:U11"/>
    <mergeCell ref="A10:E10"/>
    <mergeCell ref="F10:I10"/>
    <mergeCell ref="J10:K10"/>
    <mergeCell ref="Q10:S10"/>
    <mergeCell ref="L10:P10"/>
    <mergeCell ref="L11:P11"/>
    <mergeCell ref="T12:U12"/>
    <mergeCell ref="A13:E13"/>
    <mergeCell ref="F13:I13"/>
    <mergeCell ref="J13:K13"/>
    <mergeCell ref="Q13:S13"/>
    <mergeCell ref="T13:U13"/>
    <mergeCell ref="A12:E12"/>
    <mergeCell ref="F12:I12"/>
    <mergeCell ref="J12:K12"/>
    <mergeCell ref="Q12:S12"/>
    <mergeCell ref="L12:P12"/>
    <mergeCell ref="L13:P13"/>
    <mergeCell ref="P25:S25"/>
    <mergeCell ref="Q30:S30"/>
    <mergeCell ref="T30:U30"/>
    <mergeCell ref="Q14:S14"/>
    <mergeCell ref="T14:U14"/>
    <mergeCell ref="A15:E15"/>
    <mergeCell ref="F15:I15"/>
    <mergeCell ref="J15:K15"/>
    <mergeCell ref="Q15:S15"/>
    <mergeCell ref="T15:U15"/>
    <mergeCell ref="A14:E14"/>
    <mergeCell ref="F14:I14"/>
    <mergeCell ref="J14:K14"/>
    <mergeCell ref="L14:P14"/>
    <mergeCell ref="L15:P15"/>
    <mergeCell ref="Q18:S18"/>
    <mergeCell ref="T16:U16"/>
    <mergeCell ref="A17:E17"/>
    <mergeCell ref="F17:I17"/>
    <mergeCell ref="J17:K17"/>
    <mergeCell ref="Q17:S17"/>
    <mergeCell ref="T17:U17"/>
    <mergeCell ref="A16:E16"/>
    <mergeCell ref="F16:I16"/>
    <mergeCell ref="J16:K16"/>
    <mergeCell ref="Q16:S16"/>
    <mergeCell ref="L16:P16"/>
    <mergeCell ref="L17:P17"/>
    <mergeCell ref="L18:P18"/>
    <mergeCell ref="T18:U18"/>
    <mergeCell ref="T33:U33"/>
    <mergeCell ref="A34:E34"/>
    <mergeCell ref="F34:I34"/>
    <mergeCell ref="J34:K34"/>
    <mergeCell ref="Q34:S34"/>
    <mergeCell ref="T34:U34"/>
    <mergeCell ref="A33:E33"/>
    <mergeCell ref="F33:I33"/>
    <mergeCell ref="J33:K33"/>
    <mergeCell ref="Q33:S33"/>
    <mergeCell ref="A26:A29"/>
    <mergeCell ref="C26:J26"/>
    <mergeCell ref="K26:K29"/>
    <mergeCell ref="M26:U26"/>
    <mergeCell ref="C28:J28"/>
    <mergeCell ref="M28:U28"/>
    <mergeCell ref="C29:J29"/>
    <mergeCell ref="T31:U31"/>
    <mergeCell ref="A32:E32"/>
    <mergeCell ref="F32:I32"/>
    <mergeCell ref="J32:K32"/>
    <mergeCell ref="Q32:S32"/>
    <mergeCell ref="T32:U32"/>
    <mergeCell ref="A31:E31"/>
    <mergeCell ref="F31:I31"/>
    <mergeCell ref="J31:K31"/>
    <mergeCell ref="Q31:S31"/>
    <mergeCell ref="T37:U37"/>
    <mergeCell ref="A38:E38"/>
    <mergeCell ref="F38:I38"/>
    <mergeCell ref="J38:K38"/>
    <mergeCell ref="Q38:S38"/>
    <mergeCell ref="T38:U38"/>
    <mergeCell ref="A37:E37"/>
    <mergeCell ref="F37:I37"/>
    <mergeCell ref="J37:K37"/>
    <mergeCell ref="Q37:S37"/>
    <mergeCell ref="A42:E42"/>
    <mergeCell ref="F42:I42"/>
    <mergeCell ref="J42:K42"/>
    <mergeCell ref="Q42:S42"/>
    <mergeCell ref="T42:U42"/>
    <mergeCell ref="A41:E41"/>
    <mergeCell ref="F41:I41"/>
    <mergeCell ref="T41:U41"/>
    <mergeCell ref="A40:E40"/>
    <mergeCell ref="F40:I40"/>
    <mergeCell ref="J40:K40"/>
    <mergeCell ref="Q40:S40"/>
    <mergeCell ref="L42:P42"/>
    <mergeCell ref="J43:K43"/>
    <mergeCell ref="A44:E44"/>
    <mergeCell ref="F44:I44"/>
    <mergeCell ref="J44:K44"/>
    <mergeCell ref="L44:N44"/>
    <mergeCell ref="O44:P44"/>
    <mergeCell ref="Q44:U44"/>
    <mergeCell ref="A24:U24"/>
    <mergeCell ref="H2:O2"/>
    <mergeCell ref="H25:O25"/>
    <mergeCell ref="M27:R27"/>
    <mergeCell ref="T27:U27"/>
    <mergeCell ref="C6:J6"/>
    <mergeCell ref="A25:B25"/>
    <mergeCell ref="C25:G25"/>
    <mergeCell ref="A22:U22"/>
    <mergeCell ref="A23:U23"/>
    <mergeCell ref="J19:K19"/>
    <mergeCell ref="Q19:S19"/>
    <mergeCell ref="T19:U19"/>
    <mergeCell ref="A18:E18"/>
    <mergeCell ref="F18:I18"/>
    <mergeCell ref="J18:K18"/>
    <mergeCell ref="A2:B2"/>
    <mergeCell ref="C2:G2"/>
    <mergeCell ref="A19:E19"/>
    <mergeCell ref="F19:I19"/>
    <mergeCell ref="T39:U39"/>
    <mergeCell ref="J41:K41"/>
    <mergeCell ref="Q41:S41"/>
    <mergeCell ref="F39:I39"/>
    <mergeCell ref="J39:K39"/>
    <mergeCell ref="Q39:S39"/>
    <mergeCell ref="L39:P39"/>
    <mergeCell ref="L40:P40"/>
    <mergeCell ref="L41:P41"/>
    <mergeCell ref="T40:U40"/>
    <mergeCell ref="A39:E39"/>
    <mergeCell ref="T35:U35"/>
    <mergeCell ref="A36:E36"/>
    <mergeCell ref="F36:I36"/>
    <mergeCell ref="J36:K36"/>
    <mergeCell ref="Q36:S36"/>
    <mergeCell ref="T36:U36"/>
    <mergeCell ref="A35:E35"/>
    <mergeCell ref="F35:I35"/>
    <mergeCell ref="J35:K35"/>
    <mergeCell ref="Q35:S35"/>
  </mergeCells>
  <phoneticPr fontId="2" type="noConversion"/>
  <pageMargins left="0.25" right="0.25" top="0.75" bottom="0.75" header="0.3" footer="0.3"/>
  <pageSetup paperSize="9" orientation="portrait" horizontalDpi="4294967293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A7254D-0AB0-494F-9988-524A10162857}">
  <sheetPr codeName="shtSaleHistory"/>
  <dimension ref="A1:G1031"/>
  <sheetViews>
    <sheetView topLeftCell="A914" workbookViewId="0">
      <selection activeCell="C482" sqref="C482"/>
    </sheetView>
  </sheetViews>
  <sheetFormatPr defaultRowHeight="16.5" x14ac:dyDescent="0.3"/>
  <cols>
    <col min="1" max="1" width="3.75" bestFit="1" customWidth="1"/>
    <col min="2" max="2" width="18.125" customWidth="1"/>
    <col min="3" max="3" width="47.5" customWidth="1"/>
    <col min="4" max="4" width="49" bestFit="1" customWidth="1"/>
    <col min="5" max="5" width="37.625" customWidth="1"/>
    <col min="6" max="6" width="41.75" customWidth="1"/>
  </cols>
  <sheetData>
    <row r="1" spans="1:7" ht="17.25" thickBot="1" x14ac:dyDescent="0.35">
      <c r="A1" s="31" t="s">
        <v>2</v>
      </c>
      <c r="B1" s="31" t="s">
        <v>14</v>
      </c>
      <c r="C1" s="50" t="s">
        <v>49</v>
      </c>
      <c r="D1" s="31" t="s">
        <v>1171</v>
      </c>
      <c r="E1" s="31" t="s">
        <v>1170</v>
      </c>
      <c r="F1" s="31" t="s">
        <v>1169</v>
      </c>
      <c r="G1" s="96">
        <v>1056</v>
      </c>
    </row>
    <row r="2" spans="1:7" x14ac:dyDescent="0.3">
      <c r="A2">
        <v>1</v>
      </c>
      <c r="B2" s="13">
        <v>45735</v>
      </c>
      <c r="C2" t="s">
        <v>1146</v>
      </c>
      <c r="D2" t="s">
        <v>1218</v>
      </c>
    </row>
    <row r="3" spans="1:7" x14ac:dyDescent="0.3">
      <c r="A3">
        <v>2</v>
      </c>
      <c r="B3" s="13">
        <v>45736</v>
      </c>
      <c r="C3" t="s">
        <v>1038</v>
      </c>
      <c r="D3" t="s">
        <v>1220</v>
      </c>
    </row>
    <row r="4" spans="1:7" x14ac:dyDescent="0.3">
      <c r="A4">
        <v>3</v>
      </c>
      <c r="B4" s="13">
        <v>45736</v>
      </c>
      <c r="C4" t="s">
        <v>977</v>
      </c>
      <c r="D4" t="s">
        <v>1222</v>
      </c>
    </row>
    <row r="5" spans="1:7" x14ac:dyDescent="0.3">
      <c r="A5">
        <v>4</v>
      </c>
      <c r="B5" s="13">
        <v>45736</v>
      </c>
      <c r="C5" t="s">
        <v>1238</v>
      </c>
      <c r="D5" t="s">
        <v>1241</v>
      </c>
    </row>
    <row r="6" spans="1:7" x14ac:dyDescent="0.3">
      <c r="A6">
        <v>5</v>
      </c>
      <c r="B6" s="13">
        <v>45737</v>
      </c>
      <c r="C6" t="s">
        <v>1000</v>
      </c>
      <c r="D6" t="s">
        <v>1264</v>
      </c>
    </row>
    <row r="7" spans="1:7" x14ac:dyDescent="0.3">
      <c r="A7">
        <v>6</v>
      </c>
      <c r="B7" s="13">
        <v>45740</v>
      </c>
      <c r="C7" t="s">
        <v>1238</v>
      </c>
      <c r="D7" t="s">
        <v>1363</v>
      </c>
      <c r="E7" t="s">
        <v>1362</v>
      </c>
    </row>
    <row r="8" spans="1:7" x14ac:dyDescent="0.3">
      <c r="A8">
        <v>6</v>
      </c>
      <c r="B8" s="13">
        <v>45740</v>
      </c>
      <c r="C8" t="s">
        <v>1306</v>
      </c>
      <c r="D8" t="s">
        <v>1369</v>
      </c>
      <c r="E8" t="s">
        <v>1368</v>
      </c>
    </row>
    <row r="9" spans="1:7" x14ac:dyDescent="0.3">
      <c r="A9">
        <v>7</v>
      </c>
      <c r="B9" s="13">
        <v>45740</v>
      </c>
      <c r="C9" t="s">
        <v>1373</v>
      </c>
      <c r="D9" t="s">
        <v>1377</v>
      </c>
    </row>
    <row r="10" spans="1:7" x14ac:dyDescent="0.3">
      <c r="A10">
        <v>8</v>
      </c>
      <c r="B10" s="13">
        <v>45740</v>
      </c>
      <c r="C10" t="s">
        <v>1378</v>
      </c>
      <c r="D10" t="s">
        <v>1379</v>
      </c>
    </row>
    <row r="11" spans="1:7" x14ac:dyDescent="0.3">
      <c r="A11">
        <v>9</v>
      </c>
      <c r="B11" s="13">
        <v>45740</v>
      </c>
      <c r="C11" t="s">
        <v>1007</v>
      </c>
      <c r="D11" t="s">
        <v>1383</v>
      </c>
    </row>
    <row r="12" spans="1:7" x14ac:dyDescent="0.3">
      <c r="A12">
        <v>10</v>
      </c>
      <c r="B12" s="13">
        <v>45723</v>
      </c>
      <c r="C12" t="s">
        <v>1399</v>
      </c>
      <c r="D12" t="s">
        <v>1436</v>
      </c>
    </row>
    <row r="13" spans="1:7" x14ac:dyDescent="0.3">
      <c r="A13">
        <v>11</v>
      </c>
      <c r="B13" s="13">
        <v>45723</v>
      </c>
      <c r="C13" t="s">
        <v>1437</v>
      </c>
      <c r="D13" t="s">
        <v>1438</v>
      </c>
    </row>
    <row r="14" spans="1:7" x14ac:dyDescent="0.3">
      <c r="A14">
        <v>12</v>
      </c>
      <c r="B14" s="13">
        <v>45723</v>
      </c>
      <c r="C14" t="s">
        <v>1391</v>
      </c>
      <c r="D14" t="s">
        <v>1439</v>
      </c>
    </row>
    <row r="15" spans="1:7" x14ac:dyDescent="0.3">
      <c r="A15">
        <v>13</v>
      </c>
      <c r="B15" s="13">
        <v>45722</v>
      </c>
      <c r="C15" t="s">
        <v>1399</v>
      </c>
      <c r="D15" t="s">
        <v>1440</v>
      </c>
    </row>
    <row r="16" spans="1:7" x14ac:dyDescent="0.3">
      <c r="A16">
        <v>14</v>
      </c>
      <c r="B16" s="13">
        <v>45722</v>
      </c>
      <c r="C16" t="s">
        <v>1147</v>
      </c>
      <c r="D16" t="s">
        <v>1441</v>
      </c>
    </row>
    <row r="17" spans="1:4" x14ac:dyDescent="0.3">
      <c r="A17">
        <v>15</v>
      </c>
      <c r="B17" s="13">
        <v>45722</v>
      </c>
      <c r="C17" t="s">
        <v>1442</v>
      </c>
      <c r="D17" t="s">
        <v>1443</v>
      </c>
    </row>
    <row r="18" spans="1:4" x14ac:dyDescent="0.3">
      <c r="A18">
        <v>16</v>
      </c>
      <c r="B18" s="13">
        <v>45721</v>
      </c>
      <c r="C18" t="s">
        <v>1444</v>
      </c>
      <c r="D18" t="s">
        <v>1445</v>
      </c>
    </row>
    <row r="19" spans="1:4" x14ac:dyDescent="0.3">
      <c r="A19">
        <v>17</v>
      </c>
      <c r="B19" s="13">
        <v>45720</v>
      </c>
      <c r="C19" t="s">
        <v>1399</v>
      </c>
      <c r="D19" t="s">
        <v>1446</v>
      </c>
    </row>
    <row r="20" spans="1:4" x14ac:dyDescent="0.3">
      <c r="A20">
        <v>17</v>
      </c>
      <c r="B20" s="13">
        <v>45720</v>
      </c>
      <c r="C20" t="s">
        <v>1444</v>
      </c>
      <c r="D20" t="s">
        <v>1447</v>
      </c>
    </row>
    <row r="21" spans="1:4" x14ac:dyDescent="0.3">
      <c r="A21">
        <v>18</v>
      </c>
      <c r="B21" s="13">
        <v>45720</v>
      </c>
      <c r="C21" t="s">
        <v>1147</v>
      </c>
      <c r="D21" t="s">
        <v>1448</v>
      </c>
    </row>
    <row r="22" spans="1:4" x14ac:dyDescent="0.3">
      <c r="A22">
        <v>19</v>
      </c>
      <c r="B22" s="13">
        <v>45720</v>
      </c>
      <c r="C22" t="s">
        <v>1449</v>
      </c>
      <c r="D22" t="s">
        <v>1450</v>
      </c>
    </row>
    <row r="23" spans="1:4" x14ac:dyDescent="0.3">
      <c r="A23">
        <v>20</v>
      </c>
      <c r="B23" s="13">
        <v>45717</v>
      </c>
      <c r="C23" t="s">
        <v>1399</v>
      </c>
      <c r="D23" t="s">
        <v>1451</v>
      </c>
    </row>
    <row r="24" spans="1:4" x14ac:dyDescent="0.3">
      <c r="A24">
        <v>21</v>
      </c>
      <c r="B24" s="13">
        <v>45717</v>
      </c>
      <c r="C24" t="s">
        <v>1452</v>
      </c>
      <c r="D24" t="s">
        <v>1453</v>
      </c>
    </row>
    <row r="25" spans="1:4" x14ac:dyDescent="0.3">
      <c r="A25">
        <v>22</v>
      </c>
      <c r="B25" s="13">
        <v>45723</v>
      </c>
      <c r="C25" t="s">
        <v>1454</v>
      </c>
      <c r="D25" t="s">
        <v>1455</v>
      </c>
    </row>
    <row r="26" spans="1:4" x14ac:dyDescent="0.3">
      <c r="A26">
        <v>23</v>
      </c>
      <c r="B26" s="13">
        <v>45723</v>
      </c>
      <c r="C26" t="s">
        <v>1456</v>
      </c>
      <c r="D26" t="s">
        <v>1457</v>
      </c>
    </row>
    <row r="27" spans="1:4" x14ac:dyDescent="0.3">
      <c r="A27">
        <v>24</v>
      </c>
      <c r="B27" s="13">
        <v>45723</v>
      </c>
      <c r="C27" t="s">
        <v>1458</v>
      </c>
      <c r="D27" t="s">
        <v>1459</v>
      </c>
    </row>
    <row r="28" spans="1:4" x14ac:dyDescent="0.3">
      <c r="A28">
        <v>25</v>
      </c>
      <c r="B28" s="13">
        <v>45724</v>
      </c>
      <c r="C28" t="s">
        <v>1399</v>
      </c>
      <c r="D28" t="s">
        <v>1460</v>
      </c>
    </row>
    <row r="29" spans="1:4" x14ac:dyDescent="0.3">
      <c r="A29">
        <v>26</v>
      </c>
      <c r="B29" s="13">
        <v>45726</v>
      </c>
      <c r="C29" t="s">
        <v>1444</v>
      </c>
      <c r="D29" t="s">
        <v>1461</v>
      </c>
    </row>
    <row r="30" spans="1:4" x14ac:dyDescent="0.3">
      <c r="A30">
        <v>27</v>
      </c>
      <c r="B30" s="13">
        <v>45726</v>
      </c>
      <c r="C30" t="s">
        <v>1053</v>
      </c>
      <c r="D30" t="s">
        <v>1462</v>
      </c>
    </row>
    <row r="31" spans="1:4" x14ac:dyDescent="0.3">
      <c r="A31">
        <v>28</v>
      </c>
      <c r="B31" s="13">
        <v>45727</v>
      </c>
      <c r="C31" t="s">
        <v>1082</v>
      </c>
      <c r="D31" t="s">
        <v>1463</v>
      </c>
    </row>
    <row r="32" spans="1:4" x14ac:dyDescent="0.3">
      <c r="A32">
        <v>29</v>
      </c>
      <c r="B32" s="13">
        <v>45727</v>
      </c>
      <c r="C32" t="s">
        <v>1399</v>
      </c>
      <c r="D32" t="s">
        <v>1465</v>
      </c>
    </row>
    <row r="33" spans="1:4" x14ac:dyDescent="0.3">
      <c r="A33">
        <v>30</v>
      </c>
      <c r="B33" s="13">
        <v>45727</v>
      </c>
      <c r="C33" t="s">
        <v>1156</v>
      </c>
      <c r="D33" t="s">
        <v>1466</v>
      </c>
    </row>
    <row r="34" spans="1:4" x14ac:dyDescent="0.3">
      <c r="A34">
        <v>31</v>
      </c>
      <c r="B34" s="13">
        <v>45727</v>
      </c>
      <c r="C34" t="s">
        <v>1467</v>
      </c>
      <c r="D34" t="s">
        <v>1468</v>
      </c>
    </row>
    <row r="35" spans="1:4" x14ac:dyDescent="0.3">
      <c r="A35">
        <v>32</v>
      </c>
      <c r="B35" s="13">
        <v>45729</v>
      </c>
      <c r="C35" t="s">
        <v>1469</v>
      </c>
      <c r="D35" t="s">
        <v>1471</v>
      </c>
    </row>
    <row r="36" spans="1:4" x14ac:dyDescent="0.3">
      <c r="A36">
        <v>33</v>
      </c>
      <c r="B36" s="13">
        <v>45729</v>
      </c>
      <c r="C36" t="s">
        <v>1007</v>
      </c>
      <c r="D36" t="s">
        <v>1472</v>
      </c>
    </row>
    <row r="37" spans="1:4" x14ac:dyDescent="0.3">
      <c r="A37">
        <v>34</v>
      </c>
      <c r="B37" s="13">
        <v>45730</v>
      </c>
      <c r="C37" t="s">
        <v>1473</v>
      </c>
      <c r="D37" t="s">
        <v>1474</v>
      </c>
    </row>
    <row r="38" spans="1:4" x14ac:dyDescent="0.3">
      <c r="A38">
        <v>35</v>
      </c>
      <c r="B38" s="13">
        <v>45730</v>
      </c>
      <c r="C38" t="s">
        <v>1399</v>
      </c>
      <c r="D38" t="s">
        <v>1477</v>
      </c>
    </row>
    <row r="39" spans="1:4" x14ac:dyDescent="0.3">
      <c r="A39">
        <v>36</v>
      </c>
      <c r="B39" s="13">
        <v>45731</v>
      </c>
      <c r="C39" t="s">
        <v>1173</v>
      </c>
      <c r="D39" t="s">
        <v>1478</v>
      </c>
    </row>
    <row r="40" spans="1:4" x14ac:dyDescent="0.3">
      <c r="A40">
        <v>37</v>
      </c>
      <c r="B40" s="13">
        <v>45731</v>
      </c>
      <c r="C40" t="s">
        <v>1479</v>
      </c>
      <c r="D40" t="s">
        <v>1481</v>
      </c>
    </row>
    <row r="41" spans="1:4" x14ac:dyDescent="0.3">
      <c r="A41">
        <v>38</v>
      </c>
      <c r="B41" s="13">
        <v>45731</v>
      </c>
      <c r="C41" t="s">
        <v>1026</v>
      </c>
      <c r="D41" t="s">
        <v>1483</v>
      </c>
    </row>
    <row r="42" spans="1:4" x14ac:dyDescent="0.3">
      <c r="A42">
        <v>39</v>
      </c>
      <c r="B42" s="13">
        <v>45733</v>
      </c>
      <c r="C42" t="s">
        <v>1147</v>
      </c>
      <c r="D42" t="s">
        <v>1484</v>
      </c>
    </row>
    <row r="43" spans="1:4" x14ac:dyDescent="0.3">
      <c r="A43">
        <v>40</v>
      </c>
      <c r="B43" s="13">
        <v>45733</v>
      </c>
      <c r="C43" t="s">
        <v>1485</v>
      </c>
      <c r="D43" t="s">
        <v>1487</v>
      </c>
    </row>
    <row r="44" spans="1:4" x14ac:dyDescent="0.3">
      <c r="A44">
        <v>41</v>
      </c>
      <c r="B44" s="13">
        <v>45733</v>
      </c>
      <c r="C44" t="s">
        <v>1046</v>
      </c>
      <c r="D44" t="s">
        <v>1491</v>
      </c>
    </row>
    <row r="45" spans="1:4" x14ac:dyDescent="0.3">
      <c r="A45">
        <v>42</v>
      </c>
      <c r="B45" s="13">
        <v>45733</v>
      </c>
      <c r="C45" t="s">
        <v>1469</v>
      </c>
      <c r="D45" t="s">
        <v>1493</v>
      </c>
    </row>
    <row r="46" spans="1:4" x14ac:dyDescent="0.3">
      <c r="A46">
        <v>43</v>
      </c>
      <c r="B46" s="13">
        <v>45733</v>
      </c>
      <c r="C46" t="s">
        <v>1494</v>
      </c>
      <c r="D46" t="s">
        <v>1497</v>
      </c>
    </row>
    <row r="47" spans="1:4" x14ac:dyDescent="0.3">
      <c r="A47">
        <v>44</v>
      </c>
      <c r="B47" s="13">
        <v>45734</v>
      </c>
      <c r="C47" t="s">
        <v>1498</v>
      </c>
      <c r="D47" t="s">
        <v>1499</v>
      </c>
    </row>
    <row r="48" spans="1:4" x14ac:dyDescent="0.3">
      <c r="A48">
        <v>45</v>
      </c>
      <c r="B48" s="13">
        <v>45735</v>
      </c>
      <c r="C48" t="s">
        <v>1399</v>
      </c>
      <c r="D48" t="s">
        <v>1500</v>
      </c>
    </row>
    <row r="49" spans="1:5" x14ac:dyDescent="0.3">
      <c r="A49">
        <v>46</v>
      </c>
      <c r="B49" s="13">
        <v>45735</v>
      </c>
      <c r="C49" t="s">
        <v>1399</v>
      </c>
      <c r="D49" t="s">
        <v>1502</v>
      </c>
    </row>
    <row r="50" spans="1:5" x14ac:dyDescent="0.3">
      <c r="A50">
        <v>47</v>
      </c>
      <c r="B50" s="13">
        <v>45735</v>
      </c>
      <c r="C50" t="s">
        <v>1053</v>
      </c>
      <c r="D50" t="s">
        <v>1504</v>
      </c>
    </row>
    <row r="51" spans="1:5" x14ac:dyDescent="0.3">
      <c r="A51">
        <v>48</v>
      </c>
      <c r="B51" s="13">
        <v>45735</v>
      </c>
      <c r="C51" t="s">
        <v>1378</v>
      </c>
      <c r="D51" t="s">
        <v>1507</v>
      </c>
    </row>
    <row r="52" spans="1:5" x14ac:dyDescent="0.3">
      <c r="A52">
        <v>49</v>
      </c>
      <c r="B52" s="13">
        <v>45736</v>
      </c>
      <c r="C52" t="s">
        <v>1444</v>
      </c>
      <c r="D52" t="s">
        <v>1511</v>
      </c>
    </row>
    <row r="53" spans="1:5" x14ac:dyDescent="0.3">
      <c r="A53">
        <v>50</v>
      </c>
      <c r="B53" s="13">
        <v>45736</v>
      </c>
      <c r="C53" t="s">
        <v>1238</v>
      </c>
      <c r="D53" t="s">
        <v>1512</v>
      </c>
    </row>
    <row r="54" spans="1:5" x14ac:dyDescent="0.3">
      <c r="A54">
        <v>51</v>
      </c>
      <c r="B54" s="13">
        <v>45736</v>
      </c>
      <c r="C54" t="s">
        <v>1469</v>
      </c>
      <c r="D54" t="s">
        <v>1513</v>
      </c>
    </row>
    <row r="55" spans="1:5" x14ac:dyDescent="0.3">
      <c r="A55">
        <v>52</v>
      </c>
      <c r="B55" s="13">
        <v>45736</v>
      </c>
      <c r="C55" t="s">
        <v>1228</v>
      </c>
      <c r="D55" t="s">
        <v>1514</v>
      </c>
    </row>
    <row r="56" spans="1:5" x14ac:dyDescent="0.3">
      <c r="A56">
        <v>53</v>
      </c>
      <c r="B56" s="13">
        <v>45736</v>
      </c>
      <c r="C56" t="s">
        <v>1515</v>
      </c>
      <c r="D56" t="s">
        <v>1516</v>
      </c>
    </row>
    <row r="57" spans="1:5" x14ac:dyDescent="0.3">
      <c r="A57">
        <v>54</v>
      </c>
      <c r="B57" s="13">
        <v>45741</v>
      </c>
      <c r="C57" t="s">
        <v>1517</v>
      </c>
      <c r="D57" t="s">
        <v>1520</v>
      </c>
    </row>
    <row r="58" spans="1:5" x14ac:dyDescent="0.3">
      <c r="A58">
        <v>55</v>
      </c>
      <c r="B58" s="13">
        <v>45737</v>
      </c>
      <c r="C58" t="s">
        <v>1521</v>
      </c>
      <c r="D58" t="s">
        <v>1525</v>
      </c>
    </row>
    <row r="59" spans="1:5" x14ac:dyDescent="0.3">
      <c r="A59">
        <v>56</v>
      </c>
      <c r="B59" s="13">
        <v>45737</v>
      </c>
      <c r="C59" t="s">
        <v>1444</v>
      </c>
      <c r="D59" t="s">
        <v>1526</v>
      </c>
    </row>
    <row r="60" spans="1:5" x14ac:dyDescent="0.3">
      <c r="A60">
        <v>57</v>
      </c>
      <c r="B60" s="13">
        <v>45740</v>
      </c>
      <c r="C60" t="s">
        <v>1306</v>
      </c>
      <c r="D60" t="s">
        <v>1527</v>
      </c>
      <c r="E60" t="s">
        <v>1368</v>
      </c>
    </row>
    <row r="61" spans="1:5" x14ac:dyDescent="0.3">
      <c r="A61">
        <v>58</v>
      </c>
      <c r="B61" s="13">
        <v>45740</v>
      </c>
      <c r="C61" t="s">
        <v>1238</v>
      </c>
      <c r="D61" t="s">
        <v>1528</v>
      </c>
    </row>
    <row r="62" spans="1:5" x14ac:dyDescent="0.3">
      <c r="A62">
        <v>59</v>
      </c>
      <c r="B62" s="13">
        <v>45740</v>
      </c>
      <c r="C62" t="s">
        <v>1373</v>
      </c>
      <c r="D62" t="s">
        <v>1529</v>
      </c>
    </row>
    <row r="63" spans="1:5" x14ac:dyDescent="0.3">
      <c r="A63">
        <v>60</v>
      </c>
      <c r="B63" s="13">
        <v>45740</v>
      </c>
      <c r="C63" t="s">
        <v>1173</v>
      </c>
      <c r="D63" t="s">
        <v>1530</v>
      </c>
    </row>
    <row r="64" spans="1:5" x14ac:dyDescent="0.3">
      <c r="A64">
        <v>61</v>
      </c>
      <c r="B64" s="13">
        <v>45740</v>
      </c>
      <c r="C64" t="s">
        <v>1007</v>
      </c>
      <c r="D64" t="s">
        <v>1531</v>
      </c>
    </row>
    <row r="65" spans="1:6" x14ac:dyDescent="0.3">
      <c r="A65">
        <v>62</v>
      </c>
      <c r="B65" s="13">
        <v>45740</v>
      </c>
      <c r="C65" t="s">
        <v>1532</v>
      </c>
      <c r="D65" t="s">
        <v>1534</v>
      </c>
      <c r="E65" t="s">
        <v>1533</v>
      </c>
    </row>
    <row r="66" spans="1:6" x14ac:dyDescent="0.3">
      <c r="A66">
        <v>63</v>
      </c>
      <c r="B66" s="13">
        <v>45741</v>
      </c>
      <c r="C66" t="s">
        <v>1449</v>
      </c>
      <c r="D66" t="s">
        <v>1536</v>
      </c>
    </row>
    <row r="67" spans="1:6" x14ac:dyDescent="0.3">
      <c r="A67">
        <v>64</v>
      </c>
      <c r="B67" s="13">
        <v>45741</v>
      </c>
      <c r="C67" t="s">
        <v>1147</v>
      </c>
      <c r="D67" t="s">
        <v>1537</v>
      </c>
    </row>
    <row r="68" spans="1:6" x14ac:dyDescent="0.3">
      <c r="A68">
        <v>65</v>
      </c>
      <c r="B68" s="13">
        <v>45741</v>
      </c>
      <c r="C68" t="s">
        <v>1018</v>
      </c>
      <c r="D68" t="s">
        <v>1539</v>
      </c>
    </row>
    <row r="69" spans="1:6" x14ac:dyDescent="0.3">
      <c r="A69">
        <v>66</v>
      </c>
      <c r="B69" s="13">
        <v>45741</v>
      </c>
      <c r="C69" t="s">
        <v>1444</v>
      </c>
      <c r="D69" t="s">
        <v>1540</v>
      </c>
    </row>
    <row r="70" spans="1:6" x14ac:dyDescent="0.3">
      <c r="A70">
        <v>67</v>
      </c>
      <c r="B70" s="13">
        <v>45741</v>
      </c>
      <c r="C70" t="s">
        <v>1541</v>
      </c>
      <c r="D70" t="s">
        <v>1543</v>
      </c>
    </row>
    <row r="71" spans="1:6" x14ac:dyDescent="0.3">
      <c r="A71">
        <v>68</v>
      </c>
      <c r="B71" s="13">
        <v>45741</v>
      </c>
      <c r="C71" t="s">
        <v>1544</v>
      </c>
      <c r="D71" t="s">
        <v>1545</v>
      </c>
    </row>
    <row r="72" spans="1:6" x14ac:dyDescent="0.3">
      <c r="A72">
        <v>69</v>
      </c>
      <c r="B72" s="13">
        <v>45742</v>
      </c>
      <c r="C72" t="s">
        <v>1018</v>
      </c>
      <c r="D72" t="s">
        <v>1546</v>
      </c>
    </row>
    <row r="73" spans="1:6" x14ac:dyDescent="0.3">
      <c r="A73">
        <v>70</v>
      </c>
      <c r="B73" s="13">
        <v>45742</v>
      </c>
      <c r="C73" t="s">
        <v>1391</v>
      </c>
      <c r="D73" t="s">
        <v>1547</v>
      </c>
    </row>
    <row r="74" spans="1:6" x14ac:dyDescent="0.3">
      <c r="A74">
        <v>71</v>
      </c>
      <c r="B74" s="13">
        <v>45742</v>
      </c>
      <c r="C74" t="s">
        <v>1395</v>
      </c>
      <c r="D74" t="s">
        <v>1548</v>
      </c>
    </row>
    <row r="75" spans="1:6" x14ac:dyDescent="0.3">
      <c r="A75">
        <v>72</v>
      </c>
      <c r="B75" s="13">
        <v>45742</v>
      </c>
      <c r="C75" t="s">
        <v>1007</v>
      </c>
      <c r="D75" t="s">
        <v>1550</v>
      </c>
      <c r="E75" s="49">
        <v>6725030166635</v>
      </c>
    </row>
    <row r="76" spans="1:6" x14ac:dyDescent="0.3">
      <c r="A76">
        <v>73</v>
      </c>
      <c r="B76" s="13">
        <v>45743</v>
      </c>
      <c r="C76" t="s">
        <v>1568</v>
      </c>
      <c r="D76" t="s">
        <v>1569</v>
      </c>
      <c r="F76" t="s">
        <v>1570</v>
      </c>
    </row>
    <row r="77" spans="1:6" x14ac:dyDescent="0.3">
      <c r="A77">
        <v>74</v>
      </c>
      <c r="B77" s="13">
        <v>45743</v>
      </c>
      <c r="C77" t="s">
        <v>1554</v>
      </c>
      <c r="D77" t="s">
        <v>1557</v>
      </c>
      <c r="E77" t="s">
        <v>1556</v>
      </c>
    </row>
    <row r="78" spans="1:6" x14ac:dyDescent="0.3">
      <c r="A78">
        <v>75</v>
      </c>
      <c r="B78" s="13">
        <v>45744</v>
      </c>
      <c r="C78" t="s">
        <v>1554</v>
      </c>
      <c r="D78" t="s">
        <v>1560</v>
      </c>
    </row>
    <row r="79" spans="1:6" x14ac:dyDescent="0.3">
      <c r="A79">
        <v>76</v>
      </c>
      <c r="B79" s="13">
        <v>45745</v>
      </c>
      <c r="C79" t="s">
        <v>978</v>
      </c>
      <c r="D79" t="s">
        <v>1562</v>
      </c>
    </row>
    <row r="80" spans="1:6" x14ac:dyDescent="0.3">
      <c r="A80">
        <v>77</v>
      </c>
      <c r="B80" s="13">
        <v>45747</v>
      </c>
      <c r="C80" t="s">
        <v>1541</v>
      </c>
      <c r="D80" t="s">
        <v>1573</v>
      </c>
      <c r="E80" t="s">
        <v>1572</v>
      </c>
    </row>
    <row r="81" spans="1:4" x14ac:dyDescent="0.3">
      <c r="A81">
        <v>78</v>
      </c>
      <c r="B81" s="13">
        <v>45747</v>
      </c>
      <c r="C81" t="s">
        <v>1082</v>
      </c>
      <c r="D81" t="s">
        <v>1574</v>
      </c>
    </row>
    <row r="82" spans="1:4" x14ac:dyDescent="0.3">
      <c r="A82">
        <v>79</v>
      </c>
      <c r="B82" s="13">
        <v>45747</v>
      </c>
      <c r="C82" t="s">
        <v>979</v>
      </c>
      <c r="D82" t="s">
        <v>1576</v>
      </c>
    </row>
    <row r="83" spans="1:4" x14ac:dyDescent="0.3">
      <c r="A83">
        <v>80</v>
      </c>
      <c r="B83" s="13">
        <v>45734</v>
      </c>
      <c r="C83" t="s">
        <v>1577</v>
      </c>
      <c r="D83" t="s">
        <v>1579</v>
      </c>
    </row>
    <row r="84" spans="1:4" x14ac:dyDescent="0.3">
      <c r="A84">
        <v>81</v>
      </c>
      <c r="B84" s="13">
        <v>45723</v>
      </c>
      <c r="C84" t="s">
        <v>1580</v>
      </c>
      <c r="D84" t="s">
        <v>1582</v>
      </c>
    </row>
    <row r="85" spans="1:4" x14ac:dyDescent="0.3">
      <c r="A85">
        <v>82</v>
      </c>
      <c r="B85" s="13">
        <v>45723</v>
      </c>
      <c r="C85" t="s">
        <v>1580</v>
      </c>
      <c r="D85" t="s">
        <v>1583</v>
      </c>
    </row>
    <row r="86" spans="1:4" x14ac:dyDescent="0.3">
      <c r="A86">
        <v>83</v>
      </c>
      <c r="B86" s="13">
        <v>45723</v>
      </c>
      <c r="C86" t="s">
        <v>1580</v>
      </c>
      <c r="D86" t="s">
        <v>1584</v>
      </c>
    </row>
    <row r="87" spans="1:4" x14ac:dyDescent="0.3">
      <c r="A87">
        <v>84</v>
      </c>
      <c r="B87" s="13">
        <v>45718</v>
      </c>
      <c r="C87" t="s">
        <v>1015</v>
      </c>
      <c r="D87" t="s">
        <v>1585</v>
      </c>
    </row>
    <row r="88" spans="1:4" x14ac:dyDescent="0.3">
      <c r="A88">
        <v>85</v>
      </c>
      <c r="B88" s="13">
        <v>45729</v>
      </c>
      <c r="C88" t="s">
        <v>1586</v>
      </c>
      <c r="D88" t="s">
        <v>1590</v>
      </c>
    </row>
    <row r="89" spans="1:4" x14ac:dyDescent="0.3">
      <c r="A89">
        <v>86</v>
      </c>
      <c r="B89" s="13">
        <v>45716</v>
      </c>
      <c r="C89" t="s">
        <v>1586</v>
      </c>
      <c r="D89" t="s">
        <v>1591</v>
      </c>
    </row>
    <row r="90" spans="1:4" x14ac:dyDescent="0.3">
      <c r="A90">
        <v>87</v>
      </c>
      <c r="B90" s="13">
        <v>45722</v>
      </c>
      <c r="C90" t="s">
        <v>1467</v>
      </c>
      <c r="D90" t="s">
        <v>1593</v>
      </c>
    </row>
    <row r="91" spans="1:4" x14ac:dyDescent="0.3">
      <c r="A91">
        <v>88</v>
      </c>
      <c r="B91" s="13">
        <v>45722</v>
      </c>
      <c r="C91" t="s">
        <v>987</v>
      </c>
      <c r="D91" t="s">
        <v>1594</v>
      </c>
    </row>
    <row r="92" spans="1:4" x14ac:dyDescent="0.3">
      <c r="A92">
        <v>89</v>
      </c>
      <c r="B92" s="13">
        <v>45726</v>
      </c>
      <c r="C92" t="s">
        <v>987</v>
      </c>
      <c r="D92" t="s">
        <v>1595</v>
      </c>
    </row>
    <row r="93" spans="1:4" x14ac:dyDescent="0.3">
      <c r="A93">
        <v>90</v>
      </c>
      <c r="B93" s="13">
        <v>45735</v>
      </c>
      <c r="C93" t="s">
        <v>1596</v>
      </c>
      <c r="D93" t="s">
        <v>1597</v>
      </c>
    </row>
    <row r="94" spans="1:4" x14ac:dyDescent="0.3">
      <c r="A94">
        <v>91</v>
      </c>
      <c r="B94" s="13">
        <v>45736</v>
      </c>
      <c r="C94" t="s">
        <v>1598</v>
      </c>
      <c r="D94" t="s">
        <v>1599</v>
      </c>
    </row>
    <row r="95" spans="1:4" x14ac:dyDescent="0.3">
      <c r="A95">
        <v>92</v>
      </c>
      <c r="B95" s="13">
        <v>45721</v>
      </c>
      <c r="C95" t="s">
        <v>1452</v>
      </c>
      <c r="D95" t="s">
        <v>1601</v>
      </c>
    </row>
    <row r="96" spans="1:4" x14ac:dyDescent="0.3">
      <c r="A96">
        <v>93</v>
      </c>
      <c r="B96" s="13">
        <v>45736</v>
      </c>
      <c r="C96" t="s">
        <v>1602</v>
      </c>
      <c r="D96" t="s">
        <v>1604</v>
      </c>
    </row>
    <row r="97" spans="1:4" x14ac:dyDescent="0.3">
      <c r="A97">
        <v>94</v>
      </c>
      <c r="B97" s="13">
        <v>45735</v>
      </c>
      <c r="D97" t="s">
        <v>1605</v>
      </c>
    </row>
    <row r="98" spans="1:4" x14ac:dyDescent="0.3">
      <c r="A98">
        <v>95</v>
      </c>
      <c r="B98" s="13">
        <v>45744</v>
      </c>
      <c r="D98" t="s">
        <v>1607</v>
      </c>
    </row>
    <row r="99" spans="1:4" x14ac:dyDescent="0.3">
      <c r="A99">
        <v>96</v>
      </c>
      <c r="B99" s="13">
        <v>45748</v>
      </c>
      <c r="C99" t="s">
        <v>1521</v>
      </c>
      <c r="D99" t="s">
        <v>1610</v>
      </c>
    </row>
    <row r="100" spans="1:4" x14ac:dyDescent="0.3">
      <c r="A100">
        <v>97</v>
      </c>
      <c r="B100" s="13">
        <v>45748</v>
      </c>
      <c r="C100" t="s">
        <v>1517</v>
      </c>
      <c r="D100" t="s">
        <v>1621</v>
      </c>
    </row>
    <row r="101" spans="1:4" x14ac:dyDescent="0.3">
      <c r="A101">
        <v>98</v>
      </c>
      <c r="B101" s="13">
        <v>45748</v>
      </c>
      <c r="C101" t="s">
        <v>1577</v>
      </c>
      <c r="D101" t="s">
        <v>1628</v>
      </c>
    </row>
    <row r="102" spans="1:4" x14ac:dyDescent="0.3">
      <c r="A102">
        <v>99</v>
      </c>
      <c r="B102" s="13">
        <v>45748</v>
      </c>
      <c r="C102" t="s">
        <v>1577</v>
      </c>
      <c r="D102" t="s">
        <v>1630</v>
      </c>
    </row>
    <row r="103" spans="1:4" x14ac:dyDescent="0.3">
      <c r="A103">
        <v>100</v>
      </c>
      <c r="B103" s="13">
        <v>45749</v>
      </c>
      <c r="C103" t="s">
        <v>1449</v>
      </c>
      <c r="D103" t="s">
        <v>1637</v>
      </c>
    </row>
    <row r="104" spans="1:4" x14ac:dyDescent="0.3">
      <c r="A104">
        <v>101</v>
      </c>
      <c r="B104" s="13">
        <v>45749</v>
      </c>
      <c r="C104" t="s">
        <v>1541</v>
      </c>
      <c r="D104" t="s">
        <v>1655</v>
      </c>
    </row>
    <row r="105" spans="1:4" x14ac:dyDescent="0.3">
      <c r="A105">
        <v>102</v>
      </c>
      <c r="B105" s="13">
        <v>45749</v>
      </c>
      <c r="C105" t="s">
        <v>1399</v>
      </c>
      <c r="D105" t="s">
        <v>1656</v>
      </c>
    </row>
    <row r="106" spans="1:4" x14ac:dyDescent="0.3">
      <c r="A106">
        <v>103</v>
      </c>
      <c r="B106" s="13">
        <v>45749</v>
      </c>
      <c r="C106" t="s">
        <v>1018</v>
      </c>
      <c r="D106" t="s">
        <v>1657</v>
      </c>
    </row>
    <row r="107" spans="1:4" x14ac:dyDescent="0.3">
      <c r="A107">
        <v>104</v>
      </c>
      <c r="B107" s="13">
        <v>45749</v>
      </c>
      <c r="C107" t="s">
        <v>1658</v>
      </c>
      <c r="D107" t="s">
        <v>1662</v>
      </c>
    </row>
    <row r="108" spans="1:4" x14ac:dyDescent="0.3">
      <c r="A108">
        <v>105</v>
      </c>
      <c r="B108" s="13">
        <v>45749</v>
      </c>
      <c r="C108" t="s">
        <v>1663</v>
      </c>
      <c r="D108" t="s">
        <v>1665</v>
      </c>
    </row>
    <row r="109" spans="1:4" x14ac:dyDescent="0.3">
      <c r="A109">
        <v>106</v>
      </c>
      <c r="B109" s="13">
        <v>45749</v>
      </c>
      <c r="C109" t="s">
        <v>1541</v>
      </c>
      <c r="D109" t="s">
        <v>1667</v>
      </c>
    </row>
    <row r="110" spans="1:4" x14ac:dyDescent="0.3">
      <c r="A110">
        <v>107</v>
      </c>
      <c r="B110" s="13">
        <v>45750</v>
      </c>
      <c r="C110" t="s">
        <v>1449</v>
      </c>
      <c r="D110" t="s">
        <v>1669</v>
      </c>
    </row>
    <row r="111" spans="1:4" x14ac:dyDescent="0.3">
      <c r="A111">
        <v>108</v>
      </c>
      <c r="B111" s="13">
        <v>45750</v>
      </c>
      <c r="C111" t="s">
        <v>1671</v>
      </c>
      <c r="D111" t="s">
        <v>1675</v>
      </c>
    </row>
    <row r="112" spans="1:4" x14ac:dyDescent="0.3">
      <c r="A112">
        <v>109</v>
      </c>
      <c r="B112" s="13">
        <v>45750</v>
      </c>
      <c r="C112" t="s">
        <v>1676</v>
      </c>
      <c r="D112" t="s">
        <v>1677</v>
      </c>
    </row>
    <row r="113" spans="1:4" x14ac:dyDescent="0.3">
      <c r="A113">
        <v>110</v>
      </c>
      <c r="B113" s="13">
        <v>45750</v>
      </c>
      <c r="C113" t="s">
        <v>1444</v>
      </c>
      <c r="D113" t="s">
        <v>1686</v>
      </c>
    </row>
    <row r="114" spans="1:4" x14ac:dyDescent="0.3">
      <c r="A114">
        <v>111</v>
      </c>
      <c r="B114" s="13">
        <v>45751</v>
      </c>
      <c r="C114" t="s">
        <v>1378</v>
      </c>
      <c r="D114" t="s">
        <v>1692</v>
      </c>
    </row>
    <row r="115" spans="1:4" x14ac:dyDescent="0.3">
      <c r="A115">
        <v>112</v>
      </c>
      <c r="B115" s="13">
        <v>45751</v>
      </c>
      <c r="C115" t="s">
        <v>1469</v>
      </c>
      <c r="D115" t="s">
        <v>1696</v>
      </c>
    </row>
    <row r="116" spans="1:4" x14ac:dyDescent="0.3">
      <c r="A116">
        <v>113</v>
      </c>
      <c r="B116" s="13">
        <v>45751</v>
      </c>
      <c r="C116" t="s">
        <v>1722</v>
      </c>
      <c r="D116" t="s">
        <v>1725</v>
      </c>
    </row>
    <row r="117" spans="1:4" x14ac:dyDescent="0.3">
      <c r="A117">
        <v>114</v>
      </c>
      <c r="B117" s="13">
        <v>45751</v>
      </c>
      <c r="C117" t="s">
        <v>1722</v>
      </c>
      <c r="D117" t="s">
        <v>1726</v>
      </c>
    </row>
    <row r="118" spans="1:4" x14ac:dyDescent="0.3">
      <c r="A118">
        <v>115</v>
      </c>
      <c r="B118" s="13">
        <v>45751</v>
      </c>
      <c r="C118" t="s">
        <v>1722</v>
      </c>
      <c r="D118" t="s">
        <v>1729</v>
      </c>
    </row>
    <row r="119" spans="1:4" x14ac:dyDescent="0.3">
      <c r="A119">
        <v>116</v>
      </c>
      <c r="B119" s="13">
        <v>45752</v>
      </c>
      <c r="C119" t="s">
        <v>1541</v>
      </c>
      <c r="D119" t="s">
        <v>1745</v>
      </c>
    </row>
    <row r="120" spans="1:4" x14ac:dyDescent="0.3">
      <c r="A120">
        <v>117</v>
      </c>
      <c r="B120" s="13">
        <v>45752</v>
      </c>
      <c r="C120" t="s">
        <v>1399</v>
      </c>
      <c r="D120" t="s">
        <v>1749</v>
      </c>
    </row>
    <row r="121" spans="1:4" x14ac:dyDescent="0.3">
      <c r="A121">
        <v>118</v>
      </c>
      <c r="B121" s="13">
        <v>45754</v>
      </c>
      <c r="C121" t="s">
        <v>1747</v>
      </c>
      <c r="D121" t="s">
        <v>1750</v>
      </c>
    </row>
    <row r="122" spans="1:4" x14ac:dyDescent="0.3">
      <c r="A122">
        <v>118</v>
      </c>
      <c r="B122" s="13">
        <v>45754</v>
      </c>
      <c r="C122" t="s">
        <v>1147</v>
      </c>
      <c r="D122" t="s">
        <v>1761</v>
      </c>
    </row>
    <row r="123" spans="1:4" x14ac:dyDescent="0.3">
      <c r="A123">
        <v>119</v>
      </c>
      <c r="B123" s="13">
        <v>45754</v>
      </c>
      <c r="C123" t="s">
        <v>1722</v>
      </c>
      <c r="D123" t="s">
        <v>1772</v>
      </c>
    </row>
    <row r="124" spans="1:4" x14ac:dyDescent="0.3">
      <c r="A124">
        <v>120</v>
      </c>
      <c r="B124" s="13">
        <v>45754</v>
      </c>
      <c r="C124" t="s">
        <v>1053</v>
      </c>
      <c r="D124" t="s">
        <v>1793</v>
      </c>
    </row>
    <row r="125" spans="1:4" x14ac:dyDescent="0.3">
      <c r="A125">
        <v>121</v>
      </c>
      <c r="B125" s="13">
        <v>45754</v>
      </c>
      <c r="C125" t="s">
        <v>1790</v>
      </c>
      <c r="D125" t="s">
        <v>1797</v>
      </c>
    </row>
    <row r="126" spans="1:4" x14ac:dyDescent="0.3">
      <c r="A126">
        <v>122</v>
      </c>
      <c r="B126" s="13">
        <v>45754</v>
      </c>
      <c r="C126" t="s">
        <v>1722</v>
      </c>
      <c r="D126" t="s">
        <v>1798</v>
      </c>
    </row>
    <row r="127" spans="1:4" x14ac:dyDescent="0.3">
      <c r="A127">
        <v>123</v>
      </c>
      <c r="B127" s="13">
        <v>45754</v>
      </c>
      <c r="C127" t="s">
        <v>1399</v>
      </c>
      <c r="D127" t="s">
        <v>1799</v>
      </c>
    </row>
    <row r="128" spans="1:4" x14ac:dyDescent="0.3">
      <c r="A128">
        <v>124</v>
      </c>
      <c r="B128" s="13">
        <v>45755</v>
      </c>
      <c r="C128" t="s">
        <v>1449</v>
      </c>
      <c r="D128" t="s">
        <v>1804</v>
      </c>
    </row>
    <row r="129" spans="1:5" x14ac:dyDescent="0.3">
      <c r="A129">
        <v>125</v>
      </c>
      <c r="B129" s="13">
        <v>45755</v>
      </c>
      <c r="C129" t="s">
        <v>1805</v>
      </c>
      <c r="D129" t="s">
        <v>1807</v>
      </c>
      <c r="E129" t="s">
        <v>1806</v>
      </c>
    </row>
    <row r="130" spans="1:5" x14ac:dyDescent="0.3">
      <c r="A130">
        <v>126</v>
      </c>
      <c r="B130" s="13">
        <v>45755</v>
      </c>
      <c r="C130" t="s">
        <v>1018</v>
      </c>
      <c r="D130" t="s">
        <v>1808</v>
      </c>
    </row>
    <row r="131" spans="1:5" x14ac:dyDescent="0.3">
      <c r="A131">
        <v>127</v>
      </c>
      <c r="B131" s="13">
        <v>45755</v>
      </c>
      <c r="C131" t="s">
        <v>1809</v>
      </c>
      <c r="D131" t="s">
        <v>1810</v>
      </c>
    </row>
    <row r="132" spans="1:5" x14ac:dyDescent="0.3">
      <c r="A132">
        <v>128</v>
      </c>
      <c r="B132" s="13">
        <v>45755</v>
      </c>
      <c r="C132" t="s">
        <v>1580</v>
      </c>
      <c r="D132" t="s">
        <v>1811</v>
      </c>
    </row>
    <row r="133" spans="1:5" x14ac:dyDescent="0.3">
      <c r="A133">
        <v>129</v>
      </c>
      <c r="B133" s="13">
        <v>45755</v>
      </c>
      <c r="C133" t="s">
        <v>1812</v>
      </c>
      <c r="D133" t="s">
        <v>1814</v>
      </c>
    </row>
    <row r="134" spans="1:5" x14ac:dyDescent="0.3">
      <c r="A134">
        <v>130</v>
      </c>
      <c r="B134" s="13">
        <v>45756</v>
      </c>
      <c r="C134" t="s">
        <v>1722</v>
      </c>
      <c r="D134" t="s">
        <v>1824</v>
      </c>
    </row>
    <row r="135" spans="1:5" x14ac:dyDescent="0.3">
      <c r="A135">
        <v>131</v>
      </c>
      <c r="B135" s="13">
        <v>45757</v>
      </c>
      <c r="C135" t="s">
        <v>1458</v>
      </c>
      <c r="D135" t="s">
        <v>1826</v>
      </c>
    </row>
    <row r="136" spans="1:5" x14ac:dyDescent="0.3">
      <c r="A136">
        <v>132</v>
      </c>
      <c r="B136" s="13">
        <v>45757</v>
      </c>
      <c r="C136" t="s">
        <v>1541</v>
      </c>
      <c r="D136" t="s">
        <v>1828</v>
      </c>
    </row>
    <row r="137" spans="1:5" x14ac:dyDescent="0.3">
      <c r="A137">
        <v>133</v>
      </c>
      <c r="B137" s="13">
        <v>45757</v>
      </c>
      <c r="C137" t="s">
        <v>1541</v>
      </c>
      <c r="D137" t="s">
        <v>1831</v>
      </c>
    </row>
    <row r="138" spans="1:5" x14ac:dyDescent="0.3">
      <c r="A138">
        <v>134</v>
      </c>
      <c r="B138" s="13">
        <v>45757</v>
      </c>
      <c r="C138" t="s">
        <v>1458</v>
      </c>
      <c r="D138" t="s">
        <v>1832</v>
      </c>
    </row>
    <row r="139" spans="1:5" x14ac:dyDescent="0.3">
      <c r="A139">
        <v>135</v>
      </c>
      <c r="B139" s="13">
        <v>45757</v>
      </c>
      <c r="C139" t="s">
        <v>1805</v>
      </c>
      <c r="D139" t="s">
        <v>1833</v>
      </c>
    </row>
    <row r="140" spans="1:5" x14ac:dyDescent="0.3">
      <c r="A140">
        <v>136</v>
      </c>
      <c r="B140" s="13">
        <v>45758</v>
      </c>
      <c r="C140" t="s">
        <v>1469</v>
      </c>
      <c r="D140" t="s">
        <v>1840</v>
      </c>
    </row>
    <row r="141" spans="1:5" x14ac:dyDescent="0.3">
      <c r="A141">
        <v>137</v>
      </c>
      <c r="B141" s="13">
        <v>45758</v>
      </c>
      <c r="C141" t="s">
        <v>1838</v>
      </c>
      <c r="D141" t="s">
        <v>1842</v>
      </c>
    </row>
    <row r="142" spans="1:5" x14ac:dyDescent="0.3">
      <c r="A142">
        <v>138</v>
      </c>
      <c r="B142" s="13">
        <v>45759</v>
      </c>
      <c r="C142" t="s">
        <v>1018</v>
      </c>
      <c r="D142" t="s">
        <v>1843</v>
      </c>
    </row>
    <row r="143" spans="1:5" x14ac:dyDescent="0.3">
      <c r="A143">
        <v>139</v>
      </c>
      <c r="B143" s="13">
        <v>45759</v>
      </c>
      <c r="C143" t="s">
        <v>1577</v>
      </c>
      <c r="D143" t="s">
        <v>1845</v>
      </c>
      <c r="E143" t="s">
        <v>1844</v>
      </c>
    </row>
    <row r="144" spans="1:5" x14ac:dyDescent="0.3">
      <c r="A144">
        <v>140</v>
      </c>
      <c r="B144" s="13">
        <v>45759</v>
      </c>
      <c r="C144" t="s">
        <v>1018</v>
      </c>
      <c r="D144" t="s">
        <v>1846</v>
      </c>
    </row>
    <row r="145" spans="1:4" x14ac:dyDescent="0.3">
      <c r="A145">
        <v>141</v>
      </c>
      <c r="B145" s="13">
        <v>45761</v>
      </c>
      <c r="C145" t="s">
        <v>1018</v>
      </c>
      <c r="D145" t="s">
        <v>1848</v>
      </c>
    </row>
    <row r="146" spans="1:4" x14ac:dyDescent="0.3">
      <c r="A146">
        <v>142</v>
      </c>
      <c r="B146" s="13">
        <v>45759</v>
      </c>
      <c r="C146" t="s">
        <v>1847</v>
      </c>
      <c r="D146" t="s">
        <v>1853</v>
      </c>
    </row>
    <row r="147" spans="1:4" x14ac:dyDescent="0.3">
      <c r="A147">
        <v>143</v>
      </c>
      <c r="B147" s="13">
        <v>45761</v>
      </c>
      <c r="C147" t="s">
        <v>1147</v>
      </c>
      <c r="D147" t="s">
        <v>1856</v>
      </c>
    </row>
    <row r="148" spans="1:4" x14ac:dyDescent="0.3">
      <c r="A148">
        <v>144</v>
      </c>
      <c r="B148" s="13">
        <v>45761</v>
      </c>
      <c r="C148" t="s">
        <v>1053</v>
      </c>
      <c r="D148" t="s">
        <v>1857</v>
      </c>
    </row>
    <row r="149" spans="1:4" x14ac:dyDescent="0.3">
      <c r="A149">
        <v>145</v>
      </c>
      <c r="B149" s="13">
        <v>45761</v>
      </c>
      <c r="C149" t="s">
        <v>1018</v>
      </c>
      <c r="D149" t="s">
        <v>1858</v>
      </c>
    </row>
    <row r="150" spans="1:4" x14ac:dyDescent="0.3">
      <c r="A150">
        <v>146</v>
      </c>
      <c r="B150" s="13">
        <v>45761</v>
      </c>
      <c r="C150" t="s">
        <v>1809</v>
      </c>
      <c r="D150" t="s">
        <v>1860</v>
      </c>
    </row>
    <row r="151" spans="1:4" x14ac:dyDescent="0.3">
      <c r="A151">
        <v>147</v>
      </c>
      <c r="B151" s="13">
        <v>45761</v>
      </c>
      <c r="C151" t="s">
        <v>1861</v>
      </c>
      <c r="D151" t="s">
        <v>1863</v>
      </c>
    </row>
    <row r="152" spans="1:4" x14ac:dyDescent="0.3">
      <c r="A152">
        <v>148</v>
      </c>
      <c r="B152" s="13">
        <v>45691</v>
      </c>
      <c r="C152" t="s">
        <v>1722</v>
      </c>
      <c r="D152" t="s">
        <v>1865</v>
      </c>
    </row>
    <row r="153" spans="1:4" x14ac:dyDescent="0.3">
      <c r="A153">
        <v>149</v>
      </c>
      <c r="B153" s="13">
        <v>45761</v>
      </c>
      <c r="C153" t="s">
        <v>1722</v>
      </c>
      <c r="D153" t="s">
        <v>1866</v>
      </c>
    </row>
    <row r="154" spans="1:4" x14ac:dyDescent="0.3">
      <c r="A154">
        <v>150</v>
      </c>
      <c r="B154" s="13">
        <v>45761</v>
      </c>
      <c r="C154" t="s">
        <v>1867</v>
      </c>
      <c r="D154" t="s">
        <v>1868</v>
      </c>
    </row>
    <row r="155" spans="1:4" x14ac:dyDescent="0.3">
      <c r="A155">
        <v>151</v>
      </c>
      <c r="B155" s="13">
        <v>45761</v>
      </c>
      <c r="C155" t="s">
        <v>1870</v>
      </c>
      <c r="D155" t="s">
        <v>1871</v>
      </c>
    </row>
    <row r="156" spans="1:4" x14ac:dyDescent="0.3">
      <c r="A156">
        <v>152</v>
      </c>
      <c r="B156" s="13">
        <v>45762</v>
      </c>
      <c r="C156" t="s">
        <v>1876</v>
      </c>
      <c r="D156" t="s">
        <v>1877</v>
      </c>
    </row>
    <row r="157" spans="1:4" x14ac:dyDescent="0.3">
      <c r="A157">
        <v>153</v>
      </c>
      <c r="B157" s="13">
        <v>45762</v>
      </c>
      <c r="C157" t="s">
        <v>1722</v>
      </c>
      <c r="D157" t="s">
        <v>1878</v>
      </c>
    </row>
    <row r="158" spans="1:4" x14ac:dyDescent="0.3">
      <c r="A158">
        <v>154</v>
      </c>
      <c r="B158" s="13">
        <v>45762</v>
      </c>
      <c r="C158" t="s">
        <v>1046</v>
      </c>
      <c r="D158" t="s">
        <v>1879</v>
      </c>
    </row>
    <row r="159" spans="1:4" x14ac:dyDescent="0.3">
      <c r="A159">
        <v>155</v>
      </c>
      <c r="B159" s="13">
        <v>45762</v>
      </c>
      <c r="C159" t="s">
        <v>1046</v>
      </c>
      <c r="D159" t="s">
        <v>1880</v>
      </c>
    </row>
    <row r="160" spans="1:4" x14ac:dyDescent="0.3">
      <c r="A160">
        <v>156</v>
      </c>
      <c r="B160" s="13">
        <v>45762</v>
      </c>
      <c r="C160" t="s">
        <v>1442</v>
      </c>
      <c r="D160" t="s">
        <v>1886</v>
      </c>
    </row>
    <row r="161" spans="1:5" x14ac:dyDescent="0.3">
      <c r="A161">
        <v>157</v>
      </c>
      <c r="B161" s="13">
        <v>45762</v>
      </c>
      <c r="C161" t="s">
        <v>1671</v>
      </c>
      <c r="D161" t="s">
        <v>1887</v>
      </c>
    </row>
    <row r="162" spans="1:5" x14ac:dyDescent="0.3">
      <c r="A162">
        <v>158</v>
      </c>
      <c r="B162" s="13">
        <v>45762</v>
      </c>
      <c r="C162" t="s">
        <v>1809</v>
      </c>
      <c r="D162" t="s">
        <v>1888</v>
      </c>
    </row>
    <row r="163" spans="1:5" x14ac:dyDescent="0.3">
      <c r="A163">
        <v>159</v>
      </c>
      <c r="B163" s="13">
        <v>45763</v>
      </c>
      <c r="C163" t="s">
        <v>1890</v>
      </c>
      <c r="D163" t="s">
        <v>2117</v>
      </c>
    </row>
    <row r="164" spans="1:5" x14ac:dyDescent="0.3">
      <c r="A164">
        <v>160</v>
      </c>
      <c r="B164" s="13">
        <v>45763</v>
      </c>
      <c r="C164" t="s">
        <v>1894</v>
      </c>
      <c r="D164" t="s">
        <v>1895</v>
      </c>
    </row>
    <row r="165" spans="1:5" x14ac:dyDescent="0.3">
      <c r="A165">
        <v>161</v>
      </c>
      <c r="B165" s="13">
        <v>45763</v>
      </c>
      <c r="C165" t="s">
        <v>978</v>
      </c>
      <c r="D165" t="s">
        <v>1896</v>
      </c>
    </row>
    <row r="166" spans="1:5" x14ac:dyDescent="0.3">
      <c r="A166">
        <v>162</v>
      </c>
      <c r="B166" s="13">
        <v>45763</v>
      </c>
      <c r="C166" t="s">
        <v>978</v>
      </c>
      <c r="D166" t="s">
        <v>1898</v>
      </c>
      <c r="E166" t="s">
        <v>1897</v>
      </c>
    </row>
    <row r="167" spans="1:5" x14ac:dyDescent="0.3">
      <c r="A167">
        <v>163</v>
      </c>
      <c r="B167" s="13">
        <v>45763</v>
      </c>
      <c r="C167" t="s">
        <v>1598</v>
      </c>
      <c r="D167" t="s">
        <v>1900</v>
      </c>
      <c r="E167" t="s">
        <v>1897</v>
      </c>
    </row>
    <row r="168" spans="1:5" x14ac:dyDescent="0.3">
      <c r="A168">
        <v>164</v>
      </c>
      <c r="B168" s="13">
        <v>45763</v>
      </c>
      <c r="C168" t="s">
        <v>1580</v>
      </c>
      <c r="D168" t="s">
        <v>1903</v>
      </c>
    </row>
    <row r="169" spans="1:5" x14ac:dyDescent="0.3">
      <c r="A169">
        <v>165</v>
      </c>
      <c r="B169" s="13">
        <v>45764</v>
      </c>
      <c r="C169" t="s">
        <v>1399</v>
      </c>
      <c r="D169" t="s">
        <v>1917</v>
      </c>
    </row>
    <row r="170" spans="1:5" x14ac:dyDescent="0.3">
      <c r="A170">
        <v>166</v>
      </c>
      <c r="B170" s="13">
        <v>45764</v>
      </c>
      <c r="C170" t="s">
        <v>1541</v>
      </c>
      <c r="D170" t="s">
        <v>1920</v>
      </c>
    </row>
    <row r="171" spans="1:5" x14ac:dyDescent="0.3">
      <c r="A171">
        <v>167</v>
      </c>
      <c r="B171" s="13">
        <v>45764</v>
      </c>
      <c r="C171" t="s">
        <v>1442</v>
      </c>
      <c r="D171" t="s">
        <v>1922</v>
      </c>
      <c r="E171" t="s">
        <v>1921</v>
      </c>
    </row>
    <row r="172" spans="1:5" x14ac:dyDescent="0.3">
      <c r="A172">
        <v>168</v>
      </c>
      <c r="B172" s="13">
        <v>45765</v>
      </c>
      <c r="C172" t="s">
        <v>1671</v>
      </c>
      <c r="D172" t="s">
        <v>1925</v>
      </c>
    </row>
    <row r="173" spans="1:5" x14ac:dyDescent="0.3">
      <c r="A173">
        <v>169</v>
      </c>
      <c r="B173" s="13">
        <v>45765</v>
      </c>
      <c r="C173" t="s">
        <v>1722</v>
      </c>
      <c r="D173" t="s">
        <v>1927</v>
      </c>
    </row>
    <row r="174" spans="1:5" x14ac:dyDescent="0.3">
      <c r="A174">
        <v>170</v>
      </c>
      <c r="B174" s="13">
        <v>45765</v>
      </c>
      <c r="C174" t="s">
        <v>1598</v>
      </c>
      <c r="D174" t="s">
        <v>1928</v>
      </c>
    </row>
    <row r="175" spans="1:5" x14ac:dyDescent="0.3">
      <c r="A175">
        <v>171</v>
      </c>
      <c r="B175" s="13">
        <v>45765</v>
      </c>
      <c r="C175" t="s">
        <v>1467</v>
      </c>
      <c r="D175" t="s">
        <v>1929</v>
      </c>
    </row>
    <row r="176" spans="1:5" x14ac:dyDescent="0.3">
      <c r="A176">
        <v>172</v>
      </c>
      <c r="B176" s="13">
        <v>45765</v>
      </c>
      <c r="C176" t="s">
        <v>1467</v>
      </c>
      <c r="D176" t="s">
        <v>1930</v>
      </c>
    </row>
    <row r="177" spans="1:5" x14ac:dyDescent="0.3">
      <c r="A177">
        <v>173</v>
      </c>
      <c r="B177" s="13">
        <v>45768</v>
      </c>
      <c r="C177" t="s">
        <v>1931</v>
      </c>
      <c r="D177" t="s">
        <v>1932</v>
      </c>
    </row>
    <row r="178" spans="1:5" x14ac:dyDescent="0.3">
      <c r="A178">
        <v>174</v>
      </c>
      <c r="B178" s="13">
        <v>45768</v>
      </c>
      <c r="C178" t="s">
        <v>1942</v>
      </c>
      <c r="D178" t="s">
        <v>1943</v>
      </c>
    </row>
    <row r="179" spans="1:5" x14ac:dyDescent="0.3">
      <c r="A179">
        <v>175</v>
      </c>
      <c r="B179" s="13">
        <v>45768</v>
      </c>
      <c r="C179" t="s">
        <v>1942</v>
      </c>
      <c r="D179" t="s">
        <v>1944</v>
      </c>
    </row>
    <row r="180" spans="1:5" x14ac:dyDescent="0.3">
      <c r="A180">
        <v>176</v>
      </c>
      <c r="B180" s="13">
        <v>45768</v>
      </c>
      <c r="C180" t="s">
        <v>1399</v>
      </c>
      <c r="D180" t="s">
        <v>1946</v>
      </c>
      <c r="E180" t="s">
        <v>1945</v>
      </c>
    </row>
    <row r="181" spans="1:5" x14ac:dyDescent="0.3">
      <c r="A181">
        <v>177</v>
      </c>
      <c r="B181" s="13">
        <v>45768</v>
      </c>
      <c r="C181" t="s">
        <v>1580</v>
      </c>
      <c r="D181" t="s">
        <v>1947</v>
      </c>
      <c r="E181" t="s">
        <v>1945</v>
      </c>
    </row>
    <row r="182" spans="1:5" x14ac:dyDescent="0.3">
      <c r="A182">
        <v>178</v>
      </c>
      <c r="B182" s="13">
        <v>45768</v>
      </c>
      <c r="C182" t="s">
        <v>1577</v>
      </c>
      <c r="D182" t="s">
        <v>1948</v>
      </c>
    </row>
    <row r="183" spans="1:5" x14ac:dyDescent="0.3">
      <c r="A183">
        <v>179</v>
      </c>
      <c r="B183" s="13">
        <v>45768</v>
      </c>
      <c r="C183" t="s">
        <v>1722</v>
      </c>
      <c r="D183" t="s">
        <v>1954</v>
      </c>
    </row>
    <row r="184" spans="1:5" x14ac:dyDescent="0.3">
      <c r="A184">
        <v>180</v>
      </c>
      <c r="B184" s="13">
        <v>45769</v>
      </c>
      <c r="C184" t="s">
        <v>1449</v>
      </c>
      <c r="D184" t="s">
        <v>1958</v>
      </c>
    </row>
    <row r="185" spans="1:5" x14ac:dyDescent="0.3">
      <c r="A185">
        <v>181</v>
      </c>
      <c r="B185" s="13">
        <v>45770</v>
      </c>
      <c r="C185" t="s">
        <v>1598</v>
      </c>
      <c r="D185" t="s">
        <v>1960</v>
      </c>
    </row>
    <row r="186" spans="1:5" x14ac:dyDescent="0.3">
      <c r="A186">
        <v>182</v>
      </c>
      <c r="B186" s="13">
        <v>45770</v>
      </c>
      <c r="C186" t="s">
        <v>1961</v>
      </c>
      <c r="D186" t="s">
        <v>1964</v>
      </c>
    </row>
    <row r="187" spans="1:5" x14ac:dyDescent="0.3">
      <c r="A187">
        <v>183</v>
      </c>
      <c r="B187" s="13">
        <v>45770</v>
      </c>
      <c r="C187" t="s">
        <v>1961</v>
      </c>
      <c r="D187" t="s">
        <v>1967</v>
      </c>
    </row>
    <row r="188" spans="1:5" x14ac:dyDescent="0.3">
      <c r="A188">
        <v>184</v>
      </c>
      <c r="B188" s="13">
        <v>45771</v>
      </c>
      <c r="C188" t="s">
        <v>1554</v>
      </c>
      <c r="D188" t="s">
        <v>1969</v>
      </c>
    </row>
    <row r="189" spans="1:5" x14ac:dyDescent="0.3">
      <c r="A189">
        <v>185</v>
      </c>
      <c r="B189" s="13">
        <v>45771</v>
      </c>
      <c r="C189" t="s">
        <v>1444</v>
      </c>
      <c r="D189" t="s">
        <v>1972</v>
      </c>
    </row>
    <row r="190" spans="1:5" x14ac:dyDescent="0.3">
      <c r="A190">
        <v>186</v>
      </c>
      <c r="B190" s="13">
        <v>45772</v>
      </c>
      <c r="C190" t="s">
        <v>1391</v>
      </c>
      <c r="D190" t="s">
        <v>1976</v>
      </c>
    </row>
    <row r="191" spans="1:5" x14ac:dyDescent="0.3">
      <c r="A191">
        <v>187</v>
      </c>
      <c r="B191" s="13">
        <v>45772</v>
      </c>
      <c r="C191" t="s">
        <v>1977</v>
      </c>
      <c r="D191" t="s">
        <v>1979</v>
      </c>
    </row>
    <row r="192" spans="1:5" x14ac:dyDescent="0.3">
      <c r="A192">
        <v>188</v>
      </c>
      <c r="B192" s="13">
        <v>45772</v>
      </c>
      <c r="C192" t="s">
        <v>1980</v>
      </c>
      <c r="D192" t="s">
        <v>1981</v>
      </c>
    </row>
    <row r="193" spans="1:4" x14ac:dyDescent="0.3">
      <c r="A193">
        <v>189</v>
      </c>
      <c r="B193" s="13">
        <v>45772</v>
      </c>
      <c r="C193" t="s">
        <v>1790</v>
      </c>
      <c r="D193" t="s">
        <v>1982</v>
      </c>
    </row>
    <row r="194" spans="1:4" x14ac:dyDescent="0.3">
      <c r="A194">
        <v>190</v>
      </c>
      <c r="B194" s="13">
        <v>45772</v>
      </c>
      <c r="C194" t="s">
        <v>1790</v>
      </c>
      <c r="D194" t="s">
        <v>1984</v>
      </c>
    </row>
    <row r="195" spans="1:4" x14ac:dyDescent="0.3">
      <c r="A195">
        <v>191</v>
      </c>
      <c r="B195" s="13">
        <v>45772</v>
      </c>
      <c r="C195" t="s">
        <v>1444</v>
      </c>
      <c r="D195" t="s">
        <v>1986</v>
      </c>
    </row>
    <row r="196" spans="1:4" x14ac:dyDescent="0.3">
      <c r="A196">
        <v>192</v>
      </c>
      <c r="B196" s="13">
        <v>45772</v>
      </c>
      <c r="C196" t="s">
        <v>1809</v>
      </c>
      <c r="D196" t="s">
        <v>1987</v>
      </c>
    </row>
    <row r="197" spans="1:4" x14ac:dyDescent="0.3">
      <c r="A197">
        <v>193</v>
      </c>
      <c r="B197" s="13">
        <v>45775</v>
      </c>
      <c r="C197" t="s">
        <v>1521</v>
      </c>
      <c r="D197" t="s">
        <v>1989</v>
      </c>
    </row>
    <row r="198" spans="1:4" x14ac:dyDescent="0.3">
      <c r="A198">
        <v>194</v>
      </c>
      <c r="B198" s="13">
        <v>45775</v>
      </c>
      <c r="C198" t="s">
        <v>1444</v>
      </c>
      <c r="D198" t="s">
        <v>1990</v>
      </c>
    </row>
    <row r="199" spans="1:4" x14ac:dyDescent="0.3">
      <c r="A199">
        <v>195</v>
      </c>
      <c r="B199" s="13">
        <v>45775</v>
      </c>
      <c r="C199" t="s">
        <v>1147</v>
      </c>
      <c r="D199" t="s">
        <v>1991</v>
      </c>
    </row>
    <row r="200" spans="1:4" x14ac:dyDescent="0.3">
      <c r="A200">
        <v>196</v>
      </c>
      <c r="B200" s="13">
        <v>45775</v>
      </c>
      <c r="C200" t="s">
        <v>1053</v>
      </c>
      <c r="D200" t="s">
        <v>1993</v>
      </c>
    </row>
    <row r="201" spans="1:4" x14ac:dyDescent="0.3">
      <c r="A201">
        <v>197</v>
      </c>
      <c r="B201" s="13">
        <v>45775</v>
      </c>
      <c r="C201" t="s">
        <v>1532</v>
      </c>
      <c r="D201" t="s">
        <v>1995</v>
      </c>
    </row>
    <row r="202" spans="1:4" x14ac:dyDescent="0.3">
      <c r="A202">
        <v>198</v>
      </c>
      <c r="B202" s="13">
        <v>45775</v>
      </c>
      <c r="C202" t="s">
        <v>1980</v>
      </c>
      <c r="D202" t="s">
        <v>1997</v>
      </c>
    </row>
    <row r="203" spans="1:4" x14ac:dyDescent="0.3">
      <c r="A203">
        <v>199</v>
      </c>
      <c r="B203" s="13">
        <v>45776</v>
      </c>
      <c r="C203" t="s">
        <v>1541</v>
      </c>
      <c r="D203" t="s">
        <v>2011</v>
      </c>
    </row>
    <row r="204" spans="1:4" x14ac:dyDescent="0.3">
      <c r="A204">
        <v>200</v>
      </c>
      <c r="B204" s="13">
        <v>45776</v>
      </c>
      <c r="C204" t="s">
        <v>2015</v>
      </c>
      <c r="D204" t="s">
        <v>2016</v>
      </c>
    </row>
    <row r="205" spans="1:4" x14ac:dyDescent="0.3">
      <c r="A205">
        <v>201</v>
      </c>
      <c r="B205" s="13">
        <v>45776</v>
      </c>
      <c r="C205" t="s">
        <v>1722</v>
      </c>
      <c r="D205" t="s">
        <v>2021</v>
      </c>
    </row>
    <row r="206" spans="1:4" x14ac:dyDescent="0.3">
      <c r="A206">
        <v>202</v>
      </c>
      <c r="B206" s="13">
        <v>45776</v>
      </c>
      <c r="C206" t="s">
        <v>2024</v>
      </c>
      <c r="D206" t="s">
        <v>2025</v>
      </c>
    </row>
    <row r="207" spans="1:4" x14ac:dyDescent="0.3">
      <c r="A207">
        <v>203</v>
      </c>
      <c r="B207" s="13">
        <v>45776</v>
      </c>
      <c r="C207" t="s">
        <v>1980</v>
      </c>
      <c r="D207" t="s">
        <v>2026</v>
      </c>
    </row>
    <row r="208" spans="1:4" x14ac:dyDescent="0.3">
      <c r="A208">
        <v>204</v>
      </c>
      <c r="B208" s="13">
        <v>45776</v>
      </c>
      <c r="C208" t="s">
        <v>1747</v>
      </c>
      <c r="D208" t="s">
        <v>2028</v>
      </c>
    </row>
    <row r="209" spans="1:4" x14ac:dyDescent="0.3">
      <c r="A209">
        <v>205</v>
      </c>
      <c r="B209" s="13">
        <v>45776</v>
      </c>
      <c r="C209" t="s">
        <v>1980</v>
      </c>
      <c r="D209" t="s">
        <v>2030</v>
      </c>
    </row>
    <row r="210" spans="1:4" x14ac:dyDescent="0.3">
      <c r="A210">
        <v>206</v>
      </c>
      <c r="B210" s="13">
        <v>45777</v>
      </c>
      <c r="C210" t="s">
        <v>1007</v>
      </c>
      <c r="D210" t="s">
        <v>2031</v>
      </c>
    </row>
    <row r="211" spans="1:4" x14ac:dyDescent="0.3">
      <c r="A211">
        <v>207</v>
      </c>
      <c r="B211" s="13">
        <v>45777</v>
      </c>
      <c r="C211" t="s">
        <v>1444</v>
      </c>
      <c r="D211" t="s">
        <v>2033</v>
      </c>
    </row>
    <row r="212" spans="1:4" x14ac:dyDescent="0.3">
      <c r="A212">
        <v>208</v>
      </c>
      <c r="B212" s="13">
        <v>45777</v>
      </c>
      <c r="C212" t="s">
        <v>2034</v>
      </c>
      <c r="D212" t="s">
        <v>2038</v>
      </c>
    </row>
    <row r="213" spans="1:4" x14ac:dyDescent="0.3">
      <c r="A213">
        <v>209</v>
      </c>
      <c r="B213" s="13">
        <v>45777</v>
      </c>
      <c r="C213" t="s">
        <v>2039</v>
      </c>
      <c r="D213" t="s">
        <v>2042</v>
      </c>
    </row>
    <row r="214" spans="1:4" x14ac:dyDescent="0.3">
      <c r="A214">
        <v>210</v>
      </c>
      <c r="B214" s="13">
        <v>45777</v>
      </c>
      <c r="C214" t="s">
        <v>1046</v>
      </c>
      <c r="D214" t="s">
        <v>2044</v>
      </c>
    </row>
    <row r="215" spans="1:4" x14ac:dyDescent="0.3">
      <c r="A215">
        <v>211</v>
      </c>
      <c r="B215" s="13">
        <v>45777</v>
      </c>
      <c r="C215" t="s">
        <v>1577</v>
      </c>
      <c r="D215" t="s">
        <v>2045</v>
      </c>
    </row>
    <row r="216" spans="1:4" x14ac:dyDescent="0.3">
      <c r="A216">
        <v>212</v>
      </c>
      <c r="B216" s="13">
        <v>45777</v>
      </c>
      <c r="C216" t="s">
        <v>2046</v>
      </c>
      <c r="D216" t="s">
        <v>2050</v>
      </c>
    </row>
    <row r="217" spans="1:4" x14ac:dyDescent="0.3">
      <c r="A217">
        <v>213</v>
      </c>
      <c r="B217" s="13">
        <v>45777</v>
      </c>
      <c r="C217" t="s">
        <v>1554</v>
      </c>
      <c r="D217" t="s">
        <v>2051</v>
      </c>
    </row>
    <row r="218" spans="1:4" x14ac:dyDescent="0.3">
      <c r="A218">
        <v>214</v>
      </c>
      <c r="B218" s="13">
        <v>45775</v>
      </c>
      <c r="C218" t="s">
        <v>1980</v>
      </c>
      <c r="D218" t="s">
        <v>2052</v>
      </c>
    </row>
    <row r="219" spans="1:4" x14ac:dyDescent="0.3">
      <c r="A219">
        <v>215</v>
      </c>
      <c r="B219" s="13">
        <v>45778</v>
      </c>
      <c r="C219" t="s">
        <v>1580</v>
      </c>
      <c r="D219" t="s">
        <v>2061</v>
      </c>
    </row>
    <row r="220" spans="1:4" x14ac:dyDescent="0.3">
      <c r="A220">
        <v>216</v>
      </c>
      <c r="B220" s="13">
        <v>45777</v>
      </c>
      <c r="C220" t="s">
        <v>1722</v>
      </c>
      <c r="D220" t="s">
        <v>2063</v>
      </c>
    </row>
    <row r="221" spans="1:4" x14ac:dyDescent="0.3">
      <c r="A221">
        <v>217</v>
      </c>
      <c r="B221" s="13">
        <v>45779</v>
      </c>
      <c r="C221" t="s">
        <v>1580</v>
      </c>
      <c r="D221" t="s">
        <v>2064</v>
      </c>
    </row>
    <row r="222" spans="1:4" x14ac:dyDescent="0.3">
      <c r="A222">
        <v>218</v>
      </c>
      <c r="B222" s="13">
        <v>45779</v>
      </c>
      <c r="C222" t="s">
        <v>1977</v>
      </c>
      <c r="D222" t="s">
        <v>2065</v>
      </c>
    </row>
    <row r="223" spans="1:4" x14ac:dyDescent="0.3">
      <c r="A223">
        <v>219</v>
      </c>
      <c r="B223" s="13">
        <v>45779</v>
      </c>
      <c r="C223" t="s">
        <v>1399</v>
      </c>
      <c r="D223" t="s">
        <v>2066</v>
      </c>
    </row>
    <row r="224" spans="1:4" x14ac:dyDescent="0.3">
      <c r="A224">
        <v>220</v>
      </c>
      <c r="B224" s="13">
        <v>45779</v>
      </c>
      <c r="C224" t="s">
        <v>1399</v>
      </c>
      <c r="D224" t="s">
        <v>2067</v>
      </c>
    </row>
    <row r="225" spans="1:4" x14ac:dyDescent="0.3">
      <c r="A225">
        <v>221</v>
      </c>
      <c r="B225" s="13">
        <v>45780</v>
      </c>
      <c r="C225" t="s">
        <v>1961</v>
      </c>
      <c r="D225" t="s">
        <v>2076</v>
      </c>
    </row>
    <row r="226" spans="1:4" x14ac:dyDescent="0.3">
      <c r="A226">
        <v>222</v>
      </c>
      <c r="B226" s="13">
        <v>45782</v>
      </c>
      <c r="C226" t="s">
        <v>2078</v>
      </c>
      <c r="D226" t="s">
        <v>2079</v>
      </c>
    </row>
    <row r="227" spans="1:4" x14ac:dyDescent="0.3">
      <c r="A227">
        <v>223</v>
      </c>
      <c r="B227" s="13">
        <v>45782</v>
      </c>
      <c r="C227" t="s">
        <v>1007</v>
      </c>
      <c r="D227" t="s">
        <v>2080</v>
      </c>
    </row>
    <row r="228" spans="1:4" x14ac:dyDescent="0.3">
      <c r="A228">
        <v>224</v>
      </c>
      <c r="B228" s="13">
        <v>45783</v>
      </c>
      <c r="C228" t="s">
        <v>1541</v>
      </c>
      <c r="D228" t="s">
        <v>2081</v>
      </c>
    </row>
    <row r="229" spans="1:4" x14ac:dyDescent="0.3">
      <c r="A229">
        <v>225</v>
      </c>
      <c r="B229" s="13">
        <v>45783</v>
      </c>
      <c r="C229" t="s">
        <v>1399</v>
      </c>
      <c r="D229" t="s">
        <v>2082</v>
      </c>
    </row>
    <row r="230" spans="1:4" x14ac:dyDescent="0.3">
      <c r="A230">
        <v>226</v>
      </c>
      <c r="B230" s="13">
        <v>45783</v>
      </c>
      <c r="C230" t="s">
        <v>1469</v>
      </c>
      <c r="D230" t="s">
        <v>2083</v>
      </c>
    </row>
    <row r="231" spans="1:4" x14ac:dyDescent="0.3">
      <c r="A231">
        <v>227</v>
      </c>
      <c r="B231" s="13">
        <v>45783</v>
      </c>
      <c r="C231" t="s">
        <v>1399</v>
      </c>
      <c r="D231" t="s">
        <v>2085</v>
      </c>
    </row>
    <row r="232" spans="1:4" x14ac:dyDescent="0.3">
      <c r="A232">
        <v>228</v>
      </c>
      <c r="B232" s="13">
        <v>45784</v>
      </c>
      <c r="C232" t="s">
        <v>1306</v>
      </c>
      <c r="D232" t="s">
        <v>2086</v>
      </c>
    </row>
    <row r="233" spans="1:4" x14ac:dyDescent="0.3">
      <c r="A233">
        <v>229</v>
      </c>
      <c r="B233" s="13">
        <v>45784</v>
      </c>
      <c r="C233" t="s">
        <v>2089</v>
      </c>
      <c r="D233" t="s">
        <v>2090</v>
      </c>
    </row>
    <row r="234" spans="1:4" x14ac:dyDescent="0.3">
      <c r="A234">
        <v>230</v>
      </c>
      <c r="B234" s="13">
        <v>45784</v>
      </c>
      <c r="C234" t="s">
        <v>2089</v>
      </c>
      <c r="D234" t="s">
        <v>2092</v>
      </c>
    </row>
    <row r="235" spans="1:4" x14ac:dyDescent="0.3">
      <c r="A235">
        <v>231</v>
      </c>
      <c r="B235" s="13">
        <v>45784</v>
      </c>
      <c r="C235" t="s">
        <v>2089</v>
      </c>
      <c r="D235" t="s">
        <v>2093</v>
      </c>
    </row>
    <row r="236" spans="1:4" x14ac:dyDescent="0.3">
      <c r="A236">
        <v>232</v>
      </c>
      <c r="B236" s="13">
        <v>45784</v>
      </c>
      <c r="C236" t="s">
        <v>1399</v>
      </c>
      <c r="D236" t="s">
        <v>2094</v>
      </c>
    </row>
    <row r="237" spans="1:4" x14ac:dyDescent="0.3">
      <c r="A237">
        <v>233</v>
      </c>
      <c r="B237" s="13">
        <v>45784</v>
      </c>
      <c r="C237" t="s">
        <v>2089</v>
      </c>
      <c r="D237" t="s">
        <v>2099</v>
      </c>
    </row>
    <row r="238" spans="1:4" x14ac:dyDescent="0.3">
      <c r="A238">
        <v>234</v>
      </c>
      <c r="B238" s="13">
        <v>45784</v>
      </c>
      <c r="C238" t="s">
        <v>2095</v>
      </c>
      <c r="D238" t="s">
        <v>2100</v>
      </c>
    </row>
    <row r="239" spans="1:4" x14ac:dyDescent="0.3">
      <c r="A239">
        <v>235</v>
      </c>
      <c r="B239" s="13">
        <v>45785</v>
      </c>
      <c r="C239" t="s">
        <v>2101</v>
      </c>
      <c r="D239" t="s">
        <v>2105</v>
      </c>
    </row>
    <row r="240" spans="1:4" x14ac:dyDescent="0.3">
      <c r="A240">
        <v>236</v>
      </c>
      <c r="B240" s="13">
        <v>45785</v>
      </c>
      <c r="C240" t="s">
        <v>1722</v>
      </c>
      <c r="D240" t="s">
        <v>2106</v>
      </c>
    </row>
    <row r="241" spans="1:4" x14ac:dyDescent="0.3">
      <c r="A241">
        <v>237</v>
      </c>
      <c r="B241" s="13">
        <v>45786</v>
      </c>
      <c r="C241" t="s">
        <v>1306</v>
      </c>
      <c r="D241" t="s">
        <v>2110</v>
      </c>
    </row>
    <row r="242" spans="1:4" x14ac:dyDescent="0.3">
      <c r="A242">
        <v>238</v>
      </c>
      <c r="B242" s="13">
        <v>45786</v>
      </c>
      <c r="C242" t="s">
        <v>2015</v>
      </c>
      <c r="D242" t="s">
        <v>2111</v>
      </c>
    </row>
    <row r="243" spans="1:4" x14ac:dyDescent="0.3">
      <c r="A243">
        <v>239</v>
      </c>
      <c r="B243" s="13">
        <v>45786</v>
      </c>
      <c r="C243" t="s">
        <v>2113</v>
      </c>
      <c r="D243" t="s">
        <v>2114</v>
      </c>
    </row>
    <row r="244" spans="1:4" x14ac:dyDescent="0.3">
      <c r="A244">
        <v>240</v>
      </c>
      <c r="B244" s="13">
        <v>45786</v>
      </c>
      <c r="C244" t="s">
        <v>2113</v>
      </c>
      <c r="D244" t="s">
        <v>2115</v>
      </c>
    </row>
    <row r="245" spans="1:4" x14ac:dyDescent="0.3">
      <c r="A245">
        <v>241</v>
      </c>
      <c r="B245" s="13">
        <v>45789</v>
      </c>
      <c r="C245" t="s">
        <v>2119</v>
      </c>
      <c r="D245" t="s">
        <v>2122</v>
      </c>
    </row>
    <row r="246" spans="1:4" x14ac:dyDescent="0.3">
      <c r="A246">
        <v>242</v>
      </c>
      <c r="B246" s="13">
        <v>45789</v>
      </c>
      <c r="C246" t="s">
        <v>1444</v>
      </c>
      <c r="D246" t="s">
        <v>2123</v>
      </c>
    </row>
    <row r="247" spans="1:4" x14ac:dyDescent="0.3">
      <c r="A247">
        <v>243</v>
      </c>
      <c r="B247" s="13">
        <v>45789</v>
      </c>
      <c r="C247" t="s">
        <v>1977</v>
      </c>
      <c r="D247" t="s">
        <v>2124</v>
      </c>
    </row>
    <row r="248" spans="1:4" x14ac:dyDescent="0.3">
      <c r="A248">
        <v>244</v>
      </c>
      <c r="B248" s="13">
        <v>45789</v>
      </c>
      <c r="C248" t="s">
        <v>1598</v>
      </c>
      <c r="D248" t="s">
        <v>2125</v>
      </c>
    </row>
    <row r="249" spans="1:4" x14ac:dyDescent="0.3">
      <c r="A249">
        <v>245</v>
      </c>
      <c r="B249" s="13">
        <v>45789</v>
      </c>
      <c r="C249" t="s">
        <v>1454</v>
      </c>
      <c r="D249" t="s">
        <v>2128</v>
      </c>
    </row>
    <row r="250" spans="1:4" x14ac:dyDescent="0.3">
      <c r="A250">
        <v>246</v>
      </c>
      <c r="B250" s="13">
        <v>45789</v>
      </c>
      <c r="C250" t="s">
        <v>1147</v>
      </c>
      <c r="D250" t="s">
        <v>2130</v>
      </c>
    </row>
    <row r="251" spans="1:4" x14ac:dyDescent="0.3">
      <c r="A251">
        <v>247</v>
      </c>
      <c r="B251" s="13">
        <v>45789</v>
      </c>
      <c r="C251" t="s">
        <v>2133</v>
      </c>
      <c r="D251" t="s">
        <v>2136</v>
      </c>
    </row>
    <row r="252" spans="1:4" x14ac:dyDescent="0.3">
      <c r="A252">
        <v>248</v>
      </c>
      <c r="B252" s="13">
        <v>45789</v>
      </c>
      <c r="C252" t="s">
        <v>1399</v>
      </c>
      <c r="D252" t="s">
        <v>2138</v>
      </c>
    </row>
    <row r="253" spans="1:4" x14ac:dyDescent="0.3">
      <c r="A253">
        <v>249</v>
      </c>
      <c r="B253" s="13">
        <v>45789</v>
      </c>
      <c r="C253" t="s">
        <v>1469</v>
      </c>
      <c r="D253" t="s">
        <v>2139</v>
      </c>
    </row>
    <row r="254" spans="1:4" x14ac:dyDescent="0.3">
      <c r="A254">
        <v>250</v>
      </c>
      <c r="B254" s="13">
        <v>45790</v>
      </c>
      <c r="C254" t="s">
        <v>1449</v>
      </c>
      <c r="D254" t="s">
        <v>2141</v>
      </c>
    </row>
    <row r="255" spans="1:4" x14ac:dyDescent="0.3">
      <c r="A255">
        <v>251</v>
      </c>
      <c r="B255" s="13">
        <v>45790</v>
      </c>
      <c r="C255" t="s">
        <v>1931</v>
      </c>
      <c r="D255" t="s">
        <v>2142</v>
      </c>
    </row>
    <row r="256" spans="1:4" x14ac:dyDescent="0.3">
      <c r="A256">
        <v>252</v>
      </c>
      <c r="B256" s="13">
        <v>45790</v>
      </c>
      <c r="C256" t="s">
        <v>1469</v>
      </c>
      <c r="D256" t="s">
        <v>2143</v>
      </c>
    </row>
    <row r="257" spans="1:4" x14ac:dyDescent="0.3">
      <c r="A257">
        <v>253</v>
      </c>
      <c r="B257" s="13">
        <v>45790</v>
      </c>
      <c r="C257" t="s">
        <v>1790</v>
      </c>
      <c r="D257" t="s">
        <v>2144</v>
      </c>
    </row>
    <row r="258" spans="1:4" x14ac:dyDescent="0.3">
      <c r="A258">
        <v>254</v>
      </c>
      <c r="B258" s="13">
        <v>45790</v>
      </c>
      <c r="C258" t="s">
        <v>2145</v>
      </c>
      <c r="D258" t="s">
        <v>2146</v>
      </c>
    </row>
    <row r="259" spans="1:4" x14ac:dyDescent="0.3">
      <c r="A259">
        <v>255</v>
      </c>
      <c r="B259" s="13">
        <v>45790</v>
      </c>
      <c r="C259" t="s">
        <v>1876</v>
      </c>
      <c r="D259" t="s">
        <v>2147</v>
      </c>
    </row>
    <row r="260" spans="1:4" x14ac:dyDescent="0.3">
      <c r="A260">
        <v>256</v>
      </c>
      <c r="B260" s="13">
        <v>45790</v>
      </c>
      <c r="C260" t="s">
        <v>1399</v>
      </c>
      <c r="D260" t="s">
        <v>2154</v>
      </c>
    </row>
    <row r="261" spans="1:4" x14ac:dyDescent="0.3">
      <c r="A261">
        <v>257</v>
      </c>
      <c r="B261" s="13">
        <v>45790</v>
      </c>
      <c r="C261" t="s">
        <v>1306</v>
      </c>
      <c r="D261" t="s">
        <v>2157</v>
      </c>
    </row>
    <row r="262" spans="1:4" x14ac:dyDescent="0.3">
      <c r="A262">
        <v>258</v>
      </c>
      <c r="B262" s="13">
        <v>45790</v>
      </c>
      <c r="C262" t="s">
        <v>1671</v>
      </c>
      <c r="D262" t="s">
        <v>2159</v>
      </c>
    </row>
    <row r="263" spans="1:4" x14ac:dyDescent="0.3">
      <c r="A263">
        <v>259</v>
      </c>
      <c r="B263" s="13">
        <v>45790</v>
      </c>
      <c r="C263" t="s">
        <v>1378</v>
      </c>
      <c r="D263" t="s">
        <v>2161</v>
      </c>
    </row>
    <row r="264" spans="1:4" x14ac:dyDescent="0.3">
      <c r="A264">
        <v>260</v>
      </c>
      <c r="B264" s="13">
        <v>45791</v>
      </c>
      <c r="C264" t="s">
        <v>1722</v>
      </c>
      <c r="D264" t="s">
        <v>2165</v>
      </c>
    </row>
    <row r="265" spans="1:4" x14ac:dyDescent="0.3">
      <c r="A265">
        <v>261</v>
      </c>
      <c r="B265" s="13">
        <v>45791</v>
      </c>
      <c r="C265" t="s">
        <v>2171</v>
      </c>
      <c r="D265" t="s">
        <v>2173</v>
      </c>
    </row>
    <row r="266" spans="1:4" x14ac:dyDescent="0.3">
      <c r="A266">
        <v>262</v>
      </c>
      <c r="B266" s="13">
        <v>45791</v>
      </c>
      <c r="C266" t="s">
        <v>1018</v>
      </c>
      <c r="D266" t="s">
        <v>2174</v>
      </c>
    </row>
    <row r="267" spans="1:4" x14ac:dyDescent="0.3">
      <c r="A267">
        <v>263</v>
      </c>
      <c r="B267" s="13">
        <v>45791</v>
      </c>
      <c r="C267" t="s">
        <v>1790</v>
      </c>
      <c r="D267" t="s">
        <v>2176</v>
      </c>
    </row>
    <row r="268" spans="1:4" x14ac:dyDescent="0.3">
      <c r="A268">
        <v>264</v>
      </c>
      <c r="B268" s="13">
        <v>45791</v>
      </c>
      <c r="C268" t="s">
        <v>1598</v>
      </c>
      <c r="D268" t="s">
        <v>2177</v>
      </c>
    </row>
    <row r="269" spans="1:4" x14ac:dyDescent="0.3">
      <c r="A269">
        <v>265</v>
      </c>
      <c r="B269" s="13">
        <v>45792</v>
      </c>
      <c r="C269" t="s">
        <v>1580</v>
      </c>
      <c r="D269" t="s">
        <v>2208</v>
      </c>
    </row>
    <row r="270" spans="1:4" x14ac:dyDescent="0.3">
      <c r="A270">
        <v>266</v>
      </c>
      <c r="B270" s="13">
        <v>45792</v>
      </c>
      <c r="C270" t="s">
        <v>2089</v>
      </c>
      <c r="D270" t="s">
        <v>2209</v>
      </c>
    </row>
    <row r="271" spans="1:4" x14ac:dyDescent="0.3">
      <c r="A271">
        <v>267</v>
      </c>
      <c r="B271" s="13">
        <v>45792</v>
      </c>
      <c r="C271" t="s">
        <v>1541</v>
      </c>
      <c r="D271" t="s">
        <v>2210</v>
      </c>
    </row>
    <row r="272" spans="1:4" x14ac:dyDescent="0.3">
      <c r="A272">
        <v>268</v>
      </c>
      <c r="B272" s="13">
        <v>45792</v>
      </c>
      <c r="C272" t="s">
        <v>1747</v>
      </c>
      <c r="D272" t="s">
        <v>2212</v>
      </c>
    </row>
    <row r="273" spans="1:5" x14ac:dyDescent="0.3">
      <c r="A273">
        <v>269</v>
      </c>
      <c r="B273" s="13">
        <v>45792</v>
      </c>
      <c r="C273" t="s">
        <v>1747</v>
      </c>
      <c r="D273" t="s">
        <v>2214</v>
      </c>
    </row>
    <row r="274" spans="1:5" x14ac:dyDescent="0.3">
      <c r="A274">
        <v>270</v>
      </c>
      <c r="B274" s="13">
        <v>45792</v>
      </c>
      <c r="C274" t="s">
        <v>1870</v>
      </c>
      <c r="D274" t="s">
        <v>2218</v>
      </c>
    </row>
    <row r="275" spans="1:5" x14ac:dyDescent="0.3">
      <c r="A275">
        <v>271</v>
      </c>
      <c r="B275" s="13">
        <v>45793</v>
      </c>
      <c r="C275" t="s">
        <v>2095</v>
      </c>
      <c r="D275" t="s">
        <v>2226</v>
      </c>
    </row>
    <row r="276" spans="1:5" x14ac:dyDescent="0.3">
      <c r="A276">
        <v>272</v>
      </c>
      <c r="B276" s="13">
        <v>45793</v>
      </c>
      <c r="C276" t="s">
        <v>1747</v>
      </c>
      <c r="D276" t="s">
        <v>2227</v>
      </c>
    </row>
    <row r="277" spans="1:5" x14ac:dyDescent="0.3">
      <c r="A277">
        <v>273</v>
      </c>
      <c r="B277" s="13">
        <v>45793</v>
      </c>
      <c r="C277" t="s">
        <v>1870</v>
      </c>
      <c r="D277" t="s">
        <v>2229</v>
      </c>
    </row>
    <row r="278" spans="1:5" x14ac:dyDescent="0.3">
      <c r="A278">
        <v>274</v>
      </c>
      <c r="B278" s="13">
        <v>45794</v>
      </c>
      <c r="C278" t="s">
        <v>1847</v>
      </c>
      <c r="D278" t="s">
        <v>2231</v>
      </c>
    </row>
    <row r="279" spans="1:5" x14ac:dyDescent="0.3">
      <c r="A279">
        <v>275</v>
      </c>
      <c r="B279" s="13">
        <v>45794</v>
      </c>
      <c r="C279" t="s">
        <v>1747</v>
      </c>
      <c r="D279" t="s">
        <v>2232</v>
      </c>
    </row>
    <row r="280" spans="1:5" x14ac:dyDescent="0.3">
      <c r="A280">
        <v>276</v>
      </c>
      <c r="B280" s="13">
        <v>45794</v>
      </c>
      <c r="C280" t="s">
        <v>1053</v>
      </c>
      <c r="D280" t="s">
        <v>2233</v>
      </c>
    </row>
    <row r="281" spans="1:5" x14ac:dyDescent="0.3">
      <c r="A281">
        <v>277</v>
      </c>
      <c r="B281" s="13">
        <v>45794</v>
      </c>
      <c r="C281" t="s">
        <v>1444</v>
      </c>
      <c r="D281" t="s">
        <v>2237</v>
      </c>
    </row>
    <row r="282" spans="1:5" x14ac:dyDescent="0.3">
      <c r="A282">
        <v>278</v>
      </c>
      <c r="B282" s="13">
        <v>45794</v>
      </c>
      <c r="C282" t="s">
        <v>2239</v>
      </c>
      <c r="D282" t="s">
        <v>2240</v>
      </c>
    </row>
    <row r="283" spans="1:5" x14ac:dyDescent="0.3">
      <c r="A283">
        <v>279</v>
      </c>
      <c r="B283" s="13">
        <v>45794</v>
      </c>
      <c r="C283" t="s">
        <v>1722</v>
      </c>
      <c r="D283" t="s">
        <v>2242</v>
      </c>
    </row>
    <row r="284" spans="1:5" x14ac:dyDescent="0.3">
      <c r="A284">
        <v>280</v>
      </c>
      <c r="B284" s="13">
        <v>45794</v>
      </c>
      <c r="C284" t="s">
        <v>1391</v>
      </c>
      <c r="D284" t="s">
        <v>2243</v>
      </c>
    </row>
    <row r="285" spans="1:5" x14ac:dyDescent="0.3">
      <c r="A285">
        <v>281</v>
      </c>
      <c r="B285" s="13">
        <v>45796</v>
      </c>
      <c r="C285" t="s">
        <v>1147</v>
      </c>
      <c r="D285" t="s">
        <v>2247</v>
      </c>
    </row>
    <row r="286" spans="1:5" x14ac:dyDescent="0.3">
      <c r="A286">
        <v>282</v>
      </c>
      <c r="B286" s="13">
        <v>45796</v>
      </c>
      <c r="C286" t="s">
        <v>1053</v>
      </c>
      <c r="D286" t="s">
        <v>2250</v>
      </c>
      <c r="E286" t="s">
        <v>2249</v>
      </c>
    </row>
    <row r="287" spans="1:5" x14ac:dyDescent="0.3">
      <c r="A287">
        <v>283</v>
      </c>
      <c r="B287" s="13">
        <v>45797</v>
      </c>
      <c r="C287" t="s">
        <v>1015</v>
      </c>
      <c r="D287" t="s">
        <v>2251</v>
      </c>
    </row>
    <row r="288" spans="1:5" x14ac:dyDescent="0.3">
      <c r="A288">
        <v>284</v>
      </c>
      <c r="B288" s="13">
        <v>45797</v>
      </c>
      <c r="C288" t="s">
        <v>1580</v>
      </c>
      <c r="D288" t="s">
        <v>2252</v>
      </c>
    </row>
    <row r="289" spans="1:4" x14ac:dyDescent="0.3">
      <c r="A289">
        <v>285</v>
      </c>
      <c r="B289" s="13">
        <v>45797</v>
      </c>
      <c r="C289" t="s">
        <v>1861</v>
      </c>
      <c r="D289" t="s">
        <v>2253</v>
      </c>
    </row>
    <row r="290" spans="1:4" x14ac:dyDescent="0.3">
      <c r="A290">
        <v>286</v>
      </c>
      <c r="B290" s="13">
        <v>45798</v>
      </c>
      <c r="C290" t="s">
        <v>1554</v>
      </c>
      <c r="D290" t="s">
        <v>2257</v>
      </c>
    </row>
    <row r="291" spans="1:4" x14ac:dyDescent="0.3">
      <c r="A291">
        <v>287</v>
      </c>
      <c r="B291" s="13">
        <v>45798</v>
      </c>
      <c r="C291" t="s">
        <v>2258</v>
      </c>
      <c r="D291" t="s">
        <v>2259</v>
      </c>
    </row>
    <row r="292" spans="1:4" x14ac:dyDescent="0.3">
      <c r="A292">
        <v>288</v>
      </c>
      <c r="B292" s="13">
        <v>45798</v>
      </c>
      <c r="C292" t="s">
        <v>1671</v>
      </c>
      <c r="D292" t="s">
        <v>2260</v>
      </c>
    </row>
    <row r="293" spans="1:4" x14ac:dyDescent="0.3">
      <c r="A293">
        <v>289</v>
      </c>
      <c r="B293" s="13">
        <v>45798</v>
      </c>
      <c r="C293" t="s">
        <v>2261</v>
      </c>
      <c r="D293" t="s">
        <v>2262</v>
      </c>
    </row>
    <row r="294" spans="1:4" x14ac:dyDescent="0.3">
      <c r="A294">
        <v>290</v>
      </c>
      <c r="B294" s="13">
        <v>45798</v>
      </c>
      <c r="C294" t="s">
        <v>1861</v>
      </c>
      <c r="D294" t="s">
        <v>2263</v>
      </c>
    </row>
    <row r="295" spans="1:4" x14ac:dyDescent="0.3">
      <c r="A295">
        <v>291</v>
      </c>
      <c r="B295" s="13">
        <v>45799</v>
      </c>
      <c r="C295" t="s">
        <v>1399</v>
      </c>
      <c r="D295" t="s">
        <v>2264</v>
      </c>
    </row>
    <row r="296" spans="1:4" x14ac:dyDescent="0.3">
      <c r="A296">
        <v>292</v>
      </c>
      <c r="B296" s="13">
        <v>45799</v>
      </c>
      <c r="C296" t="s">
        <v>1053</v>
      </c>
      <c r="D296" t="s">
        <v>2265</v>
      </c>
    </row>
    <row r="297" spans="1:4" x14ac:dyDescent="0.3">
      <c r="A297">
        <v>293</v>
      </c>
      <c r="B297" s="13">
        <v>45799</v>
      </c>
      <c r="C297" t="s">
        <v>1554</v>
      </c>
      <c r="D297" t="s">
        <v>2266</v>
      </c>
    </row>
    <row r="298" spans="1:4" x14ac:dyDescent="0.3">
      <c r="A298">
        <v>294</v>
      </c>
      <c r="B298" s="13">
        <v>45799</v>
      </c>
      <c r="C298" t="s">
        <v>1449</v>
      </c>
      <c r="D298" t="s">
        <v>2268</v>
      </c>
    </row>
    <row r="299" spans="1:4" x14ac:dyDescent="0.3">
      <c r="A299">
        <v>295</v>
      </c>
      <c r="B299" s="13">
        <v>45799</v>
      </c>
      <c r="C299" t="s">
        <v>1479</v>
      </c>
      <c r="D299" t="s">
        <v>2269</v>
      </c>
    </row>
    <row r="300" spans="1:4" x14ac:dyDescent="0.3">
      <c r="A300">
        <v>296</v>
      </c>
      <c r="B300" s="13">
        <v>45800</v>
      </c>
      <c r="C300" t="s">
        <v>1053</v>
      </c>
      <c r="D300" t="s">
        <v>2275</v>
      </c>
    </row>
    <row r="301" spans="1:4" x14ac:dyDescent="0.3">
      <c r="A301">
        <v>297</v>
      </c>
      <c r="B301" s="13">
        <v>45800</v>
      </c>
      <c r="C301" t="s">
        <v>2276</v>
      </c>
      <c r="D301" t="s">
        <v>2280</v>
      </c>
    </row>
    <row r="302" spans="1:4" x14ac:dyDescent="0.3">
      <c r="A302">
        <v>298</v>
      </c>
      <c r="B302" s="13">
        <v>45800</v>
      </c>
      <c r="C302" t="s">
        <v>1053</v>
      </c>
      <c r="D302" t="s">
        <v>2281</v>
      </c>
    </row>
    <row r="303" spans="1:4" x14ac:dyDescent="0.3">
      <c r="A303">
        <v>299</v>
      </c>
      <c r="B303" s="13">
        <v>45800</v>
      </c>
      <c r="C303" t="s">
        <v>1722</v>
      </c>
      <c r="D303" t="s">
        <v>2282</v>
      </c>
    </row>
    <row r="304" spans="1:4" x14ac:dyDescent="0.3">
      <c r="A304">
        <v>300</v>
      </c>
      <c r="B304" s="13">
        <v>45801</v>
      </c>
      <c r="C304" t="s">
        <v>1452</v>
      </c>
      <c r="D304" t="s">
        <v>2288</v>
      </c>
    </row>
    <row r="305" spans="1:4" x14ac:dyDescent="0.3">
      <c r="A305">
        <v>301</v>
      </c>
      <c r="B305" s="13">
        <v>45801</v>
      </c>
      <c r="C305" t="s">
        <v>1018</v>
      </c>
      <c r="D305" t="s">
        <v>2289</v>
      </c>
    </row>
    <row r="306" spans="1:4" x14ac:dyDescent="0.3">
      <c r="A306">
        <v>302</v>
      </c>
      <c r="B306" s="13">
        <v>45801</v>
      </c>
      <c r="C306" t="s">
        <v>1544</v>
      </c>
      <c r="D306" t="s">
        <v>2291</v>
      </c>
    </row>
    <row r="307" spans="1:4" x14ac:dyDescent="0.3">
      <c r="A307">
        <v>303</v>
      </c>
      <c r="B307" s="13">
        <v>45803</v>
      </c>
      <c r="C307" t="s">
        <v>2292</v>
      </c>
      <c r="D307" t="s">
        <v>2296</v>
      </c>
    </row>
    <row r="308" spans="1:4" x14ac:dyDescent="0.3">
      <c r="A308">
        <v>304</v>
      </c>
      <c r="B308" s="13">
        <v>45803</v>
      </c>
      <c r="C308" t="s">
        <v>1399</v>
      </c>
      <c r="D308" t="s">
        <v>2297</v>
      </c>
    </row>
    <row r="309" spans="1:4" x14ac:dyDescent="0.3">
      <c r="A309">
        <v>305</v>
      </c>
      <c r="B309" s="13">
        <v>45803</v>
      </c>
      <c r="C309" t="s">
        <v>1577</v>
      </c>
      <c r="D309" t="s">
        <v>2298</v>
      </c>
    </row>
    <row r="310" spans="1:4" x14ac:dyDescent="0.3">
      <c r="A310">
        <v>306</v>
      </c>
      <c r="B310" s="13">
        <v>45803</v>
      </c>
      <c r="C310" t="s">
        <v>2119</v>
      </c>
      <c r="D310" t="s">
        <v>2300</v>
      </c>
    </row>
    <row r="311" spans="1:4" x14ac:dyDescent="0.3">
      <c r="A311">
        <v>307</v>
      </c>
      <c r="B311" s="13">
        <v>45803</v>
      </c>
      <c r="C311" t="s">
        <v>1018</v>
      </c>
      <c r="D311" t="s">
        <v>2301</v>
      </c>
    </row>
    <row r="312" spans="1:4" x14ac:dyDescent="0.3">
      <c r="A312">
        <v>308</v>
      </c>
      <c r="B312" s="13">
        <v>45803</v>
      </c>
      <c r="C312" t="s">
        <v>1671</v>
      </c>
      <c r="D312" t="s">
        <v>2302</v>
      </c>
    </row>
    <row r="313" spans="1:4" x14ac:dyDescent="0.3">
      <c r="A313">
        <v>309</v>
      </c>
      <c r="B313" s="13">
        <v>45803</v>
      </c>
      <c r="C313" t="s">
        <v>1586</v>
      </c>
      <c r="D313" t="s">
        <v>2305</v>
      </c>
    </row>
    <row r="314" spans="1:4" x14ac:dyDescent="0.3">
      <c r="A314">
        <v>310</v>
      </c>
      <c r="B314" s="13">
        <v>45804</v>
      </c>
      <c r="C314" t="s">
        <v>1479</v>
      </c>
      <c r="D314" t="s">
        <v>2308</v>
      </c>
    </row>
    <row r="315" spans="1:4" x14ac:dyDescent="0.3">
      <c r="A315">
        <v>311</v>
      </c>
      <c r="B315" s="13">
        <v>45804</v>
      </c>
      <c r="C315" t="s">
        <v>1722</v>
      </c>
      <c r="D315" t="s">
        <v>2309</v>
      </c>
    </row>
    <row r="316" spans="1:4" x14ac:dyDescent="0.3">
      <c r="A316">
        <v>312</v>
      </c>
      <c r="B316" s="13">
        <v>45804</v>
      </c>
      <c r="C316" t="s">
        <v>1577</v>
      </c>
      <c r="D316" t="s">
        <v>2310</v>
      </c>
    </row>
    <row r="317" spans="1:4" x14ac:dyDescent="0.3">
      <c r="A317">
        <v>313</v>
      </c>
      <c r="B317" s="13">
        <v>45804</v>
      </c>
      <c r="C317" t="s">
        <v>1373</v>
      </c>
      <c r="D317" t="s">
        <v>2311</v>
      </c>
    </row>
    <row r="318" spans="1:4" x14ac:dyDescent="0.3">
      <c r="A318">
        <v>314</v>
      </c>
      <c r="B318" s="13">
        <v>45804</v>
      </c>
      <c r="C318" t="s">
        <v>1541</v>
      </c>
      <c r="D318" t="s">
        <v>2314</v>
      </c>
    </row>
    <row r="319" spans="1:4" x14ac:dyDescent="0.3">
      <c r="A319">
        <v>343</v>
      </c>
      <c r="B319" s="13">
        <v>45806</v>
      </c>
      <c r="C319" t="s">
        <v>2261</v>
      </c>
      <c r="D319" t="s">
        <v>2323</v>
      </c>
    </row>
    <row r="320" spans="1:4" x14ac:dyDescent="0.3">
      <c r="A320">
        <v>344</v>
      </c>
      <c r="B320" s="13">
        <v>45806</v>
      </c>
      <c r="C320" t="s">
        <v>1391</v>
      </c>
      <c r="D320" t="s">
        <v>2324</v>
      </c>
    </row>
    <row r="321" spans="1:4" x14ac:dyDescent="0.3">
      <c r="A321">
        <v>345</v>
      </c>
      <c r="B321" s="13">
        <v>45806</v>
      </c>
      <c r="C321" t="s">
        <v>1399</v>
      </c>
      <c r="D321" t="s">
        <v>2325</v>
      </c>
    </row>
    <row r="322" spans="1:4" x14ac:dyDescent="0.3">
      <c r="A322">
        <v>346</v>
      </c>
      <c r="B322" s="13">
        <v>45807</v>
      </c>
      <c r="C322" t="s">
        <v>1521</v>
      </c>
      <c r="D322" t="s">
        <v>2326</v>
      </c>
    </row>
    <row r="323" spans="1:4" x14ac:dyDescent="0.3">
      <c r="A323">
        <v>347</v>
      </c>
      <c r="B323" s="13">
        <v>45807</v>
      </c>
      <c r="C323" t="s">
        <v>1479</v>
      </c>
      <c r="D323" t="s">
        <v>2332</v>
      </c>
    </row>
    <row r="324" spans="1:4" x14ac:dyDescent="0.3">
      <c r="A324">
        <v>348</v>
      </c>
      <c r="B324" s="13">
        <v>45807</v>
      </c>
      <c r="C324" t="s">
        <v>2333</v>
      </c>
      <c r="D324" t="s">
        <v>2334</v>
      </c>
    </row>
    <row r="325" spans="1:4" x14ac:dyDescent="0.3">
      <c r="A325">
        <v>349</v>
      </c>
      <c r="B325" s="13">
        <v>45807</v>
      </c>
      <c r="C325" t="s">
        <v>1053</v>
      </c>
      <c r="D325" t="s">
        <v>2335</v>
      </c>
    </row>
    <row r="326" spans="1:4" x14ac:dyDescent="0.3">
      <c r="A326">
        <v>350</v>
      </c>
      <c r="B326" s="13">
        <v>45807</v>
      </c>
      <c r="C326" t="s">
        <v>2319</v>
      </c>
      <c r="D326" t="s">
        <v>2336</v>
      </c>
    </row>
    <row r="327" spans="1:4" x14ac:dyDescent="0.3">
      <c r="A327">
        <v>351</v>
      </c>
      <c r="B327" s="13">
        <v>45807</v>
      </c>
      <c r="C327" t="s">
        <v>2101</v>
      </c>
      <c r="D327" t="s">
        <v>2337</v>
      </c>
    </row>
    <row r="328" spans="1:4" x14ac:dyDescent="0.3">
      <c r="A328">
        <v>352</v>
      </c>
      <c r="B328" s="13">
        <v>45807</v>
      </c>
      <c r="C328" t="s">
        <v>1442</v>
      </c>
      <c r="D328" t="s">
        <v>2339</v>
      </c>
    </row>
    <row r="329" spans="1:4" x14ac:dyDescent="0.3">
      <c r="A329">
        <v>353</v>
      </c>
      <c r="B329" s="13">
        <v>45808</v>
      </c>
      <c r="C329" t="s">
        <v>1238</v>
      </c>
      <c r="D329" t="s">
        <v>2344</v>
      </c>
    </row>
    <row r="330" spans="1:4" x14ac:dyDescent="0.3">
      <c r="A330">
        <v>354</v>
      </c>
      <c r="B330" s="13">
        <v>45808</v>
      </c>
      <c r="C330" t="s">
        <v>1306</v>
      </c>
      <c r="D330" t="s">
        <v>2345</v>
      </c>
    </row>
    <row r="331" spans="1:4" x14ac:dyDescent="0.3">
      <c r="A331">
        <v>355</v>
      </c>
      <c r="B331" s="13">
        <v>45808</v>
      </c>
      <c r="C331" t="s">
        <v>1722</v>
      </c>
      <c r="D331" t="s">
        <v>2351</v>
      </c>
    </row>
    <row r="332" spans="1:4" x14ac:dyDescent="0.3">
      <c r="A332">
        <v>356</v>
      </c>
      <c r="B332" s="13">
        <v>45810</v>
      </c>
      <c r="C332" t="s">
        <v>987</v>
      </c>
      <c r="D332" t="s">
        <v>2353</v>
      </c>
    </row>
    <row r="333" spans="1:4" x14ac:dyDescent="0.3">
      <c r="A333">
        <v>357</v>
      </c>
      <c r="B333" s="13">
        <v>45810</v>
      </c>
      <c r="C333" t="s">
        <v>1541</v>
      </c>
      <c r="D333" t="s">
        <v>2354</v>
      </c>
    </row>
    <row r="334" spans="1:4" x14ac:dyDescent="0.3">
      <c r="A334">
        <v>358</v>
      </c>
      <c r="B334" s="13">
        <v>45810</v>
      </c>
      <c r="C334" t="s">
        <v>2292</v>
      </c>
      <c r="D334" t="s">
        <v>2355</v>
      </c>
    </row>
    <row r="335" spans="1:4" x14ac:dyDescent="0.3">
      <c r="A335">
        <v>359</v>
      </c>
      <c r="B335" s="13">
        <v>45810</v>
      </c>
      <c r="C335" t="s">
        <v>1456</v>
      </c>
      <c r="D335" t="s">
        <v>2356</v>
      </c>
    </row>
    <row r="336" spans="1:4" x14ac:dyDescent="0.3">
      <c r="A336">
        <v>360</v>
      </c>
      <c r="B336" s="13">
        <v>45810</v>
      </c>
      <c r="C336" t="s">
        <v>1541</v>
      </c>
      <c r="D336" t="s">
        <v>2357</v>
      </c>
    </row>
    <row r="337" spans="1:4" x14ac:dyDescent="0.3">
      <c r="A337">
        <v>361</v>
      </c>
      <c r="B337" s="13">
        <v>45810</v>
      </c>
      <c r="C337" t="s">
        <v>2258</v>
      </c>
      <c r="D337" t="s">
        <v>2360</v>
      </c>
    </row>
    <row r="338" spans="1:4" x14ac:dyDescent="0.3">
      <c r="A338">
        <v>362</v>
      </c>
      <c r="B338" s="13">
        <v>45811</v>
      </c>
      <c r="C338" t="s">
        <v>1596</v>
      </c>
      <c r="D338" t="s">
        <v>2362</v>
      </c>
    </row>
    <row r="339" spans="1:4" x14ac:dyDescent="0.3">
      <c r="A339">
        <v>363</v>
      </c>
      <c r="B339" s="13">
        <v>45811</v>
      </c>
      <c r="C339" t="s">
        <v>1449</v>
      </c>
      <c r="D339" t="s">
        <v>2364</v>
      </c>
    </row>
    <row r="340" spans="1:4" x14ac:dyDescent="0.3">
      <c r="A340">
        <v>364</v>
      </c>
      <c r="B340" s="13">
        <v>45811</v>
      </c>
      <c r="C340" t="s">
        <v>2365</v>
      </c>
      <c r="D340" t="s">
        <v>2368</v>
      </c>
    </row>
    <row r="341" spans="1:4" x14ac:dyDescent="0.3">
      <c r="A341">
        <v>365</v>
      </c>
      <c r="B341" s="13">
        <v>45811</v>
      </c>
      <c r="C341" t="s">
        <v>2365</v>
      </c>
      <c r="D341" t="s">
        <v>2369</v>
      </c>
    </row>
    <row r="342" spans="1:4" x14ac:dyDescent="0.3">
      <c r="A342">
        <v>366</v>
      </c>
      <c r="B342" s="13">
        <v>45807</v>
      </c>
      <c r="C342" t="s">
        <v>1015</v>
      </c>
      <c r="D342" t="s">
        <v>2378</v>
      </c>
    </row>
    <row r="343" spans="1:4" x14ac:dyDescent="0.3">
      <c r="A343">
        <v>367</v>
      </c>
      <c r="B343" s="13">
        <v>45812</v>
      </c>
      <c r="C343" t="s">
        <v>1598</v>
      </c>
      <c r="D343" t="s">
        <v>2379</v>
      </c>
    </row>
    <row r="344" spans="1:4" x14ac:dyDescent="0.3">
      <c r="A344">
        <v>368</v>
      </c>
      <c r="B344" s="13">
        <v>45812</v>
      </c>
      <c r="C344" t="s">
        <v>2380</v>
      </c>
      <c r="D344" t="s">
        <v>2385</v>
      </c>
    </row>
    <row r="345" spans="1:4" x14ac:dyDescent="0.3">
      <c r="A345">
        <v>369</v>
      </c>
      <c r="B345" s="13">
        <v>45812</v>
      </c>
      <c r="C345" t="s">
        <v>1580</v>
      </c>
      <c r="D345" t="s">
        <v>2388</v>
      </c>
    </row>
    <row r="346" spans="1:4" x14ac:dyDescent="0.3">
      <c r="A346">
        <v>370</v>
      </c>
      <c r="B346" s="13">
        <v>45813</v>
      </c>
      <c r="C346" t="s">
        <v>1541</v>
      </c>
      <c r="D346" t="s">
        <v>2393</v>
      </c>
    </row>
    <row r="347" spans="1:4" x14ac:dyDescent="0.3">
      <c r="A347">
        <v>371</v>
      </c>
      <c r="B347" s="13">
        <v>45813</v>
      </c>
      <c r="C347" t="s">
        <v>1541</v>
      </c>
      <c r="D347" t="s">
        <v>2394</v>
      </c>
    </row>
    <row r="348" spans="1:4" x14ac:dyDescent="0.3">
      <c r="A348">
        <v>372</v>
      </c>
      <c r="B348" s="13">
        <v>45813</v>
      </c>
      <c r="C348" t="s">
        <v>1456</v>
      </c>
      <c r="D348" t="s">
        <v>2395</v>
      </c>
    </row>
    <row r="349" spans="1:4" x14ac:dyDescent="0.3">
      <c r="A349">
        <v>373</v>
      </c>
      <c r="B349" s="13">
        <v>45813</v>
      </c>
      <c r="C349" t="s">
        <v>1147</v>
      </c>
      <c r="D349" t="s">
        <v>2398</v>
      </c>
    </row>
    <row r="350" spans="1:4" x14ac:dyDescent="0.3">
      <c r="A350">
        <v>374</v>
      </c>
      <c r="B350" s="13">
        <v>45813</v>
      </c>
      <c r="C350" t="s">
        <v>2405</v>
      </c>
      <c r="D350" t="s">
        <v>2406</v>
      </c>
    </row>
    <row r="351" spans="1:4" x14ac:dyDescent="0.3">
      <c r="A351">
        <v>375</v>
      </c>
      <c r="B351" s="13">
        <v>45814</v>
      </c>
      <c r="C351" t="s">
        <v>1722</v>
      </c>
      <c r="D351" t="s">
        <v>2407</v>
      </c>
    </row>
    <row r="352" spans="1:4" x14ac:dyDescent="0.3">
      <c r="A352">
        <v>376</v>
      </c>
      <c r="B352" s="13">
        <v>45815</v>
      </c>
      <c r="C352" t="s">
        <v>1722</v>
      </c>
      <c r="D352" t="s">
        <v>2408</v>
      </c>
    </row>
    <row r="353" spans="1:4" x14ac:dyDescent="0.3">
      <c r="A353">
        <v>377</v>
      </c>
      <c r="B353" s="13">
        <v>45817</v>
      </c>
      <c r="C353" t="s">
        <v>2410</v>
      </c>
      <c r="D353" t="s">
        <v>2411</v>
      </c>
    </row>
    <row r="354" spans="1:4" x14ac:dyDescent="0.3">
      <c r="A354">
        <v>378</v>
      </c>
      <c r="B354" s="13">
        <v>45817</v>
      </c>
      <c r="C354" t="s">
        <v>987</v>
      </c>
      <c r="D354" t="s">
        <v>2412</v>
      </c>
    </row>
    <row r="355" spans="1:4" x14ac:dyDescent="0.3">
      <c r="A355">
        <v>379</v>
      </c>
      <c r="B355" s="13">
        <v>45817</v>
      </c>
      <c r="C355" t="s">
        <v>1147</v>
      </c>
      <c r="D355" t="s">
        <v>2415</v>
      </c>
    </row>
    <row r="356" spans="1:4" x14ac:dyDescent="0.3">
      <c r="A356">
        <v>380</v>
      </c>
      <c r="B356" s="13">
        <v>45817</v>
      </c>
      <c r="C356" t="s">
        <v>1722</v>
      </c>
      <c r="D356" t="s">
        <v>2416</v>
      </c>
    </row>
    <row r="357" spans="1:4" x14ac:dyDescent="0.3">
      <c r="A357">
        <v>381</v>
      </c>
      <c r="B357" s="13">
        <v>45817</v>
      </c>
      <c r="C357" t="s">
        <v>1018</v>
      </c>
      <c r="D357" t="s">
        <v>2419</v>
      </c>
    </row>
    <row r="358" spans="1:4" x14ac:dyDescent="0.3">
      <c r="A358">
        <v>382</v>
      </c>
      <c r="B358" s="13">
        <v>45817</v>
      </c>
      <c r="C358" t="s">
        <v>1444</v>
      </c>
      <c r="D358" t="s">
        <v>2420</v>
      </c>
    </row>
    <row r="359" spans="1:4" x14ac:dyDescent="0.3">
      <c r="A359">
        <v>383</v>
      </c>
      <c r="B359" s="13">
        <v>45817</v>
      </c>
      <c r="C359" t="s">
        <v>1399</v>
      </c>
      <c r="D359" t="s">
        <v>2421</v>
      </c>
    </row>
    <row r="360" spans="1:4" x14ac:dyDescent="0.3">
      <c r="A360">
        <v>384</v>
      </c>
      <c r="B360" s="13">
        <v>45817</v>
      </c>
      <c r="C360" t="s">
        <v>1580</v>
      </c>
      <c r="D360" t="s">
        <v>2422</v>
      </c>
    </row>
    <row r="361" spans="1:4" x14ac:dyDescent="0.3">
      <c r="A361">
        <v>385</v>
      </c>
      <c r="B361" s="13">
        <v>45817</v>
      </c>
      <c r="C361" t="s">
        <v>1577</v>
      </c>
      <c r="D361" t="s">
        <v>2428</v>
      </c>
    </row>
    <row r="362" spans="1:4" x14ac:dyDescent="0.3">
      <c r="A362">
        <v>386</v>
      </c>
      <c r="B362" s="13">
        <v>45817</v>
      </c>
      <c r="C362" t="s">
        <v>1722</v>
      </c>
      <c r="D362" t="s">
        <v>2436</v>
      </c>
    </row>
    <row r="363" spans="1:4" x14ac:dyDescent="0.3">
      <c r="A363">
        <v>387</v>
      </c>
      <c r="B363" s="13">
        <v>45817</v>
      </c>
      <c r="C363" t="s">
        <v>1399</v>
      </c>
      <c r="D363" t="s">
        <v>2437</v>
      </c>
    </row>
    <row r="364" spans="1:4" x14ac:dyDescent="0.3">
      <c r="A364">
        <v>388</v>
      </c>
      <c r="B364" s="13">
        <v>45818</v>
      </c>
      <c r="C364" t="s">
        <v>2365</v>
      </c>
      <c r="D364" t="s">
        <v>2452</v>
      </c>
    </row>
    <row r="365" spans="1:4" x14ac:dyDescent="0.3">
      <c r="A365">
        <v>389</v>
      </c>
      <c r="B365" s="13">
        <v>45818</v>
      </c>
      <c r="C365" t="s">
        <v>1747</v>
      </c>
      <c r="D365" t="s">
        <v>2453</v>
      </c>
    </row>
    <row r="366" spans="1:4" x14ac:dyDescent="0.3">
      <c r="A366">
        <v>390</v>
      </c>
      <c r="B366" s="13">
        <v>45818</v>
      </c>
      <c r="C366" t="s">
        <v>1399</v>
      </c>
      <c r="D366" t="s">
        <v>2454</v>
      </c>
    </row>
    <row r="367" spans="1:4" x14ac:dyDescent="0.3">
      <c r="A367">
        <v>391</v>
      </c>
      <c r="B367" s="13">
        <v>45818</v>
      </c>
      <c r="C367" t="s">
        <v>1306</v>
      </c>
      <c r="D367" t="s">
        <v>2456</v>
      </c>
    </row>
    <row r="368" spans="1:4" x14ac:dyDescent="0.3">
      <c r="A368">
        <v>392</v>
      </c>
      <c r="B368" s="13">
        <v>45818</v>
      </c>
      <c r="C368" t="s">
        <v>1577</v>
      </c>
      <c r="D368" t="s">
        <v>2457</v>
      </c>
    </row>
    <row r="369" spans="1:4" x14ac:dyDescent="0.3">
      <c r="A369">
        <v>393</v>
      </c>
      <c r="B369" s="13">
        <v>45818</v>
      </c>
      <c r="C369" t="s">
        <v>1444</v>
      </c>
      <c r="D369" t="s">
        <v>2459</v>
      </c>
    </row>
    <row r="370" spans="1:4" x14ac:dyDescent="0.3">
      <c r="A370">
        <v>394</v>
      </c>
      <c r="B370" s="13">
        <v>45818</v>
      </c>
      <c r="C370" t="s">
        <v>2319</v>
      </c>
      <c r="D370" t="s">
        <v>2461</v>
      </c>
    </row>
    <row r="371" spans="1:4" x14ac:dyDescent="0.3">
      <c r="A371">
        <v>395</v>
      </c>
      <c r="B371" s="13">
        <v>45818</v>
      </c>
      <c r="C371" t="s">
        <v>1894</v>
      </c>
      <c r="D371" t="s">
        <v>2462</v>
      </c>
    </row>
    <row r="372" spans="1:4" x14ac:dyDescent="0.3">
      <c r="A372">
        <v>396</v>
      </c>
      <c r="B372" s="13">
        <v>45819</v>
      </c>
      <c r="C372" t="s">
        <v>1449</v>
      </c>
      <c r="D372" t="s">
        <v>2464</v>
      </c>
    </row>
    <row r="373" spans="1:4" x14ac:dyDescent="0.3">
      <c r="A373">
        <v>397</v>
      </c>
      <c r="B373" s="13">
        <v>45819</v>
      </c>
      <c r="C373" t="s">
        <v>2371</v>
      </c>
      <c r="D373" t="s">
        <v>2475</v>
      </c>
    </row>
    <row r="374" spans="1:4" x14ac:dyDescent="0.3">
      <c r="A374">
        <v>398</v>
      </c>
      <c r="B374" s="13">
        <v>45819</v>
      </c>
      <c r="C374" t="s">
        <v>2476</v>
      </c>
      <c r="D374" t="s">
        <v>2477</v>
      </c>
    </row>
    <row r="375" spans="1:4" x14ac:dyDescent="0.3">
      <c r="A375">
        <v>399</v>
      </c>
      <c r="B375" s="13">
        <v>45819</v>
      </c>
      <c r="C375" t="s">
        <v>1452</v>
      </c>
      <c r="D375" t="s">
        <v>2479</v>
      </c>
    </row>
    <row r="376" spans="1:4" x14ac:dyDescent="0.3">
      <c r="A376">
        <v>400</v>
      </c>
      <c r="B376" s="13">
        <v>45819</v>
      </c>
      <c r="C376" t="s">
        <v>1373</v>
      </c>
      <c r="D376" t="s">
        <v>2480</v>
      </c>
    </row>
    <row r="377" spans="1:4" x14ac:dyDescent="0.3">
      <c r="A377">
        <v>401</v>
      </c>
      <c r="B377" s="13">
        <v>45819</v>
      </c>
      <c r="C377" t="s">
        <v>2467</v>
      </c>
      <c r="D377" t="s">
        <v>2481</v>
      </c>
    </row>
    <row r="378" spans="1:4" x14ac:dyDescent="0.3">
      <c r="A378">
        <v>402</v>
      </c>
      <c r="B378" s="13">
        <v>45819</v>
      </c>
      <c r="C378" t="s">
        <v>1449</v>
      </c>
      <c r="D378" t="s">
        <v>2482</v>
      </c>
    </row>
    <row r="379" spans="1:4" x14ac:dyDescent="0.3">
      <c r="A379">
        <v>403</v>
      </c>
      <c r="B379" s="13">
        <v>45820</v>
      </c>
      <c r="C379" t="s">
        <v>1473</v>
      </c>
      <c r="D379" t="s">
        <v>2483</v>
      </c>
    </row>
    <row r="380" spans="1:4" x14ac:dyDescent="0.3">
      <c r="A380">
        <v>404</v>
      </c>
      <c r="B380" s="13">
        <v>45820</v>
      </c>
      <c r="C380" t="s">
        <v>1473</v>
      </c>
      <c r="D380" t="s">
        <v>2484</v>
      </c>
    </row>
    <row r="381" spans="1:4" x14ac:dyDescent="0.3">
      <c r="A381">
        <v>405</v>
      </c>
      <c r="B381" s="13">
        <v>45820</v>
      </c>
      <c r="C381" t="s">
        <v>1479</v>
      </c>
      <c r="D381" t="s">
        <v>2485</v>
      </c>
    </row>
    <row r="382" spans="1:4" x14ac:dyDescent="0.3">
      <c r="A382">
        <v>406</v>
      </c>
      <c r="B382" s="13">
        <v>45821</v>
      </c>
      <c r="C382" t="s">
        <v>2486</v>
      </c>
      <c r="D382" t="s">
        <v>2492</v>
      </c>
    </row>
    <row r="383" spans="1:4" x14ac:dyDescent="0.3">
      <c r="A383">
        <v>407</v>
      </c>
      <c r="B383" s="13">
        <v>45821</v>
      </c>
      <c r="C383" t="s">
        <v>1018</v>
      </c>
      <c r="D383" t="s">
        <v>2493</v>
      </c>
    </row>
    <row r="384" spans="1:4" x14ac:dyDescent="0.3">
      <c r="A384">
        <v>408</v>
      </c>
      <c r="B384" s="13">
        <v>45821</v>
      </c>
      <c r="C384" t="s">
        <v>1809</v>
      </c>
      <c r="D384" t="s">
        <v>2494</v>
      </c>
    </row>
    <row r="385" spans="1:4" x14ac:dyDescent="0.3">
      <c r="A385">
        <v>409</v>
      </c>
      <c r="B385" s="13">
        <v>45821</v>
      </c>
      <c r="C385" t="s">
        <v>1980</v>
      </c>
      <c r="D385" t="s">
        <v>2495</v>
      </c>
    </row>
    <row r="386" spans="1:4" x14ac:dyDescent="0.3">
      <c r="A386">
        <v>410</v>
      </c>
      <c r="B386" s="13">
        <v>45821</v>
      </c>
      <c r="C386" t="s">
        <v>2496</v>
      </c>
      <c r="D386" t="s">
        <v>2497</v>
      </c>
    </row>
    <row r="387" spans="1:4" x14ac:dyDescent="0.3">
      <c r="A387">
        <v>411</v>
      </c>
      <c r="B387" s="13">
        <v>45821</v>
      </c>
      <c r="C387" t="s">
        <v>1469</v>
      </c>
      <c r="D387" t="s">
        <v>2501</v>
      </c>
    </row>
    <row r="388" spans="1:4" x14ac:dyDescent="0.3">
      <c r="A388">
        <v>412</v>
      </c>
      <c r="B388" s="13">
        <v>45821</v>
      </c>
      <c r="C388" t="s">
        <v>1494</v>
      </c>
      <c r="D388" t="s">
        <v>2506</v>
      </c>
    </row>
    <row r="389" spans="1:4" x14ac:dyDescent="0.3">
      <c r="A389">
        <v>413</v>
      </c>
      <c r="B389" s="13">
        <v>45822</v>
      </c>
      <c r="C389" t="s">
        <v>1399</v>
      </c>
      <c r="D389" t="s">
        <v>2507</v>
      </c>
    </row>
    <row r="390" spans="1:4" x14ac:dyDescent="0.3">
      <c r="A390">
        <v>414</v>
      </c>
      <c r="B390" s="13">
        <v>45822</v>
      </c>
      <c r="C390" t="s">
        <v>1541</v>
      </c>
      <c r="D390" t="s">
        <v>2508</v>
      </c>
    </row>
    <row r="391" spans="1:4" x14ac:dyDescent="0.3">
      <c r="A391">
        <v>415</v>
      </c>
      <c r="B391" s="13">
        <v>45824</v>
      </c>
      <c r="C391" t="s">
        <v>1454</v>
      </c>
      <c r="D391" t="s">
        <v>2509</v>
      </c>
    </row>
    <row r="392" spans="1:4" x14ac:dyDescent="0.3">
      <c r="A392">
        <v>416</v>
      </c>
      <c r="B392" s="13">
        <v>45824</v>
      </c>
      <c r="C392" t="s">
        <v>1018</v>
      </c>
      <c r="D392" t="s">
        <v>2514</v>
      </c>
    </row>
    <row r="393" spans="1:4" x14ac:dyDescent="0.3">
      <c r="A393">
        <v>417</v>
      </c>
      <c r="B393" s="13">
        <v>45824</v>
      </c>
      <c r="C393" t="s">
        <v>1399</v>
      </c>
      <c r="D393" t="s">
        <v>2515</v>
      </c>
    </row>
    <row r="394" spans="1:4" x14ac:dyDescent="0.3">
      <c r="A394">
        <v>418</v>
      </c>
      <c r="B394" s="13">
        <v>45825</v>
      </c>
      <c r="C394" t="s">
        <v>1378</v>
      </c>
      <c r="D394" t="s">
        <v>2516</v>
      </c>
    </row>
    <row r="395" spans="1:4" x14ac:dyDescent="0.3">
      <c r="A395">
        <v>419</v>
      </c>
      <c r="B395" s="13">
        <v>45825</v>
      </c>
      <c r="C395" t="s">
        <v>1541</v>
      </c>
      <c r="D395" t="s">
        <v>2556</v>
      </c>
    </row>
    <row r="396" spans="1:4" x14ac:dyDescent="0.3">
      <c r="A396">
        <v>420</v>
      </c>
      <c r="B396" s="13">
        <v>45825</v>
      </c>
      <c r="C396" t="s">
        <v>1399</v>
      </c>
      <c r="D396" t="s">
        <v>2559</v>
      </c>
    </row>
    <row r="397" spans="1:4" x14ac:dyDescent="0.3">
      <c r="A397">
        <v>421</v>
      </c>
      <c r="B397" s="13">
        <v>45825</v>
      </c>
      <c r="C397" t="s">
        <v>2558</v>
      </c>
      <c r="D397" t="s">
        <v>2560</v>
      </c>
    </row>
    <row r="398" spans="1:4" x14ac:dyDescent="0.3">
      <c r="A398">
        <v>422</v>
      </c>
      <c r="B398" s="13">
        <v>45826</v>
      </c>
      <c r="C398" t="s">
        <v>1018</v>
      </c>
      <c r="D398" t="s">
        <v>2564</v>
      </c>
    </row>
    <row r="399" spans="1:4" x14ac:dyDescent="0.3">
      <c r="A399">
        <v>423</v>
      </c>
      <c r="B399" s="13">
        <v>45826</v>
      </c>
      <c r="C399" t="s">
        <v>1399</v>
      </c>
      <c r="D399" t="s">
        <v>2567</v>
      </c>
    </row>
    <row r="400" spans="1:4" x14ac:dyDescent="0.3">
      <c r="A400">
        <v>424</v>
      </c>
      <c r="B400" s="13">
        <v>45826</v>
      </c>
      <c r="C400" t="s">
        <v>2476</v>
      </c>
      <c r="D400" t="s">
        <v>2568</v>
      </c>
    </row>
    <row r="401" spans="1:4" x14ac:dyDescent="0.3">
      <c r="A401">
        <v>425</v>
      </c>
      <c r="B401" s="13">
        <v>45826</v>
      </c>
      <c r="C401" t="s">
        <v>1977</v>
      </c>
      <c r="D401" t="s">
        <v>2569</v>
      </c>
    </row>
    <row r="402" spans="1:4" x14ac:dyDescent="0.3">
      <c r="A402">
        <v>426</v>
      </c>
      <c r="B402" s="13">
        <v>45826</v>
      </c>
      <c r="C402" t="s">
        <v>2292</v>
      </c>
      <c r="D402" t="s">
        <v>2570</v>
      </c>
    </row>
    <row r="403" spans="1:4" x14ac:dyDescent="0.3">
      <c r="A403">
        <v>427</v>
      </c>
      <c r="B403" s="13">
        <v>45826</v>
      </c>
      <c r="C403" t="s">
        <v>1722</v>
      </c>
      <c r="D403" t="s">
        <v>2571</v>
      </c>
    </row>
    <row r="404" spans="1:4" x14ac:dyDescent="0.3">
      <c r="A404">
        <v>428</v>
      </c>
      <c r="B404" s="13">
        <v>45826</v>
      </c>
      <c r="C404" t="s">
        <v>1399</v>
      </c>
      <c r="D404" t="s">
        <v>2572</v>
      </c>
    </row>
    <row r="405" spans="1:4" x14ac:dyDescent="0.3">
      <c r="A405">
        <v>429</v>
      </c>
      <c r="B405" s="13">
        <v>45827</v>
      </c>
      <c r="C405" t="s">
        <v>1977</v>
      </c>
      <c r="D405" t="s">
        <v>2574</v>
      </c>
    </row>
    <row r="406" spans="1:4" x14ac:dyDescent="0.3">
      <c r="A406">
        <v>430</v>
      </c>
      <c r="B406" s="13">
        <v>45827</v>
      </c>
      <c r="C406" t="s">
        <v>1449</v>
      </c>
      <c r="D406" t="s">
        <v>2575</v>
      </c>
    </row>
    <row r="407" spans="1:4" x14ac:dyDescent="0.3">
      <c r="A407">
        <v>431</v>
      </c>
      <c r="B407" s="13">
        <v>45827</v>
      </c>
      <c r="C407" t="s">
        <v>2558</v>
      </c>
      <c r="D407" t="s">
        <v>2580</v>
      </c>
    </row>
    <row r="408" spans="1:4" x14ac:dyDescent="0.3">
      <c r="A408">
        <v>432</v>
      </c>
      <c r="B408" s="13">
        <v>45827</v>
      </c>
      <c r="C408" t="s">
        <v>1399</v>
      </c>
      <c r="D408" t="s">
        <v>2583</v>
      </c>
    </row>
    <row r="409" spans="1:4" x14ac:dyDescent="0.3">
      <c r="A409">
        <v>433</v>
      </c>
      <c r="B409" s="13">
        <v>45827</v>
      </c>
      <c r="C409" t="s">
        <v>1444</v>
      </c>
      <c r="D409" t="s">
        <v>2584</v>
      </c>
    </row>
    <row r="410" spans="1:4" x14ac:dyDescent="0.3">
      <c r="A410">
        <v>434</v>
      </c>
      <c r="B410" s="13">
        <v>45827</v>
      </c>
      <c r="C410" t="s">
        <v>1722</v>
      </c>
      <c r="D410" t="s">
        <v>2585</v>
      </c>
    </row>
    <row r="411" spans="1:4" x14ac:dyDescent="0.3">
      <c r="A411">
        <v>435</v>
      </c>
      <c r="B411" s="13">
        <v>45827</v>
      </c>
      <c r="C411" t="s">
        <v>2410</v>
      </c>
      <c r="D411" t="s">
        <v>2586</v>
      </c>
    </row>
    <row r="412" spans="1:4" x14ac:dyDescent="0.3">
      <c r="A412">
        <v>436</v>
      </c>
      <c r="B412" s="13">
        <v>45827</v>
      </c>
      <c r="C412" t="s">
        <v>1577</v>
      </c>
      <c r="D412" t="s">
        <v>2588</v>
      </c>
    </row>
    <row r="413" spans="1:4" x14ac:dyDescent="0.3">
      <c r="A413">
        <v>437</v>
      </c>
      <c r="B413" s="13">
        <v>45827</v>
      </c>
      <c r="C413" t="s">
        <v>1577</v>
      </c>
      <c r="D413" t="s">
        <v>2590</v>
      </c>
    </row>
    <row r="414" spans="1:4" x14ac:dyDescent="0.3">
      <c r="A414">
        <v>438</v>
      </c>
      <c r="B414" s="13">
        <v>45828</v>
      </c>
      <c r="C414" t="s">
        <v>2597</v>
      </c>
      <c r="D414" t="s">
        <v>2598</v>
      </c>
    </row>
    <row r="415" spans="1:4" x14ac:dyDescent="0.3">
      <c r="A415">
        <v>439</v>
      </c>
      <c r="B415" s="13">
        <v>45828</v>
      </c>
      <c r="C415" t="s">
        <v>1580</v>
      </c>
      <c r="D415" t="s">
        <v>2599</v>
      </c>
    </row>
    <row r="416" spans="1:4" x14ac:dyDescent="0.3">
      <c r="A416">
        <v>440</v>
      </c>
      <c r="B416" s="13">
        <v>45828</v>
      </c>
      <c r="C416" t="s">
        <v>1015</v>
      </c>
      <c r="D416" t="s">
        <v>2600</v>
      </c>
    </row>
    <row r="417" spans="1:4" x14ac:dyDescent="0.3">
      <c r="A417">
        <v>441</v>
      </c>
      <c r="B417" s="13">
        <v>45828</v>
      </c>
      <c r="C417" t="s">
        <v>1541</v>
      </c>
      <c r="D417" t="s">
        <v>2601</v>
      </c>
    </row>
    <row r="418" spans="1:4" x14ac:dyDescent="0.3">
      <c r="A418">
        <v>442</v>
      </c>
      <c r="B418" s="13">
        <v>45828</v>
      </c>
      <c r="C418" t="s">
        <v>2602</v>
      </c>
      <c r="D418" t="s">
        <v>2603</v>
      </c>
    </row>
    <row r="419" spans="1:4" x14ac:dyDescent="0.3">
      <c r="A419">
        <v>443</v>
      </c>
      <c r="B419" s="13">
        <v>45828</v>
      </c>
      <c r="C419" t="s">
        <v>1580</v>
      </c>
      <c r="D419" t="s">
        <v>2604</v>
      </c>
    </row>
    <row r="420" spans="1:4" x14ac:dyDescent="0.3">
      <c r="A420">
        <v>444</v>
      </c>
      <c r="B420" s="13">
        <v>45828</v>
      </c>
      <c r="C420" t="s">
        <v>2610</v>
      </c>
      <c r="D420" t="s">
        <v>2611</v>
      </c>
    </row>
    <row r="421" spans="1:4" x14ac:dyDescent="0.3">
      <c r="A421">
        <v>445</v>
      </c>
      <c r="B421" s="13">
        <v>45829</v>
      </c>
      <c r="C421" t="s">
        <v>1586</v>
      </c>
      <c r="D421" t="s">
        <v>2613</v>
      </c>
    </row>
    <row r="422" spans="1:4" x14ac:dyDescent="0.3">
      <c r="A422">
        <v>446</v>
      </c>
      <c r="B422" s="13">
        <v>45829</v>
      </c>
      <c r="C422" t="s">
        <v>2502</v>
      </c>
      <c r="D422" t="s">
        <v>2614</v>
      </c>
    </row>
    <row r="423" spans="1:4" x14ac:dyDescent="0.3">
      <c r="A423">
        <v>447</v>
      </c>
      <c r="B423" s="13">
        <v>45829</v>
      </c>
      <c r="C423" t="s">
        <v>1722</v>
      </c>
      <c r="D423" t="s">
        <v>2617</v>
      </c>
    </row>
    <row r="424" spans="1:4" x14ac:dyDescent="0.3">
      <c r="A424">
        <v>448</v>
      </c>
      <c r="B424" s="13">
        <v>45831</v>
      </c>
      <c r="C424" t="s">
        <v>2618</v>
      </c>
      <c r="D424" t="s">
        <v>2619</v>
      </c>
    </row>
    <row r="425" spans="1:4" x14ac:dyDescent="0.3">
      <c r="A425">
        <v>449</v>
      </c>
      <c r="B425" s="13">
        <v>45831</v>
      </c>
      <c r="C425" t="s">
        <v>2623</v>
      </c>
      <c r="D425" t="s">
        <v>2624</v>
      </c>
    </row>
    <row r="426" spans="1:4" x14ac:dyDescent="0.3">
      <c r="A426">
        <v>450</v>
      </c>
      <c r="B426" s="13">
        <v>45832</v>
      </c>
      <c r="C426" t="s">
        <v>1147</v>
      </c>
      <c r="D426" t="s">
        <v>2630</v>
      </c>
    </row>
    <row r="427" spans="1:4" x14ac:dyDescent="0.3">
      <c r="A427">
        <v>451</v>
      </c>
      <c r="B427" s="13">
        <v>45832</v>
      </c>
      <c r="C427" t="s">
        <v>1580</v>
      </c>
      <c r="D427" t="s">
        <v>2631</v>
      </c>
    </row>
    <row r="428" spans="1:4" x14ac:dyDescent="0.3">
      <c r="A428">
        <v>452</v>
      </c>
      <c r="B428" s="13">
        <v>45832</v>
      </c>
      <c r="C428" t="s">
        <v>2476</v>
      </c>
      <c r="D428" t="s">
        <v>2638</v>
      </c>
    </row>
    <row r="429" spans="1:4" x14ac:dyDescent="0.3">
      <c r="A429">
        <v>453</v>
      </c>
      <c r="B429" s="13">
        <v>45832</v>
      </c>
      <c r="C429" t="s">
        <v>2632</v>
      </c>
      <c r="D429" t="s">
        <v>2639</v>
      </c>
    </row>
    <row r="430" spans="1:4" x14ac:dyDescent="0.3">
      <c r="A430">
        <v>454</v>
      </c>
      <c r="B430" s="13">
        <v>45832</v>
      </c>
      <c r="C430" t="s">
        <v>1722</v>
      </c>
      <c r="D430" t="s">
        <v>2640</v>
      </c>
    </row>
    <row r="431" spans="1:4" x14ac:dyDescent="0.3">
      <c r="A431">
        <v>455</v>
      </c>
      <c r="B431" s="13">
        <v>45832</v>
      </c>
      <c r="C431" t="s">
        <v>1541</v>
      </c>
      <c r="D431" t="s">
        <v>2641</v>
      </c>
    </row>
    <row r="432" spans="1:4" x14ac:dyDescent="0.3">
      <c r="A432">
        <v>456</v>
      </c>
      <c r="B432" s="13">
        <v>45833</v>
      </c>
      <c r="C432" t="s">
        <v>1046</v>
      </c>
      <c r="D432" t="s">
        <v>2648</v>
      </c>
    </row>
    <row r="433" spans="1:4" x14ac:dyDescent="0.3">
      <c r="A433">
        <v>457</v>
      </c>
      <c r="B433" s="13">
        <v>45833</v>
      </c>
      <c r="C433" t="s">
        <v>979</v>
      </c>
      <c r="D433" t="s">
        <v>2649</v>
      </c>
    </row>
    <row r="434" spans="1:4" x14ac:dyDescent="0.3">
      <c r="A434">
        <v>458</v>
      </c>
      <c r="B434" s="13">
        <v>45833</v>
      </c>
      <c r="C434" t="s">
        <v>1894</v>
      </c>
      <c r="D434" t="s">
        <v>2650</v>
      </c>
    </row>
    <row r="435" spans="1:4" x14ac:dyDescent="0.3">
      <c r="A435">
        <v>459</v>
      </c>
      <c r="B435" s="13">
        <v>45833</v>
      </c>
      <c r="C435" t="s">
        <v>1598</v>
      </c>
      <c r="D435" t="s">
        <v>2652</v>
      </c>
    </row>
    <row r="436" spans="1:4" x14ac:dyDescent="0.3">
      <c r="A436">
        <v>460</v>
      </c>
      <c r="B436" s="13">
        <v>45833</v>
      </c>
      <c r="C436" t="s">
        <v>2643</v>
      </c>
      <c r="D436" t="s">
        <v>2653</v>
      </c>
    </row>
    <row r="437" spans="1:4" x14ac:dyDescent="0.3">
      <c r="A437">
        <v>461</v>
      </c>
      <c r="B437" s="13">
        <v>45833</v>
      </c>
      <c r="C437" t="s">
        <v>1053</v>
      </c>
      <c r="D437" t="s">
        <v>2655</v>
      </c>
    </row>
    <row r="438" spans="1:4" x14ac:dyDescent="0.3">
      <c r="A438">
        <v>462</v>
      </c>
      <c r="B438" s="13">
        <v>45833</v>
      </c>
      <c r="C438" t="s">
        <v>1586</v>
      </c>
      <c r="D438" t="s">
        <v>2656</v>
      </c>
    </row>
    <row r="439" spans="1:4" x14ac:dyDescent="0.3">
      <c r="A439">
        <v>463</v>
      </c>
      <c r="B439" s="13">
        <v>45833</v>
      </c>
      <c r="C439" t="s">
        <v>1479</v>
      </c>
      <c r="D439" t="s">
        <v>2661</v>
      </c>
    </row>
    <row r="440" spans="1:4" x14ac:dyDescent="0.3">
      <c r="A440">
        <v>464</v>
      </c>
      <c r="B440" s="13">
        <v>45834</v>
      </c>
      <c r="C440" t="s">
        <v>1469</v>
      </c>
      <c r="D440" t="s">
        <v>2662</v>
      </c>
    </row>
    <row r="441" spans="1:4" x14ac:dyDescent="0.3">
      <c r="A441">
        <v>465</v>
      </c>
      <c r="B441" s="13">
        <v>45834</v>
      </c>
      <c r="C441" t="s">
        <v>1722</v>
      </c>
      <c r="D441" t="s">
        <v>2665</v>
      </c>
    </row>
    <row r="442" spans="1:4" x14ac:dyDescent="0.3">
      <c r="A442">
        <v>466</v>
      </c>
      <c r="B442" s="13">
        <v>45834</v>
      </c>
      <c r="C442" t="s">
        <v>1399</v>
      </c>
      <c r="D442" t="s">
        <v>2666</v>
      </c>
    </row>
    <row r="443" spans="1:4" x14ac:dyDescent="0.3">
      <c r="A443">
        <v>467</v>
      </c>
      <c r="B443" s="13">
        <v>45834</v>
      </c>
      <c r="C443" t="s">
        <v>1399</v>
      </c>
      <c r="D443" t="s">
        <v>2668</v>
      </c>
    </row>
    <row r="444" spans="1:4" x14ac:dyDescent="0.3">
      <c r="A444">
        <v>468</v>
      </c>
      <c r="B444" s="13">
        <v>45834</v>
      </c>
      <c r="C444" t="s">
        <v>1399</v>
      </c>
      <c r="D444" t="s">
        <v>2678</v>
      </c>
    </row>
    <row r="445" spans="1:4" x14ac:dyDescent="0.3">
      <c r="A445">
        <v>469</v>
      </c>
      <c r="B445" s="13">
        <v>45834</v>
      </c>
      <c r="C445" t="s">
        <v>1053</v>
      </c>
      <c r="D445" t="s">
        <v>2681</v>
      </c>
    </row>
    <row r="446" spans="1:4" x14ac:dyDescent="0.3">
      <c r="A446">
        <v>470</v>
      </c>
      <c r="B446" s="13">
        <v>45835</v>
      </c>
      <c r="C446" t="s">
        <v>1378</v>
      </c>
      <c r="D446" t="s">
        <v>2692</v>
      </c>
    </row>
    <row r="447" spans="1:4" x14ac:dyDescent="0.3">
      <c r="A447">
        <v>471</v>
      </c>
      <c r="B447" s="13">
        <v>45835</v>
      </c>
      <c r="C447" t="s">
        <v>1467</v>
      </c>
      <c r="D447" t="s">
        <v>2693</v>
      </c>
    </row>
    <row r="448" spans="1:4" x14ac:dyDescent="0.3">
      <c r="A448">
        <v>472</v>
      </c>
      <c r="B448" s="13">
        <v>45835</v>
      </c>
      <c r="C448" t="s">
        <v>1053</v>
      </c>
      <c r="D448" t="s">
        <v>2695</v>
      </c>
    </row>
    <row r="449" spans="1:4" x14ac:dyDescent="0.3">
      <c r="A449">
        <v>473</v>
      </c>
      <c r="B449" s="13">
        <v>45835</v>
      </c>
      <c r="C449" t="s">
        <v>1577</v>
      </c>
      <c r="D449" t="s">
        <v>2696</v>
      </c>
    </row>
    <row r="450" spans="1:4" x14ac:dyDescent="0.3">
      <c r="A450">
        <v>474</v>
      </c>
      <c r="B450" s="13">
        <v>45835</v>
      </c>
      <c r="C450" t="s">
        <v>1722</v>
      </c>
      <c r="D450" t="s">
        <v>2698</v>
      </c>
    </row>
    <row r="451" spans="1:4" x14ac:dyDescent="0.3">
      <c r="A451">
        <v>475</v>
      </c>
      <c r="B451" s="13">
        <v>45835</v>
      </c>
      <c r="C451" t="s">
        <v>1473</v>
      </c>
      <c r="D451" t="s">
        <v>2699</v>
      </c>
    </row>
    <row r="452" spans="1:4" x14ac:dyDescent="0.3">
      <c r="A452">
        <v>476</v>
      </c>
      <c r="B452" s="13">
        <v>45838</v>
      </c>
      <c r="C452" t="s">
        <v>2292</v>
      </c>
      <c r="D452" t="s">
        <v>2703</v>
      </c>
    </row>
    <row r="453" spans="1:4" x14ac:dyDescent="0.3">
      <c r="A453">
        <v>477</v>
      </c>
      <c r="B453" s="13">
        <v>45838</v>
      </c>
      <c r="C453" t="s">
        <v>1722</v>
      </c>
      <c r="D453" t="s">
        <v>2711</v>
      </c>
    </row>
    <row r="454" spans="1:4" x14ac:dyDescent="0.3">
      <c r="A454">
        <v>478</v>
      </c>
      <c r="B454" s="13">
        <v>45838</v>
      </c>
      <c r="C454" t="s">
        <v>1082</v>
      </c>
      <c r="D454" t="s">
        <v>2714</v>
      </c>
    </row>
    <row r="455" spans="1:4" x14ac:dyDescent="0.3">
      <c r="A455">
        <v>479</v>
      </c>
      <c r="B455" s="13">
        <v>45838</v>
      </c>
      <c r="C455" t="s">
        <v>2704</v>
      </c>
      <c r="D455" t="s">
        <v>2715</v>
      </c>
    </row>
    <row r="456" spans="1:4" x14ac:dyDescent="0.3">
      <c r="A456">
        <v>480</v>
      </c>
      <c r="B456" s="13">
        <v>45838</v>
      </c>
      <c r="C456" t="s">
        <v>1444</v>
      </c>
      <c r="D456" t="s">
        <v>2716</v>
      </c>
    </row>
    <row r="457" spans="1:4" x14ac:dyDescent="0.3">
      <c r="A457">
        <v>481</v>
      </c>
      <c r="B457" s="13">
        <v>45838</v>
      </c>
      <c r="C457" t="s">
        <v>1722</v>
      </c>
      <c r="D457" t="s">
        <v>2717</v>
      </c>
    </row>
    <row r="458" spans="1:4" x14ac:dyDescent="0.3">
      <c r="A458">
        <v>482</v>
      </c>
      <c r="B458" s="13">
        <v>45838</v>
      </c>
      <c r="C458" t="s">
        <v>1980</v>
      </c>
      <c r="D458" t="s">
        <v>2718</v>
      </c>
    </row>
    <row r="459" spans="1:4" x14ac:dyDescent="0.3">
      <c r="A459">
        <v>483</v>
      </c>
      <c r="B459" s="13">
        <v>45838</v>
      </c>
      <c r="C459" t="s">
        <v>1467</v>
      </c>
      <c r="D459" t="s">
        <v>2721</v>
      </c>
    </row>
    <row r="460" spans="1:4" x14ac:dyDescent="0.3">
      <c r="A460">
        <v>484</v>
      </c>
      <c r="B460" s="13">
        <v>45839</v>
      </c>
      <c r="C460" t="s">
        <v>2725</v>
      </c>
      <c r="D460" t="s">
        <v>2726</v>
      </c>
    </row>
    <row r="461" spans="1:4" x14ac:dyDescent="0.3">
      <c r="A461">
        <v>485</v>
      </c>
      <c r="B461" s="13">
        <v>45839</v>
      </c>
      <c r="C461" t="s">
        <v>1479</v>
      </c>
      <c r="D461" t="s">
        <v>2727</v>
      </c>
    </row>
    <row r="462" spans="1:4" x14ac:dyDescent="0.3">
      <c r="A462">
        <v>486</v>
      </c>
      <c r="B462" s="13">
        <v>45839</v>
      </c>
      <c r="C462" t="s">
        <v>1580</v>
      </c>
      <c r="D462" t="s">
        <v>2729</v>
      </c>
    </row>
    <row r="463" spans="1:4" x14ac:dyDescent="0.3">
      <c r="A463">
        <v>487</v>
      </c>
      <c r="B463" s="13">
        <v>45839</v>
      </c>
      <c r="C463" t="s">
        <v>2732</v>
      </c>
      <c r="D463" t="s">
        <v>2735</v>
      </c>
    </row>
    <row r="464" spans="1:4" x14ac:dyDescent="0.3">
      <c r="A464">
        <v>488</v>
      </c>
      <c r="B464" s="13">
        <v>45839</v>
      </c>
      <c r="C464" t="s">
        <v>1444</v>
      </c>
      <c r="D464" t="s">
        <v>2736</v>
      </c>
    </row>
    <row r="465" spans="1:4" x14ac:dyDescent="0.3">
      <c r="A465">
        <v>489</v>
      </c>
      <c r="B465" s="13">
        <v>45840</v>
      </c>
      <c r="C465" t="s">
        <v>2740</v>
      </c>
      <c r="D465" t="s">
        <v>2741</v>
      </c>
    </row>
    <row r="466" spans="1:4" x14ac:dyDescent="0.3">
      <c r="A466">
        <v>490</v>
      </c>
      <c r="B466" s="13">
        <v>45840</v>
      </c>
      <c r="C466" t="s">
        <v>2742</v>
      </c>
      <c r="D466" t="s">
        <v>2746</v>
      </c>
    </row>
    <row r="467" spans="1:4" x14ac:dyDescent="0.3">
      <c r="A467">
        <v>491</v>
      </c>
      <c r="B467" s="13">
        <v>45840</v>
      </c>
      <c r="C467" t="s">
        <v>1580</v>
      </c>
      <c r="D467" t="s">
        <v>2753</v>
      </c>
    </row>
    <row r="468" spans="1:4" x14ac:dyDescent="0.3">
      <c r="A468">
        <v>492</v>
      </c>
      <c r="B468" s="13">
        <v>45840</v>
      </c>
      <c r="C468" t="s">
        <v>1961</v>
      </c>
      <c r="D468" t="s">
        <v>2754</v>
      </c>
    </row>
    <row r="469" spans="1:4" x14ac:dyDescent="0.3">
      <c r="A469">
        <v>493</v>
      </c>
      <c r="B469" s="13">
        <v>45840</v>
      </c>
      <c r="C469" t="s">
        <v>2101</v>
      </c>
      <c r="D469" t="s">
        <v>2755</v>
      </c>
    </row>
    <row r="470" spans="1:4" x14ac:dyDescent="0.3">
      <c r="A470">
        <v>494</v>
      </c>
      <c r="B470" s="13">
        <v>45841</v>
      </c>
      <c r="C470" t="s">
        <v>1046</v>
      </c>
      <c r="D470" t="s">
        <v>2756</v>
      </c>
    </row>
    <row r="471" spans="1:4" x14ac:dyDescent="0.3">
      <c r="A471">
        <v>495</v>
      </c>
      <c r="B471" s="13">
        <v>45841</v>
      </c>
      <c r="C471" t="s">
        <v>2762</v>
      </c>
      <c r="D471" t="s">
        <v>2765</v>
      </c>
    </row>
    <row r="472" spans="1:4" x14ac:dyDescent="0.3">
      <c r="A472">
        <v>496</v>
      </c>
      <c r="B472" s="13">
        <v>45841</v>
      </c>
      <c r="C472" t="s">
        <v>1809</v>
      </c>
      <c r="D472" t="s">
        <v>2766</v>
      </c>
    </row>
    <row r="473" spans="1:4" x14ac:dyDescent="0.3">
      <c r="A473">
        <v>497</v>
      </c>
      <c r="B473" s="13">
        <v>45841</v>
      </c>
      <c r="C473" t="s">
        <v>2261</v>
      </c>
      <c r="D473" t="s">
        <v>2767</v>
      </c>
    </row>
    <row r="474" spans="1:4" x14ac:dyDescent="0.3">
      <c r="A474">
        <v>498</v>
      </c>
      <c r="B474" s="13">
        <v>45841</v>
      </c>
      <c r="C474" t="s">
        <v>1580</v>
      </c>
      <c r="D474" t="s">
        <v>2768</v>
      </c>
    </row>
    <row r="475" spans="1:4" x14ac:dyDescent="0.3">
      <c r="A475">
        <v>499</v>
      </c>
      <c r="B475" s="13">
        <v>45842</v>
      </c>
      <c r="C475" t="s">
        <v>1598</v>
      </c>
      <c r="D475" t="s">
        <v>2773</v>
      </c>
    </row>
    <row r="476" spans="1:4" x14ac:dyDescent="0.3">
      <c r="A476">
        <v>500</v>
      </c>
      <c r="B476" s="13">
        <v>45842</v>
      </c>
      <c r="C476" t="s">
        <v>1580</v>
      </c>
      <c r="D476" t="s">
        <v>2774</v>
      </c>
    </row>
    <row r="477" spans="1:4" x14ac:dyDescent="0.3">
      <c r="A477">
        <v>501</v>
      </c>
      <c r="B477" s="13">
        <v>45842</v>
      </c>
      <c r="C477" t="s">
        <v>1467</v>
      </c>
      <c r="D477" t="s">
        <v>2776</v>
      </c>
    </row>
    <row r="478" spans="1:4" x14ac:dyDescent="0.3">
      <c r="A478">
        <v>502</v>
      </c>
      <c r="B478" s="13">
        <v>45842</v>
      </c>
      <c r="C478" t="s">
        <v>1147</v>
      </c>
      <c r="D478" t="s">
        <v>2777</v>
      </c>
    </row>
    <row r="479" spans="1:4" x14ac:dyDescent="0.3">
      <c r="A479">
        <v>503</v>
      </c>
      <c r="B479" s="13">
        <v>45843</v>
      </c>
      <c r="C479" t="s">
        <v>1541</v>
      </c>
      <c r="D479" t="s">
        <v>2779</v>
      </c>
    </row>
    <row r="480" spans="1:4" x14ac:dyDescent="0.3">
      <c r="A480">
        <v>504</v>
      </c>
      <c r="B480" s="13">
        <v>45845</v>
      </c>
      <c r="C480" t="s">
        <v>1541</v>
      </c>
      <c r="D480" t="s">
        <v>2780</v>
      </c>
    </row>
    <row r="481" spans="1:4" x14ac:dyDescent="0.3">
      <c r="A481">
        <v>505</v>
      </c>
      <c r="B481" s="13">
        <v>45845</v>
      </c>
      <c r="C481" t="s">
        <v>1444</v>
      </c>
      <c r="D481" t="s">
        <v>2781</v>
      </c>
    </row>
    <row r="482" spans="1:4" x14ac:dyDescent="0.3">
      <c r="A482">
        <v>506</v>
      </c>
      <c r="B482" s="13">
        <v>45845</v>
      </c>
      <c r="C482" t="s">
        <v>1479</v>
      </c>
      <c r="D482" t="s">
        <v>2782</v>
      </c>
    </row>
    <row r="483" spans="1:4" x14ac:dyDescent="0.3">
      <c r="A483">
        <v>507</v>
      </c>
      <c r="B483" s="13">
        <v>45845</v>
      </c>
      <c r="C483" t="s">
        <v>2789</v>
      </c>
      <c r="D483" t="s">
        <v>2793</v>
      </c>
    </row>
    <row r="484" spans="1:4" x14ac:dyDescent="0.3">
      <c r="A484">
        <v>508</v>
      </c>
      <c r="B484" s="13">
        <v>45845</v>
      </c>
      <c r="C484" t="s">
        <v>2597</v>
      </c>
      <c r="D484" t="s">
        <v>2794</v>
      </c>
    </row>
    <row r="485" spans="1:4" x14ac:dyDescent="0.3">
      <c r="A485">
        <v>509</v>
      </c>
      <c r="B485" s="13">
        <v>45845</v>
      </c>
      <c r="C485" t="s">
        <v>2783</v>
      </c>
      <c r="D485" t="s">
        <v>2795</v>
      </c>
    </row>
    <row r="486" spans="1:4" x14ac:dyDescent="0.3">
      <c r="A486">
        <v>510</v>
      </c>
      <c r="B486" s="13">
        <v>45845</v>
      </c>
      <c r="C486" t="s">
        <v>1147</v>
      </c>
      <c r="D486" t="s">
        <v>2796</v>
      </c>
    </row>
    <row r="487" spans="1:4" x14ac:dyDescent="0.3">
      <c r="A487">
        <v>511</v>
      </c>
      <c r="B487" s="13">
        <v>45845</v>
      </c>
      <c r="C487" t="s">
        <v>1870</v>
      </c>
      <c r="D487" t="s">
        <v>2797</v>
      </c>
    </row>
    <row r="488" spans="1:4" x14ac:dyDescent="0.3">
      <c r="A488">
        <v>512</v>
      </c>
      <c r="B488" s="13">
        <v>45845</v>
      </c>
      <c r="C488" t="s">
        <v>1444</v>
      </c>
      <c r="D488" t="s">
        <v>2798</v>
      </c>
    </row>
    <row r="489" spans="1:4" x14ac:dyDescent="0.3">
      <c r="A489">
        <v>513</v>
      </c>
      <c r="B489" s="13">
        <v>45845</v>
      </c>
      <c r="C489" t="s">
        <v>1722</v>
      </c>
      <c r="D489" t="s">
        <v>2800</v>
      </c>
    </row>
    <row r="490" spans="1:4" x14ac:dyDescent="0.3">
      <c r="A490">
        <v>514</v>
      </c>
      <c r="B490" s="13">
        <v>45846</v>
      </c>
      <c r="C490" t="s">
        <v>1399</v>
      </c>
      <c r="D490" t="s">
        <v>2803</v>
      </c>
    </row>
    <row r="491" spans="1:4" x14ac:dyDescent="0.3">
      <c r="A491">
        <v>515</v>
      </c>
      <c r="B491" s="13">
        <v>45846</v>
      </c>
      <c r="C491" t="s">
        <v>2789</v>
      </c>
      <c r="D491" t="s">
        <v>2806</v>
      </c>
    </row>
    <row r="492" spans="1:4" x14ac:dyDescent="0.3">
      <c r="A492">
        <v>516</v>
      </c>
      <c r="B492" s="13">
        <v>45846</v>
      </c>
      <c r="C492" t="s">
        <v>1541</v>
      </c>
      <c r="D492" t="s">
        <v>2807</v>
      </c>
    </row>
    <row r="493" spans="1:4" x14ac:dyDescent="0.3">
      <c r="A493">
        <v>517</v>
      </c>
      <c r="B493" s="13">
        <v>45846</v>
      </c>
      <c r="C493" t="s">
        <v>1809</v>
      </c>
      <c r="D493" t="s">
        <v>2808</v>
      </c>
    </row>
    <row r="494" spans="1:4" x14ac:dyDescent="0.3">
      <c r="A494">
        <v>518</v>
      </c>
      <c r="B494" s="13">
        <v>45846</v>
      </c>
      <c r="C494" t="s">
        <v>2809</v>
      </c>
      <c r="D494" t="s">
        <v>2813</v>
      </c>
    </row>
    <row r="495" spans="1:4" x14ac:dyDescent="0.3">
      <c r="A495">
        <v>519</v>
      </c>
      <c r="B495" s="13">
        <v>45846</v>
      </c>
      <c r="C495" t="s">
        <v>1015</v>
      </c>
      <c r="D495" t="s">
        <v>2815</v>
      </c>
    </row>
    <row r="496" spans="1:4" x14ac:dyDescent="0.3">
      <c r="A496">
        <v>520</v>
      </c>
      <c r="B496" s="13">
        <v>45846</v>
      </c>
      <c r="C496" t="s">
        <v>1586</v>
      </c>
      <c r="D496" t="s">
        <v>2816</v>
      </c>
    </row>
    <row r="497" spans="1:4" x14ac:dyDescent="0.3">
      <c r="A497">
        <v>521</v>
      </c>
      <c r="B497" s="13">
        <v>45846</v>
      </c>
      <c r="C497" t="s">
        <v>1577</v>
      </c>
      <c r="D497" t="s">
        <v>2817</v>
      </c>
    </row>
    <row r="498" spans="1:4" x14ac:dyDescent="0.3">
      <c r="A498">
        <v>522</v>
      </c>
      <c r="B498" s="13">
        <v>45846</v>
      </c>
      <c r="C498" t="s">
        <v>1147</v>
      </c>
      <c r="D498" t="s">
        <v>2818</v>
      </c>
    </row>
    <row r="499" spans="1:4" x14ac:dyDescent="0.3">
      <c r="A499">
        <v>523</v>
      </c>
      <c r="B499" s="13">
        <v>45847</v>
      </c>
      <c r="C499" t="s">
        <v>1399</v>
      </c>
      <c r="D499" t="s">
        <v>2819</v>
      </c>
    </row>
    <row r="500" spans="1:4" x14ac:dyDescent="0.3">
      <c r="A500">
        <v>524</v>
      </c>
      <c r="B500" s="13">
        <v>45847</v>
      </c>
      <c r="C500" t="s">
        <v>2410</v>
      </c>
      <c r="D500" t="s">
        <v>2821</v>
      </c>
    </row>
    <row r="501" spans="1:4" x14ac:dyDescent="0.3">
      <c r="A501">
        <v>525</v>
      </c>
      <c r="B501" s="13">
        <v>45847</v>
      </c>
      <c r="C501" t="s">
        <v>2258</v>
      </c>
      <c r="D501" t="s">
        <v>2825</v>
      </c>
    </row>
    <row r="502" spans="1:4" x14ac:dyDescent="0.3">
      <c r="A502">
        <v>526</v>
      </c>
      <c r="B502" s="13">
        <v>45847</v>
      </c>
      <c r="C502" t="s">
        <v>1444</v>
      </c>
      <c r="D502" t="s">
        <v>2826</v>
      </c>
    </row>
    <row r="503" spans="1:4" x14ac:dyDescent="0.3">
      <c r="A503">
        <v>527</v>
      </c>
      <c r="B503" s="13">
        <v>45847</v>
      </c>
      <c r="C503" t="s">
        <v>1722</v>
      </c>
      <c r="D503" t="s">
        <v>2827</v>
      </c>
    </row>
    <row r="504" spans="1:4" x14ac:dyDescent="0.3">
      <c r="A504">
        <v>528</v>
      </c>
      <c r="B504" s="13">
        <v>45847</v>
      </c>
      <c r="C504" t="s">
        <v>1399</v>
      </c>
      <c r="D504" t="s">
        <v>2828</v>
      </c>
    </row>
    <row r="505" spans="1:4" x14ac:dyDescent="0.3">
      <c r="A505">
        <v>529</v>
      </c>
      <c r="B505" s="13">
        <v>45847</v>
      </c>
      <c r="C505" t="s">
        <v>1747</v>
      </c>
      <c r="D505" t="s">
        <v>2829</v>
      </c>
    </row>
    <row r="506" spans="1:4" x14ac:dyDescent="0.3">
      <c r="A506">
        <v>530</v>
      </c>
      <c r="B506" s="13">
        <v>45847</v>
      </c>
      <c r="C506" t="s">
        <v>2410</v>
      </c>
      <c r="D506" t="s">
        <v>2830</v>
      </c>
    </row>
    <row r="507" spans="1:4" x14ac:dyDescent="0.3">
      <c r="A507">
        <v>531</v>
      </c>
      <c r="B507" s="13">
        <v>45848</v>
      </c>
      <c r="C507" t="s">
        <v>2725</v>
      </c>
      <c r="D507" t="s">
        <v>2835</v>
      </c>
    </row>
    <row r="508" spans="1:4" x14ac:dyDescent="0.3">
      <c r="A508">
        <v>532</v>
      </c>
      <c r="B508" s="13">
        <v>45848</v>
      </c>
      <c r="C508" t="s">
        <v>2319</v>
      </c>
      <c r="D508" t="s">
        <v>2837</v>
      </c>
    </row>
    <row r="509" spans="1:4" x14ac:dyDescent="0.3">
      <c r="A509">
        <v>533</v>
      </c>
      <c r="B509" s="13">
        <v>45848</v>
      </c>
      <c r="C509" t="s">
        <v>1399</v>
      </c>
      <c r="D509" t="s">
        <v>2838</v>
      </c>
    </row>
    <row r="510" spans="1:4" x14ac:dyDescent="0.3">
      <c r="A510">
        <v>534</v>
      </c>
      <c r="B510" s="13">
        <v>45848</v>
      </c>
      <c r="C510" t="s">
        <v>1026</v>
      </c>
      <c r="D510" t="s">
        <v>2839</v>
      </c>
    </row>
    <row r="511" spans="1:4" x14ac:dyDescent="0.3">
      <c r="A511">
        <v>535</v>
      </c>
      <c r="B511" s="13">
        <v>45848</v>
      </c>
      <c r="C511" t="s">
        <v>1015</v>
      </c>
      <c r="D511" t="s">
        <v>2841</v>
      </c>
    </row>
    <row r="512" spans="1:4" x14ac:dyDescent="0.3">
      <c r="A512">
        <v>536</v>
      </c>
      <c r="B512" s="13">
        <v>45849</v>
      </c>
      <c r="C512" t="s">
        <v>1577</v>
      </c>
      <c r="D512" t="s">
        <v>2851</v>
      </c>
    </row>
    <row r="513" spans="1:4" x14ac:dyDescent="0.3">
      <c r="A513">
        <v>537</v>
      </c>
      <c r="B513" s="13">
        <v>45849</v>
      </c>
      <c r="C513" t="s">
        <v>1580</v>
      </c>
      <c r="D513" t="s">
        <v>2852</v>
      </c>
    </row>
    <row r="514" spans="1:4" x14ac:dyDescent="0.3">
      <c r="A514">
        <v>538</v>
      </c>
      <c r="B514" s="13">
        <v>45849</v>
      </c>
      <c r="C514" t="s">
        <v>1399</v>
      </c>
      <c r="D514" t="s">
        <v>2853</v>
      </c>
    </row>
    <row r="515" spans="1:4" x14ac:dyDescent="0.3">
      <c r="A515">
        <v>539</v>
      </c>
      <c r="B515" s="13">
        <v>45849</v>
      </c>
      <c r="C515" t="s">
        <v>1458</v>
      </c>
      <c r="D515" t="s">
        <v>2854</v>
      </c>
    </row>
    <row r="516" spans="1:4" x14ac:dyDescent="0.3">
      <c r="A516">
        <v>540</v>
      </c>
      <c r="B516" s="13">
        <v>45849</v>
      </c>
      <c r="C516" t="s">
        <v>1449</v>
      </c>
      <c r="D516" t="s">
        <v>2855</v>
      </c>
    </row>
    <row r="517" spans="1:4" x14ac:dyDescent="0.3">
      <c r="A517">
        <v>541</v>
      </c>
      <c r="B517" s="13">
        <v>45849</v>
      </c>
      <c r="C517" t="s">
        <v>1586</v>
      </c>
      <c r="D517" t="s">
        <v>2856</v>
      </c>
    </row>
    <row r="518" spans="1:4" x14ac:dyDescent="0.3">
      <c r="A518">
        <v>542</v>
      </c>
      <c r="B518" s="13">
        <v>45849</v>
      </c>
      <c r="C518" t="s">
        <v>1586</v>
      </c>
      <c r="D518" t="s">
        <v>2857</v>
      </c>
    </row>
    <row r="519" spans="1:4" x14ac:dyDescent="0.3">
      <c r="A519">
        <v>543</v>
      </c>
      <c r="B519" s="13">
        <v>45849</v>
      </c>
      <c r="C519" t="s">
        <v>2858</v>
      </c>
      <c r="D519" t="s">
        <v>2859</v>
      </c>
    </row>
    <row r="520" spans="1:4" x14ac:dyDescent="0.3">
      <c r="A520">
        <v>544</v>
      </c>
      <c r="B520" s="13">
        <v>45850</v>
      </c>
      <c r="C520" t="s">
        <v>1598</v>
      </c>
      <c r="D520" t="s">
        <v>2862</v>
      </c>
    </row>
    <row r="521" spans="1:4" x14ac:dyDescent="0.3">
      <c r="A521">
        <v>545</v>
      </c>
      <c r="B521" s="13">
        <v>45850</v>
      </c>
      <c r="C521" t="s">
        <v>2725</v>
      </c>
      <c r="D521" t="s">
        <v>2864</v>
      </c>
    </row>
    <row r="522" spans="1:4" x14ac:dyDescent="0.3">
      <c r="A522">
        <v>546</v>
      </c>
      <c r="B522" s="13">
        <v>45852</v>
      </c>
      <c r="C522" t="s">
        <v>2869</v>
      </c>
      <c r="D522" t="s">
        <v>2872</v>
      </c>
    </row>
    <row r="523" spans="1:4" x14ac:dyDescent="0.3">
      <c r="A523">
        <v>547</v>
      </c>
      <c r="B523" s="13">
        <v>45852</v>
      </c>
      <c r="C523" t="s">
        <v>2873</v>
      </c>
      <c r="D523" t="s">
        <v>2877</v>
      </c>
    </row>
    <row r="524" spans="1:4" x14ac:dyDescent="0.3">
      <c r="A524">
        <v>548</v>
      </c>
      <c r="B524" s="13">
        <v>45852</v>
      </c>
      <c r="C524" t="s">
        <v>1399</v>
      </c>
      <c r="D524" t="s">
        <v>2878</v>
      </c>
    </row>
    <row r="525" spans="1:4" x14ac:dyDescent="0.3">
      <c r="A525">
        <v>549</v>
      </c>
      <c r="B525" s="13">
        <v>45852</v>
      </c>
      <c r="C525" t="s">
        <v>2410</v>
      </c>
      <c r="D525" t="s">
        <v>2879</v>
      </c>
    </row>
    <row r="526" spans="1:4" x14ac:dyDescent="0.3">
      <c r="A526">
        <v>550</v>
      </c>
      <c r="B526" s="13">
        <v>45852</v>
      </c>
      <c r="C526" t="s">
        <v>2319</v>
      </c>
      <c r="D526" t="s">
        <v>2881</v>
      </c>
    </row>
    <row r="527" spans="1:4" x14ac:dyDescent="0.3">
      <c r="A527">
        <v>551</v>
      </c>
      <c r="B527" s="13">
        <v>45852</v>
      </c>
      <c r="C527" t="s">
        <v>1598</v>
      </c>
      <c r="D527" t="s">
        <v>2882</v>
      </c>
    </row>
    <row r="528" spans="1:4" x14ac:dyDescent="0.3">
      <c r="A528">
        <v>552</v>
      </c>
      <c r="B528" s="13">
        <v>45852</v>
      </c>
      <c r="C528" t="s">
        <v>1444</v>
      </c>
      <c r="D528" t="s">
        <v>2883</v>
      </c>
    </row>
    <row r="529" spans="1:4" x14ac:dyDescent="0.3">
      <c r="A529">
        <v>553</v>
      </c>
      <c r="B529" s="13">
        <v>45853</v>
      </c>
      <c r="C529" t="s">
        <v>2410</v>
      </c>
      <c r="D529" t="s">
        <v>2894</v>
      </c>
    </row>
    <row r="530" spans="1:4" x14ac:dyDescent="0.3">
      <c r="A530">
        <v>554</v>
      </c>
      <c r="B530" s="13">
        <v>45853</v>
      </c>
      <c r="C530" t="s">
        <v>1015</v>
      </c>
      <c r="D530" t="s">
        <v>2895</v>
      </c>
    </row>
    <row r="531" spans="1:4" x14ac:dyDescent="0.3">
      <c r="A531">
        <v>555</v>
      </c>
      <c r="B531" s="13">
        <v>45853</v>
      </c>
      <c r="C531" t="s">
        <v>2896</v>
      </c>
      <c r="D531" t="s">
        <v>2899</v>
      </c>
    </row>
    <row r="532" spans="1:4" x14ac:dyDescent="0.3">
      <c r="A532">
        <v>556</v>
      </c>
      <c r="B532" s="13">
        <v>45853</v>
      </c>
      <c r="C532" t="s">
        <v>2319</v>
      </c>
      <c r="D532" t="s">
        <v>2900</v>
      </c>
    </row>
    <row r="533" spans="1:4" x14ac:dyDescent="0.3">
      <c r="A533">
        <v>557</v>
      </c>
      <c r="B533" s="13">
        <v>45853</v>
      </c>
      <c r="C533" t="s">
        <v>1467</v>
      </c>
      <c r="D533" t="s">
        <v>2901</v>
      </c>
    </row>
    <row r="534" spans="1:4" x14ac:dyDescent="0.3">
      <c r="A534">
        <v>558</v>
      </c>
      <c r="B534" s="13">
        <v>45853</v>
      </c>
      <c r="C534" t="s">
        <v>1147</v>
      </c>
      <c r="D534" t="s">
        <v>2902</v>
      </c>
    </row>
    <row r="535" spans="1:4" x14ac:dyDescent="0.3">
      <c r="A535">
        <v>559</v>
      </c>
      <c r="B535" s="13">
        <v>45853</v>
      </c>
      <c r="C535" t="s">
        <v>1456</v>
      </c>
      <c r="D535" t="s">
        <v>2903</v>
      </c>
    </row>
    <row r="536" spans="1:4" x14ac:dyDescent="0.3">
      <c r="A536">
        <v>560</v>
      </c>
      <c r="B536" s="13">
        <v>45853</v>
      </c>
      <c r="C536" t="s">
        <v>2890</v>
      </c>
      <c r="D536" t="s">
        <v>2905</v>
      </c>
    </row>
    <row r="537" spans="1:4" x14ac:dyDescent="0.3">
      <c r="A537">
        <v>561</v>
      </c>
      <c r="B537" s="13">
        <v>45853</v>
      </c>
      <c r="C537" t="s">
        <v>1722</v>
      </c>
      <c r="D537" t="s">
        <v>2906</v>
      </c>
    </row>
    <row r="538" spans="1:4" x14ac:dyDescent="0.3">
      <c r="A538">
        <v>562</v>
      </c>
      <c r="B538" s="13">
        <v>45854</v>
      </c>
      <c r="C538" t="s">
        <v>2292</v>
      </c>
      <c r="D538" t="s">
        <v>2912</v>
      </c>
    </row>
    <row r="539" spans="1:4" x14ac:dyDescent="0.3">
      <c r="A539">
        <v>563</v>
      </c>
      <c r="B539" s="13">
        <v>45854</v>
      </c>
      <c r="C539" t="s">
        <v>1805</v>
      </c>
      <c r="D539" t="s">
        <v>2914</v>
      </c>
    </row>
    <row r="540" spans="1:4" x14ac:dyDescent="0.3">
      <c r="A540">
        <v>564</v>
      </c>
      <c r="B540" s="13">
        <v>45854</v>
      </c>
      <c r="C540" t="s">
        <v>1671</v>
      </c>
      <c r="D540" t="s">
        <v>2915</v>
      </c>
    </row>
    <row r="541" spans="1:4" x14ac:dyDescent="0.3">
      <c r="A541">
        <v>565</v>
      </c>
      <c r="B541" s="13">
        <v>45854</v>
      </c>
      <c r="C541" t="s">
        <v>2916</v>
      </c>
      <c r="D541" t="s">
        <v>2918</v>
      </c>
    </row>
    <row r="542" spans="1:4" x14ac:dyDescent="0.3">
      <c r="A542">
        <v>566</v>
      </c>
      <c r="B542" s="13">
        <v>45855</v>
      </c>
      <c r="C542" t="s">
        <v>1018</v>
      </c>
      <c r="D542" t="s">
        <v>2925</v>
      </c>
    </row>
    <row r="543" spans="1:4" x14ac:dyDescent="0.3">
      <c r="A543">
        <v>567</v>
      </c>
      <c r="B543" s="13">
        <v>45855</v>
      </c>
      <c r="C543" t="s">
        <v>1467</v>
      </c>
      <c r="D543" t="s">
        <v>2927</v>
      </c>
    </row>
    <row r="544" spans="1:4" x14ac:dyDescent="0.3">
      <c r="A544">
        <v>568</v>
      </c>
      <c r="B544" s="13">
        <v>45855</v>
      </c>
      <c r="C544" t="s">
        <v>2623</v>
      </c>
      <c r="D544" t="s">
        <v>2928</v>
      </c>
    </row>
    <row r="545" spans="1:4" x14ac:dyDescent="0.3">
      <c r="A545">
        <v>569</v>
      </c>
      <c r="B545" s="13">
        <v>45855</v>
      </c>
      <c r="C545" t="s">
        <v>1399</v>
      </c>
      <c r="D545" t="s">
        <v>2929</v>
      </c>
    </row>
    <row r="546" spans="1:4" x14ac:dyDescent="0.3">
      <c r="A546">
        <v>570</v>
      </c>
      <c r="B546" s="13">
        <v>45856</v>
      </c>
      <c r="C546" t="s">
        <v>1449</v>
      </c>
      <c r="D546" t="s">
        <v>2934</v>
      </c>
    </row>
    <row r="547" spans="1:4" x14ac:dyDescent="0.3">
      <c r="A547">
        <v>571</v>
      </c>
      <c r="B547" s="13">
        <v>45856</v>
      </c>
      <c r="C547" t="s">
        <v>2935</v>
      </c>
      <c r="D547" t="s">
        <v>2939</v>
      </c>
    </row>
    <row r="548" spans="1:4" x14ac:dyDescent="0.3">
      <c r="A548">
        <v>572</v>
      </c>
      <c r="B548" s="13">
        <v>45856</v>
      </c>
      <c r="C548" t="s">
        <v>1479</v>
      </c>
      <c r="D548" t="s">
        <v>2941</v>
      </c>
    </row>
    <row r="549" spans="1:4" x14ac:dyDescent="0.3">
      <c r="A549">
        <v>573</v>
      </c>
      <c r="B549" s="13">
        <v>45856</v>
      </c>
      <c r="C549" t="s">
        <v>2942</v>
      </c>
      <c r="D549" t="s">
        <v>2944</v>
      </c>
    </row>
    <row r="550" spans="1:4" x14ac:dyDescent="0.3">
      <c r="A550">
        <v>574</v>
      </c>
      <c r="B550" s="13">
        <v>45856</v>
      </c>
      <c r="C550" t="s">
        <v>1847</v>
      </c>
      <c r="D550" t="s">
        <v>2945</v>
      </c>
    </row>
    <row r="551" spans="1:4" x14ac:dyDescent="0.3">
      <c r="A551">
        <v>575</v>
      </c>
      <c r="B551" s="13">
        <v>45856</v>
      </c>
      <c r="C551" t="s">
        <v>1980</v>
      </c>
      <c r="D551" t="s">
        <v>2946</v>
      </c>
    </row>
    <row r="552" spans="1:4" x14ac:dyDescent="0.3">
      <c r="A552">
        <v>576</v>
      </c>
      <c r="B552" s="13">
        <v>45857</v>
      </c>
      <c r="C552" t="s">
        <v>2319</v>
      </c>
      <c r="D552" t="s">
        <v>2951</v>
      </c>
    </row>
    <row r="553" spans="1:4" x14ac:dyDescent="0.3">
      <c r="A553">
        <v>577</v>
      </c>
      <c r="B553" s="13">
        <v>45859</v>
      </c>
      <c r="C553" t="s">
        <v>2610</v>
      </c>
      <c r="D553" t="s">
        <v>2953</v>
      </c>
    </row>
    <row r="554" spans="1:4" x14ac:dyDescent="0.3">
      <c r="A554">
        <v>578</v>
      </c>
      <c r="B554" s="13">
        <v>45859</v>
      </c>
      <c r="C554" t="s">
        <v>2258</v>
      </c>
      <c r="D554" t="s">
        <v>2956</v>
      </c>
    </row>
    <row r="555" spans="1:4" x14ac:dyDescent="0.3">
      <c r="A555">
        <v>579</v>
      </c>
      <c r="B555" s="13">
        <v>45859</v>
      </c>
      <c r="C555" t="s">
        <v>1554</v>
      </c>
      <c r="D555" t="s">
        <v>2957</v>
      </c>
    </row>
    <row r="556" spans="1:4" x14ac:dyDescent="0.3">
      <c r="A556">
        <v>580</v>
      </c>
      <c r="B556" s="13">
        <v>45859</v>
      </c>
      <c r="C556" t="s">
        <v>1147</v>
      </c>
      <c r="D556" t="s">
        <v>2959</v>
      </c>
    </row>
    <row r="557" spans="1:4" x14ac:dyDescent="0.3">
      <c r="A557">
        <v>581</v>
      </c>
      <c r="B557" s="13">
        <v>45859</v>
      </c>
      <c r="C557" t="s">
        <v>1469</v>
      </c>
      <c r="D557" t="s">
        <v>2960</v>
      </c>
    </row>
    <row r="558" spans="1:4" x14ac:dyDescent="0.3">
      <c r="A558">
        <v>582</v>
      </c>
      <c r="B558" s="13">
        <v>45860</v>
      </c>
      <c r="C558" t="s">
        <v>1541</v>
      </c>
      <c r="D558" t="s">
        <v>2961</v>
      </c>
    </row>
    <row r="559" spans="1:4" x14ac:dyDescent="0.3">
      <c r="A559">
        <v>583</v>
      </c>
      <c r="B559" s="13">
        <v>45860</v>
      </c>
      <c r="C559" t="s">
        <v>1812</v>
      </c>
      <c r="D559" t="s">
        <v>2962</v>
      </c>
    </row>
    <row r="560" spans="1:4" x14ac:dyDescent="0.3">
      <c r="A560">
        <v>584</v>
      </c>
      <c r="B560" s="13">
        <v>45860</v>
      </c>
      <c r="C560" t="s">
        <v>1018</v>
      </c>
      <c r="D560" t="s">
        <v>2963</v>
      </c>
    </row>
    <row r="561" spans="1:4" x14ac:dyDescent="0.3">
      <c r="A561">
        <v>585</v>
      </c>
      <c r="B561" s="13">
        <v>45860</v>
      </c>
      <c r="C561" t="s">
        <v>2964</v>
      </c>
      <c r="D561" t="s">
        <v>2968</v>
      </c>
    </row>
    <row r="562" spans="1:4" x14ac:dyDescent="0.3">
      <c r="A562">
        <v>586</v>
      </c>
      <c r="B562" s="13">
        <v>45860</v>
      </c>
      <c r="C562" t="s">
        <v>1722</v>
      </c>
      <c r="D562" t="s">
        <v>2969</v>
      </c>
    </row>
    <row r="563" spans="1:4" x14ac:dyDescent="0.3">
      <c r="A563">
        <v>587</v>
      </c>
      <c r="B563" s="13">
        <v>45860</v>
      </c>
      <c r="C563" t="s">
        <v>2890</v>
      </c>
      <c r="D563" t="s">
        <v>2970</v>
      </c>
    </row>
    <row r="564" spans="1:4" x14ac:dyDescent="0.3">
      <c r="A564">
        <v>588</v>
      </c>
      <c r="B564" s="13">
        <v>45861</v>
      </c>
      <c r="C564" t="s">
        <v>1399</v>
      </c>
      <c r="D564" t="s">
        <v>2976</v>
      </c>
    </row>
    <row r="565" spans="1:4" x14ac:dyDescent="0.3">
      <c r="A565">
        <v>589</v>
      </c>
      <c r="B565" s="13">
        <v>45861</v>
      </c>
      <c r="C565" t="s">
        <v>1747</v>
      </c>
      <c r="D565" t="s">
        <v>2977</v>
      </c>
    </row>
    <row r="566" spans="1:4" x14ac:dyDescent="0.3">
      <c r="A566">
        <v>590</v>
      </c>
      <c r="B566" s="13">
        <v>45861</v>
      </c>
      <c r="C566" t="s">
        <v>1809</v>
      </c>
      <c r="D566" t="s">
        <v>2978</v>
      </c>
    </row>
    <row r="567" spans="1:4" x14ac:dyDescent="0.3">
      <c r="A567">
        <v>591</v>
      </c>
      <c r="B567" s="13">
        <v>45861</v>
      </c>
      <c r="C567" t="s">
        <v>1847</v>
      </c>
      <c r="D567" t="s">
        <v>2979</v>
      </c>
    </row>
    <row r="568" spans="1:4" x14ac:dyDescent="0.3">
      <c r="A568">
        <v>592</v>
      </c>
      <c r="B568" s="13">
        <v>45861</v>
      </c>
      <c r="C568" t="s">
        <v>1467</v>
      </c>
      <c r="D568" t="s">
        <v>2980</v>
      </c>
    </row>
    <row r="569" spans="1:4" x14ac:dyDescent="0.3">
      <c r="A569">
        <v>593</v>
      </c>
      <c r="B569" s="13">
        <v>45861</v>
      </c>
      <c r="C569" t="s">
        <v>1053</v>
      </c>
      <c r="D569" t="s">
        <v>2981</v>
      </c>
    </row>
    <row r="570" spans="1:4" x14ac:dyDescent="0.3">
      <c r="A570">
        <v>594</v>
      </c>
      <c r="B570" s="13">
        <v>45861</v>
      </c>
      <c r="C570" t="s">
        <v>2319</v>
      </c>
      <c r="D570" t="s">
        <v>2982</v>
      </c>
    </row>
    <row r="571" spans="1:4" x14ac:dyDescent="0.3">
      <c r="A571">
        <v>595</v>
      </c>
      <c r="B571" s="13">
        <v>45862</v>
      </c>
      <c r="C571" t="s">
        <v>1399</v>
      </c>
      <c r="D571" t="s">
        <v>2989</v>
      </c>
    </row>
    <row r="572" spans="1:4" x14ac:dyDescent="0.3">
      <c r="A572">
        <v>596</v>
      </c>
      <c r="B572" s="13">
        <v>45862</v>
      </c>
      <c r="C572" t="s">
        <v>1870</v>
      </c>
      <c r="D572" t="s">
        <v>2990</v>
      </c>
    </row>
    <row r="573" spans="1:4" x14ac:dyDescent="0.3">
      <c r="A573">
        <v>597</v>
      </c>
      <c r="B573" s="13">
        <v>45862</v>
      </c>
      <c r="C573" t="s">
        <v>1458</v>
      </c>
      <c r="D573" t="s">
        <v>2991</v>
      </c>
    </row>
    <row r="574" spans="1:4" x14ac:dyDescent="0.3">
      <c r="A574">
        <v>598</v>
      </c>
      <c r="B574" s="13">
        <v>45862</v>
      </c>
      <c r="C574" t="s">
        <v>1449</v>
      </c>
      <c r="D574" t="s">
        <v>2992</v>
      </c>
    </row>
    <row r="575" spans="1:4" x14ac:dyDescent="0.3">
      <c r="A575">
        <v>599</v>
      </c>
      <c r="B575" s="13">
        <v>45862</v>
      </c>
      <c r="C575" t="s">
        <v>1580</v>
      </c>
      <c r="D575" t="s">
        <v>2993</v>
      </c>
    </row>
    <row r="576" spans="1:4" x14ac:dyDescent="0.3">
      <c r="A576">
        <v>600</v>
      </c>
      <c r="B576" s="13">
        <v>45862</v>
      </c>
      <c r="C576" t="s">
        <v>1444</v>
      </c>
      <c r="D576" t="s">
        <v>2996</v>
      </c>
    </row>
    <row r="577" spans="1:4" x14ac:dyDescent="0.3">
      <c r="A577">
        <v>601</v>
      </c>
      <c r="B577" s="13">
        <v>45862</v>
      </c>
      <c r="C577" t="s">
        <v>1452</v>
      </c>
      <c r="D577" t="s">
        <v>2997</v>
      </c>
    </row>
    <row r="578" spans="1:4" x14ac:dyDescent="0.3">
      <c r="A578">
        <v>602</v>
      </c>
      <c r="B578" s="13">
        <v>45862</v>
      </c>
      <c r="C578" t="s">
        <v>2998</v>
      </c>
      <c r="D578" t="s">
        <v>2999</v>
      </c>
    </row>
    <row r="579" spans="1:4" x14ac:dyDescent="0.3">
      <c r="A579">
        <v>603</v>
      </c>
      <c r="B579" s="13">
        <v>45862</v>
      </c>
      <c r="C579" t="s">
        <v>1458</v>
      </c>
      <c r="D579" t="s">
        <v>3002</v>
      </c>
    </row>
    <row r="580" spans="1:4" x14ac:dyDescent="0.3">
      <c r="A580">
        <v>604</v>
      </c>
      <c r="B580" s="13">
        <v>45863</v>
      </c>
      <c r="C580" t="s">
        <v>2386</v>
      </c>
      <c r="D580" t="s">
        <v>3005</v>
      </c>
    </row>
    <row r="581" spans="1:4" x14ac:dyDescent="0.3">
      <c r="A581">
        <v>605</v>
      </c>
      <c r="B581" s="13">
        <v>45863</v>
      </c>
      <c r="C581" t="s">
        <v>1980</v>
      </c>
      <c r="D581" t="s">
        <v>3006</v>
      </c>
    </row>
    <row r="582" spans="1:4" x14ac:dyDescent="0.3">
      <c r="A582">
        <v>606</v>
      </c>
      <c r="B582" s="13">
        <v>45863</v>
      </c>
      <c r="C582" t="s">
        <v>1980</v>
      </c>
      <c r="D582" t="s">
        <v>3007</v>
      </c>
    </row>
    <row r="583" spans="1:4" x14ac:dyDescent="0.3">
      <c r="A583">
        <v>607</v>
      </c>
      <c r="B583" s="13">
        <v>45863</v>
      </c>
      <c r="C583" t="s">
        <v>1598</v>
      </c>
      <c r="D583" t="s">
        <v>3008</v>
      </c>
    </row>
    <row r="584" spans="1:4" x14ac:dyDescent="0.3">
      <c r="A584">
        <v>608</v>
      </c>
      <c r="B584" s="13">
        <v>45863</v>
      </c>
      <c r="C584" t="s">
        <v>979</v>
      </c>
      <c r="D584" t="s">
        <v>3010</v>
      </c>
    </row>
    <row r="585" spans="1:4" x14ac:dyDescent="0.3">
      <c r="A585">
        <v>609</v>
      </c>
      <c r="B585" s="13">
        <v>45863</v>
      </c>
      <c r="C585" t="s">
        <v>1082</v>
      </c>
      <c r="D585" t="s">
        <v>3011</v>
      </c>
    </row>
    <row r="586" spans="1:4" x14ac:dyDescent="0.3">
      <c r="A586">
        <v>610</v>
      </c>
      <c r="B586" s="13">
        <v>45863</v>
      </c>
      <c r="C586" t="s">
        <v>1479</v>
      </c>
      <c r="D586" t="s">
        <v>3012</v>
      </c>
    </row>
    <row r="587" spans="1:4" x14ac:dyDescent="0.3">
      <c r="A587">
        <v>611</v>
      </c>
      <c r="B587" s="13">
        <v>45863</v>
      </c>
      <c r="C587" t="s">
        <v>1469</v>
      </c>
      <c r="D587" t="s">
        <v>3013</v>
      </c>
    </row>
    <row r="588" spans="1:4" x14ac:dyDescent="0.3">
      <c r="A588">
        <v>612</v>
      </c>
      <c r="B588" s="13">
        <v>45864</v>
      </c>
      <c r="C588" t="s">
        <v>1444</v>
      </c>
      <c r="D588" t="s">
        <v>3014</v>
      </c>
    </row>
    <row r="589" spans="1:4" x14ac:dyDescent="0.3">
      <c r="A589">
        <v>613</v>
      </c>
      <c r="B589" s="13">
        <v>45866</v>
      </c>
      <c r="C589" t="s">
        <v>1053</v>
      </c>
      <c r="D589" t="s">
        <v>3015</v>
      </c>
    </row>
    <row r="590" spans="1:4" x14ac:dyDescent="0.3">
      <c r="A590">
        <v>614</v>
      </c>
      <c r="B590" s="13">
        <v>45866</v>
      </c>
      <c r="C590" t="s">
        <v>1399</v>
      </c>
      <c r="D590" t="s">
        <v>3016</v>
      </c>
    </row>
    <row r="591" spans="1:4" x14ac:dyDescent="0.3">
      <c r="A591">
        <v>615</v>
      </c>
      <c r="B591" s="13">
        <v>45866</v>
      </c>
      <c r="C591" t="s">
        <v>1747</v>
      </c>
      <c r="D591" t="s">
        <v>3017</v>
      </c>
    </row>
    <row r="592" spans="1:4" x14ac:dyDescent="0.3">
      <c r="A592">
        <v>616</v>
      </c>
      <c r="B592" s="13">
        <v>45866</v>
      </c>
      <c r="C592" t="s">
        <v>1847</v>
      </c>
      <c r="D592" t="s">
        <v>3018</v>
      </c>
    </row>
    <row r="593" spans="1:4" x14ac:dyDescent="0.3">
      <c r="A593">
        <v>617</v>
      </c>
      <c r="B593" s="13">
        <v>45866</v>
      </c>
      <c r="C593" t="s">
        <v>1671</v>
      </c>
      <c r="D593" t="s">
        <v>3019</v>
      </c>
    </row>
    <row r="594" spans="1:4" x14ac:dyDescent="0.3">
      <c r="A594">
        <v>618</v>
      </c>
      <c r="B594" s="13">
        <v>45866</v>
      </c>
      <c r="C594" t="s">
        <v>1473</v>
      </c>
      <c r="D594" t="s">
        <v>3020</v>
      </c>
    </row>
    <row r="595" spans="1:4" x14ac:dyDescent="0.3">
      <c r="A595">
        <v>619</v>
      </c>
      <c r="B595" s="13">
        <v>45866</v>
      </c>
      <c r="C595" t="s">
        <v>3021</v>
      </c>
      <c r="D595" t="s">
        <v>3024</v>
      </c>
    </row>
    <row r="596" spans="1:4" x14ac:dyDescent="0.3">
      <c r="A596">
        <v>620</v>
      </c>
      <c r="B596" s="13">
        <v>45866</v>
      </c>
      <c r="C596" t="s">
        <v>1544</v>
      </c>
      <c r="D596" t="s">
        <v>3025</v>
      </c>
    </row>
    <row r="597" spans="1:4" x14ac:dyDescent="0.3">
      <c r="A597">
        <v>621</v>
      </c>
      <c r="B597" s="13">
        <v>45866</v>
      </c>
      <c r="C597" t="s">
        <v>1861</v>
      </c>
      <c r="D597" t="s">
        <v>3026</v>
      </c>
    </row>
    <row r="598" spans="1:4" x14ac:dyDescent="0.3">
      <c r="A598">
        <v>622</v>
      </c>
      <c r="B598" s="13">
        <v>45866</v>
      </c>
      <c r="C598" t="s">
        <v>1747</v>
      </c>
      <c r="D598" t="s">
        <v>3027</v>
      </c>
    </row>
    <row r="599" spans="1:4" x14ac:dyDescent="0.3">
      <c r="A599">
        <v>623</v>
      </c>
      <c r="B599" s="13">
        <v>45866</v>
      </c>
      <c r="C599" t="s">
        <v>1449</v>
      </c>
      <c r="D599" t="s">
        <v>3028</v>
      </c>
    </row>
    <row r="600" spans="1:4" x14ac:dyDescent="0.3">
      <c r="A600">
        <v>624</v>
      </c>
      <c r="B600" s="13">
        <v>45866</v>
      </c>
      <c r="C600" t="s">
        <v>3029</v>
      </c>
      <c r="D600" t="s">
        <v>3034</v>
      </c>
    </row>
    <row r="601" spans="1:4" x14ac:dyDescent="0.3">
      <c r="A601">
        <v>625</v>
      </c>
      <c r="B601" s="13">
        <v>45867</v>
      </c>
      <c r="C601" t="s">
        <v>1444</v>
      </c>
      <c r="D601" t="s">
        <v>3061</v>
      </c>
    </row>
    <row r="602" spans="1:4" x14ac:dyDescent="0.3">
      <c r="A602">
        <v>626</v>
      </c>
      <c r="B602" s="13">
        <v>45867</v>
      </c>
      <c r="C602" t="s">
        <v>1790</v>
      </c>
      <c r="D602" t="s">
        <v>3062</v>
      </c>
    </row>
    <row r="603" spans="1:4" x14ac:dyDescent="0.3">
      <c r="A603">
        <v>627</v>
      </c>
      <c r="B603" s="13">
        <v>45867</v>
      </c>
      <c r="C603" t="s">
        <v>1082</v>
      </c>
      <c r="D603" t="s">
        <v>3063</v>
      </c>
    </row>
    <row r="604" spans="1:4" x14ac:dyDescent="0.3">
      <c r="A604">
        <v>628</v>
      </c>
      <c r="B604" s="13">
        <v>45867</v>
      </c>
      <c r="C604" t="s">
        <v>1306</v>
      </c>
      <c r="D604" t="s">
        <v>3064</v>
      </c>
    </row>
    <row r="605" spans="1:4" x14ac:dyDescent="0.3">
      <c r="A605">
        <v>629</v>
      </c>
      <c r="B605" s="13">
        <v>45867</v>
      </c>
      <c r="C605" t="s">
        <v>1805</v>
      </c>
      <c r="D605" t="s">
        <v>3065</v>
      </c>
    </row>
    <row r="606" spans="1:4" x14ac:dyDescent="0.3">
      <c r="A606">
        <v>630</v>
      </c>
      <c r="B606" s="13">
        <v>45867</v>
      </c>
      <c r="C606" t="s">
        <v>2916</v>
      </c>
      <c r="D606" t="s">
        <v>3066</v>
      </c>
    </row>
    <row r="607" spans="1:4" x14ac:dyDescent="0.3">
      <c r="A607">
        <v>631</v>
      </c>
      <c r="B607" s="13">
        <v>45867</v>
      </c>
      <c r="C607" t="s">
        <v>1722</v>
      </c>
      <c r="D607" t="s">
        <v>3067</v>
      </c>
    </row>
    <row r="608" spans="1:4" x14ac:dyDescent="0.3">
      <c r="A608">
        <v>632</v>
      </c>
      <c r="B608" s="13">
        <v>45867</v>
      </c>
      <c r="C608" t="s">
        <v>1444</v>
      </c>
      <c r="D608" t="s">
        <v>3068</v>
      </c>
    </row>
    <row r="609" spans="1:4" x14ac:dyDescent="0.3">
      <c r="A609">
        <v>633</v>
      </c>
      <c r="B609" s="13">
        <v>45868</v>
      </c>
      <c r="C609" t="s">
        <v>1977</v>
      </c>
      <c r="D609" t="s">
        <v>3071</v>
      </c>
    </row>
    <row r="610" spans="1:4" x14ac:dyDescent="0.3">
      <c r="A610">
        <v>634</v>
      </c>
      <c r="B610" s="13">
        <v>45868</v>
      </c>
      <c r="C610" t="s">
        <v>1809</v>
      </c>
      <c r="D610" t="s">
        <v>3072</v>
      </c>
    </row>
    <row r="611" spans="1:4" x14ac:dyDescent="0.3">
      <c r="A611">
        <v>635</v>
      </c>
      <c r="B611" s="13">
        <v>45868</v>
      </c>
      <c r="C611" t="s">
        <v>2789</v>
      </c>
      <c r="D611" t="s">
        <v>3073</v>
      </c>
    </row>
    <row r="612" spans="1:4" x14ac:dyDescent="0.3">
      <c r="A612">
        <v>636</v>
      </c>
      <c r="B612" s="13">
        <v>45868</v>
      </c>
      <c r="C612" t="s">
        <v>1805</v>
      </c>
      <c r="D612" t="s">
        <v>3075</v>
      </c>
    </row>
    <row r="613" spans="1:4" x14ac:dyDescent="0.3">
      <c r="A613">
        <v>637</v>
      </c>
      <c r="B613" s="13">
        <v>45868</v>
      </c>
      <c r="C613" t="s">
        <v>1577</v>
      </c>
      <c r="D613" t="s">
        <v>3076</v>
      </c>
    </row>
    <row r="614" spans="1:4" x14ac:dyDescent="0.3">
      <c r="A614">
        <v>638</v>
      </c>
      <c r="B614" s="13">
        <v>45868</v>
      </c>
      <c r="C614" t="s">
        <v>3077</v>
      </c>
      <c r="D614" t="s">
        <v>3081</v>
      </c>
    </row>
    <row r="615" spans="1:4" x14ac:dyDescent="0.3">
      <c r="A615">
        <v>639</v>
      </c>
      <c r="B615" s="13">
        <v>45868</v>
      </c>
      <c r="C615" t="s">
        <v>2319</v>
      </c>
      <c r="D615" t="s">
        <v>3082</v>
      </c>
    </row>
    <row r="616" spans="1:4" x14ac:dyDescent="0.3">
      <c r="A616">
        <v>640</v>
      </c>
      <c r="B616" s="13">
        <v>45869</v>
      </c>
      <c r="C616" t="s">
        <v>1473</v>
      </c>
      <c r="D616" t="s">
        <v>3085</v>
      </c>
    </row>
    <row r="617" spans="1:4" x14ac:dyDescent="0.3">
      <c r="A617">
        <v>641</v>
      </c>
      <c r="B617" s="13">
        <v>45869</v>
      </c>
      <c r="C617" t="s">
        <v>1790</v>
      </c>
      <c r="D617" t="s">
        <v>3086</v>
      </c>
    </row>
    <row r="618" spans="1:4" x14ac:dyDescent="0.3">
      <c r="A618">
        <v>642</v>
      </c>
      <c r="B618" s="13">
        <v>45869</v>
      </c>
      <c r="C618" t="s">
        <v>1498</v>
      </c>
      <c r="D618" t="s">
        <v>3087</v>
      </c>
    </row>
    <row r="619" spans="1:4" x14ac:dyDescent="0.3">
      <c r="A619">
        <v>643</v>
      </c>
      <c r="B619" s="13">
        <v>45869</v>
      </c>
      <c r="C619" t="s">
        <v>1671</v>
      </c>
      <c r="D619" t="s">
        <v>3088</v>
      </c>
    </row>
    <row r="620" spans="1:4" x14ac:dyDescent="0.3">
      <c r="A620">
        <v>644</v>
      </c>
      <c r="B620" s="13">
        <v>45869</v>
      </c>
      <c r="C620" t="s">
        <v>1580</v>
      </c>
      <c r="D620" t="s">
        <v>3089</v>
      </c>
    </row>
    <row r="621" spans="1:4" x14ac:dyDescent="0.3">
      <c r="A621">
        <v>645</v>
      </c>
      <c r="B621" s="13">
        <v>45870</v>
      </c>
      <c r="C621" t="s">
        <v>1473</v>
      </c>
      <c r="D621" t="s">
        <v>3092</v>
      </c>
    </row>
    <row r="622" spans="1:4" x14ac:dyDescent="0.3">
      <c r="A622">
        <v>646</v>
      </c>
      <c r="B622" s="13">
        <v>45870</v>
      </c>
      <c r="C622" t="s">
        <v>3093</v>
      </c>
      <c r="D622" t="s">
        <v>3094</v>
      </c>
    </row>
    <row r="623" spans="1:4" x14ac:dyDescent="0.3">
      <c r="A623">
        <v>647</v>
      </c>
      <c r="B623" s="13">
        <v>45870</v>
      </c>
      <c r="C623" t="s">
        <v>1942</v>
      </c>
      <c r="D623" t="s">
        <v>3095</v>
      </c>
    </row>
    <row r="624" spans="1:4" x14ac:dyDescent="0.3">
      <c r="A624">
        <v>648</v>
      </c>
      <c r="B624" s="13">
        <v>45870</v>
      </c>
      <c r="C624" t="s">
        <v>1399</v>
      </c>
      <c r="D624" t="s">
        <v>3096</v>
      </c>
    </row>
    <row r="625" spans="1:4" x14ac:dyDescent="0.3">
      <c r="A625">
        <v>649</v>
      </c>
      <c r="B625" s="13">
        <v>45868</v>
      </c>
      <c r="C625" t="s">
        <v>1722</v>
      </c>
      <c r="D625" t="s">
        <v>3100</v>
      </c>
    </row>
    <row r="626" spans="1:4" x14ac:dyDescent="0.3">
      <c r="A626">
        <v>650</v>
      </c>
      <c r="B626" s="13">
        <v>45873</v>
      </c>
      <c r="C626" t="s">
        <v>1577</v>
      </c>
      <c r="D626" t="s">
        <v>3101</v>
      </c>
    </row>
    <row r="627" spans="1:4" x14ac:dyDescent="0.3">
      <c r="A627">
        <v>651</v>
      </c>
      <c r="B627" s="13">
        <v>45873</v>
      </c>
      <c r="C627" t="s">
        <v>2873</v>
      </c>
      <c r="D627" t="s">
        <v>3102</v>
      </c>
    </row>
    <row r="628" spans="1:4" x14ac:dyDescent="0.3">
      <c r="A628">
        <v>652</v>
      </c>
      <c r="B628" s="13">
        <v>45873</v>
      </c>
      <c r="C628" t="s">
        <v>1442</v>
      </c>
      <c r="D628" t="s">
        <v>3103</v>
      </c>
    </row>
    <row r="629" spans="1:4" x14ac:dyDescent="0.3">
      <c r="A629">
        <v>653</v>
      </c>
      <c r="B629" s="13">
        <v>45873</v>
      </c>
      <c r="C629" t="s">
        <v>2873</v>
      </c>
      <c r="D629" t="s">
        <v>3104</v>
      </c>
    </row>
    <row r="630" spans="1:4" x14ac:dyDescent="0.3">
      <c r="A630">
        <v>654</v>
      </c>
      <c r="B630" s="13">
        <v>45873</v>
      </c>
      <c r="C630" t="s">
        <v>1399</v>
      </c>
      <c r="D630" t="s">
        <v>3105</v>
      </c>
    </row>
    <row r="631" spans="1:4" x14ac:dyDescent="0.3">
      <c r="A631">
        <v>655</v>
      </c>
      <c r="B631" s="13">
        <v>45873</v>
      </c>
      <c r="C631" t="s">
        <v>1015</v>
      </c>
      <c r="D631" t="s">
        <v>3106</v>
      </c>
    </row>
    <row r="632" spans="1:4" x14ac:dyDescent="0.3">
      <c r="A632">
        <v>656</v>
      </c>
      <c r="B632" s="13">
        <v>45873</v>
      </c>
      <c r="C632" t="s">
        <v>2148</v>
      </c>
      <c r="D632" t="s">
        <v>3107</v>
      </c>
    </row>
    <row r="633" spans="1:4" x14ac:dyDescent="0.3">
      <c r="A633">
        <v>657</v>
      </c>
      <c r="B633" s="13">
        <v>45873</v>
      </c>
      <c r="C633" t="s">
        <v>1473</v>
      </c>
      <c r="D633" t="s">
        <v>3108</v>
      </c>
    </row>
    <row r="634" spans="1:4" x14ac:dyDescent="0.3">
      <c r="A634">
        <v>658</v>
      </c>
      <c r="B634" s="13">
        <v>45873</v>
      </c>
      <c r="C634" t="s">
        <v>1473</v>
      </c>
      <c r="D634" t="s">
        <v>3109</v>
      </c>
    </row>
    <row r="635" spans="1:4" x14ac:dyDescent="0.3">
      <c r="A635">
        <v>659</v>
      </c>
      <c r="B635" s="13">
        <v>45873</v>
      </c>
      <c r="C635" t="s">
        <v>1473</v>
      </c>
      <c r="D635" t="s">
        <v>3111</v>
      </c>
    </row>
    <row r="636" spans="1:4" x14ac:dyDescent="0.3">
      <c r="A636">
        <v>660</v>
      </c>
      <c r="B636" s="13">
        <v>45873</v>
      </c>
      <c r="C636" t="s">
        <v>1473</v>
      </c>
      <c r="D636" t="s">
        <v>3112</v>
      </c>
    </row>
    <row r="637" spans="1:4" x14ac:dyDescent="0.3">
      <c r="A637">
        <v>661</v>
      </c>
      <c r="B637" s="13">
        <v>45873</v>
      </c>
      <c r="C637" t="s">
        <v>2148</v>
      </c>
      <c r="D637" t="s">
        <v>3113</v>
      </c>
    </row>
    <row r="638" spans="1:4" x14ac:dyDescent="0.3">
      <c r="A638">
        <v>662</v>
      </c>
      <c r="B638" s="13">
        <v>45873</v>
      </c>
      <c r="C638" t="s">
        <v>1015</v>
      </c>
      <c r="D638" t="s">
        <v>3114</v>
      </c>
    </row>
    <row r="639" spans="1:4" x14ac:dyDescent="0.3">
      <c r="A639">
        <v>663</v>
      </c>
      <c r="B639" s="13">
        <v>45875</v>
      </c>
      <c r="C639" t="s">
        <v>1494</v>
      </c>
      <c r="D639" t="s">
        <v>3126</v>
      </c>
    </row>
    <row r="640" spans="1:4" x14ac:dyDescent="0.3">
      <c r="A640">
        <v>664</v>
      </c>
      <c r="B640" s="13">
        <v>45875</v>
      </c>
      <c r="C640" t="s">
        <v>1026</v>
      </c>
      <c r="D640" t="s">
        <v>3127</v>
      </c>
    </row>
    <row r="641" spans="1:4" x14ac:dyDescent="0.3">
      <c r="A641">
        <v>665</v>
      </c>
      <c r="B641" s="13">
        <v>45875</v>
      </c>
      <c r="C641" t="s">
        <v>3120</v>
      </c>
      <c r="D641" t="s">
        <v>3132</v>
      </c>
    </row>
    <row r="642" spans="1:4" x14ac:dyDescent="0.3">
      <c r="A642">
        <v>666</v>
      </c>
      <c r="B642" s="13">
        <v>45875</v>
      </c>
      <c r="C642" t="s">
        <v>1147</v>
      </c>
      <c r="D642" t="s">
        <v>3134</v>
      </c>
    </row>
    <row r="643" spans="1:4" x14ac:dyDescent="0.3">
      <c r="A643">
        <v>667</v>
      </c>
      <c r="B643" s="13">
        <v>45875</v>
      </c>
      <c r="C643" t="s">
        <v>1809</v>
      </c>
      <c r="D643" t="s">
        <v>3135</v>
      </c>
    </row>
    <row r="644" spans="1:4" x14ac:dyDescent="0.3">
      <c r="A644">
        <v>668</v>
      </c>
      <c r="B644" s="13">
        <v>45875</v>
      </c>
      <c r="C644" t="s">
        <v>3136</v>
      </c>
      <c r="D644" t="s">
        <v>3137</v>
      </c>
    </row>
    <row r="645" spans="1:4" x14ac:dyDescent="0.3">
      <c r="A645">
        <v>669</v>
      </c>
      <c r="B645" s="13">
        <v>45875</v>
      </c>
      <c r="C645" t="s">
        <v>2145</v>
      </c>
      <c r="D645" t="s">
        <v>3138</v>
      </c>
    </row>
    <row r="646" spans="1:4" x14ac:dyDescent="0.3">
      <c r="A646">
        <v>670</v>
      </c>
      <c r="B646" s="13">
        <v>45875</v>
      </c>
      <c r="C646" t="s">
        <v>1577</v>
      </c>
      <c r="D646" t="s">
        <v>3140</v>
      </c>
    </row>
    <row r="647" spans="1:4" x14ac:dyDescent="0.3">
      <c r="A647">
        <v>671</v>
      </c>
      <c r="B647" s="13">
        <v>45875</v>
      </c>
      <c r="C647" t="s">
        <v>1747</v>
      </c>
      <c r="D647" t="s">
        <v>3141</v>
      </c>
    </row>
    <row r="648" spans="1:4" x14ac:dyDescent="0.3">
      <c r="A648">
        <v>672</v>
      </c>
      <c r="B648" s="13">
        <v>45876</v>
      </c>
      <c r="C648" t="s">
        <v>1444</v>
      </c>
      <c r="D648" t="s">
        <v>3145</v>
      </c>
    </row>
    <row r="649" spans="1:4" x14ac:dyDescent="0.3">
      <c r="A649">
        <v>673</v>
      </c>
      <c r="B649" s="13">
        <v>45876</v>
      </c>
      <c r="C649" t="s">
        <v>2783</v>
      </c>
      <c r="D649" t="s">
        <v>3146</v>
      </c>
    </row>
    <row r="650" spans="1:4" x14ac:dyDescent="0.3">
      <c r="A650">
        <v>674</v>
      </c>
      <c r="B650" s="13">
        <v>45876</v>
      </c>
      <c r="C650" t="s">
        <v>2410</v>
      </c>
      <c r="D650" t="s">
        <v>3147</v>
      </c>
    </row>
    <row r="651" spans="1:4" x14ac:dyDescent="0.3">
      <c r="A651">
        <v>675</v>
      </c>
      <c r="B651" s="13">
        <v>45877</v>
      </c>
      <c r="C651" t="s">
        <v>3149</v>
      </c>
      <c r="D651" t="s">
        <v>3150</v>
      </c>
    </row>
    <row r="652" spans="1:4" x14ac:dyDescent="0.3">
      <c r="A652">
        <v>676</v>
      </c>
      <c r="B652" s="13">
        <v>45877</v>
      </c>
      <c r="C652" t="s">
        <v>3151</v>
      </c>
      <c r="D652" t="s">
        <v>3155</v>
      </c>
    </row>
    <row r="653" spans="1:4" x14ac:dyDescent="0.3">
      <c r="A653">
        <v>677</v>
      </c>
      <c r="B653" s="13">
        <v>45877</v>
      </c>
      <c r="C653" t="s">
        <v>3149</v>
      </c>
      <c r="D653" t="s">
        <v>3156</v>
      </c>
    </row>
    <row r="654" spans="1:4" x14ac:dyDescent="0.3">
      <c r="A654">
        <v>678</v>
      </c>
      <c r="B654" s="13">
        <v>45877</v>
      </c>
      <c r="C654" t="s">
        <v>3151</v>
      </c>
      <c r="D654" t="s">
        <v>3157</v>
      </c>
    </row>
    <row r="655" spans="1:4" x14ac:dyDescent="0.3">
      <c r="A655">
        <v>679</v>
      </c>
      <c r="B655" s="13">
        <v>45877</v>
      </c>
      <c r="C655" t="s">
        <v>3149</v>
      </c>
      <c r="D655" t="s">
        <v>3158</v>
      </c>
    </row>
    <row r="656" spans="1:4" x14ac:dyDescent="0.3">
      <c r="A656">
        <v>680</v>
      </c>
      <c r="B656" s="13">
        <v>45878</v>
      </c>
      <c r="C656" t="s">
        <v>1018</v>
      </c>
      <c r="D656" t="s">
        <v>3160</v>
      </c>
    </row>
    <row r="657" spans="1:4" x14ac:dyDescent="0.3">
      <c r="A657">
        <v>681</v>
      </c>
      <c r="B657" s="13">
        <v>45878</v>
      </c>
      <c r="C657" t="s">
        <v>3161</v>
      </c>
      <c r="D657" t="s">
        <v>3162</v>
      </c>
    </row>
    <row r="658" spans="1:4" x14ac:dyDescent="0.3">
      <c r="A658">
        <v>682</v>
      </c>
      <c r="B658" s="13">
        <v>45880</v>
      </c>
      <c r="C658" t="s">
        <v>2319</v>
      </c>
      <c r="D658" t="s">
        <v>3163</v>
      </c>
    </row>
    <row r="659" spans="1:4" x14ac:dyDescent="0.3">
      <c r="A659">
        <v>683</v>
      </c>
      <c r="B659" s="13">
        <v>45880</v>
      </c>
      <c r="C659" t="s">
        <v>1747</v>
      </c>
      <c r="D659" t="s">
        <v>3164</v>
      </c>
    </row>
    <row r="660" spans="1:4" x14ac:dyDescent="0.3">
      <c r="A660">
        <v>684</v>
      </c>
      <c r="B660" s="13">
        <v>45880</v>
      </c>
      <c r="C660" t="s">
        <v>1580</v>
      </c>
      <c r="D660" t="s">
        <v>3165</v>
      </c>
    </row>
    <row r="661" spans="1:4" x14ac:dyDescent="0.3">
      <c r="A661">
        <v>685</v>
      </c>
      <c r="B661" t="s">
        <v>3167</v>
      </c>
      <c r="C661" t="s">
        <v>1494</v>
      </c>
      <c r="D661" t="s">
        <v>3168</v>
      </c>
    </row>
    <row r="662" spans="1:4" x14ac:dyDescent="0.3">
      <c r="A662">
        <v>686</v>
      </c>
      <c r="B662" s="13">
        <v>45880</v>
      </c>
      <c r="C662" t="s">
        <v>1399</v>
      </c>
      <c r="D662" t="s">
        <v>3169</v>
      </c>
    </row>
    <row r="663" spans="1:4" x14ac:dyDescent="0.3">
      <c r="A663">
        <v>687</v>
      </c>
      <c r="B663" s="13">
        <v>45880</v>
      </c>
      <c r="C663" t="s">
        <v>1894</v>
      </c>
      <c r="D663" t="s">
        <v>3170</v>
      </c>
    </row>
    <row r="664" spans="1:4" x14ac:dyDescent="0.3">
      <c r="A664">
        <v>688</v>
      </c>
      <c r="B664" s="13">
        <v>45880</v>
      </c>
      <c r="C664" t="s">
        <v>2916</v>
      </c>
      <c r="D664" t="s">
        <v>3171</v>
      </c>
    </row>
    <row r="665" spans="1:4" x14ac:dyDescent="0.3">
      <c r="A665">
        <v>689</v>
      </c>
      <c r="B665" s="13">
        <v>45881</v>
      </c>
      <c r="C665" t="s">
        <v>1467</v>
      </c>
      <c r="D665" t="s">
        <v>3172</v>
      </c>
    </row>
    <row r="666" spans="1:4" x14ac:dyDescent="0.3">
      <c r="A666">
        <v>690</v>
      </c>
      <c r="B666" s="13">
        <v>45881</v>
      </c>
      <c r="C666" t="s">
        <v>1473</v>
      </c>
      <c r="D666" t="s">
        <v>3173</v>
      </c>
    </row>
    <row r="667" spans="1:4" x14ac:dyDescent="0.3">
      <c r="A667">
        <v>691</v>
      </c>
      <c r="B667" s="13">
        <v>45881</v>
      </c>
      <c r="C667" t="s">
        <v>2319</v>
      </c>
      <c r="D667" t="s">
        <v>3174</v>
      </c>
    </row>
    <row r="668" spans="1:4" x14ac:dyDescent="0.3">
      <c r="A668">
        <v>692</v>
      </c>
      <c r="B668" s="13">
        <v>45881</v>
      </c>
      <c r="C668" t="s">
        <v>2998</v>
      </c>
      <c r="D668" t="s">
        <v>3176</v>
      </c>
    </row>
    <row r="669" spans="1:4" x14ac:dyDescent="0.3">
      <c r="A669">
        <v>693</v>
      </c>
      <c r="B669" s="13">
        <v>45882</v>
      </c>
      <c r="C669" t="s">
        <v>1805</v>
      </c>
      <c r="D669" t="s">
        <v>3178</v>
      </c>
    </row>
    <row r="670" spans="1:4" x14ac:dyDescent="0.3">
      <c r="A670">
        <v>694</v>
      </c>
      <c r="B670" s="13">
        <v>45882</v>
      </c>
      <c r="C670" t="s">
        <v>1580</v>
      </c>
      <c r="D670" t="s">
        <v>3179</v>
      </c>
    </row>
    <row r="671" spans="1:4" x14ac:dyDescent="0.3">
      <c r="A671">
        <v>695</v>
      </c>
      <c r="B671" s="13">
        <v>45882</v>
      </c>
      <c r="C671" t="s">
        <v>1399</v>
      </c>
      <c r="D671" t="s">
        <v>3180</v>
      </c>
    </row>
    <row r="672" spans="1:4" x14ac:dyDescent="0.3">
      <c r="A672">
        <v>696</v>
      </c>
      <c r="B672" s="13">
        <v>45882</v>
      </c>
      <c r="C672" t="s">
        <v>1577</v>
      </c>
      <c r="D672" t="s">
        <v>3181</v>
      </c>
    </row>
    <row r="673" spans="1:4" x14ac:dyDescent="0.3">
      <c r="A673">
        <v>697</v>
      </c>
      <c r="B673" s="13">
        <v>45882</v>
      </c>
      <c r="C673" t="s">
        <v>1018</v>
      </c>
      <c r="D673" t="s">
        <v>3182</v>
      </c>
    </row>
    <row r="674" spans="1:4" x14ac:dyDescent="0.3">
      <c r="A674">
        <v>698</v>
      </c>
      <c r="B674" s="13">
        <v>45882</v>
      </c>
      <c r="C674" t="s">
        <v>3186</v>
      </c>
      <c r="D674" t="s">
        <v>3190</v>
      </c>
    </row>
    <row r="675" spans="1:4" x14ac:dyDescent="0.3">
      <c r="A675">
        <v>699</v>
      </c>
      <c r="B675" s="13">
        <v>45882</v>
      </c>
      <c r="C675" t="s">
        <v>3183</v>
      </c>
      <c r="D675" t="s">
        <v>3192</v>
      </c>
    </row>
    <row r="676" spans="1:4" x14ac:dyDescent="0.3">
      <c r="A676">
        <v>700</v>
      </c>
      <c r="B676" s="13">
        <v>45883</v>
      </c>
      <c r="C676" t="s">
        <v>1467</v>
      </c>
      <c r="D676" t="s">
        <v>3193</v>
      </c>
    </row>
    <row r="677" spans="1:4" x14ac:dyDescent="0.3">
      <c r="A677">
        <v>701</v>
      </c>
      <c r="B677" s="13">
        <v>45883</v>
      </c>
      <c r="C677" t="s">
        <v>1479</v>
      </c>
      <c r="D677" t="s">
        <v>3195</v>
      </c>
    </row>
    <row r="678" spans="1:4" x14ac:dyDescent="0.3">
      <c r="A678">
        <v>702</v>
      </c>
      <c r="B678" s="13">
        <v>45883</v>
      </c>
      <c r="C678" t="s">
        <v>987</v>
      </c>
      <c r="D678" t="s">
        <v>3197</v>
      </c>
    </row>
    <row r="679" spans="1:4" x14ac:dyDescent="0.3">
      <c r="A679">
        <v>703</v>
      </c>
      <c r="B679" s="13">
        <v>45883</v>
      </c>
      <c r="C679" t="s">
        <v>1026</v>
      </c>
      <c r="D679" t="s">
        <v>3198</v>
      </c>
    </row>
    <row r="680" spans="1:4" x14ac:dyDescent="0.3">
      <c r="A680">
        <v>704</v>
      </c>
      <c r="B680" s="13">
        <v>45883</v>
      </c>
      <c r="C680" t="s">
        <v>1228</v>
      </c>
      <c r="D680" t="s">
        <v>3200</v>
      </c>
    </row>
    <row r="681" spans="1:4" x14ac:dyDescent="0.3">
      <c r="A681">
        <v>705</v>
      </c>
      <c r="B681" s="13">
        <v>45883</v>
      </c>
      <c r="C681" t="s">
        <v>3201</v>
      </c>
      <c r="D681" t="s">
        <v>3203</v>
      </c>
    </row>
    <row r="682" spans="1:4" x14ac:dyDescent="0.3">
      <c r="A682">
        <v>706</v>
      </c>
      <c r="B682" s="13">
        <v>45883</v>
      </c>
      <c r="C682" t="s">
        <v>2597</v>
      </c>
      <c r="D682" t="s">
        <v>3204</v>
      </c>
    </row>
    <row r="683" spans="1:4" x14ac:dyDescent="0.3">
      <c r="A683">
        <v>707</v>
      </c>
      <c r="B683" s="13">
        <v>45883</v>
      </c>
      <c r="C683" t="s">
        <v>2410</v>
      </c>
      <c r="D683" t="s">
        <v>3205</v>
      </c>
    </row>
    <row r="684" spans="1:4" x14ac:dyDescent="0.3">
      <c r="A684">
        <v>708</v>
      </c>
      <c r="B684" s="13">
        <v>45884</v>
      </c>
      <c r="C684" t="s">
        <v>1449</v>
      </c>
      <c r="D684" t="s">
        <v>3208</v>
      </c>
    </row>
    <row r="685" spans="1:4" x14ac:dyDescent="0.3">
      <c r="A685">
        <v>709</v>
      </c>
      <c r="B685" s="13">
        <v>45884</v>
      </c>
      <c r="C685" t="s">
        <v>1399</v>
      </c>
      <c r="D685" t="s">
        <v>3209</v>
      </c>
    </row>
    <row r="686" spans="1:4" x14ac:dyDescent="0.3">
      <c r="A686">
        <v>710</v>
      </c>
      <c r="B686" s="13">
        <v>45884</v>
      </c>
      <c r="C686" t="s">
        <v>3210</v>
      </c>
      <c r="D686" t="s">
        <v>3213</v>
      </c>
    </row>
    <row r="687" spans="1:4" x14ac:dyDescent="0.3">
      <c r="A687">
        <v>711</v>
      </c>
      <c r="B687" s="13">
        <v>45885</v>
      </c>
      <c r="C687" t="s">
        <v>1722</v>
      </c>
      <c r="D687" t="s">
        <v>3214</v>
      </c>
    </row>
    <row r="688" spans="1:4" x14ac:dyDescent="0.3">
      <c r="A688">
        <v>712</v>
      </c>
      <c r="B688" s="13">
        <v>45885</v>
      </c>
      <c r="C688" t="s">
        <v>1722</v>
      </c>
      <c r="D688" t="s">
        <v>3215</v>
      </c>
    </row>
    <row r="689" spans="1:4" x14ac:dyDescent="0.3">
      <c r="A689">
        <v>713</v>
      </c>
      <c r="B689" s="13">
        <v>45887</v>
      </c>
      <c r="C689" t="s">
        <v>1399</v>
      </c>
      <c r="D689" t="s">
        <v>3219</v>
      </c>
    </row>
    <row r="690" spans="1:4" x14ac:dyDescent="0.3">
      <c r="A690">
        <v>714</v>
      </c>
      <c r="B690" s="13">
        <v>45887</v>
      </c>
      <c r="C690" t="s">
        <v>1479</v>
      </c>
      <c r="D690" t="s">
        <v>3220</v>
      </c>
    </row>
    <row r="691" spans="1:4" x14ac:dyDescent="0.3">
      <c r="A691">
        <v>715</v>
      </c>
      <c r="B691" s="13">
        <v>45887</v>
      </c>
      <c r="C691" t="s">
        <v>1444</v>
      </c>
      <c r="D691" t="s">
        <v>3221</v>
      </c>
    </row>
    <row r="692" spans="1:4" x14ac:dyDescent="0.3">
      <c r="A692">
        <v>716</v>
      </c>
      <c r="B692" s="13">
        <v>45887</v>
      </c>
      <c r="C692" t="s">
        <v>1467</v>
      </c>
      <c r="D692" t="s">
        <v>3224</v>
      </c>
    </row>
    <row r="693" spans="1:4" x14ac:dyDescent="0.3">
      <c r="A693">
        <v>717</v>
      </c>
      <c r="B693" s="13">
        <v>45887</v>
      </c>
      <c r="C693" t="s">
        <v>1449</v>
      </c>
      <c r="D693" t="s">
        <v>3225</v>
      </c>
    </row>
    <row r="694" spans="1:4" x14ac:dyDescent="0.3">
      <c r="A694">
        <v>718</v>
      </c>
      <c r="B694" s="13">
        <v>45887</v>
      </c>
      <c r="C694" t="s">
        <v>1977</v>
      </c>
      <c r="D694" t="s">
        <v>3226</v>
      </c>
    </row>
    <row r="695" spans="1:4" x14ac:dyDescent="0.3">
      <c r="A695">
        <v>719</v>
      </c>
      <c r="B695" s="13">
        <v>45887</v>
      </c>
      <c r="C695" t="s">
        <v>2610</v>
      </c>
      <c r="D695" t="s">
        <v>3228</v>
      </c>
    </row>
    <row r="696" spans="1:4" x14ac:dyDescent="0.3">
      <c r="A696">
        <v>720</v>
      </c>
      <c r="B696" s="13">
        <v>45887</v>
      </c>
      <c r="C696" t="s">
        <v>1598</v>
      </c>
      <c r="D696" t="s">
        <v>3230</v>
      </c>
    </row>
    <row r="697" spans="1:4" x14ac:dyDescent="0.3">
      <c r="A697">
        <v>721</v>
      </c>
      <c r="B697" s="13">
        <v>45887</v>
      </c>
      <c r="C697" t="s">
        <v>1454</v>
      </c>
      <c r="D697" t="s">
        <v>3232</v>
      </c>
    </row>
    <row r="698" spans="1:4" x14ac:dyDescent="0.3">
      <c r="A698">
        <v>722</v>
      </c>
      <c r="B698" s="13">
        <v>45888</v>
      </c>
      <c r="C698" t="s">
        <v>1577</v>
      </c>
      <c r="D698" t="s">
        <v>3234</v>
      </c>
    </row>
    <row r="699" spans="1:4" x14ac:dyDescent="0.3">
      <c r="A699">
        <v>723</v>
      </c>
      <c r="B699" s="13">
        <v>45888</v>
      </c>
      <c r="C699" t="s">
        <v>1399</v>
      </c>
      <c r="D699" t="s">
        <v>3235</v>
      </c>
    </row>
    <row r="700" spans="1:4" x14ac:dyDescent="0.3">
      <c r="A700">
        <v>724</v>
      </c>
      <c r="B700" s="13">
        <v>45888</v>
      </c>
      <c r="C700" t="s">
        <v>1473</v>
      </c>
      <c r="D700" t="s">
        <v>3236</v>
      </c>
    </row>
    <row r="701" spans="1:4" x14ac:dyDescent="0.3">
      <c r="A701">
        <v>725</v>
      </c>
      <c r="B701" s="13">
        <v>45888</v>
      </c>
      <c r="C701" t="s">
        <v>1598</v>
      </c>
      <c r="D701" t="s">
        <v>3237</v>
      </c>
    </row>
    <row r="702" spans="1:4" x14ac:dyDescent="0.3">
      <c r="A702">
        <v>726</v>
      </c>
      <c r="B702" s="13">
        <v>45888</v>
      </c>
      <c r="C702" t="s">
        <v>1399</v>
      </c>
      <c r="D702" t="s">
        <v>3239</v>
      </c>
    </row>
    <row r="703" spans="1:4" x14ac:dyDescent="0.3">
      <c r="A703">
        <v>727</v>
      </c>
      <c r="B703" s="13">
        <v>45889</v>
      </c>
      <c r="C703" t="s">
        <v>1026</v>
      </c>
      <c r="D703" t="s">
        <v>3241</v>
      </c>
    </row>
    <row r="704" spans="1:4" x14ac:dyDescent="0.3">
      <c r="A704">
        <v>728</v>
      </c>
      <c r="B704" s="13">
        <v>45889</v>
      </c>
      <c r="C704" t="s">
        <v>1541</v>
      </c>
      <c r="D704" t="s">
        <v>3242</v>
      </c>
    </row>
    <row r="705" spans="1:4" x14ac:dyDescent="0.3">
      <c r="A705">
        <v>729</v>
      </c>
      <c r="B705" s="13">
        <v>45889</v>
      </c>
      <c r="C705" t="s">
        <v>1046</v>
      </c>
      <c r="D705" t="s">
        <v>3243</v>
      </c>
    </row>
    <row r="706" spans="1:4" x14ac:dyDescent="0.3">
      <c r="A706">
        <v>730</v>
      </c>
      <c r="B706" s="13">
        <v>45889</v>
      </c>
      <c r="C706" t="s">
        <v>2558</v>
      </c>
      <c r="D706" t="s">
        <v>3245</v>
      </c>
    </row>
    <row r="707" spans="1:4" x14ac:dyDescent="0.3">
      <c r="A707">
        <v>731</v>
      </c>
      <c r="B707" s="13">
        <v>45889</v>
      </c>
      <c r="C707" t="s">
        <v>2261</v>
      </c>
      <c r="D707" t="s">
        <v>3246</v>
      </c>
    </row>
    <row r="708" spans="1:4" x14ac:dyDescent="0.3">
      <c r="A708">
        <v>732</v>
      </c>
      <c r="B708" s="13">
        <v>45889</v>
      </c>
      <c r="C708" t="s">
        <v>2367</v>
      </c>
      <c r="D708" t="s">
        <v>3248</v>
      </c>
    </row>
    <row r="709" spans="1:4" x14ac:dyDescent="0.3">
      <c r="A709">
        <v>733</v>
      </c>
      <c r="B709" s="13">
        <v>45890</v>
      </c>
      <c r="C709" t="s">
        <v>1378</v>
      </c>
      <c r="D709" t="s">
        <v>3249</v>
      </c>
    </row>
    <row r="710" spans="1:4" x14ac:dyDescent="0.3">
      <c r="A710">
        <v>734</v>
      </c>
      <c r="B710" s="13">
        <v>45890</v>
      </c>
      <c r="C710" t="s">
        <v>2916</v>
      </c>
      <c r="D710" t="s">
        <v>3250</v>
      </c>
    </row>
    <row r="711" spans="1:4" x14ac:dyDescent="0.3">
      <c r="A711">
        <v>735</v>
      </c>
      <c r="B711" s="13">
        <v>45890</v>
      </c>
      <c r="C711" t="s">
        <v>1580</v>
      </c>
      <c r="D711" t="s">
        <v>3251</v>
      </c>
    </row>
    <row r="712" spans="1:4" x14ac:dyDescent="0.3">
      <c r="A712">
        <v>736</v>
      </c>
      <c r="B712" s="13">
        <v>45890</v>
      </c>
      <c r="C712" t="s">
        <v>2558</v>
      </c>
      <c r="D712" t="s">
        <v>3252</v>
      </c>
    </row>
    <row r="713" spans="1:4" x14ac:dyDescent="0.3">
      <c r="A713">
        <v>737</v>
      </c>
      <c r="B713" s="13">
        <v>45890</v>
      </c>
      <c r="C713" t="s">
        <v>1722</v>
      </c>
      <c r="D713" t="s">
        <v>3254</v>
      </c>
    </row>
    <row r="714" spans="1:4" x14ac:dyDescent="0.3">
      <c r="A714">
        <v>738</v>
      </c>
      <c r="B714" s="13">
        <v>45890</v>
      </c>
      <c r="C714" t="s">
        <v>1399</v>
      </c>
      <c r="D714" t="s">
        <v>3257</v>
      </c>
    </row>
    <row r="715" spans="1:4" x14ac:dyDescent="0.3">
      <c r="A715">
        <v>739</v>
      </c>
      <c r="B715" s="13">
        <v>45890</v>
      </c>
      <c r="C715" t="s">
        <v>3120</v>
      </c>
      <c r="D715" t="s">
        <v>3258</v>
      </c>
    </row>
    <row r="716" spans="1:4" x14ac:dyDescent="0.3">
      <c r="A716">
        <v>740</v>
      </c>
      <c r="B716" s="13">
        <v>45891</v>
      </c>
      <c r="C716" t="s">
        <v>2858</v>
      </c>
      <c r="D716" t="s">
        <v>3260</v>
      </c>
    </row>
    <row r="717" spans="1:4" x14ac:dyDescent="0.3">
      <c r="A717">
        <v>741</v>
      </c>
      <c r="B717" s="13">
        <v>45891</v>
      </c>
      <c r="C717" t="s">
        <v>1812</v>
      </c>
      <c r="D717" t="s">
        <v>3262</v>
      </c>
    </row>
    <row r="718" spans="1:4" x14ac:dyDescent="0.3">
      <c r="A718">
        <v>742</v>
      </c>
      <c r="B718" s="13">
        <v>45891</v>
      </c>
      <c r="C718" t="s">
        <v>3263</v>
      </c>
      <c r="D718" t="s">
        <v>3267</v>
      </c>
    </row>
    <row r="719" spans="1:4" x14ac:dyDescent="0.3">
      <c r="A719">
        <v>743</v>
      </c>
      <c r="B719" s="13">
        <v>45891</v>
      </c>
      <c r="C719" t="s">
        <v>2610</v>
      </c>
      <c r="D719" t="s">
        <v>3268</v>
      </c>
    </row>
    <row r="720" spans="1:4" x14ac:dyDescent="0.3">
      <c r="A720">
        <v>744</v>
      </c>
      <c r="B720" s="13">
        <v>45891</v>
      </c>
      <c r="C720" t="s">
        <v>3269</v>
      </c>
      <c r="D720" t="s">
        <v>3272</v>
      </c>
    </row>
    <row r="721" spans="1:4" x14ac:dyDescent="0.3">
      <c r="A721">
        <v>745</v>
      </c>
      <c r="B721" s="13">
        <v>45892</v>
      </c>
      <c r="C721" t="s">
        <v>1007</v>
      </c>
      <c r="D721" t="s">
        <v>3274</v>
      </c>
    </row>
    <row r="722" spans="1:4" x14ac:dyDescent="0.3">
      <c r="A722">
        <v>746</v>
      </c>
      <c r="B722" s="13">
        <v>45894</v>
      </c>
      <c r="C722" t="s">
        <v>1399</v>
      </c>
      <c r="D722" t="s">
        <v>3279</v>
      </c>
    </row>
    <row r="723" spans="1:4" x14ac:dyDescent="0.3">
      <c r="A723">
        <v>747</v>
      </c>
      <c r="B723" s="13">
        <v>45894</v>
      </c>
      <c r="C723" t="s">
        <v>1399</v>
      </c>
      <c r="D723" t="s">
        <v>3280</v>
      </c>
    </row>
    <row r="724" spans="1:4" x14ac:dyDescent="0.3">
      <c r="A724">
        <v>748</v>
      </c>
      <c r="B724" s="13">
        <v>45894</v>
      </c>
      <c r="C724" t="s">
        <v>1399</v>
      </c>
      <c r="D724" t="s">
        <v>3281</v>
      </c>
    </row>
    <row r="725" spans="1:4" x14ac:dyDescent="0.3">
      <c r="A725">
        <v>749</v>
      </c>
      <c r="B725" s="13">
        <v>45894</v>
      </c>
      <c r="C725" t="s">
        <v>1805</v>
      </c>
      <c r="D725" t="s">
        <v>3282</v>
      </c>
    </row>
    <row r="726" spans="1:4" x14ac:dyDescent="0.3">
      <c r="A726">
        <v>750</v>
      </c>
      <c r="B726" s="13">
        <v>45894</v>
      </c>
      <c r="C726" t="s">
        <v>3120</v>
      </c>
      <c r="D726" t="s">
        <v>3286</v>
      </c>
    </row>
    <row r="727" spans="1:4" x14ac:dyDescent="0.3">
      <c r="A727">
        <v>751</v>
      </c>
      <c r="B727" s="13">
        <v>45894</v>
      </c>
      <c r="C727" t="s">
        <v>2916</v>
      </c>
      <c r="D727" t="s">
        <v>3287</v>
      </c>
    </row>
    <row r="728" spans="1:4" x14ac:dyDescent="0.3">
      <c r="A728">
        <v>752</v>
      </c>
      <c r="B728" s="13">
        <v>45894</v>
      </c>
      <c r="C728" t="s">
        <v>1577</v>
      </c>
      <c r="D728" t="s">
        <v>3288</v>
      </c>
    </row>
    <row r="729" spans="1:4" x14ac:dyDescent="0.3">
      <c r="A729">
        <v>753</v>
      </c>
      <c r="B729" s="13">
        <v>45894</v>
      </c>
      <c r="C729" t="s">
        <v>2292</v>
      </c>
      <c r="D729" t="s">
        <v>3289</v>
      </c>
    </row>
    <row r="730" spans="1:4" x14ac:dyDescent="0.3">
      <c r="A730">
        <v>754</v>
      </c>
      <c r="B730" s="13">
        <v>45894</v>
      </c>
      <c r="C730" t="s">
        <v>2558</v>
      </c>
      <c r="D730" t="s">
        <v>3290</v>
      </c>
    </row>
    <row r="731" spans="1:4" x14ac:dyDescent="0.3">
      <c r="A731">
        <v>755</v>
      </c>
      <c r="B731" s="13">
        <v>45894</v>
      </c>
      <c r="C731" t="s">
        <v>3291</v>
      </c>
      <c r="D731" t="s">
        <v>3295</v>
      </c>
    </row>
    <row r="732" spans="1:4" x14ac:dyDescent="0.3">
      <c r="A732">
        <v>756</v>
      </c>
      <c r="B732" s="13">
        <v>45894</v>
      </c>
      <c r="C732" t="s">
        <v>3291</v>
      </c>
      <c r="D732" t="s">
        <v>3296</v>
      </c>
    </row>
    <row r="733" spans="1:4" x14ac:dyDescent="0.3">
      <c r="A733">
        <v>757</v>
      </c>
      <c r="B733" s="13">
        <v>45894</v>
      </c>
      <c r="C733" t="s">
        <v>987</v>
      </c>
      <c r="D733" t="s">
        <v>3297</v>
      </c>
    </row>
    <row r="734" spans="1:4" x14ac:dyDescent="0.3">
      <c r="A734">
        <v>758</v>
      </c>
      <c r="B734" s="13">
        <v>45894</v>
      </c>
      <c r="C734" t="s">
        <v>2410</v>
      </c>
      <c r="D734" t="s">
        <v>3299</v>
      </c>
    </row>
    <row r="735" spans="1:4" x14ac:dyDescent="0.3">
      <c r="A735">
        <v>759</v>
      </c>
      <c r="B735" s="13">
        <v>45894</v>
      </c>
      <c r="C735" t="s">
        <v>2306</v>
      </c>
      <c r="D735" t="s">
        <v>3300</v>
      </c>
    </row>
    <row r="736" spans="1:4" x14ac:dyDescent="0.3">
      <c r="A736">
        <v>760</v>
      </c>
      <c r="B736" s="13">
        <v>45894</v>
      </c>
      <c r="C736" t="s">
        <v>1577</v>
      </c>
      <c r="D736" t="s">
        <v>3301</v>
      </c>
    </row>
    <row r="737" spans="1:4" x14ac:dyDescent="0.3">
      <c r="A737">
        <v>761</v>
      </c>
      <c r="B737" s="13">
        <v>45894</v>
      </c>
      <c r="C737" t="s">
        <v>1577</v>
      </c>
      <c r="D737" t="s">
        <v>3302</v>
      </c>
    </row>
    <row r="738" spans="1:4" x14ac:dyDescent="0.3">
      <c r="A738">
        <v>762</v>
      </c>
      <c r="B738" s="13">
        <v>45894</v>
      </c>
      <c r="C738" t="s">
        <v>1015</v>
      </c>
      <c r="D738" t="s">
        <v>3303</v>
      </c>
    </row>
    <row r="739" spans="1:4" x14ac:dyDescent="0.3">
      <c r="A739">
        <v>763</v>
      </c>
      <c r="B739" s="13">
        <v>45895</v>
      </c>
      <c r="C739" t="s">
        <v>1541</v>
      </c>
      <c r="D739" t="s">
        <v>3307</v>
      </c>
    </row>
    <row r="740" spans="1:4" x14ac:dyDescent="0.3">
      <c r="A740">
        <v>764</v>
      </c>
      <c r="B740" s="13">
        <v>45895</v>
      </c>
      <c r="C740" t="s">
        <v>1469</v>
      </c>
      <c r="D740" t="s">
        <v>3308</v>
      </c>
    </row>
    <row r="741" spans="1:4" x14ac:dyDescent="0.3">
      <c r="A741">
        <v>765</v>
      </c>
      <c r="B741" s="13">
        <v>45895</v>
      </c>
      <c r="C741" t="s">
        <v>1015</v>
      </c>
      <c r="D741" t="s">
        <v>3309</v>
      </c>
    </row>
    <row r="742" spans="1:4" x14ac:dyDescent="0.3">
      <c r="A742">
        <v>766</v>
      </c>
      <c r="B742" s="13">
        <v>45895</v>
      </c>
      <c r="C742" t="s">
        <v>1580</v>
      </c>
      <c r="D742" t="s">
        <v>3311</v>
      </c>
    </row>
    <row r="743" spans="1:4" x14ac:dyDescent="0.3">
      <c r="A743">
        <v>767</v>
      </c>
      <c r="B743" s="13">
        <v>45895</v>
      </c>
      <c r="C743" t="s">
        <v>1444</v>
      </c>
      <c r="D743" t="s">
        <v>3312</v>
      </c>
    </row>
    <row r="744" spans="1:4" x14ac:dyDescent="0.3">
      <c r="A744">
        <v>768</v>
      </c>
      <c r="B744" s="13">
        <v>45895</v>
      </c>
      <c r="C744" t="s">
        <v>2858</v>
      </c>
      <c r="D744" t="s">
        <v>3315</v>
      </c>
    </row>
    <row r="745" spans="1:4" x14ac:dyDescent="0.3">
      <c r="A745">
        <v>769</v>
      </c>
      <c r="B745" s="13">
        <v>45895</v>
      </c>
      <c r="C745" t="s">
        <v>2858</v>
      </c>
      <c r="D745" t="s">
        <v>3316</v>
      </c>
    </row>
    <row r="746" spans="1:4" x14ac:dyDescent="0.3">
      <c r="A746">
        <v>770</v>
      </c>
      <c r="B746" s="13">
        <v>45896</v>
      </c>
      <c r="C746" t="s">
        <v>1473</v>
      </c>
      <c r="D746" t="s">
        <v>3320</v>
      </c>
    </row>
    <row r="747" spans="1:4" x14ac:dyDescent="0.3">
      <c r="A747">
        <v>771</v>
      </c>
      <c r="B747" s="13">
        <v>45896</v>
      </c>
      <c r="C747" t="s">
        <v>3115</v>
      </c>
      <c r="D747" t="s">
        <v>3322</v>
      </c>
    </row>
    <row r="748" spans="1:4" x14ac:dyDescent="0.3">
      <c r="A748">
        <v>772</v>
      </c>
      <c r="B748" s="13">
        <v>45896</v>
      </c>
      <c r="C748" t="s">
        <v>1747</v>
      </c>
      <c r="D748" t="s">
        <v>3323</v>
      </c>
    </row>
    <row r="749" spans="1:4" x14ac:dyDescent="0.3">
      <c r="A749">
        <v>773</v>
      </c>
      <c r="B749" s="13">
        <v>45896</v>
      </c>
      <c r="C749" t="s">
        <v>1082</v>
      </c>
      <c r="D749" t="s">
        <v>3324</v>
      </c>
    </row>
    <row r="750" spans="1:4" x14ac:dyDescent="0.3">
      <c r="A750">
        <v>774</v>
      </c>
      <c r="B750" s="13">
        <v>45896</v>
      </c>
      <c r="C750" t="s">
        <v>2467</v>
      </c>
      <c r="D750" t="s">
        <v>3325</v>
      </c>
    </row>
    <row r="751" spans="1:4" x14ac:dyDescent="0.3">
      <c r="A751">
        <v>775</v>
      </c>
      <c r="B751" s="13">
        <v>45897</v>
      </c>
      <c r="C751" t="s">
        <v>1580</v>
      </c>
      <c r="D751" t="s">
        <v>3333</v>
      </c>
    </row>
    <row r="752" spans="1:4" x14ac:dyDescent="0.3">
      <c r="A752">
        <v>776</v>
      </c>
      <c r="B752" s="13">
        <v>45897</v>
      </c>
      <c r="C752" t="s">
        <v>1790</v>
      </c>
      <c r="D752" t="s">
        <v>3334</v>
      </c>
    </row>
    <row r="753" spans="1:4" x14ac:dyDescent="0.3">
      <c r="A753">
        <v>777</v>
      </c>
      <c r="B753" s="13">
        <v>45897</v>
      </c>
      <c r="C753" t="s">
        <v>1147</v>
      </c>
      <c r="D753" t="s">
        <v>3335</v>
      </c>
    </row>
    <row r="754" spans="1:4" x14ac:dyDescent="0.3">
      <c r="A754">
        <v>778</v>
      </c>
      <c r="B754" s="13">
        <v>45897</v>
      </c>
      <c r="C754" t="s">
        <v>1046</v>
      </c>
      <c r="D754" t="s">
        <v>3336</v>
      </c>
    </row>
    <row r="755" spans="1:4" x14ac:dyDescent="0.3">
      <c r="A755">
        <v>779</v>
      </c>
      <c r="B755" s="13">
        <v>45897</v>
      </c>
      <c r="C755" t="s">
        <v>1173</v>
      </c>
      <c r="D755" t="s">
        <v>3337</v>
      </c>
    </row>
    <row r="756" spans="1:4" x14ac:dyDescent="0.3">
      <c r="A756">
        <v>780</v>
      </c>
      <c r="B756" s="13">
        <v>45897</v>
      </c>
      <c r="C756" t="s">
        <v>1577</v>
      </c>
      <c r="D756" t="s">
        <v>3338</v>
      </c>
    </row>
    <row r="757" spans="1:4" x14ac:dyDescent="0.3">
      <c r="A757">
        <v>781</v>
      </c>
      <c r="B757" s="13">
        <v>45897</v>
      </c>
      <c r="C757" t="s">
        <v>1722</v>
      </c>
      <c r="D757" t="s">
        <v>3339</v>
      </c>
    </row>
    <row r="758" spans="1:4" x14ac:dyDescent="0.3">
      <c r="A758">
        <v>782</v>
      </c>
      <c r="B758" s="13">
        <v>45898</v>
      </c>
      <c r="C758" t="s">
        <v>2998</v>
      </c>
      <c r="D758" t="s">
        <v>3343</v>
      </c>
    </row>
    <row r="759" spans="1:4" x14ac:dyDescent="0.3">
      <c r="A759">
        <v>783</v>
      </c>
      <c r="B759" s="13">
        <v>45898</v>
      </c>
      <c r="C759" t="s">
        <v>1554</v>
      </c>
      <c r="D759" t="s">
        <v>3344</v>
      </c>
    </row>
    <row r="760" spans="1:4" x14ac:dyDescent="0.3">
      <c r="A760">
        <v>784</v>
      </c>
      <c r="B760" s="13">
        <v>45898</v>
      </c>
      <c r="C760" t="s">
        <v>1722</v>
      </c>
      <c r="D760" t="s">
        <v>3345</v>
      </c>
    </row>
    <row r="761" spans="1:4" x14ac:dyDescent="0.3">
      <c r="A761">
        <v>785</v>
      </c>
      <c r="B761" s="13">
        <v>45898</v>
      </c>
      <c r="C761" t="s">
        <v>3201</v>
      </c>
      <c r="D761" t="s">
        <v>3346</v>
      </c>
    </row>
    <row r="762" spans="1:4" x14ac:dyDescent="0.3">
      <c r="A762">
        <v>786</v>
      </c>
      <c r="B762" s="13">
        <v>45899</v>
      </c>
      <c r="C762" t="s">
        <v>2869</v>
      </c>
      <c r="D762" t="s">
        <v>3347</v>
      </c>
    </row>
    <row r="763" spans="1:4" x14ac:dyDescent="0.3">
      <c r="A763">
        <v>787</v>
      </c>
      <c r="B763" s="13">
        <v>45899</v>
      </c>
      <c r="C763" t="s">
        <v>1747</v>
      </c>
      <c r="D763" t="s">
        <v>3348</v>
      </c>
    </row>
    <row r="764" spans="1:4" x14ac:dyDescent="0.3">
      <c r="A764">
        <v>788</v>
      </c>
      <c r="B764" s="13">
        <v>45901</v>
      </c>
      <c r="C764" t="s">
        <v>1399</v>
      </c>
      <c r="D764" t="s">
        <v>3355</v>
      </c>
    </row>
    <row r="765" spans="1:4" x14ac:dyDescent="0.3">
      <c r="A765">
        <v>789</v>
      </c>
      <c r="B765" s="13">
        <v>45901</v>
      </c>
      <c r="C765" t="s">
        <v>1399</v>
      </c>
      <c r="D765" t="s">
        <v>3356</v>
      </c>
    </row>
    <row r="766" spans="1:4" x14ac:dyDescent="0.3">
      <c r="A766">
        <v>790</v>
      </c>
      <c r="B766" s="13">
        <v>45901</v>
      </c>
      <c r="C766" t="s">
        <v>1554</v>
      </c>
      <c r="D766" t="s">
        <v>3357</v>
      </c>
    </row>
    <row r="767" spans="1:4" x14ac:dyDescent="0.3">
      <c r="A767">
        <v>791</v>
      </c>
      <c r="B767" s="13">
        <v>45901</v>
      </c>
      <c r="C767" t="s">
        <v>1473</v>
      </c>
      <c r="D767" t="s">
        <v>3358</v>
      </c>
    </row>
    <row r="768" spans="1:4" x14ac:dyDescent="0.3">
      <c r="A768">
        <v>792</v>
      </c>
      <c r="B768" s="13">
        <v>45901</v>
      </c>
      <c r="C768" t="s">
        <v>1812</v>
      </c>
      <c r="D768" t="s">
        <v>3359</v>
      </c>
    </row>
    <row r="769" spans="1:4" x14ac:dyDescent="0.3">
      <c r="A769">
        <v>793</v>
      </c>
      <c r="B769" s="13">
        <v>45901</v>
      </c>
      <c r="C769" t="s">
        <v>1444</v>
      </c>
      <c r="D769" t="s">
        <v>3360</v>
      </c>
    </row>
    <row r="770" spans="1:4" x14ac:dyDescent="0.3">
      <c r="A770">
        <v>794</v>
      </c>
      <c r="B770" s="13">
        <v>45901</v>
      </c>
      <c r="C770" t="s">
        <v>2762</v>
      </c>
      <c r="D770" t="s">
        <v>3361</v>
      </c>
    </row>
    <row r="771" spans="1:4" x14ac:dyDescent="0.3">
      <c r="A771">
        <v>795</v>
      </c>
      <c r="B771" s="13">
        <v>45901</v>
      </c>
      <c r="C771" t="s">
        <v>3349</v>
      </c>
      <c r="D771" t="s">
        <v>3362</v>
      </c>
    </row>
    <row r="772" spans="1:4" x14ac:dyDescent="0.3">
      <c r="A772">
        <v>796</v>
      </c>
      <c r="B772" s="13">
        <v>45901</v>
      </c>
      <c r="C772" t="s">
        <v>1444</v>
      </c>
      <c r="D772" t="s">
        <v>3363</v>
      </c>
    </row>
    <row r="773" spans="1:4" x14ac:dyDescent="0.3">
      <c r="A773">
        <v>797</v>
      </c>
      <c r="B773" s="13">
        <v>45902</v>
      </c>
      <c r="C773" t="s">
        <v>1173</v>
      </c>
      <c r="D773" t="s">
        <v>3366</v>
      </c>
    </row>
    <row r="774" spans="1:4" x14ac:dyDescent="0.3">
      <c r="A774">
        <v>798</v>
      </c>
      <c r="B774" s="13">
        <v>45902</v>
      </c>
      <c r="C774" t="s">
        <v>1977</v>
      </c>
      <c r="D774" t="s">
        <v>3367</v>
      </c>
    </row>
    <row r="775" spans="1:4" x14ac:dyDescent="0.3">
      <c r="A775">
        <v>799</v>
      </c>
      <c r="B775" s="13">
        <v>45902</v>
      </c>
      <c r="C775" t="s">
        <v>2998</v>
      </c>
      <c r="D775" t="s">
        <v>3368</v>
      </c>
    </row>
    <row r="776" spans="1:4" x14ac:dyDescent="0.3">
      <c r="A776">
        <v>800</v>
      </c>
      <c r="B776" s="13">
        <v>45902</v>
      </c>
      <c r="C776" t="s">
        <v>1147</v>
      </c>
      <c r="D776" t="s">
        <v>3369</v>
      </c>
    </row>
    <row r="777" spans="1:4" x14ac:dyDescent="0.3">
      <c r="A777">
        <v>801</v>
      </c>
      <c r="B777" s="13">
        <v>45902</v>
      </c>
      <c r="C777" t="s">
        <v>1577</v>
      </c>
      <c r="D777" t="s">
        <v>3370</v>
      </c>
    </row>
    <row r="778" spans="1:4" x14ac:dyDescent="0.3">
      <c r="A778">
        <v>802</v>
      </c>
      <c r="B778" s="13">
        <v>45902</v>
      </c>
      <c r="C778" t="s">
        <v>1494</v>
      </c>
      <c r="D778" t="s">
        <v>3372</v>
      </c>
    </row>
    <row r="779" spans="1:4" x14ac:dyDescent="0.3">
      <c r="A779">
        <v>803</v>
      </c>
      <c r="B779" s="13">
        <v>45902</v>
      </c>
      <c r="C779" t="s">
        <v>1007</v>
      </c>
      <c r="D779" t="s">
        <v>3373</v>
      </c>
    </row>
    <row r="780" spans="1:4" x14ac:dyDescent="0.3">
      <c r="A780">
        <v>804</v>
      </c>
      <c r="B780" s="13">
        <v>45903</v>
      </c>
      <c r="C780" t="s">
        <v>1790</v>
      </c>
      <c r="D780" t="s">
        <v>3374</v>
      </c>
    </row>
    <row r="781" spans="1:4" x14ac:dyDescent="0.3">
      <c r="A781">
        <v>805</v>
      </c>
      <c r="B781" s="13">
        <v>45903</v>
      </c>
      <c r="C781" t="s">
        <v>1467</v>
      </c>
      <c r="D781" t="s">
        <v>3375</v>
      </c>
    </row>
    <row r="782" spans="1:4" x14ac:dyDescent="0.3">
      <c r="A782">
        <v>806</v>
      </c>
      <c r="B782" s="13">
        <v>45903</v>
      </c>
      <c r="C782" t="s">
        <v>1444</v>
      </c>
      <c r="D782" t="s">
        <v>3376</v>
      </c>
    </row>
    <row r="783" spans="1:4" x14ac:dyDescent="0.3">
      <c r="A783">
        <v>807</v>
      </c>
      <c r="B783" s="13">
        <v>45903</v>
      </c>
      <c r="C783" t="s">
        <v>1173</v>
      </c>
      <c r="D783" t="s">
        <v>3378</v>
      </c>
    </row>
    <row r="784" spans="1:4" x14ac:dyDescent="0.3">
      <c r="A784">
        <v>808</v>
      </c>
      <c r="B784" s="13">
        <v>45903</v>
      </c>
      <c r="C784" t="s">
        <v>1498</v>
      </c>
      <c r="D784" t="s">
        <v>3380</v>
      </c>
    </row>
    <row r="785" spans="1:4" x14ac:dyDescent="0.3">
      <c r="A785">
        <v>809</v>
      </c>
      <c r="B785" s="13">
        <v>45903</v>
      </c>
      <c r="C785" t="s">
        <v>1580</v>
      </c>
      <c r="D785" t="s">
        <v>3383</v>
      </c>
    </row>
    <row r="786" spans="1:4" x14ac:dyDescent="0.3">
      <c r="A786">
        <v>810</v>
      </c>
      <c r="B786" s="13">
        <v>45903</v>
      </c>
      <c r="C786" t="s">
        <v>3291</v>
      </c>
      <c r="D786" t="s">
        <v>3384</v>
      </c>
    </row>
    <row r="787" spans="1:4" x14ac:dyDescent="0.3">
      <c r="A787">
        <v>811</v>
      </c>
      <c r="B787" s="13">
        <v>45903</v>
      </c>
      <c r="C787" t="s">
        <v>1449</v>
      </c>
      <c r="D787" t="s">
        <v>3388</v>
      </c>
    </row>
    <row r="788" spans="1:4" x14ac:dyDescent="0.3">
      <c r="A788">
        <v>812</v>
      </c>
      <c r="B788" s="13">
        <v>45903</v>
      </c>
      <c r="C788" t="s">
        <v>1449</v>
      </c>
      <c r="D788" t="s">
        <v>3389</v>
      </c>
    </row>
    <row r="789" spans="1:4" x14ac:dyDescent="0.3">
      <c r="A789">
        <v>813</v>
      </c>
      <c r="B789" s="13">
        <v>45903</v>
      </c>
      <c r="C789" t="s">
        <v>2319</v>
      </c>
      <c r="D789" t="s">
        <v>3393</v>
      </c>
    </row>
    <row r="790" spans="1:4" x14ac:dyDescent="0.3">
      <c r="A790">
        <v>814</v>
      </c>
      <c r="B790" s="13">
        <v>45903</v>
      </c>
      <c r="C790" t="s">
        <v>3390</v>
      </c>
      <c r="D790" t="s">
        <v>3394</v>
      </c>
    </row>
    <row r="791" spans="1:4" x14ac:dyDescent="0.3">
      <c r="A791">
        <v>815</v>
      </c>
      <c r="B791" s="13">
        <v>45903</v>
      </c>
      <c r="C791" t="s">
        <v>1747</v>
      </c>
      <c r="D791" t="s">
        <v>3395</v>
      </c>
    </row>
    <row r="792" spans="1:4" x14ac:dyDescent="0.3">
      <c r="A792">
        <v>816</v>
      </c>
      <c r="B792" s="13">
        <v>45903</v>
      </c>
      <c r="C792" t="s">
        <v>2319</v>
      </c>
      <c r="D792" t="s">
        <v>3396</v>
      </c>
    </row>
    <row r="793" spans="1:4" x14ac:dyDescent="0.3">
      <c r="A793">
        <v>817</v>
      </c>
      <c r="B793" s="13">
        <v>45903</v>
      </c>
      <c r="C793" t="s">
        <v>1847</v>
      </c>
      <c r="D793" t="s">
        <v>3398</v>
      </c>
    </row>
    <row r="794" spans="1:4" x14ac:dyDescent="0.3">
      <c r="A794">
        <v>818</v>
      </c>
      <c r="B794" s="13">
        <v>45903</v>
      </c>
      <c r="C794" t="s">
        <v>1747</v>
      </c>
      <c r="D794" t="s">
        <v>3400</v>
      </c>
    </row>
    <row r="795" spans="1:4" x14ac:dyDescent="0.3">
      <c r="A795">
        <v>819</v>
      </c>
      <c r="B795" s="13">
        <v>45899</v>
      </c>
      <c r="C795" t="s">
        <v>1747</v>
      </c>
      <c r="D795" t="s">
        <v>3401</v>
      </c>
    </row>
    <row r="796" spans="1:4" x14ac:dyDescent="0.3">
      <c r="A796">
        <v>820</v>
      </c>
      <c r="B796" s="13">
        <v>45904</v>
      </c>
      <c r="C796" t="s">
        <v>1722</v>
      </c>
      <c r="D796" t="s">
        <v>3410</v>
      </c>
    </row>
    <row r="797" spans="1:4" x14ac:dyDescent="0.3">
      <c r="A797">
        <v>821</v>
      </c>
      <c r="B797" s="13">
        <v>45904</v>
      </c>
      <c r="C797" t="s">
        <v>1473</v>
      </c>
      <c r="D797" t="s">
        <v>3411</v>
      </c>
    </row>
    <row r="798" spans="1:4" x14ac:dyDescent="0.3">
      <c r="A798">
        <v>822</v>
      </c>
      <c r="B798" s="13">
        <v>45904</v>
      </c>
      <c r="C798" t="s">
        <v>2916</v>
      </c>
      <c r="D798" t="s">
        <v>3412</v>
      </c>
    </row>
    <row r="799" spans="1:4" x14ac:dyDescent="0.3">
      <c r="A799">
        <v>823</v>
      </c>
      <c r="B799" s="13">
        <v>45904</v>
      </c>
      <c r="C799" t="s">
        <v>1479</v>
      </c>
      <c r="D799" t="s">
        <v>3413</v>
      </c>
    </row>
    <row r="800" spans="1:4" x14ac:dyDescent="0.3">
      <c r="A800">
        <v>824</v>
      </c>
      <c r="B800" s="13">
        <v>45904</v>
      </c>
      <c r="C800" t="s">
        <v>3406</v>
      </c>
      <c r="D800" t="s">
        <v>3414</v>
      </c>
    </row>
    <row r="801" spans="1:4" x14ac:dyDescent="0.3">
      <c r="A801">
        <v>825</v>
      </c>
      <c r="B801" s="13">
        <v>45904</v>
      </c>
      <c r="C801" t="s">
        <v>1494</v>
      </c>
      <c r="D801" t="s">
        <v>3417</v>
      </c>
    </row>
    <row r="802" spans="1:4" x14ac:dyDescent="0.3">
      <c r="A802">
        <v>826</v>
      </c>
      <c r="B802" s="13">
        <v>45904</v>
      </c>
      <c r="C802" t="s">
        <v>1494</v>
      </c>
      <c r="D802" t="s">
        <v>3418</v>
      </c>
    </row>
    <row r="803" spans="1:4" x14ac:dyDescent="0.3">
      <c r="A803">
        <v>827</v>
      </c>
      <c r="B803" s="13">
        <v>45904</v>
      </c>
      <c r="C803" t="s">
        <v>1473</v>
      </c>
      <c r="D803" t="s">
        <v>3419</v>
      </c>
    </row>
    <row r="804" spans="1:4" x14ac:dyDescent="0.3">
      <c r="A804">
        <v>828</v>
      </c>
      <c r="B804" s="13">
        <v>45904</v>
      </c>
      <c r="C804" t="s">
        <v>3399</v>
      </c>
      <c r="D804" t="s">
        <v>3420</v>
      </c>
    </row>
    <row r="805" spans="1:4" x14ac:dyDescent="0.3">
      <c r="A805">
        <v>829</v>
      </c>
      <c r="B805" s="13">
        <v>45904</v>
      </c>
      <c r="C805" t="s">
        <v>3399</v>
      </c>
      <c r="D805" t="s">
        <v>3421</v>
      </c>
    </row>
    <row r="806" spans="1:4" x14ac:dyDescent="0.3">
      <c r="A806">
        <v>830</v>
      </c>
      <c r="B806" s="13">
        <v>45904</v>
      </c>
      <c r="C806" t="s">
        <v>1473</v>
      </c>
      <c r="D806" t="s">
        <v>3422</v>
      </c>
    </row>
    <row r="807" spans="1:4" x14ac:dyDescent="0.3">
      <c r="A807">
        <v>831</v>
      </c>
      <c r="B807" s="13">
        <v>45904</v>
      </c>
      <c r="C807" t="s">
        <v>1494</v>
      </c>
      <c r="D807" t="s">
        <v>3423</v>
      </c>
    </row>
    <row r="808" spans="1:4" x14ac:dyDescent="0.3">
      <c r="A808">
        <v>832</v>
      </c>
      <c r="B808" s="13">
        <v>45904</v>
      </c>
      <c r="C808" t="s">
        <v>1494</v>
      </c>
      <c r="D808" t="s">
        <v>3424</v>
      </c>
    </row>
    <row r="809" spans="1:4" x14ac:dyDescent="0.3">
      <c r="A809">
        <v>833</v>
      </c>
      <c r="B809" s="13">
        <v>45904</v>
      </c>
      <c r="C809" t="s">
        <v>3406</v>
      </c>
      <c r="D809" t="s">
        <v>3425</v>
      </c>
    </row>
    <row r="810" spans="1:4" x14ac:dyDescent="0.3">
      <c r="A810">
        <v>834</v>
      </c>
      <c r="B810" s="13">
        <v>45904</v>
      </c>
      <c r="C810" t="s">
        <v>1479</v>
      </c>
      <c r="D810" t="s">
        <v>3426</v>
      </c>
    </row>
    <row r="811" spans="1:4" x14ac:dyDescent="0.3">
      <c r="A811">
        <v>835</v>
      </c>
      <c r="B811" s="13">
        <v>45904</v>
      </c>
      <c r="C811" t="s">
        <v>2916</v>
      </c>
      <c r="D811" t="s">
        <v>3427</v>
      </c>
    </row>
    <row r="812" spans="1:4" x14ac:dyDescent="0.3">
      <c r="A812">
        <v>836</v>
      </c>
      <c r="B812" s="13">
        <v>45904</v>
      </c>
      <c r="C812" t="s">
        <v>1473</v>
      </c>
      <c r="D812" t="s">
        <v>3428</v>
      </c>
    </row>
    <row r="813" spans="1:4" x14ac:dyDescent="0.3">
      <c r="A813">
        <v>837</v>
      </c>
      <c r="B813" s="13">
        <v>45904</v>
      </c>
      <c r="C813" t="s">
        <v>1722</v>
      </c>
      <c r="D813" t="s">
        <v>3429</v>
      </c>
    </row>
    <row r="814" spans="1:4" x14ac:dyDescent="0.3">
      <c r="A814">
        <v>838</v>
      </c>
      <c r="B814" s="13">
        <v>45905</v>
      </c>
      <c r="C814" t="s">
        <v>1467</v>
      </c>
      <c r="D814" t="s">
        <v>3436</v>
      </c>
    </row>
    <row r="815" spans="1:4" x14ac:dyDescent="0.3">
      <c r="A815">
        <v>839</v>
      </c>
      <c r="B815" s="13">
        <v>45905</v>
      </c>
      <c r="C815" t="s">
        <v>1018</v>
      </c>
      <c r="D815" t="s">
        <v>3437</v>
      </c>
    </row>
    <row r="816" spans="1:4" x14ac:dyDescent="0.3">
      <c r="A816">
        <v>840</v>
      </c>
      <c r="B816" s="13">
        <v>45905</v>
      </c>
      <c r="C816" t="s">
        <v>1444</v>
      </c>
      <c r="D816" t="s">
        <v>3439</v>
      </c>
    </row>
    <row r="817" spans="1:4" x14ac:dyDescent="0.3">
      <c r="A817">
        <v>841</v>
      </c>
      <c r="B817" s="13">
        <v>45905</v>
      </c>
      <c r="C817" t="s">
        <v>1306</v>
      </c>
      <c r="D817" t="s">
        <v>3440</v>
      </c>
    </row>
    <row r="818" spans="1:4" x14ac:dyDescent="0.3">
      <c r="A818">
        <v>842</v>
      </c>
      <c r="B818" s="13">
        <v>45905</v>
      </c>
      <c r="C818" t="s">
        <v>1722</v>
      </c>
      <c r="D818" t="s">
        <v>3442</v>
      </c>
    </row>
    <row r="819" spans="1:4" x14ac:dyDescent="0.3">
      <c r="A819">
        <v>843</v>
      </c>
      <c r="B819" s="13">
        <v>45905</v>
      </c>
      <c r="C819" t="s">
        <v>3149</v>
      </c>
      <c r="D819" t="s">
        <v>3443</v>
      </c>
    </row>
    <row r="820" spans="1:4" x14ac:dyDescent="0.3">
      <c r="A820">
        <v>844</v>
      </c>
      <c r="B820" s="13">
        <v>45905</v>
      </c>
      <c r="C820" t="s">
        <v>3444</v>
      </c>
      <c r="D820" t="s">
        <v>3445</v>
      </c>
    </row>
    <row r="821" spans="1:4" x14ac:dyDescent="0.3">
      <c r="A821">
        <v>845</v>
      </c>
      <c r="B821" s="13">
        <v>45905</v>
      </c>
      <c r="C821" t="s">
        <v>1399</v>
      </c>
      <c r="D821" t="s">
        <v>3446</v>
      </c>
    </row>
    <row r="822" spans="1:4" x14ac:dyDescent="0.3">
      <c r="A822">
        <v>846</v>
      </c>
      <c r="B822" s="13">
        <v>45905</v>
      </c>
      <c r="C822" t="s">
        <v>1473</v>
      </c>
      <c r="D822" t="s">
        <v>3458</v>
      </c>
    </row>
    <row r="823" spans="1:4" x14ac:dyDescent="0.3">
      <c r="A823">
        <v>847</v>
      </c>
      <c r="B823" s="13">
        <v>45906</v>
      </c>
      <c r="C823" t="s">
        <v>3459</v>
      </c>
      <c r="D823" t="s">
        <v>3468</v>
      </c>
    </row>
    <row r="824" spans="1:4" x14ac:dyDescent="0.3">
      <c r="A824">
        <v>848</v>
      </c>
      <c r="B824" s="13">
        <v>45906</v>
      </c>
      <c r="C824" t="s">
        <v>2998</v>
      </c>
      <c r="D824" t="s">
        <v>3470</v>
      </c>
    </row>
    <row r="825" spans="1:4" x14ac:dyDescent="0.3">
      <c r="A825">
        <v>849</v>
      </c>
      <c r="B825" s="13">
        <v>45906</v>
      </c>
      <c r="C825" t="s">
        <v>3462</v>
      </c>
      <c r="D825" t="s">
        <v>3472</v>
      </c>
    </row>
    <row r="826" spans="1:4" x14ac:dyDescent="0.3">
      <c r="A826">
        <v>850</v>
      </c>
      <c r="B826" s="13">
        <v>45908</v>
      </c>
      <c r="C826" t="s">
        <v>1494</v>
      </c>
      <c r="D826" t="s">
        <v>3474</v>
      </c>
    </row>
    <row r="827" spans="1:4" x14ac:dyDescent="0.3">
      <c r="A827">
        <v>851</v>
      </c>
      <c r="B827" s="13">
        <v>45908</v>
      </c>
      <c r="C827" t="s">
        <v>1586</v>
      </c>
      <c r="D827" t="s">
        <v>3475</v>
      </c>
    </row>
    <row r="828" spans="1:4" x14ac:dyDescent="0.3">
      <c r="A828">
        <v>852</v>
      </c>
      <c r="B828" s="13">
        <v>45908</v>
      </c>
      <c r="C828" t="s">
        <v>1306</v>
      </c>
      <c r="D828" t="s">
        <v>3476</v>
      </c>
    </row>
    <row r="829" spans="1:4" x14ac:dyDescent="0.3">
      <c r="A829">
        <v>853</v>
      </c>
      <c r="B829" s="13">
        <v>45908</v>
      </c>
      <c r="C829" t="s">
        <v>1580</v>
      </c>
      <c r="D829" t="s">
        <v>3477</v>
      </c>
    </row>
    <row r="830" spans="1:4" x14ac:dyDescent="0.3">
      <c r="A830">
        <v>854</v>
      </c>
      <c r="B830" s="13">
        <v>45908</v>
      </c>
      <c r="C830" t="s">
        <v>1671</v>
      </c>
      <c r="D830" t="s">
        <v>3480</v>
      </c>
    </row>
    <row r="831" spans="1:4" x14ac:dyDescent="0.3">
      <c r="A831">
        <v>855</v>
      </c>
      <c r="B831" s="13">
        <v>45908</v>
      </c>
      <c r="C831" t="s">
        <v>1053</v>
      </c>
      <c r="D831" t="s">
        <v>3481</v>
      </c>
    </row>
    <row r="832" spans="1:4" x14ac:dyDescent="0.3">
      <c r="A832">
        <v>856</v>
      </c>
      <c r="B832" s="13">
        <v>45908</v>
      </c>
      <c r="C832" t="s">
        <v>1479</v>
      </c>
      <c r="D832" t="s">
        <v>3482</v>
      </c>
    </row>
    <row r="833" spans="1:4" x14ac:dyDescent="0.3">
      <c r="A833">
        <v>857</v>
      </c>
      <c r="B833" s="13">
        <v>45908</v>
      </c>
      <c r="C833" t="s">
        <v>1399</v>
      </c>
      <c r="D833" t="s">
        <v>3483</v>
      </c>
    </row>
    <row r="834" spans="1:4" x14ac:dyDescent="0.3">
      <c r="A834">
        <v>858</v>
      </c>
      <c r="B834" s="13">
        <v>45909</v>
      </c>
      <c r="C834" t="s">
        <v>2623</v>
      </c>
      <c r="D834" t="s">
        <v>3496</v>
      </c>
    </row>
    <row r="835" spans="1:4" x14ac:dyDescent="0.3">
      <c r="A835">
        <v>859</v>
      </c>
      <c r="B835" s="13">
        <v>45909</v>
      </c>
      <c r="C835" t="s">
        <v>2410</v>
      </c>
      <c r="D835" t="s">
        <v>3497</v>
      </c>
    </row>
    <row r="836" spans="1:4" x14ac:dyDescent="0.3">
      <c r="A836">
        <v>860</v>
      </c>
      <c r="B836" s="13">
        <v>45909</v>
      </c>
      <c r="C836" t="s">
        <v>987</v>
      </c>
      <c r="D836" t="s">
        <v>3498</v>
      </c>
    </row>
    <row r="837" spans="1:4" x14ac:dyDescent="0.3">
      <c r="A837">
        <v>861</v>
      </c>
      <c r="B837" s="13">
        <v>45909</v>
      </c>
      <c r="C837" t="s">
        <v>2467</v>
      </c>
      <c r="D837" t="s">
        <v>3499</v>
      </c>
    </row>
    <row r="838" spans="1:4" x14ac:dyDescent="0.3">
      <c r="A838">
        <v>862</v>
      </c>
      <c r="B838" s="13">
        <v>45909</v>
      </c>
      <c r="C838" t="s">
        <v>1867</v>
      </c>
      <c r="D838" t="s">
        <v>3500</v>
      </c>
    </row>
    <row r="839" spans="1:4" x14ac:dyDescent="0.3">
      <c r="A839">
        <v>863</v>
      </c>
      <c r="B839" s="13">
        <v>45910</v>
      </c>
      <c r="C839" t="s">
        <v>1449</v>
      </c>
      <c r="D839" t="s">
        <v>3501</v>
      </c>
    </row>
    <row r="840" spans="1:4" x14ac:dyDescent="0.3">
      <c r="A840">
        <v>864</v>
      </c>
      <c r="B840" s="13">
        <v>45910</v>
      </c>
      <c r="C840" t="s">
        <v>1671</v>
      </c>
      <c r="D840" t="s">
        <v>3502</v>
      </c>
    </row>
    <row r="841" spans="1:4" x14ac:dyDescent="0.3">
      <c r="A841">
        <v>865</v>
      </c>
      <c r="B841" s="13">
        <v>45910</v>
      </c>
      <c r="C841" t="s">
        <v>1870</v>
      </c>
      <c r="D841" t="s">
        <v>3503</v>
      </c>
    </row>
    <row r="842" spans="1:4" x14ac:dyDescent="0.3">
      <c r="A842">
        <v>866</v>
      </c>
      <c r="B842" s="13">
        <v>45910</v>
      </c>
      <c r="C842" t="s">
        <v>1541</v>
      </c>
      <c r="D842" t="s">
        <v>3506</v>
      </c>
    </row>
    <row r="843" spans="1:4" x14ac:dyDescent="0.3">
      <c r="A843">
        <v>867</v>
      </c>
      <c r="B843" s="13">
        <v>45910</v>
      </c>
      <c r="C843" t="s">
        <v>3504</v>
      </c>
      <c r="D843" t="s">
        <v>3510</v>
      </c>
    </row>
    <row r="844" spans="1:4" x14ac:dyDescent="0.3">
      <c r="A844">
        <v>868</v>
      </c>
      <c r="B844" s="13">
        <v>45910</v>
      </c>
      <c r="C844" t="s">
        <v>1444</v>
      </c>
      <c r="D844" t="s">
        <v>3511</v>
      </c>
    </row>
    <row r="845" spans="1:4" x14ac:dyDescent="0.3">
      <c r="A845">
        <v>869</v>
      </c>
      <c r="B845" s="13">
        <v>45910</v>
      </c>
      <c r="C845" t="s">
        <v>3390</v>
      </c>
      <c r="D845" t="s">
        <v>3512</v>
      </c>
    </row>
    <row r="846" spans="1:4" x14ac:dyDescent="0.3">
      <c r="A846">
        <v>870</v>
      </c>
      <c r="B846" s="13">
        <v>45910</v>
      </c>
      <c r="C846" t="s">
        <v>1444</v>
      </c>
      <c r="D846" t="s">
        <v>3513</v>
      </c>
    </row>
    <row r="847" spans="1:4" x14ac:dyDescent="0.3">
      <c r="A847">
        <v>871</v>
      </c>
      <c r="B847" s="13">
        <v>45910</v>
      </c>
      <c r="C847" t="s">
        <v>1306</v>
      </c>
      <c r="D847" t="s">
        <v>3514</v>
      </c>
    </row>
    <row r="848" spans="1:4" x14ac:dyDescent="0.3">
      <c r="A848">
        <v>872</v>
      </c>
      <c r="B848" s="13">
        <v>45910</v>
      </c>
      <c r="C848" t="s">
        <v>2783</v>
      </c>
      <c r="D848" t="s">
        <v>3515</v>
      </c>
    </row>
    <row r="849" spans="1:4" x14ac:dyDescent="0.3">
      <c r="A849">
        <v>873</v>
      </c>
      <c r="B849" s="13">
        <v>45910</v>
      </c>
      <c r="C849" t="s">
        <v>2783</v>
      </c>
      <c r="D849" t="s">
        <v>3516</v>
      </c>
    </row>
    <row r="850" spans="1:4" x14ac:dyDescent="0.3">
      <c r="A850">
        <v>874</v>
      </c>
      <c r="B850" s="13">
        <v>45910</v>
      </c>
      <c r="C850" t="s">
        <v>1449</v>
      </c>
      <c r="D850" t="s">
        <v>3517</v>
      </c>
    </row>
    <row r="851" spans="1:4" x14ac:dyDescent="0.3">
      <c r="A851">
        <v>875</v>
      </c>
      <c r="B851" s="13">
        <v>45910</v>
      </c>
      <c r="C851" t="s">
        <v>1449</v>
      </c>
      <c r="D851" t="s">
        <v>3518</v>
      </c>
    </row>
    <row r="852" spans="1:4" x14ac:dyDescent="0.3">
      <c r="A852">
        <v>876</v>
      </c>
      <c r="B852" s="13">
        <v>45910</v>
      </c>
      <c r="C852" t="s">
        <v>1790</v>
      </c>
      <c r="D852" t="s">
        <v>3519</v>
      </c>
    </row>
    <row r="853" spans="1:4" x14ac:dyDescent="0.3">
      <c r="A853">
        <v>877</v>
      </c>
      <c r="B853" s="13">
        <v>45911</v>
      </c>
      <c r="C853" t="s">
        <v>1467</v>
      </c>
      <c r="D853" t="s">
        <v>3526</v>
      </c>
    </row>
    <row r="854" spans="1:4" x14ac:dyDescent="0.3">
      <c r="A854">
        <v>878</v>
      </c>
      <c r="B854" s="13">
        <v>45911</v>
      </c>
      <c r="C854" t="s">
        <v>1082</v>
      </c>
      <c r="D854" t="s">
        <v>3527</v>
      </c>
    </row>
    <row r="855" spans="1:4" x14ac:dyDescent="0.3">
      <c r="A855">
        <v>879</v>
      </c>
      <c r="B855" s="13">
        <v>45911</v>
      </c>
      <c r="C855" t="s">
        <v>1082</v>
      </c>
      <c r="D855" t="s">
        <v>3528</v>
      </c>
    </row>
    <row r="856" spans="1:4" x14ac:dyDescent="0.3">
      <c r="A856">
        <v>880</v>
      </c>
      <c r="B856" s="13">
        <v>45911</v>
      </c>
      <c r="C856" t="s">
        <v>1812</v>
      </c>
      <c r="D856" t="s">
        <v>3529</v>
      </c>
    </row>
    <row r="857" spans="1:4" x14ac:dyDescent="0.3">
      <c r="A857">
        <v>881</v>
      </c>
      <c r="B857" s="13">
        <v>45911</v>
      </c>
      <c r="C857" t="s">
        <v>987</v>
      </c>
      <c r="D857" t="s">
        <v>3530</v>
      </c>
    </row>
    <row r="858" spans="1:4" x14ac:dyDescent="0.3">
      <c r="A858">
        <v>882</v>
      </c>
      <c r="B858" s="13">
        <v>45911</v>
      </c>
      <c r="C858" t="s">
        <v>1449</v>
      </c>
      <c r="D858" t="s">
        <v>3533</v>
      </c>
    </row>
    <row r="859" spans="1:4" x14ac:dyDescent="0.3">
      <c r="A859">
        <v>883</v>
      </c>
      <c r="B859" s="13">
        <v>45911</v>
      </c>
      <c r="C859" t="s">
        <v>1399</v>
      </c>
      <c r="D859" t="s">
        <v>3534</v>
      </c>
    </row>
    <row r="860" spans="1:4" x14ac:dyDescent="0.3">
      <c r="A860">
        <v>884</v>
      </c>
      <c r="B860" s="13">
        <v>45911</v>
      </c>
      <c r="C860" t="s">
        <v>1399</v>
      </c>
      <c r="D860" t="s">
        <v>3535</v>
      </c>
    </row>
    <row r="861" spans="1:4" x14ac:dyDescent="0.3">
      <c r="A861">
        <v>885</v>
      </c>
      <c r="B861" s="13">
        <v>45911</v>
      </c>
      <c r="C861" t="s">
        <v>1790</v>
      </c>
      <c r="D861" t="s">
        <v>3536</v>
      </c>
    </row>
    <row r="862" spans="1:4" x14ac:dyDescent="0.3">
      <c r="A862">
        <v>886</v>
      </c>
      <c r="B862" s="13">
        <v>45911</v>
      </c>
      <c r="C862" t="s">
        <v>3115</v>
      </c>
      <c r="D862" t="s">
        <v>3537</v>
      </c>
    </row>
    <row r="863" spans="1:4" x14ac:dyDescent="0.3">
      <c r="A863">
        <v>887</v>
      </c>
      <c r="B863" s="13">
        <v>45912</v>
      </c>
      <c r="C863" t="s">
        <v>1473</v>
      </c>
      <c r="D863" t="s">
        <v>3539</v>
      </c>
    </row>
    <row r="864" spans="1:4" x14ac:dyDescent="0.3">
      <c r="A864">
        <v>888</v>
      </c>
      <c r="B864" s="13">
        <v>45912</v>
      </c>
      <c r="C864" t="s">
        <v>1671</v>
      </c>
      <c r="D864" t="s">
        <v>3540</v>
      </c>
    </row>
    <row r="865" spans="1:4" x14ac:dyDescent="0.3">
      <c r="A865">
        <v>889</v>
      </c>
      <c r="B865" s="13">
        <v>45912</v>
      </c>
      <c r="C865" t="s">
        <v>1722</v>
      </c>
      <c r="D865" t="s">
        <v>3541</v>
      </c>
    </row>
    <row r="866" spans="1:4" x14ac:dyDescent="0.3">
      <c r="A866">
        <v>890</v>
      </c>
      <c r="B866" s="13">
        <v>45912</v>
      </c>
      <c r="C866" t="s">
        <v>2916</v>
      </c>
      <c r="D866" t="s">
        <v>3542</v>
      </c>
    </row>
    <row r="867" spans="1:4" x14ac:dyDescent="0.3">
      <c r="A867">
        <v>891</v>
      </c>
      <c r="B867" s="13">
        <v>45912</v>
      </c>
      <c r="C867" t="s">
        <v>1722</v>
      </c>
      <c r="D867" t="s">
        <v>3544</v>
      </c>
    </row>
    <row r="868" spans="1:4" x14ac:dyDescent="0.3">
      <c r="A868">
        <v>892</v>
      </c>
      <c r="B868" s="13">
        <v>45912</v>
      </c>
      <c r="C868" t="s">
        <v>1469</v>
      </c>
      <c r="D868" t="s">
        <v>3545</v>
      </c>
    </row>
    <row r="869" spans="1:4" x14ac:dyDescent="0.3">
      <c r="A869">
        <v>893</v>
      </c>
      <c r="B869" s="13">
        <v>45912</v>
      </c>
      <c r="C869" t="s">
        <v>3546</v>
      </c>
      <c r="D869" t="s">
        <v>3547</v>
      </c>
    </row>
    <row r="870" spans="1:4" x14ac:dyDescent="0.3">
      <c r="A870">
        <v>894</v>
      </c>
      <c r="B870" s="13">
        <v>45913</v>
      </c>
      <c r="C870" t="s">
        <v>1722</v>
      </c>
      <c r="D870" t="s">
        <v>3550</v>
      </c>
    </row>
    <row r="871" spans="1:4" x14ac:dyDescent="0.3">
      <c r="A871">
        <v>895</v>
      </c>
      <c r="B871" s="13">
        <v>45915</v>
      </c>
      <c r="C871" t="s">
        <v>1449</v>
      </c>
      <c r="D871" t="s">
        <v>3553</v>
      </c>
    </row>
    <row r="872" spans="1:4" x14ac:dyDescent="0.3">
      <c r="A872">
        <v>896</v>
      </c>
      <c r="B872" s="13">
        <v>45915</v>
      </c>
      <c r="C872" t="s">
        <v>1980</v>
      </c>
      <c r="D872" t="s">
        <v>3554</v>
      </c>
    </row>
    <row r="873" spans="1:4" x14ac:dyDescent="0.3">
      <c r="A873">
        <v>897</v>
      </c>
      <c r="B873" s="13">
        <v>45915</v>
      </c>
      <c r="C873" t="s">
        <v>1053</v>
      </c>
      <c r="D873" t="s">
        <v>3555</v>
      </c>
    </row>
    <row r="874" spans="1:4" x14ac:dyDescent="0.3">
      <c r="A874">
        <v>898</v>
      </c>
      <c r="B874" s="13">
        <v>45915</v>
      </c>
      <c r="C874" t="s">
        <v>1861</v>
      </c>
      <c r="D874" t="s">
        <v>3556</v>
      </c>
    </row>
    <row r="875" spans="1:4" x14ac:dyDescent="0.3">
      <c r="A875">
        <v>899</v>
      </c>
      <c r="B875" s="13">
        <v>45915</v>
      </c>
      <c r="C875" t="s">
        <v>1399</v>
      </c>
      <c r="D875" t="s">
        <v>3557</v>
      </c>
    </row>
    <row r="876" spans="1:4" x14ac:dyDescent="0.3">
      <c r="A876">
        <v>900</v>
      </c>
      <c r="B876" s="13">
        <v>45915</v>
      </c>
      <c r="C876" t="s">
        <v>1147</v>
      </c>
      <c r="D876" t="s">
        <v>3558</v>
      </c>
    </row>
    <row r="877" spans="1:4" x14ac:dyDescent="0.3">
      <c r="A877">
        <v>901</v>
      </c>
      <c r="B877" s="13">
        <v>45915</v>
      </c>
      <c r="C877" t="s">
        <v>1444</v>
      </c>
      <c r="D877" t="s">
        <v>3560</v>
      </c>
    </row>
    <row r="878" spans="1:4" x14ac:dyDescent="0.3">
      <c r="A878">
        <v>902</v>
      </c>
      <c r="B878" s="13">
        <v>45916</v>
      </c>
      <c r="C878" t="s">
        <v>1580</v>
      </c>
      <c r="D878" t="s">
        <v>3562</v>
      </c>
    </row>
    <row r="879" spans="1:4" x14ac:dyDescent="0.3">
      <c r="A879">
        <v>903</v>
      </c>
      <c r="B879" s="13">
        <v>45916</v>
      </c>
      <c r="C879" t="s">
        <v>2292</v>
      </c>
      <c r="D879" t="s">
        <v>3563</v>
      </c>
    </row>
    <row r="880" spans="1:4" x14ac:dyDescent="0.3">
      <c r="A880">
        <v>904</v>
      </c>
      <c r="B880" s="13">
        <v>45916</v>
      </c>
      <c r="C880" t="s">
        <v>1980</v>
      </c>
      <c r="D880" t="s">
        <v>3565</v>
      </c>
    </row>
    <row r="881" spans="1:4" x14ac:dyDescent="0.3">
      <c r="A881">
        <v>905</v>
      </c>
      <c r="B881" s="13">
        <v>45916</v>
      </c>
      <c r="C881" t="s">
        <v>1444</v>
      </c>
      <c r="D881" t="s">
        <v>3566</v>
      </c>
    </row>
    <row r="882" spans="1:4" x14ac:dyDescent="0.3">
      <c r="A882">
        <v>906</v>
      </c>
      <c r="B882" s="13">
        <v>45916</v>
      </c>
      <c r="C882" t="s">
        <v>1454</v>
      </c>
      <c r="D882" t="s">
        <v>3567</v>
      </c>
    </row>
    <row r="883" spans="1:4" x14ac:dyDescent="0.3">
      <c r="A883">
        <v>907</v>
      </c>
      <c r="B883" s="13">
        <v>45916</v>
      </c>
      <c r="C883" t="s">
        <v>1015</v>
      </c>
      <c r="D883" t="s">
        <v>3568</v>
      </c>
    </row>
    <row r="884" spans="1:4" x14ac:dyDescent="0.3">
      <c r="A884">
        <v>908</v>
      </c>
      <c r="B884" s="13">
        <v>45916</v>
      </c>
      <c r="C884" t="s">
        <v>1722</v>
      </c>
      <c r="D884" t="s">
        <v>3569</v>
      </c>
    </row>
    <row r="885" spans="1:4" x14ac:dyDescent="0.3">
      <c r="A885">
        <v>909</v>
      </c>
      <c r="B885" s="13">
        <v>45916</v>
      </c>
      <c r="C885" t="s">
        <v>987</v>
      </c>
      <c r="D885" t="s">
        <v>3570</v>
      </c>
    </row>
    <row r="886" spans="1:4" x14ac:dyDescent="0.3">
      <c r="A886">
        <v>910</v>
      </c>
      <c r="B886" s="13">
        <v>45916</v>
      </c>
      <c r="C886" t="s">
        <v>1494</v>
      </c>
      <c r="D886" t="s">
        <v>3571</v>
      </c>
    </row>
    <row r="887" spans="1:4" x14ac:dyDescent="0.3">
      <c r="A887">
        <v>911</v>
      </c>
      <c r="B887" s="13">
        <v>45917</v>
      </c>
      <c r="C887" t="s">
        <v>3577</v>
      </c>
      <c r="D887" t="s">
        <v>3584</v>
      </c>
    </row>
    <row r="888" spans="1:4" x14ac:dyDescent="0.3">
      <c r="A888">
        <v>912</v>
      </c>
      <c r="B888" s="13">
        <v>45917</v>
      </c>
      <c r="C888" t="s">
        <v>1805</v>
      </c>
      <c r="D888" t="s">
        <v>3585</v>
      </c>
    </row>
    <row r="889" spans="1:4" x14ac:dyDescent="0.3">
      <c r="A889">
        <v>913</v>
      </c>
      <c r="B889" s="13">
        <v>45917</v>
      </c>
      <c r="C889" t="s">
        <v>1747</v>
      </c>
      <c r="D889" t="s">
        <v>3586</v>
      </c>
    </row>
    <row r="890" spans="1:4" x14ac:dyDescent="0.3">
      <c r="A890">
        <v>914</v>
      </c>
      <c r="B890" s="13">
        <v>45917</v>
      </c>
      <c r="C890" t="s">
        <v>1722</v>
      </c>
      <c r="D890" t="s">
        <v>3588</v>
      </c>
    </row>
    <row r="891" spans="1:4" x14ac:dyDescent="0.3">
      <c r="A891">
        <v>915</v>
      </c>
      <c r="B891" s="13">
        <v>45917</v>
      </c>
      <c r="C891" t="s">
        <v>2145</v>
      </c>
      <c r="D891" t="s">
        <v>3589</v>
      </c>
    </row>
    <row r="892" spans="1:4" x14ac:dyDescent="0.3">
      <c r="A892">
        <v>916</v>
      </c>
      <c r="B892" s="13">
        <v>45917</v>
      </c>
      <c r="C892" t="s">
        <v>2148</v>
      </c>
      <c r="D892" t="s">
        <v>3590</v>
      </c>
    </row>
    <row r="893" spans="1:4" x14ac:dyDescent="0.3">
      <c r="A893">
        <v>917</v>
      </c>
      <c r="B893" s="13">
        <v>45917</v>
      </c>
      <c r="C893" t="s">
        <v>1671</v>
      </c>
      <c r="D893" t="s">
        <v>3591</v>
      </c>
    </row>
    <row r="894" spans="1:4" x14ac:dyDescent="0.3">
      <c r="A894">
        <v>918</v>
      </c>
      <c r="B894" s="13">
        <v>45918</v>
      </c>
      <c r="C894" t="s">
        <v>1399</v>
      </c>
      <c r="D894" t="s">
        <v>3603</v>
      </c>
    </row>
    <row r="895" spans="1:4" x14ac:dyDescent="0.3">
      <c r="A895">
        <v>919</v>
      </c>
      <c r="B895" s="13">
        <v>45918</v>
      </c>
      <c r="C895" t="s">
        <v>1026</v>
      </c>
      <c r="D895" t="s">
        <v>3604</v>
      </c>
    </row>
    <row r="896" spans="1:4" x14ac:dyDescent="0.3">
      <c r="A896">
        <v>920</v>
      </c>
      <c r="B896" s="13">
        <v>45918</v>
      </c>
      <c r="C896" t="s">
        <v>1467</v>
      </c>
      <c r="D896" t="s">
        <v>3605</v>
      </c>
    </row>
    <row r="897" spans="1:4" x14ac:dyDescent="0.3">
      <c r="A897">
        <v>921</v>
      </c>
      <c r="B897" s="13">
        <v>45918</v>
      </c>
      <c r="C897" t="s">
        <v>1473</v>
      </c>
      <c r="D897" t="s">
        <v>3606</v>
      </c>
    </row>
    <row r="898" spans="1:4" x14ac:dyDescent="0.3">
      <c r="A898">
        <v>922</v>
      </c>
      <c r="B898" s="13">
        <v>45918</v>
      </c>
      <c r="C898" t="s">
        <v>3120</v>
      </c>
      <c r="D898" t="s">
        <v>3608</v>
      </c>
    </row>
    <row r="899" spans="1:4" x14ac:dyDescent="0.3">
      <c r="A899">
        <v>923</v>
      </c>
      <c r="B899" s="13">
        <v>45918</v>
      </c>
      <c r="C899" t="s">
        <v>1931</v>
      </c>
      <c r="D899" t="s">
        <v>3609</v>
      </c>
    </row>
    <row r="900" spans="1:4" x14ac:dyDescent="0.3">
      <c r="A900">
        <v>924</v>
      </c>
      <c r="B900" s="13">
        <v>45918</v>
      </c>
      <c r="C900" t="s">
        <v>3451</v>
      </c>
      <c r="D900" t="s">
        <v>3610</v>
      </c>
    </row>
    <row r="901" spans="1:4" x14ac:dyDescent="0.3">
      <c r="A901">
        <v>925</v>
      </c>
      <c r="B901" s="13">
        <v>45918</v>
      </c>
      <c r="C901" t="s">
        <v>1444</v>
      </c>
      <c r="D901" t="s">
        <v>3611</v>
      </c>
    </row>
    <row r="902" spans="1:4" x14ac:dyDescent="0.3">
      <c r="A902">
        <v>926</v>
      </c>
      <c r="B902" s="13">
        <v>45918</v>
      </c>
      <c r="C902" t="s">
        <v>1747</v>
      </c>
      <c r="D902" t="s">
        <v>3612</v>
      </c>
    </row>
    <row r="903" spans="1:4" x14ac:dyDescent="0.3">
      <c r="A903">
        <v>927</v>
      </c>
      <c r="B903" s="13">
        <v>45918</v>
      </c>
      <c r="C903" t="s">
        <v>2809</v>
      </c>
      <c r="D903" t="s">
        <v>3613</v>
      </c>
    </row>
    <row r="904" spans="1:4" x14ac:dyDescent="0.3">
      <c r="A904">
        <v>928</v>
      </c>
      <c r="B904" s="13">
        <v>45918</v>
      </c>
      <c r="C904" t="s">
        <v>3115</v>
      </c>
      <c r="D904" t="s">
        <v>3614</v>
      </c>
    </row>
    <row r="905" spans="1:4" x14ac:dyDescent="0.3">
      <c r="A905">
        <v>929</v>
      </c>
      <c r="B905" s="13">
        <v>45918</v>
      </c>
      <c r="C905" t="s">
        <v>2704</v>
      </c>
      <c r="D905" t="s">
        <v>3615</v>
      </c>
    </row>
    <row r="906" spans="1:4" x14ac:dyDescent="0.3">
      <c r="A906">
        <v>930</v>
      </c>
      <c r="B906" s="13">
        <v>45918</v>
      </c>
      <c r="C906" t="s">
        <v>2319</v>
      </c>
      <c r="D906" t="s">
        <v>3616</v>
      </c>
    </row>
    <row r="907" spans="1:4" x14ac:dyDescent="0.3">
      <c r="A907">
        <v>931</v>
      </c>
      <c r="B907" s="13">
        <v>45919</v>
      </c>
      <c r="C907" t="s">
        <v>1082</v>
      </c>
      <c r="D907" t="s">
        <v>3623</v>
      </c>
    </row>
    <row r="908" spans="1:4" x14ac:dyDescent="0.3">
      <c r="A908">
        <v>932</v>
      </c>
      <c r="B908" s="13">
        <v>45919</v>
      </c>
      <c r="C908" t="s">
        <v>1399</v>
      </c>
      <c r="D908" t="s">
        <v>3624</v>
      </c>
    </row>
    <row r="909" spans="1:4" x14ac:dyDescent="0.3">
      <c r="A909">
        <v>933</v>
      </c>
      <c r="B909" s="13">
        <v>45919</v>
      </c>
      <c r="C909" t="s">
        <v>1018</v>
      </c>
      <c r="D909" t="s">
        <v>3625</v>
      </c>
    </row>
    <row r="910" spans="1:4" x14ac:dyDescent="0.3">
      <c r="A910">
        <v>934</v>
      </c>
      <c r="B910" s="13">
        <v>45919</v>
      </c>
      <c r="C910" t="s">
        <v>2742</v>
      </c>
      <c r="D910" t="s">
        <v>3627</v>
      </c>
    </row>
    <row r="911" spans="1:4" x14ac:dyDescent="0.3">
      <c r="A911">
        <v>935</v>
      </c>
      <c r="B911" s="13">
        <v>45920</v>
      </c>
      <c r="C911" t="s">
        <v>1809</v>
      </c>
      <c r="D911" t="s">
        <v>3635</v>
      </c>
    </row>
    <row r="912" spans="1:4" x14ac:dyDescent="0.3">
      <c r="A912">
        <v>936</v>
      </c>
      <c r="B912" s="13">
        <v>45922</v>
      </c>
      <c r="C912" t="s">
        <v>1437</v>
      </c>
      <c r="D912" t="s">
        <v>3640</v>
      </c>
    </row>
    <row r="913" spans="1:4" x14ac:dyDescent="0.3">
      <c r="A913">
        <v>937</v>
      </c>
      <c r="B913" s="13">
        <v>45922</v>
      </c>
      <c r="C913" t="s">
        <v>1977</v>
      </c>
      <c r="D913" t="s">
        <v>3641</v>
      </c>
    </row>
    <row r="914" spans="1:4" x14ac:dyDescent="0.3">
      <c r="A914">
        <v>938</v>
      </c>
      <c r="B914" s="13">
        <v>45922</v>
      </c>
      <c r="C914" t="s">
        <v>1580</v>
      </c>
      <c r="D914" t="s">
        <v>3642</v>
      </c>
    </row>
    <row r="915" spans="1:4" x14ac:dyDescent="0.3">
      <c r="A915">
        <v>939</v>
      </c>
      <c r="B915" s="13">
        <v>45922</v>
      </c>
      <c r="C915" t="s">
        <v>1467</v>
      </c>
      <c r="D915" t="s">
        <v>3643</v>
      </c>
    </row>
    <row r="916" spans="1:4" x14ac:dyDescent="0.3">
      <c r="A916">
        <v>940</v>
      </c>
      <c r="B916" s="13">
        <v>45922</v>
      </c>
      <c r="C916" t="s">
        <v>1442</v>
      </c>
      <c r="D916" t="s">
        <v>3644</v>
      </c>
    </row>
    <row r="917" spans="1:4" x14ac:dyDescent="0.3">
      <c r="A917">
        <v>941</v>
      </c>
      <c r="B917" s="13">
        <v>45922</v>
      </c>
      <c r="C917" t="s">
        <v>2410</v>
      </c>
      <c r="D917" t="s">
        <v>3645</v>
      </c>
    </row>
    <row r="918" spans="1:4" x14ac:dyDescent="0.3">
      <c r="A918">
        <v>942</v>
      </c>
      <c r="B918" s="13">
        <v>45922</v>
      </c>
      <c r="C918" t="s">
        <v>1026</v>
      </c>
      <c r="D918" t="s">
        <v>3646</v>
      </c>
    </row>
    <row r="919" spans="1:4" x14ac:dyDescent="0.3">
      <c r="A919">
        <v>943</v>
      </c>
      <c r="B919" s="13">
        <v>45923</v>
      </c>
      <c r="C919" t="s">
        <v>1053</v>
      </c>
      <c r="D919" t="s">
        <v>3651</v>
      </c>
    </row>
    <row r="920" spans="1:4" x14ac:dyDescent="0.3">
      <c r="A920">
        <v>944</v>
      </c>
      <c r="B920" s="13">
        <v>45923</v>
      </c>
      <c r="C920" t="s">
        <v>1018</v>
      </c>
      <c r="D920" t="s">
        <v>3653</v>
      </c>
    </row>
    <row r="921" spans="1:4" x14ac:dyDescent="0.3">
      <c r="A921">
        <v>945</v>
      </c>
      <c r="B921" s="13">
        <v>45923</v>
      </c>
      <c r="C921" t="s">
        <v>1007</v>
      </c>
      <c r="D921" t="s">
        <v>3654</v>
      </c>
    </row>
    <row r="922" spans="1:4" x14ac:dyDescent="0.3">
      <c r="A922">
        <v>946</v>
      </c>
      <c r="B922" s="13">
        <v>45923</v>
      </c>
      <c r="C922" t="s">
        <v>1861</v>
      </c>
      <c r="D922" t="s">
        <v>3655</v>
      </c>
    </row>
    <row r="923" spans="1:4" x14ac:dyDescent="0.3">
      <c r="A923">
        <v>947</v>
      </c>
      <c r="B923" s="13">
        <v>45923</v>
      </c>
      <c r="C923" t="s">
        <v>1452</v>
      </c>
      <c r="D923" t="s">
        <v>3656</v>
      </c>
    </row>
    <row r="924" spans="1:4" x14ac:dyDescent="0.3">
      <c r="A924">
        <v>948</v>
      </c>
      <c r="B924" s="13">
        <v>45923</v>
      </c>
      <c r="C924" t="s">
        <v>1658</v>
      </c>
      <c r="D924" t="s">
        <v>3657</v>
      </c>
    </row>
    <row r="925" spans="1:4" x14ac:dyDescent="0.3">
      <c r="A925">
        <v>949</v>
      </c>
      <c r="B925" s="13">
        <v>45923</v>
      </c>
      <c r="C925" t="s">
        <v>1015</v>
      </c>
      <c r="D925" t="s">
        <v>3658</v>
      </c>
    </row>
    <row r="926" spans="1:4" x14ac:dyDescent="0.3">
      <c r="A926">
        <v>950</v>
      </c>
      <c r="B926" s="13">
        <v>45923</v>
      </c>
      <c r="C926" t="s">
        <v>1053</v>
      </c>
      <c r="D926" t="s">
        <v>3660</v>
      </c>
    </row>
    <row r="927" spans="1:4" x14ac:dyDescent="0.3">
      <c r="A927">
        <v>951</v>
      </c>
      <c r="B927" s="13">
        <v>45923</v>
      </c>
      <c r="C927" t="s">
        <v>1541</v>
      </c>
      <c r="D927" t="s">
        <v>3662</v>
      </c>
    </row>
    <row r="928" spans="1:4" x14ac:dyDescent="0.3">
      <c r="A928">
        <v>952</v>
      </c>
      <c r="B928" s="13">
        <v>45924</v>
      </c>
      <c r="C928" t="s">
        <v>1391</v>
      </c>
      <c r="D928" t="s">
        <v>3669</v>
      </c>
    </row>
    <row r="929" spans="1:4" x14ac:dyDescent="0.3">
      <c r="A929">
        <v>953</v>
      </c>
      <c r="B929" s="13">
        <v>45924</v>
      </c>
      <c r="C929" t="s">
        <v>987</v>
      </c>
      <c r="D929" t="s">
        <v>3671</v>
      </c>
    </row>
    <row r="930" spans="1:4" x14ac:dyDescent="0.3">
      <c r="A930">
        <v>954</v>
      </c>
      <c r="B930" s="13">
        <v>45924</v>
      </c>
      <c r="C930" t="s">
        <v>1399</v>
      </c>
      <c r="D930" t="s">
        <v>3672</v>
      </c>
    </row>
    <row r="931" spans="1:4" x14ac:dyDescent="0.3">
      <c r="A931">
        <v>955</v>
      </c>
      <c r="B931" s="13">
        <v>45924</v>
      </c>
      <c r="C931" t="s">
        <v>2742</v>
      </c>
      <c r="D931" t="s">
        <v>3673</v>
      </c>
    </row>
    <row r="932" spans="1:4" x14ac:dyDescent="0.3">
      <c r="A932">
        <v>956</v>
      </c>
      <c r="B932" s="13">
        <v>45924</v>
      </c>
      <c r="C932" t="s">
        <v>1449</v>
      </c>
      <c r="D932" t="s">
        <v>3674</v>
      </c>
    </row>
    <row r="933" spans="1:4" x14ac:dyDescent="0.3">
      <c r="A933">
        <v>957</v>
      </c>
      <c r="B933" s="13">
        <v>45926</v>
      </c>
      <c r="C933" t="s">
        <v>1805</v>
      </c>
      <c r="D933" t="s">
        <v>3722</v>
      </c>
    </row>
    <row r="934" spans="1:4" x14ac:dyDescent="0.3">
      <c r="A934">
        <v>958</v>
      </c>
      <c r="B934" s="13">
        <v>45926</v>
      </c>
      <c r="C934" t="s">
        <v>1173</v>
      </c>
      <c r="D934" t="s">
        <v>3723</v>
      </c>
    </row>
    <row r="935" spans="1:4" x14ac:dyDescent="0.3">
      <c r="A935">
        <v>959</v>
      </c>
      <c r="B935" s="13">
        <v>45926</v>
      </c>
      <c r="C935" t="s">
        <v>1399</v>
      </c>
      <c r="D935" t="s">
        <v>3724</v>
      </c>
    </row>
    <row r="936" spans="1:4" x14ac:dyDescent="0.3">
      <c r="A936">
        <v>960</v>
      </c>
      <c r="B936" s="13">
        <v>45926</v>
      </c>
      <c r="C936" t="s">
        <v>1541</v>
      </c>
      <c r="D936" t="s">
        <v>3725</v>
      </c>
    </row>
    <row r="937" spans="1:4" x14ac:dyDescent="0.3">
      <c r="A937">
        <v>961</v>
      </c>
      <c r="B937" s="13">
        <v>45926</v>
      </c>
      <c r="C937" t="s">
        <v>3726</v>
      </c>
      <c r="D937" t="s">
        <v>3728</v>
      </c>
    </row>
    <row r="938" spans="1:4" x14ac:dyDescent="0.3">
      <c r="A938">
        <v>962</v>
      </c>
      <c r="B938" s="13">
        <v>45927</v>
      </c>
      <c r="C938" t="s">
        <v>3729</v>
      </c>
      <c r="D938" t="s">
        <v>3733</v>
      </c>
    </row>
    <row r="939" spans="1:4" x14ac:dyDescent="0.3">
      <c r="A939">
        <v>963</v>
      </c>
      <c r="B939" s="13">
        <v>45927</v>
      </c>
      <c r="C939" t="s">
        <v>1961</v>
      </c>
      <c r="D939" t="s">
        <v>3736</v>
      </c>
    </row>
    <row r="940" spans="1:4" x14ac:dyDescent="0.3">
      <c r="A940">
        <v>964</v>
      </c>
      <c r="B940" s="13">
        <v>45929</v>
      </c>
      <c r="C940" t="s">
        <v>2258</v>
      </c>
      <c r="D940" t="s">
        <v>3741</v>
      </c>
    </row>
    <row r="941" spans="1:4" x14ac:dyDescent="0.3">
      <c r="A941">
        <v>965</v>
      </c>
      <c r="B941" s="13">
        <v>45925</v>
      </c>
      <c r="C941" t="s">
        <v>1467</v>
      </c>
      <c r="D941" t="s">
        <v>3747</v>
      </c>
    </row>
    <row r="942" spans="1:4" x14ac:dyDescent="0.3">
      <c r="A942">
        <v>966</v>
      </c>
      <c r="B942" s="13">
        <v>45929</v>
      </c>
      <c r="C942" t="s">
        <v>1467</v>
      </c>
      <c r="D942" t="s">
        <v>3749</v>
      </c>
    </row>
    <row r="943" spans="1:4" x14ac:dyDescent="0.3">
      <c r="A943">
        <v>967</v>
      </c>
      <c r="B943" s="13">
        <v>45929</v>
      </c>
      <c r="C943" t="s">
        <v>1747</v>
      </c>
      <c r="D943" t="s">
        <v>3750</v>
      </c>
    </row>
    <row r="944" spans="1:4" x14ac:dyDescent="0.3">
      <c r="A944">
        <v>968</v>
      </c>
      <c r="B944" s="13">
        <v>45929</v>
      </c>
      <c r="C944" t="s">
        <v>2858</v>
      </c>
      <c r="D944" t="s">
        <v>3751</v>
      </c>
    </row>
    <row r="945" spans="1:4" x14ac:dyDescent="0.3">
      <c r="A945">
        <v>969</v>
      </c>
      <c r="B945" s="13">
        <v>45929</v>
      </c>
      <c r="C945" t="s">
        <v>1391</v>
      </c>
      <c r="D945" t="s">
        <v>3752</v>
      </c>
    </row>
    <row r="946" spans="1:4" x14ac:dyDescent="0.3">
      <c r="A946">
        <v>970</v>
      </c>
      <c r="B946" s="13">
        <v>45929</v>
      </c>
      <c r="C946" t="s">
        <v>1961</v>
      </c>
      <c r="D946" t="s">
        <v>3754</v>
      </c>
    </row>
    <row r="947" spans="1:4" x14ac:dyDescent="0.3">
      <c r="A947">
        <v>971</v>
      </c>
      <c r="B947" s="13">
        <v>45929</v>
      </c>
      <c r="C947" t="s">
        <v>3269</v>
      </c>
      <c r="D947" t="s">
        <v>3756</v>
      </c>
    </row>
    <row r="948" spans="1:4" x14ac:dyDescent="0.3">
      <c r="A948">
        <v>972</v>
      </c>
      <c r="B948" s="13">
        <v>45929</v>
      </c>
      <c r="C948" t="s">
        <v>3462</v>
      </c>
      <c r="D948" t="s">
        <v>3758</v>
      </c>
    </row>
    <row r="949" spans="1:4" x14ac:dyDescent="0.3">
      <c r="A949">
        <v>973</v>
      </c>
      <c r="B949" s="13">
        <v>45929</v>
      </c>
      <c r="C949" t="s">
        <v>1722</v>
      </c>
      <c r="D949" t="s">
        <v>3759</v>
      </c>
    </row>
    <row r="950" spans="1:4" x14ac:dyDescent="0.3">
      <c r="A950">
        <v>974</v>
      </c>
      <c r="B950" s="13">
        <v>45925</v>
      </c>
      <c r="C950" t="s">
        <v>1399</v>
      </c>
      <c r="D950" t="s">
        <v>3760</v>
      </c>
    </row>
    <row r="951" spans="1:4" x14ac:dyDescent="0.3">
      <c r="A951">
        <v>975</v>
      </c>
      <c r="B951" s="13">
        <v>45925</v>
      </c>
      <c r="C951" t="s">
        <v>1541</v>
      </c>
      <c r="D951" t="s">
        <v>3761</v>
      </c>
    </row>
    <row r="952" spans="1:4" x14ac:dyDescent="0.3">
      <c r="A952">
        <v>976</v>
      </c>
      <c r="B952" s="13">
        <v>45925</v>
      </c>
      <c r="C952" t="s">
        <v>1378</v>
      </c>
      <c r="D952" t="s">
        <v>3762</v>
      </c>
    </row>
    <row r="953" spans="1:4" x14ac:dyDescent="0.3">
      <c r="A953">
        <v>977</v>
      </c>
      <c r="B953" s="13">
        <v>45929</v>
      </c>
      <c r="C953" t="s">
        <v>1541</v>
      </c>
      <c r="D953" t="s">
        <v>3763</v>
      </c>
    </row>
    <row r="954" spans="1:4" x14ac:dyDescent="0.3">
      <c r="A954">
        <v>978</v>
      </c>
      <c r="B954" s="13">
        <v>45930</v>
      </c>
      <c r="C954" t="s">
        <v>2148</v>
      </c>
      <c r="D954" t="s">
        <v>3774</v>
      </c>
    </row>
    <row r="955" spans="1:4" x14ac:dyDescent="0.3">
      <c r="A955">
        <v>979</v>
      </c>
      <c r="B955" s="13">
        <v>45930</v>
      </c>
      <c r="C955" t="s">
        <v>1541</v>
      </c>
      <c r="D955" t="s">
        <v>3775</v>
      </c>
    </row>
    <row r="956" spans="1:4" x14ac:dyDescent="0.3">
      <c r="A956">
        <v>980</v>
      </c>
      <c r="B956" s="13">
        <v>45930</v>
      </c>
      <c r="C956" t="s">
        <v>2623</v>
      </c>
      <c r="D956" t="s">
        <v>3777</v>
      </c>
    </row>
    <row r="957" spans="1:4" x14ac:dyDescent="0.3">
      <c r="A957">
        <v>981</v>
      </c>
      <c r="B957" s="13">
        <v>45930</v>
      </c>
      <c r="C957" t="s">
        <v>1399</v>
      </c>
      <c r="D957" t="s">
        <v>3778</v>
      </c>
    </row>
    <row r="958" spans="1:4" x14ac:dyDescent="0.3">
      <c r="A958">
        <v>982</v>
      </c>
      <c r="B958" s="13">
        <v>45930</v>
      </c>
      <c r="C958" t="s">
        <v>1467</v>
      </c>
      <c r="D958" t="s">
        <v>3779</v>
      </c>
    </row>
    <row r="959" spans="1:4" x14ac:dyDescent="0.3">
      <c r="A959">
        <v>983</v>
      </c>
      <c r="B959" s="13">
        <v>45930</v>
      </c>
      <c r="C959" t="s">
        <v>1722</v>
      </c>
      <c r="D959" t="s">
        <v>3780</v>
      </c>
    </row>
    <row r="960" spans="1:4" x14ac:dyDescent="0.3">
      <c r="A960">
        <v>984</v>
      </c>
      <c r="B960" s="13">
        <v>45930</v>
      </c>
      <c r="C960" t="s">
        <v>1747</v>
      </c>
      <c r="D960" t="s">
        <v>3781</v>
      </c>
    </row>
    <row r="961" spans="1:4" x14ac:dyDescent="0.3">
      <c r="A961">
        <v>985</v>
      </c>
      <c r="B961" s="13">
        <v>45930</v>
      </c>
      <c r="C961" t="s">
        <v>3766</v>
      </c>
      <c r="D961" t="s">
        <v>3782</v>
      </c>
    </row>
    <row r="962" spans="1:4" x14ac:dyDescent="0.3">
      <c r="A962">
        <v>986</v>
      </c>
      <c r="B962" s="13">
        <v>45931</v>
      </c>
      <c r="C962" t="s">
        <v>1847</v>
      </c>
      <c r="D962" t="s">
        <v>3817</v>
      </c>
    </row>
    <row r="963" spans="1:4" x14ac:dyDescent="0.3">
      <c r="A963">
        <v>987</v>
      </c>
      <c r="B963" s="13">
        <v>45931</v>
      </c>
      <c r="C963" t="s">
        <v>1747</v>
      </c>
      <c r="D963" t="s">
        <v>3818</v>
      </c>
    </row>
    <row r="964" spans="1:4" x14ac:dyDescent="0.3">
      <c r="A964">
        <v>988</v>
      </c>
      <c r="B964" s="13">
        <v>45931</v>
      </c>
      <c r="C964" t="s">
        <v>1890</v>
      </c>
      <c r="D964" t="s">
        <v>3819</v>
      </c>
    </row>
    <row r="965" spans="1:4" x14ac:dyDescent="0.3">
      <c r="A965">
        <v>989</v>
      </c>
      <c r="B965" s="13">
        <v>45931</v>
      </c>
      <c r="C965" t="s">
        <v>1015</v>
      </c>
      <c r="D965" t="s">
        <v>3820</v>
      </c>
    </row>
    <row r="966" spans="1:4" x14ac:dyDescent="0.3">
      <c r="A966">
        <v>990</v>
      </c>
      <c r="B966" s="13">
        <v>45931</v>
      </c>
      <c r="C966" t="s">
        <v>1870</v>
      </c>
      <c r="D966" t="s">
        <v>3822</v>
      </c>
    </row>
    <row r="967" spans="1:4" x14ac:dyDescent="0.3">
      <c r="A967">
        <v>991</v>
      </c>
      <c r="B967" s="13">
        <v>45931</v>
      </c>
      <c r="C967" t="s">
        <v>3823</v>
      </c>
      <c r="D967" t="s">
        <v>3824</v>
      </c>
    </row>
    <row r="968" spans="1:4" x14ac:dyDescent="0.3">
      <c r="A968">
        <v>992</v>
      </c>
      <c r="B968" s="13">
        <v>45932</v>
      </c>
      <c r="C968" t="s">
        <v>1722</v>
      </c>
      <c r="D968" t="s">
        <v>3829</v>
      </c>
    </row>
    <row r="969" spans="1:4" x14ac:dyDescent="0.3">
      <c r="A969">
        <v>993</v>
      </c>
      <c r="B969" s="13">
        <v>45932</v>
      </c>
      <c r="C969" t="s">
        <v>1790</v>
      </c>
      <c r="D969" t="s">
        <v>3830</v>
      </c>
    </row>
    <row r="970" spans="1:4" x14ac:dyDescent="0.3">
      <c r="A970">
        <v>994</v>
      </c>
      <c r="B970" s="13">
        <v>45932</v>
      </c>
      <c r="C970" t="s">
        <v>1399</v>
      </c>
      <c r="D970" t="s">
        <v>3835</v>
      </c>
    </row>
    <row r="971" spans="1:4" x14ac:dyDescent="0.3">
      <c r="A971">
        <v>995</v>
      </c>
      <c r="B971" s="13">
        <v>45932</v>
      </c>
      <c r="C971" t="s">
        <v>3826</v>
      </c>
      <c r="D971" t="s">
        <v>3837</v>
      </c>
    </row>
    <row r="972" spans="1:4" x14ac:dyDescent="0.3">
      <c r="A972">
        <v>996</v>
      </c>
      <c r="B972" s="13">
        <v>45932</v>
      </c>
      <c r="C972" t="s">
        <v>2145</v>
      </c>
      <c r="D972" t="s">
        <v>3838</v>
      </c>
    </row>
    <row r="973" spans="1:4" x14ac:dyDescent="0.3">
      <c r="A973">
        <v>997</v>
      </c>
      <c r="B973" s="13">
        <v>45933</v>
      </c>
      <c r="C973" t="s">
        <v>2145</v>
      </c>
      <c r="D973" t="s">
        <v>3844</v>
      </c>
    </row>
    <row r="974" spans="1:4" x14ac:dyDescent="0.3">
      <c r="A974">
        <v>998</v>
      </c>
      <c r="B974" s="13">
        <v>45933</v>
      </c>
      <c r="C974" t="s">
        <v>1931</v>
      </c>
      <c r="D974" t="s">
        <v>3847</v>
      </c>
    </row>
    <row r="975" spans="1:4" x14ac:dyDescent="0.3">
      <c r="A975">
        <v>999</v>
      </c>
      <c r="B975" s="13">
        <v>45933</v>
      </c>
      <c r="C975" t="s">
        <v>1931</v>
      </c>
      <c r="D975" t="s">
        <v>3848</v>
      </c>
    </row>
    <row r="976" spans="1:4" x14ac:dyDescent="0.3">
      <c r="A976">
        <v>1000</v>
      </c>
      <c r="B976" s="13">
        <v>45939</v>
      </c>
      <c r="C976" t="s">
        <v>1580</v>
      </c>
      <c r="D976" t="s">
        <v>3850</v>
      </c>
    </row>
    <row r="977" spans="1:4" x14ac:dyDescent="0.3">
      <c r="A977">
        <v>1001</v>
      </c>
      <c r="B977" s="13">
        <v>45939</v>
      </c>
      <c r="C977" t="s">
        <v>1444</v>
      </c>
      <c r="D977" t="s">
        <v>3851</v>
      </c>
    </row>
    <row r="978" spans="1:4" x14ac:dyDescent="0.3">
      <c r="A978">
        <v>1002</v>
      </c>
      <c r="B978" s="13">
        <v>45940</v>
      </c>
      <c r="C978" t="s">
        <v>1306</v>
      </c>
      <c r="D978" t="s">
        <v>3855</v>
      </c>
    </row>
    <row r="979" spans="1:4" x14ac:dyDescent="0.3">
      <c r="A979">
        <v>1003</v>
      </c>
      <c r="B979" s="13">
        <v>45940</v>
      </c>
      <c r="C979" t="s">
        <v>1747</v>
      </c>
      <c r="D979" t="s">
        <v>3861</v>
      </c>
    </row>
    <row r="980" spans="1:4" x14ac:dyDescent="0.3">
      <c r="A980">
        <v>1004</v>
      </c>
      <c r="B980" s="13">
        <v>45940</v>
      </c>
      <c r="C980" t="s">
        <v>1577</v>
      </c>
      <c r="D980" t="s">
        <v>3862</v>
      </c>
    </row>
    <row r="981" spans="1:4" x14ac:dyDescent="0.3">
      <c r="A981">
        <v>1005</v>
      </c>
      <c r="B981" s="13">
        <v>45940</v>
      </c>
      <c r="C981" t="s">
        <v>1378</v>
      </c>
      <c r="D981" t="s">
        <v>3863</v>
      </c>
    </row>
    <row r="982" spans="1:4" x14ac:dyDescent="0.3">
      <c r="A982">
        <v>1006</v>
      </c>
      <c r="B982" s="13">
        <v>45940</v>
      </c>
      <c r="C982" t="s">
        <v>1373</v>
      </c>
      <c r="D982" t="s">
        <v>3865</v>
      </c>
    </row>
    <row r="983" spans="1:4" x14ac:dyDescent="0.3">
      <c r="A983">
        <v>1007</v>
      </c>
      <c r="B983" s="13">
        <v>45940</v>
      </c>
      <c r="C983" t="s">
        <v>1015</v>
      </c>
      <c r="D983" t="s">
        <v>3866</v>
      </c>
    </row>
    <row r="984" spans="1:4" x14ac:dyDescent="0.3">
      <c r="A984">
        <v>1008</v>
      </c>
      <c r="B984" s="13">
        <v>45940</v>
      </c>
      <c r="C984" t="s">
        <v>3399</v>
      </c>
      <c r="D984" t="s">
        <v>3867</v>
      </c>
    </row>
    <row r="985" spans="1:4" x14ac:dyDescent="0.3">
      <c r="A985">
        <v>1009</v>
      </c>
      <c r="B985" s="13">
        <v>45940</v>
      </c>
      <c r="C985" t="s">
        <v>1173</v>
      </c>
      <c r="D985" t="s">
        <v>3868</v>
      </c>
    </row>
    <row r="986" spans="1:4" x14ac:dyDescent="0.3">
      <c r="A986">
        <v>1010</v>
      </c>
      <c r="B986" s="13">
        <v>45940</v>
      </c>
      <c r="C986" t="s">
        <v>2486</v>
      </c>
      <c r="D986" t="s">
        <v>3869</v>
      </c>
    </row>
    <row r="987" spans="1:4" x14ac:dyDescent="0.3">
      <c r="A987">
        <v>1011</v>
      </c>
      <c r="B987" s="13">
        <v>45940</v>
      </c>
      <c r="C987" t="s">
        <v>3823</v>
      </c>
      <c r="D987" t="s">
        <v>3870</v>
      </c>
    </row>
    <row r="988" spans="1:4" x14ac:dyDescent="0.3">
      <c r="A988">
        <v>1012</v>
      </c>
      <c r="B988" s="13">
        <v>45940</v>
      </c>
      <c r="C988" t="s">
        <v>1598</v>
      </c>
      <c r="D988" t="s">
        <v>3871</v>
      </c>
    </row>
    <row r="989" spans="1:4" x14ac:dyDescent="0.3">
      <c r="A989">
        <v>1013</v>
      </c>
      <c r="B989" s="13">
        <v>45940</v>
      </c>
      <c r="C989" t="s">
        <v>1532</v>
      </c>
      <c r="D989" t="s">
        <v>3872</v>
      </c>
    </row>
    <row r="990" spans="1:4" x14ac:dyDescent="0.3">
      <c r="A990">
        <v>1014</v>
      </c>
      <c r="B990" s="13">
        <v>45932</v>
      </c>
      <c r="C990" t="s">
        <v>1790</v>
      </c>
      <c r="D990" t="s">
        <v>3880</v>
      </c>
    </row>
    <row r="991" spans="1:4" x14ac:dyDescent="0.3">
      <c r="A991">
        <v>1015</v>
      </c>
      <c r="B991" s="13">
        <v>45940</v>
      </c>
      <c r="C991" t="s">
        <v>2486</v>
      </c>
      <c r="D991" t="s">
        <v>3881</v>
      </c>
    </row>
    <row r="992" spans="1:4" x14ac:dyDescent="0.3">
      <c r="A992">
        <v>1016</v>
      </c>
      <c r="B992" s="13">
        <v>45941</v>
      </c>
      <c r="C992" t="s">
        <v>2998</v>
      </c>
      <c r="D992" t="s">
        <v>3882</v>
      </c>
    </row>
    <row r="993" spans="1:4" x14ac:dyDescent="0.3">
      <c r="A993">
        <v>1017</v>
      </c>
      <c r="B993" s="13">
        <v>45941</v>
      </c>
      <c r="C993" t="s">
        <v>1722</v>
      </c>
      <c r="D993" t="s">
        <v>3883</v>
      </c>
    </row>
    <row r="994" spans="1:4" x14ac:dyDescent="0.3">
      <c r="A994">
        <v>1018</v>
      </c>
      <c r="B994" s="13">
        <v>45943</v>
      </c>
      <c r="C994" t="s">
        <v>1378</v>
      </c>
      <c r="D994" t="s">
        <v>3887</v>
      </c>
    </row>
    <row r="995" spans="1:4" x14ac:dyDescent="0.3">
      <c r="A995">
        <v>1019</v>
      </c>
      <c r="B995" s="13">
        <v>45943</v>
      </c>
      <c r="C995" t="s">
        <v>1399</v>
      </c>
      <c r="D995" t="s">
        <v>3889</v>
      </c>
    </row>
    <row r="996" spans="1:4" x14ac:dyDescent="0.3">
      <c r="A996">
        <v>1020</v>
      </c>
      <c r="B996" s="13">
        <v>45943</v>
      </c>
      <c r="C996" t="s">
        <v>1378</v>
      </c>
      <c r="D996" t="s">
        <v>3891</v>
      </c>
    </row>
    <row r="997" spans="1:4" x14ac:dyDescent="0.3">
      <c r="A997">
        <v>1021</v>
      </c>
      <c r="B997" s="13">
        <v>45943</v>
      </c>
      <c r="C997" t="s">
        <v>3892</v>
      </c>
      <c r="D997" t="s">
        <v>3895</v>
      </c>
    </row>
    <row r="998" spans="1:4" x14ac:dyDescent="0.3">
      <c r="A998">
        <v>1022</v>
      </c>
      <c r="B998" s="13">
        <v>45943</v>
      </c>
      <c r="C998" t="s">
        <v>1580</v>
      </c>
      <c r="D998" t="s">
        <v>3896</v>
      </c>
    </row>
    <row r="999" spans="1:4" x14ac:dyDescent="0.3">
      <c r="A999">
        <v>1023</v>
      </c>
      <c r="B999" s="13">
        <v>45943</v>
      </c>
      <c r="C999" t="s">
        <v>2618</v>
      </c>
      <c r="D999" t="s">
        <v>3897</v>
      </c>
    </row>
    <row r="1000" spans="1:4" x14ac:dyDescent="0.3">
      <c r="A1000">
        <v>1024</v>
      </c>
      <c r="B1000" s="13">
        <v>45943</v>
      </c>
      <c r="C1000" t="s">
        <v>3898</v>
      </c>
      <c r="D1000" t="s">
        <v>3899</v>
      </c>
    </row>
    <row r="1001" spans="1:4" x14ac:dyDescent="0.3">
      <c r="A1001">
        <v>1025</v>
      </c>
      <c r="B1001" s="13">
        <v>45943</v>
      </c>
      <c r="C1001" t="s">
        <v>3269</v>
      </c>
      <c r="D1001" t="s">
        <v>3900</v>
      </c>
    </row>
    <row r="1002" spans="1:4" x14ac:dyDescent="0.3">
      <c r="A1002">
        <v>1026</v>
      </c>
      <c r="B1002" s="13">
        <v>45943</v>
      </c>
      <c r="C1002" t="s">
        <v>1867</v>
      </c>
      <c r="D1002" t="s">
        <v>3914</v>
      </c>
    </row>
    <row r="1003" spans="1:4" x14ac:dyDescent="0.3">
      <c r="A1003">
        <v>1027</v>
      </c>
      <c r="B1003" s="13">
        <v>45943</v>
      </c>
      <c r="C1003" t="s">
        <v>1554</v>
      </c>
      <c r="D1003" t="s">
        <v>3915</v>
      </c>
    </row>
    <row r="1004" spans="1:4" x14ac:dyDescent="0.3">
      <c r="A1004">
        <v>1028</v>
      </c>
      <c r="B1004" s="13">
        <v>45944</v>
      </c>
      <c r="C1004" t="s">
        <v>1399</v>
      </c>
      <c r="D1004" t="s">
        <v>3918</v>
      </c>
    </row>
    <row r="1005" spans="1:4" x14ac:dyDescent="0.3">
      <c r="A1005">
        <v>1029</v>
      </c>
      <c r="B1005" s="13">
        <v>45944</v>
      </c>
      <c r="C1005" t="s">
        <v>1399</v>
      </c>
      <c r="D1005" t="s">
        <v>3920</v>
      </c>
    </row>
    <row r="1006" spans="1:4" x14ac:dyDescent="0.3">
      <c r="A1006">
        <v>1030</v>
      </c>
      <c r="B1006" s="13">
        <v>45944</v>
      </c>
      <c r="C1006" t="s">
        <v>3921</v>
      </c>
      <c r="D1006" t="s">
        <v>3924</v>
      </c>
    </row>
    <row r="1007" spans="1:4" x14ac:dyDescent="0.3">
      <c r="A1007">
        <v>1031</v>
      </c>
      <c r="B1007" s="13">
        <v>45944</v>
      </c>
      <c r="C1007" t="s">
        <v>1586</v>
      </c>
      <c r="D1007" t="s">
        <v>3925</v>
      </c>
    </row>
    <row r="1008" spans="1:4" x14ac:dyDescent="0.3">
      <c r="A1008">
        <v>1032</v>
      </c>
      <c r="B1008" s="13">
        <v>45944</v>
      </c>
      <c r="C1008" t="s">
        <v>1805</v>
      </c>
      <c r="D1008" t="s">
        <v>3926</v>
      </c>
    </row>
    <row r="1009" spans="1:4" x14ac:dyDescent="0.3">
      <c r="A1009">
        <v>1033</v>
      </c>
      <c r="B1009" s="13">
        <v>45944</v>
      </c>
      <c r="C1009" t="s">
        <v>1554</v>
      </c>
      <c r="D1009" t="s">
        <v>3927</v>
      </c>
    </row>
    <row r="1010" spans="1:4" x14ac:dyDescent="0.3">
      <c r="A1010">
        <v>1034</v>
      </c>
      <c r="B1010" s="13">
        <v>45944</v>
      </c>
      <c r="C1010" t="s">
        <v>1580</v>
      </c>
      <c r="D1010" t="s">
        <v>3928</v>
      </c>
    </row>
    <row r="1011" spans="1:4" x14ac:dyDescent="0.3">
      <c r="A1011">
        <v>1035</v>
      </c>
      <c r="B1011" s="13">
        <v>45944</v>
      </c>
      <c r="C1011" t="s">
        <v>3115</v>
      </c>
      <c r="D1011" t="s">
        <v>3930</v>
      </c>
    </row>
    <row r="1012" spans="1:4" x14ac:dyDescent="0.3">
      <c r="A1012">
        <v>1036</v>
      </c>
      <c r="B1012" s="13">
        <v>45945</v>
      </c>
      <c r="C1012" t="s">
        <v>1399</v>
      </c>
      <c r="D1012" t="s">
        <v>3933</v>
      </c>
    </row>
    <row r="1013" spans="1:4" x14ac:dyDescent="0.3">
      <c r="A1013">
        <v>1037</v>
      </c>
      <c r="B1013" s="13">
        <v>45945</v>
      </c>
      <c r="C1013" t="s">
        <v>1931</v>
      </c>
      <c r="D1013" t="s">
        <v>3934</v>
      </c>
    </row>
    <row r="1014" spans="1:4" x14ac:dyDescent="0.3">
      <c r="A1014">
        <v>1038</v>
      </c>
      <c r="B1014" s="13">
        <v>45945</v>
      </c>
      <c r="C1014" t="s">
        <v>1467</v>
      </c>
      <c r="D1014" t="s">
        <v>3936</v>
      </c>
    </row>
    <row r="1015" spans="1:4" x14ac:dyDescent="0.3">
      <c r="A1015">
        <v>1039</v>
      </c>
      <c r="B1015" s="13">
        <v>45945</v>
      </c>
      <c r="C1015" t="s">
        <v>2113</v>
      </c>
      <c r="D1015" t="s">
        <v>3937</v>
      </c>
    </row>
    <row r="1016" spans="1:4" x14ac:dyDescent="0.3">
      <c r="A1016">
        <v>1040</v>
      </c>
      <c r="B1016" s="13">
        <v>45945</v>
      </c>
      <c r="C1016" t="s">
        <v>3938</v>
      </c>
      <c r="D1016" t="s">
        <v>3942</v>
      </c>
    </row>
    <row r="1017" spans="1:4" x14ac:dyDescent="0.3">
      <c r="A1017">
        <v>1041</v>
      </c>
      <c r="B1017" s="13">
        <v>45945</v>
      </c>
      <c r="C1017" t="s">
        <v>1790</v>
      </c>
      <c r="D1017" t="s">
        <v>3943</v>
      </c>
    </row>
    <row r="1018" spans="1:4" x14ac:dyDescent="0.3">
      <c r="A1018">
        <v>1042</v>
      </c>
      <c r="B1018" s="13">
        <v>45945</v>
      </c>
      <c r="C1018" t="s">
        <v>1046</v>
      </c>
      <c r="D1018" t="s">
        <v>3944</v>
      </c>
    </row>
    <row r="1019" spans="1:4" x14ac:dyDescent="0.3">
      <c r="A1019">
        <v>1043</v>
      </c>
      <c r="B1019" s="13">
        <v>45945</v>
      </c>
      <c r="C1019" t="s">
        <v>1494</v>
      </c>
      <c r="D1019" t="s">
        <v>3945</v>
      </c>
    </row>
    <row r="1020" spans="1:4" x14ac:dyDescent="0.3">
      <c r="A1020">
        <v>1044</v>
      </c>
      <c r="B1020" s="13">
        <v>45945</v>
      </c>
      <c r="C1020" t="s">
        <v>1449</v>
      </c>
      <c r="D1020" t="s">
        <v>3947</v>
      </c>
    </row>
    <row r="1021" spans="1:4" x14ac:dyDescent="0.3">
      <c r="A1021">
        <v>1045</v>
      </c>
      <c r="B1021" s="13">
        <v>45946</v>
      </c>
      <c r="C1021" t="s">
        <v>1977</v>
      </c>
      <c r="D1021" t="s">
        <v>3958</v>
      </c>
    </row>
    <row r="1022" spans="1:4" x14ac:dyDescent="0.3">
      <c r="A1022">
        <v>1046</v>
      </c>
      <c r="B1022" s="13">
        <v>45946</v>
      </c>
      <c r="C1022" t="s">
        <v>1473</v>
      </c>
      <c r="D1022" t="s">
        <v>3959</v>
      </c>
    </row>
    <row r="1023" spans="1:4" x14ac:dyDescent="0.3">
      <c r="A1023">
        <v>1047</v>
      </c>
      <c r="B1023" s="13">
        <v>45946</v>
      </c>
      <c r="C1023" t="s">
        <v>1485</v>
      </c>
      <c r="D1023" t="s">
        <v>3960</v>
      </c>
    </row>
    <row r="1024" spans="1:4" x14ac:dyDescent="0.3">
      <c r="A1024">
        <v>1048</v>
      </c>
      <c r="B1024" s="13">
        <v>45946</v>
      </c>
      <c r="C1024" t="s">
        <v>1598</v>
      </c>
      <c r="D1024" t="s">
        <v>3961</v>
      </c>
    </row>
    <row r="1025" spans="1:4" x14ac:dyDescent="0.3">
      <c r="A1025">
        <v>1049</v>
      </c>
      <c r="B1025" s="13">
        <v>45946</v>
      </c>
      <c r="C1025" t="s">
        <v>3952</v>
      </c>
      <c r="D1025" t="s">
        <v>3962</v>
      </c>
    </row>
    <row r="1026" spans="1:4" x14ac:dyDescent="0.3">
      <c r="A1026">
        <v>1050</v>
      </c>
      <c r="B1026" s="13">
        <v>45946</v>
      </c>
      <c r="C1026" t="s">
        <v>3823</v>
      </c>
      <c r="D1026" t="s">
        <v>3963</v>
      </c>
    </row>
    <row r="1027" spans="1:4" x14ac:dyDescent="0.3">
      <c r="A1027">
        <v>1051</v>
      </c>
      <c r="B1027" s="13">
        <v>45946</v>
      </c>
      <c r="C1027" t="s">
        <v>1790</v>
      </c>
      <c r="D1027" t="s">
        <v>3965</v>
      </c>
    </row>
    <row r="1028" spans="1:4" x14ac:dyDescent="0.3">
      <c r="A1028">
        <v>1052</v>
      </c>
      <c r="B1028" s="13">
        <v>45947</v>
      </c>
      <c r="C1028" t="s">
        <v>1469</v>
      </c>
      <c r="D1028" t="s">
        <v>3970</v>
      </c>
    </row>
    <row r="1029" spans="1:4" x14ac:dyDescent="0.3">
      <c r="A1029">
        <v>1053</v>
      </c>
      <c r="B1029" s="13">
        <v>45947</v>
      </c>
      <c r="C1029" t="s">
        <v>1147</v>
      </c>
      <c r="D1029" t="s">
        <v>3972</v>
      </c>
    </row>
    <row r="1030" spans="1:4" x14ac:dyDescent="0.3">
      <c r="A1030">
        <v>1054</v>
      </c>
      <c r="B1030" s="13">
        <v>45948</v>
      </c>
      <c r="C1030" t="s">
        <v>1790</v>
      </c>
      <c r="D1030" t="s">
        <v>3975</v>
      </c>
    </row>
    <row r="1031" spans="1:4" x14ac:dyDescent="0.3">
      <c r="A1031">
        <v>1055</v>
      </c>
      <c r="B1031" s="13">
        <v>45948</v>
      </c>
      <c r="C1031" t="s">
        <v>1977</v>
      </c>
      <c r="D1031" t="s">
        <v>3978</v>
      </c>
    </row>
  </sheetData>
  <phoneticPr fontId="2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8475FB-B701-4E31-85ED-27AFC3218E22}">
  <sheetPr codeName="shtCustomer"/>
  <dimension ref="A1:M224"/>
  <sheetViews>
    <sheetView zoomScaleNormal="100" workbookViewId="0">
      <pane xSplit="1" ySplit="1" topLeftCell="B2" activePane="bottomRight" state="frozen"/>
      <selection activeCell="N26" sqref="N26"/>
      <selection pane="topRight" activeCell="N26" sqref="N26"/>
      <selection pane="bottomLeft" activeCell="N26" sqref="N26"/>
      <selection pane="bottomRight" activeCell="E11" sqref="E11"/>
    </sheetView>
  </sheetViews>
  <sheetFormatPr defaultColWidth="9" defaultRowHeight="16.5" x14ac:dyDescent="0.3"/>
  <cols>
    <col min="1" max="1" width="5.625" style="47" customWidth="1"/>
    <col min="2" max="2" width="26.875" bestFit="1" customWidth="1"/>
    <col min="3" max="3" width="14.375" customWidth="1"/>
    <col min="4" max="4" width="15" customWidth="1"/>
    <col min="5" max="5" width="45.875" customWidth="1"/>
    <col min="6" max="6" width="12.75" customWidth="1"/>
    <col min="7" max="7" width="31.25" customWidth="1"/>
    <col min="8" max="8" width="28.75" style="194" customWidth="1"/>
    <col min="9" max="9" width="11.625" style="52" bestFit="1" customWidth="1"/>
    <col min="10" max="10" width="19" bestFit="1" customWidth="1"/>
    <col min="11" max="11" width="10.25" bestFit="1" customWidth="1"/>
    <col min="13" max="13" width="10.25" bestFit="1" customWidth="1"/>
  </cols>
  <sheetData>
    <row r="1" spans="1:11" ht="17.25" thickBot="1" x14ac:dyDescent="0.35">
      <c r="A1" s="60" t="s">
        <v>2</v>
      </c>
      <c r="B1" s="60" t="s">
        <v>49</v>
      </c>
      <c r="C1" s="60" t="s">
        <v>9</v>
      </c>
      <c r="D1" s="60" t="s">
        <v>29</v>
      </c>
      <c r="E1" s="60" t="s">
        <v>10</v>
      </c>
      <c r="F1" s="60" t="s">
        <v>30</v>
      </c>
      <c r="G1" s="60" t="s">
        <v>31</v>
      </c>
      <c r="H1" s="198" t="s">
        <v>79</v>
      </c>
      <c r="I1" s="233">
        <v>193</v>
      </c>
      <c r="J1" s="283"/>
      <c r="K1" s="282"/>
    </row>
    <row r="2" spans="1:11" x14ac:dyDescent="0.3">
      <c r="A2" s="47">
        <v>1</v>
      </c>
      <c r="B2" t="s">
        <v>1274</v>
      </c>
      <c r="C2" t="s">
        <v>1631</v>
      </c>
      <c r="E2" t="s">
        <v>1632</v>
      </c>
      <c r="F2" t="s">
        <v>1633</v>
      </c>
      <c r="G2" t="s">
        <v>1634</v>
      </c>
      <c r="H2" s="194">
        <f>SUMIF(주문_리스트!C:C,거래처!$B2,주문_리스트!K:K)+SUMIF(주문_리스트!C:C,거래처!B2,주문_리스트!L:L)-1543201</f>
        <v>637999.60000000149</v>
      </c>
      <c r="I2" s="194"/>
    </row>
    <row r="3" spans="1:11" x14ac:dyDescent="0.3">
      <c r="A3" s="47">
        <v>2</v>
      </c>
      <c r="B3" t="s">
        <v>2592</v>
      </c>
      <c r="C3" t="s">
        <v>2593</v>
      </c>
      <c r="E3" t="s">
        <v>2594</v>
      </c>
      <c r="H3" s="194">
        <f>SUMIF(주문_리스트!C:C,거래처!B3,주문_리스트!K:K)+SUMIF(주문_리스트!C:C,거래처!B3,주문_리스트!L:L)</f>
        <v>0</v>
      </c>
    </row>
    <row r="4" spans="1:11" x14ac:dyDescent="0.3">
      <c r="A4" s="47">
        <v>3</v>
      </c>
      <c r="B4" t="s">
        <v>1275</v>
      </c>
      <c r="C4" t="s">
        <v>3647</v>
      </c>
      <c r="E4" t="s">
        <v>3648</v>
      </c>
      <c r="F4" t="s">
        <v>963</v>
      </c>
      <c r="G4" t="s">
        <v>3649</v>
      </c>
      <c r="H4" s="194">
        <f>SUMIF(주문_리스트!C:C,거래처!B4,주문_리스트!K:K)+SUMIF(주문_리스트!C:C,거래처!B4,주문_리스트!L:L)-2000000</f>
        <v>0</v>
      </c>
    </row>
    <row r="5" spans="1:11" x14ac:dyDescent="0.3">
      <c r="A5" s="47">
        <v>4</v>
      </c>
      <c r="B5" t="s">
        <v>1159</v>
      </c>
      <c r="C5" t="s">
        <v>1160</v>
      </c>
      <c r="E5" t="s">
        <v>1161</v>
      </c>
      <c r="F5" t="s">
        <v>1162</v>
      </c>
      <c r="H5" s="194">
        <f>SUMIF(주문_리스트!C:C,거래처!B5,주문_리스트!K:K)+SUMIF(주문_리스트!C:C,거래처!B5,주문_리스트!L:L)</f>
        <v>0</v>
      </c>
    </row>
    <row r="6" spans="1:11" x14ac:dyDescent="0.3">
      <c r="A6" s="47">
        <v>5</v>
      </c>
      <c r="B6" t="s">
        <v>1276</v>
      </c>
      <c r="C6" t="s">
        <v>2595</v>
      </c>
      <c r="E6" t="s">
        <v>2596</v>
      </c>
      <c r="F6" t="s">
        <v>1181</v>
      </c>
      <c r="H6" s="194">
        <f>SUMIF(주문_리스트!C:C,거래처!B6,주문_리스트!K:K)+SUMIF(주문_리스트!C:C,거래처!B6,주문_리스트!L:L)</f>
        <v>1320000</v>
      </c>
    </row>
    <row r="7" spans="1:11" x14ac:dyDescent="0.3">
      <c r="A7" s="47">
        <v>6</v>
      </c>
      <c r="B7" t="s">
        <v>1277</v>
      </c>
      <c r="C7" t="s">
        <v>1065</v>
      </c>
      <c r="E7" t="s">
        <v>1066</v>
      </c>
      <c r="F7" t="s">
        <v>973</v>
      </c>
      <c r="H7" s="194">
        <f>SUMIF(주문_리스트!C:C,거래처!B7,주문_리스트!K:K)+SUMIF(주문_리스트!C:C,거래처!B7,주문_리스트!L:L)</f>
        <v>0</v>
      </c>
    </row>
    <row r="8" spans="1:11" x14ac:dyDescent="0.3">
      <c r="A8" s="47">
        <v>7</v>
      </c>
      <c r="B8" t="s">
        <v>1291</v>
      </c>
      <c r="C8" t="s">
        <v>1087</v>
      </c>
      <c r="E8" t="s">
        <v>1088</v>
      </c>
      <c r="H8" s="194">
        <f>SUMIF(주문_리스트!C:C,거래처!B8,주문_리스트!K:K)+SUMIF(주문_리스트!C:C,거래처!B8,주문_리스트!L:L)</f>
        <v>0</v>
      </c>
    </row>
    <row r="9" spans="1:11" x14ac:dyDescent="0.3">
      <c r="A9" s="47">
        <v>8</v>
      </c>
      <c r="B9" t="s">
        <v>1278</v>
      </c>
      <c r="C9" t="s">
        <v>1105</v>
      </c>
      <c r="E9" t="s">
        <v>1106</v>
      </c>
      <c r="H9" s="194">
        <f>SUMIF(주문_리스트!C:C,거래처!B9,주문_리스트!K:K)+SUMIF(주문_리스트!C:C,거래처!B9,주문_리스트!L:L)</f>
        <v>0</v>
      </c>
    </row>
    <row r="10" spans="1:11" x14ac:dyDescent="0.3">
      <c r="A10" s="47">
        <v>9</v>
      </c>
      <c r="B10" t="s">
        <v>1279</v>
      </c>
      <c r="C10" t="s">
        <v>1791</v>
      </c>
      <c r="E10" t="s">
        <v>1280</v>
      </c>
      <c r="F10" t="s">
        <v>1787</v>
      </c>
      <c r="G10" t="s">
        <v>1792</v>
      </c>
      <c r="H10" s="194">
        <f>SUMIF(주문_리스트!C:C,거래처!B10,주문_리스트!K:K)+SUMIF(주문_리스트!C:C,거래처!B10,주문_리스트!L:L)</f>
        <v>5400000</v>
      </c>
    </row>
    <row r="11" spans="1:11" x14ac:dyDescent="0.3">
      <c r="A11" s="47">
        <v>10</v>
      </c>
      <c r="B11" t="s">
        <v>1281</v>
      </c>
      <c r="C11" t="s">
        <v>1615</v>
      </c>
      <c r="E11" t="s">
        <v>1616</v>
      </c>
      <c r="F11" t="s">
        <v>34</v>
      </c>
      <c r="G11" t="s">
        <v>3956</v>
      </c>
      <c r="H11" s="194">
        <f>SUMIF(주문_리스트!C:C,거래처!B11,주문_리스트!K:K)+SUMIF(주문_리스트!C:C,거래처!B11,주문_리스트!L:L)+60000</f>
        <v>2100000</v>
      </c>
    </row>
    <row r="12" spans="1:11" x14ac:dyDescent="0.3">
      <c r="A12" s="47">
        <v>11</v>
      </c>
      <c r="B12" t="s">
        <v>1282</v>
      </c>
      <c r="C12" t="s">
        <v>2131</v>
      </c>
      <c r="E12" t="s">
        <v>2132</v>
      </c>
      <c r="H12" s="194">
        <f>SUMIF(주문_리스트!C:C,거래처!B12,주문_리스트!K:K)+SUMIF(주문_리스트!C:C,거래처!B12,주문_리스트!L:L)</f>
        <v>0</v>
      </c>
    </row>
    <row r="13" spans="1:11" x14ac:dyDescent="0.3">
      <c r="A13" s="47">
        <v>12</v>
      </c>
      <c r="B13" t="s">
        <v>1283</v>
      </c>
      <c r="C13" t="s">
        <v>1211</v>
      </c>
      <c r="E13" t="s">
        <v>3327</v>
      </c>
      <c r="F13" t="s">
        <v>32</v>
      </c>
      <c r="G13" t="s">
        <v>3317</v>
      </c>
      <c r="H13" s="194">
        <f>SUMIF(주문_리스트!C:C,거래처!B13,주문_리스트!K:K)+SUMIF(주문_리스트!C:C,거래처!B13,주문_리스트!L:L)-1320000</f>
        <v>0</v>
      </c>
    </row>
    <row r="14" spans="1:11" x14ac:dyDescent="0.3">
      <c r="A14" s="47">
        <v>13</v>
      </c>
      <c r="B14" t="s">
        <v>1284</v>
      </c>
      <c r="C14" t="s">
        <v>2503</v>
      </c>
      <c r="E14" t="s">
        <v>3804</v>
      </c>
      <c r="F14" t="s">
        <v>3799</v>
      </c>
      <c r="G14" t="s">
        <v>3805</v>
      </c>
      <c r="H14" s="194">
        <f>SUMIF(주문_리스트!C:C,거래처!B14,주문_리스트!K:K)+SUMIF(주문_리스트!C:C,거래처!B14,주문_리스트!L:L)-1280000</f>
        <v>0</v>
      </c>
    </row>
    <row r="15" spans="1:11" x14ac:dyDescent="0.3">
      <c r="A15" s="47">
        <v>14</v>
      </c>
      <c r="B15" t="s">
        <v>1285</v>
      </c>
      <c r="C15" t="s">
        <v>1083</v>
      </c>
      <c r="E15" t="s">
        <v>1084</v>
      </c>
      <c r="F15" t="s">
        <v>973</v>
      </c>
      <c r="H15" s="194">
        <f>SUMIF(주문_리스트!C:C,거래처!B15,주문_리스트!K:K)+SUMIF(주문_리스트!C:C,거래처!B15,주문_리스트!L:L)</f>
        <v>0</v>
      </c>
    </row>
    <row r="16" spans="1:11" x14ac:dyDescent="0.3">
      <c r="A16" s="47">
        <v>15</v>
      </c>
      <c r="B16" t="s">
        <v>1286</v>
      </c>
      <c r="C16" t="s">
        <v>1075</v>
      </c>
      <c r="E16" t="s">
        <v>1076</v>
      </c>
      <c r="F16" t="s">
        <v>973</v>
      </c>
      <c r="H16" s="194">
        <f>SUMIF(주문_리스트!C:C,거래처!B16,주문_리스트!K:K)+SUMIF(주문_리스트!C:C,거래처!B16,주문_리스트!L:L)</f>
        <v>0</v>
      </c>
    </row>
    <row r="17" spans="1:13" x14ac:dyDescent="0.3">
      <c r="A17" s="47">
        <v>16</v>
      </c>
      <c r="B17" t="s">
        <v>1287</v>
      </c>
      <c r="C17" t="s">
        <v>1021</v>
      </c>
      <c r="E17" t="s">
        <v>1022</v>
      </c>
      <c r="F17" t="s">
        <v>973</v>
      </c>
      <c r="H17" s="194">
        <f>SUMIF(주문_리스트!C:C,거래처!B17,주문_리스트!K:K)+SUMIF(주문_리스트!C:C,거래처!B17,주문_리스트!L:L)+13873000</f>
        <v>15268000.199999999</v>
      </c>
    </row>
    <row r="18" spans="1:13" x14ac:dyDescent="0.3">
      <c r="A18" s="47">
        <v>17</v>
      </c>
      <c r="B18" t="s">
        <v>1288</v>
      </c>
      <c r="C18" t="s">
        <v>1177</v>
      </c>
      <c r="E18" t="s">
        <v>1178</v>
      </c>
      <c r="F18" t="s">
        <v>1179</v>
      </c>
      <c r="G18" t="s">
        <v>1180</v>
      </c>
      <c r="H18" s="194">
        <f>SUMIF(주문_리스트!C:C,거래처!B18,주문_리스트!K:K)+SUMIF(주문_리스트!C:C,거래처!B18,주문_리스트!L:L)-2524500</f>
        <v>0</v>
      </c>
    </row>
    <row r="19" spans="1:13" x14ac:dyDescent="0.3">
      <c r="A19" s="47">
        <v>18</v>
      </c>
      <c r="B19" t="s">
        <v>1289</v>
      </c>
      <c r="C19" t="s">
        <v>1001</v>
      </c>
      <c r="E19" t="s">
        <v>1002</v>
      </c>
      <c r="F19" t="s">
        <v>973</v>
      </c>
      <c r="H19" s="194">
        <f>SUMIF(주문_리스트!C:C,거래처!B19,주문_리스트!K:K)+SUMIF(주문_리스트!C:C,거래처!B19,주문_리스트!L:L)+9970000</f>
        <v>11195000</v>
      </c>
      <c r="M19" s="282"/>
    </row>
    <row r="20" spans="1:13" x14ac:dyDescent="0.3">
      <c r="A20" s="47">
        <v>19</v>
      </c>
      <c r="B20" t="s">
        <v>1290</v>
      </c>
      <c r="C20" t="s">
        <v>1232</v>
      </c>
      <c r="E20" t="s">
        <v>1233</v>
      </c>
      <c r="F20" t="s">
        <v>1226</v>
      </c>
      <c r="G20" t="s">
        <v>1122</v>
      </c>
      <c r="H20" s="194">
        <f>SUMIF(주문_리스트!C:C,거래처!B20,주문_리스트!K:K)+SUMIF(주문_리스트!C:C,거래처!B20,주문_리스트!L:L)-10000</f>
        <v>2644999.6999999993</v>
      </c>
    </row>
    <row r="21" spans="1:13" x14ac:dyDescent="0.3">
      <c r="A21" s="47">
        <v>20</v>
      </c>
      <c r="B21" t="s">
        <v>1234</v>
      </c>
      <c r="C21" t="s">
        <v>1235</v>
      </c>
      <c r="E21" t="s">
        <v>1236</v>
      </c>
      <c r="F21" t="s">
        <v>1237</v>
      </c>
      <c r="H21" s="194">
        <f>SUMIF(주문_리스트!C:C,거래처!B21,주문_리스트!K:K)+SUMIF(주문_리스트!C:C,거래처!B21,주문_리스트!L:L)</f>
        <v>0</v>
      </c>
      <c r="I21" s="52" t="s">
        <v>3206</v>
      </c>
    </row>
    <row r="22" spans="1:13" x14ac:dyDescent="0.3">
      <c r="A22" s="47">
        <v>21</v>
      </c>
      <c r="B22" t="s">
        <v>1292</v>
      </c>
      <c r="C22" t="s">
        <v>1063</v>
      </c>
      <c r="E22" t="s">
        <v>1064</v>
      </c>
      <c r="F22" t="s">
        <v>973</v>
      </c>
      <c r="H22" s="194">
        <f>SUMIF(주문_리스트!C:C,거래처!B22,주문_리스트!K:K)+SUMIF(주문_리스트!C:C,거래처!B22,주문_리스트!L:L)</f>
        <v>0</v>
      </c>
    </row>
    <row r="23" spans="1:13" x14ac:dyDescent="0.3">
      <c r="A23" s="47">
        <v>22</v>
      </c>
      <c r="B23" t="s">
        <v>1293</v>
      </c>
      <c r="C23" t="s">
        <v>992</v>
      </c>
      <c r="E23" t="s">
        <v>993</v>
      </c>
      <c r="H23" s="194">
        <f>SUMIF(주문_리스트!C:C,거래처!B23,주문_리스트!K:K)+SUMIF(주문_리스트!C:C,거래처!B23,주문_리스트!L:L)</f>
        <v>0</v>
      </c>
    </row>
    <row r="24" spans="1:13" x14ac:dyDescent="0.3">
      <c r="A24" s="47">
        <v>23</v>
      </c>
      <c r="B24" t="s">
        <v>1294</v>
      </c>
      <c r="C24" t="s">
        <v>3391</v>
      </c>
      <c r="E24" t="s">
        <v>3392</v>
      </c>
      <c r="F24" t="s">
        <v>1181</v>
      </c>
      <c r="H24" s="194">
        <f>SUMIF(주문_리스트!C:C,거래처!B24,주문_리스트!K:K)+SUMIF(주문_리스트!C:C,거래처!B24,주문_리스트!L:L)</f>
        <v>0</v>
      </c>
      <c r="I24" s="52" t="s">
        <v>3524</v>
      </c>
    </row>
    <row r="25" spans="1:13" x14ac:dyDescent="0.3">
      <c r="A25" s="47">
        <v>24</v>
      </c>
      <c r="B25" t="s">
        <v>1295</v>
      </c>
      <c r="C25" t="s">
        <v>1016</v>
      </c>
      <c r="E25" t="s">
        <v>1017</v>
      </c>
      <c r="F25" t="s">
        <v>973</v>
      </c>
      <c r="H25" s="194">
        <f>SUMIF(주문_리스트!C:C,거래처!B25,주문_리스트!K:K)+SUMIF(주문_리스트!C:C,거래처!B25,주문_리스트!L:L)-210000</f>
        <v>0</v>
      </c>
    </row>
    <row r="26" spans="1:13" x14ac:dyDescent="0.3">
      <c r="A26" s="47">
        <v>25</v>
      </c>
      <c r="B26" t="s">
        <v>1296</v>
      </c>
      <c r="C26" t="s">
        <v>1044</v>
      </c>
      <c r="E26" t="s">
        <v>1045</v>
      </c>
      <c r="H26" s="194">
        <f>SUMIF(주문_리스트!C:C,거래처!B26,주문_리스트!K:K)+SUMIF(주문_리스트!C:C,거래처!B26,주문_리스트!L:L)-1200000</f>
        <v>0</v>
      </c>
    </row>
    <row r="27" spans="1:13" x14ac:dyDescent="0.3">
      <c r="A27" s="47">
        <v>26</v>
      </c>
      <c r="B27" t="s">
        <v>1297</v>
      </c>
      <c r="C27" t="s">
        <v>988</v>
      </c>
      <c r="E27" t="s">
        <v>989</v>
      </c>
      <c r="F27" t="s">
        <v>963</v>
      </c>
      <c r="G27" t="s">
        <v>3457</v>
      </c>
      <c r="H27" s="194">
        <f>SUMIF(주문_리스트!C:C,거래처!B27,주문_리스트!K:K)+SUMIF(주문_리스트!C:C,거래처!B27,주문_리스트!L:L)</f>
        <v>0</v>
      </c>
    </row>
    <row r="28" spans="1:13" x14ac:dyDescent="0.3">
      <c r="A28" s="47">
        <v>27</v>
      </c>
      <c r="B28" t="s">
        <v>1611</v>
      </c>
      <c r="C28" t="s">
        <v>1612</v>
      </c>
      <c r="E28" t="s">
        <v>1613</v>
      </c>
      <c r="F28" t="s">
        <v>1614</v>
      </c>
      <c r="G28" t="s">
        <v>227</v>
      </c>
      <c r="H28" s="194">
        <f>SUMIF(주문_리스트!C:C,거래처!B28,주문_리스트!K:K)+SUMIF(주문_리스트!C:C,거래처!B28,주문_리스트!L:L)-1683000</f>
        <v>0</v>
      </c>
    </row>
    <row r="29" spans="1:13" x14ac:dyDescent="0.3">
      <c r="A29" s="47">
        <v>28</v>
      </c>
      <c r="B29" t="s">
        <v>1904</v>
      </c>
      <c r="C29" t="s">
        <v>1905</v>
      </c>
      <c r="E29" t="s">
        <v>1906</v>
      </c>
      <c r="F29" t="s">
        <v>1899</v>
      </c>
      <c r="G29" t="s">
        <v>1907</v>
      </c>
      <c r="H29" s="194">
        <f>SUMIF(주문_리스트!C:C,거래처!B29,주문_리스트!K:K)+SUMIF(주문_리스트!C:C,거래처!B29,주문_리스트!L:L)-3710000</f>
        <v>0</v>
      </c>
    </row>
    <row r="30" spans="1:13" x14ac:dyDescent="0.3">
      <c r="A30" s="47">
        <v>29</v>
      </c>
      <c r="B30" t="s">
        <v>1077</v>
      </c>
      <c r="C30" t="s">
        <v>1078</v>
      </c>
      <c r="E30" t="s">
        <v>1079</v>
      </c>
      <c r="F30" t="s">
        <v>963</v>
      </c>
      <c r="H30" s="194">
        <f>SUMIF(주문_리스트!C:C,거래처!B30,주문_리스트!K:K)+SUMIF(주문_리스트!C:C,거래처!B30,주문_리스트!L:L)</f>
        <v>0</v>
      </c>
    </row>
    <row r="31" spans="1:13" x14ac:dyDescent="0.3">
      <c r="A31" s="47">
        <v>30</v>
      </c>
      <c r="B31" t="s">
        <v>1298</v>
      </c>
      <c r="C31" t="s">
        <v>1712</v>
      </c>
      <c r="E31" t="s">
        <v>1713</v>
      </c>
      <c r="F31" t="s">
        <v>963</v>
      </c>
      <c r="G31" t="s">
        <v>1714</v>
      </c>
      <c r="H31" s="194">
        <f>SUMIF(주문_리스트!C:C,거래처!B31,주문_리스트!K:K)+SUMIF(주문_리스트!C:C,거래처!B31,주문_리스트!L:L)-1200000</f>
        <v>2400000</v>
      </c>
    </row>
    <row r="32" spans="1:13" x14ac:dyDescent="0.3">
      <c r="A32" s="47">
        <v>31</v>
      </c>
      <c r="B32" t="s">
        <v>983</v>
      </c>
      <c r="C32" t="s">
        <v>984</v>
      </c>
      <c r="E32" t="s">
        <v>985</v>
      </c>
      <c r="F32" t="s">
        <v>969</v>
      </c>
      <c r="G32" t="s">
        <v>986</v>
      </c>
      <c r="H32" s="194">
        <f>SUMIF(주문_리스트!C:C,거래처!B32,주문_리스트!K:K)+SUMIF(주문_리스트!C:C,거래처!B32,주문_리스트!L:L)</f>
        <v>0</v>
      </c>
    </row>
    <row r="33" spans="1:10" x14ac:dyDescent="0.3">
      <c r="A33" s="47">
        <v>32</v>
      </c>
      <c r="B33" t="s">
        <v>1299</v>
      </c>
      <c r="C33" t="s">
        <v>3328</v>
      </c>
      <c r="E33" t="s">
        <v>3329</v>
      </c>
      <c r="F33" t="s">
        <v>3330</v>
      </c>
      <c r="G33" t="s">
        <v>1057</v>
      </c>
      <c r="H33" s="194">
        <f>SUMIF(주문_리스트!C:C,거래처!B33,주문_리스트!K:K)+SUMIF(주문_리스트!C:C,거래처!B33,주문_리스트!L:L)</f>
        <v>0</v>
      </c>
      <c r="I33" s="52" t="s">
        <v>3622</v>
      </c>
      <c r="J33" t="s">
        <v>3622</v>
      </c>
    </row>
    <row r="34" spans="1:10" x14ac:dyDescent="0.3">
      <c r="A34" s="47">
        <v>33</v>
      </c>
      <c r="B34" t="s">
        <v>1300</v>
      </c>
      <c r="C34" t="s">
        <v>1103</v>
      </c>
      <c r="E34" t="s">
        <v>1104</v>
      </c>
      <c r="F34" t="s">
        <v>973</v>
      </c>
      <c r="H34" s="194">
        <f>SUMIF(주문_리스트!C:C,거래처!B34,주문_리스트!K:K)+SUMIF(주문_리스트!C:C,거래처!B34,주문_리스트!L:L)</f>
        <v>0</v>
      </c>
    </row>
    <row r="35" spans="1:10" x14ac:dyDescent="0.3">
      <c r="A35" s="47">
        <v>34</v>
      </c>
      <c r="B35" t="s">
        <v>1301</v>
      </c>
      <c r="C35" t="s">
        <v>971</v>
      </c>
      <c r="E35" t="s">
        <v>972</v>
      </c>
      <c r="F35" t="s">
        <v>973</v>
      </c>
      <c r="H35" s="194">
        <f>SUMIF(주문_리스트!C:C,거래처!B35,주문_리스트!K:K)+SUMIF(주문_리스트!C:C,거래처!B35,주문_리스트!L:L)</f>
        <v>0</v>
      </c>
    </row>
    <row r="36" spans="1:10" x14ac:dyDescent="0.3">
      <c r="A36" s="47">
        <v>35</v>
      </c>
      <c r="B36" t="s">
        <v>1571</v>
      </c>
      <c r="C36" t="s">
        <v>1552</v>
      </c>
      <c r="E36" t="s">
        <v>1553</v>
      </c>
      <c r="F36" t="s">
        <v>32</v>
      </c>
      <c r="G36" t="s">
        <v>3091</v>
      </c>
      <c r="H36" s="194">
        <f>SUMIF(주문_리스트!C:C,거래처!B36,주문_리스트!K:K)+SUMIF(주문_리스트!C:C,거래처!B36,주문_리스트!L:L)-2200000</f>
        <v>0</v>
      </c>
    </row>
    <row r="37" spans="1:10" x14ac:dyDescent="0.3">
      <c r="A37" s="47">
        <v>36</v>
      </c>
      <c r="B37" t="s">
        <v>1302</v>
      </c>
      <c r="C37" t="s">
        <v>20</v>
      </c>
      <c r="D37" t="s">
        <v>958</v>
      </c>
      <c r="E37" t="s">
        <v>21</v>
      </c>
      <c r="F37" t="s">
        <v>25</v>
      </c>
      <c r="G37" t="s">
        <v>21</v>
      </c>
      <c r="H37" s="194">
        <f>SUMIF(주문_리스트!C:C,거래처!B37,주문_리스트!K:K)+SUMIF(주문_리스트!C:C,거래처!B37,주문_리스트!L:L)-6136000</f>
        <v>4050000</v>
      </c>
    </row>
    <row r="38" spans="1:10" x14ac:dyDescent="0.3">
      <c r="A38" s="47">
        <v>37</v>
      </c>
      <c r="B38" t="s">
        <v>1035</v>
      </c>
      <c r="C38" t="s">
        <v>966</v>
      </c>
      <c r="E38" t="s">
        <v>3813</v>
      </c>
      <c r="F38" t="s">
        <v>32</v>
      </c>
      <c r="G38" t="s">
        <v>1564</v>
      </c>
      <c r="H38" s="194">
        <f>SUMIF(주문_리스트!C:C,거래처!B38,주문_리스트!K:K)+SUMIF(주문_리스트!C:C,거래처!B38,주문_리스트!L:L)</f>
        <v>1954999.9000000004</v>
      </c>
    </row>
    <row r="39" spans="1:10" x14ac:dyDescent="0.3">
      <c r="A39" s="47">
        <v>38</v>
      </c>
      <c r="B39" t="s">
        <v>1303</v>
      </c>
      <c r="C39" t="s">
        <v>1392</v>
      </c>
      <c r="E39" t="s">
        <v>1393</v>
      </c>
      <c r="F39" t="s">
        <v>963</v>
      </c>
      <c r="G39" t="s">
        <v>1394</v>
      </c>
      <c r="H39" s="194">
        <f>SUMIF(주문_리스트!C:C,거래처!B39,주문_리스트!K:K)+SUMIF(주문_리스트!C:C,거래처!B39,주문_리스트!L:L)-2200000</f>
        <v>0</v>
      </c>
      <c r="I39" s="52" t="s">
        <v>3765</v>
      </c>
    </row>
    <row r="40" spans="1:10" x14ac:dyDescent="0.3">
      <c r="A40" s="47">
        <v>39</v>
      </c>
      <c r="B40" t="s">
        <v>1304</v>
      </c>
      <c r="C40" t="s">
        <v>995</v>
      </c>
      <c r="E40" t="s">
        <v>996</v>
      </c>
      <c r="H40" s="194">
        <f>SUMIF(주문_리스트!C:C,거래처!B40,주문_리스트!K:K)+SUMIF(주문_리스트!C:C,거래처!B40,주문_리스트!L:L)</f>
        <v>0</v>
      </c>
    </row>
    <row r="41" spans="1:10" x14ac:dyDescent="0.3">
      <c r="A41" s="47">
        <v>40</v>
      </c>
      <c r="B41" t="s">
        <v>1305</v>
      </c>
      <c r="C41" t="s">
        <v>1047</v>
      </c>
      <c r="E41" t="s">
        <v>1048</v>
      </c>
      <c r="F41" t="s">
        <v>973</v>
      </c>
      <c r="H41" s="194">
        <f>SUMIF(주문_리스트!C:C,거래처!B41,주문_리스트!K:K)+SUMIF(주문_리스트!C:C,거래처!B41,주문_리스트!L:L)+1210000</f>
        <v>0</v>
      </c>
    </row>
    <row r="42" spans="1:10" x14ac:dyDescent="0.3">
      <c r="A42" s="47">
        <v>41</v>
      </c>
      <c r="B42" t="s">
        <v>1012</v>
      </c>
      <c r="C42" t="s">
        <v>1013</v>
      </c>
      <c r="E42" t="s">
        <v>1014</v>
      </c>
      <c r="F42" t="s">
        <v>976</v>
      </c>
      <c r="H42" s="194">
        <f>SUMIF(주문_리스트!C:C,거래처!B42,주문_리스트!K:K)+SUMIF(주문_리스트!C:C,거래처!B42,주문_리스트!L:L)</f>
        <v>0</v>
      </c>
    </row>
    <row r="43" spans="1:10" x14ac:dyDescent="0.3">
      <c r="A43" s="47">
        <v>42</v>
      </c>
      <c r="B43" t="s">
        <v>1307</v>
      </c>
      <c r="C43" t="s">
        <v>1364</v>
      </c>
      <c r="E43" t="s">
        <v>1365</v>
      </c>
      <c r="F43" t="s">
        <v>2349</v>
      </c>
      <c r="G43" t="s">
        <v>2350</v>
      </c>
      <c r="H43" s="194">
        <f>SUMIF(주문_리스트!C:C,거래처!B43,주문_리스트!K:K)+SUMIF(주문_리스트!C:C,거래처!B43,주문_리스트!L:L)-1600000</f>
        <v>0</v>
      </c>
      <c r="I43" s="52" t="s">
        <v>3524</v>
      </c>
    </row>
    <row r="44" spans="1:10" x14ac:dyDescent="0.3">
      <c r="A44" s="47">
        <v>43</v>
      </c>
      <c r="B44" t="s">
        <v>1308</v>
      </c>
      <c r="C44" t="s">
        <v>2644</v>
      </c>
      <c r="E44" t="s">
        <v>2645</v>
      </c>
      <c r="F44" t="s">
        <v>963</v>
      </c>
      <c r="G44" t="s">
        <v>2646</v>
      </c>
      <c r="H44" s="194">
        <f>SUMIF(주문_리스트!C:C,거래처!B44,주문_리스트!K:K)+SUMIF(주문_리스트!C:C,거래처!B44,주문_리스트!L:L)</f>
        <v>0</v>
      </c>
    </row>
    <row r="45" spans="1:10" x14ac:dyDescent="0.3">
      <c r="A45" s="47">
        <v>44</v>
      </c>
      <c r="B45" t="s">
        <v>1309</v>
      </c>
      <c r="C45" t="s">
        <v>1080</v>
      </c>
      <c r="E45" t="s">
        <v>1081</v>
      </c>
      <c r="F45" t="s">
        <v>973</v>
      </c>
      <c r="H45" s="194">
        <f>SUMIF(주문_리스트!C:C,거래처!B45,주문_리스트!K:K)+SUMIF(주문_리스트!C:C,거래처!B45,주문_리스트!L:L)</f>
        <v>0</v>
      </c>
    </row>
    <row r="46" spans="1:10" x14ac:dyDescent="0.3">
      <c r="A46" s="47">
        <v>45</v>
      </c>
      <c r="B46" t="s">
        <v>1310</v>
      </c>
      <c r="C46" t="s">
        <v>2442</v>
      </c>
      <c r="E46" t="s">
        <v>2444</v>
      </c>
      <c r="F46" t="s">
        <v>1181</v>
      </c>
      <c r="G46" t="s">
        <v>2443</v>
      </c>
      <c r="H46" s="194">
        <f>SUMIF(주문_리스트!C:C,거래처!B46,주문_리스트!K:K)+SUMIF(주문_리스트!C:C,거래처!B46,주문_리스트!L:L)-200000</f>
        <v>0</v>
      </c>
    </row>
    <row r="47" spans="1:10" x14ac:dyDescent="0.3">
      <c r="A47" s="47">
        <v>46</v>
      </c>
      <c r="B47" t="s">
        <v>1311</v>
      </c>
      <c r="C47" t="s">
        <v>1073</v>
      </c>
      <c r="E47" t="s">
        <v>1074</v>
      </c>
      <c r="F47" t="s">
        <v>973</v>
      </c>
      <c r="H47" s="194">
        <f>SUMIF(주문_리스트!C:C,거래처!B47,주문_리스트!K:K)+SUMIF(주문_리스트!C:C,거래처!B47,주문_리스트!L:L)</f>
        <v>0</v>
      </c>
    </row>
    <row r="48" spans="1:10" x14ac:dyDescent="0.3">
      <c r="A48" s="47">
        <v>47</v>
      </c>
      <c r="B48" t="s">
        <v>1312</v>
      </c>
      <c r="C48" t="s">
        <v>967</v>
      </c>
      <c r="E48" t="s">
        <v>968</v>
      </c>
      <c r="F48" t="s">
        <v>969</v>
      </c>
      <c r="G48" t="s">
        <v>970</v>
      </c>
      <c r="H48" s="194">
        <f>SUMIF(주문_리스트!C:C,거래처!B48,주문_리스트!K:K)+SUMIF(주문_리스트!C:C,거래처!B48,주문_리스트!L:L)</f>
        <v>0</v>
      </c>
    </row>
    <row r="49" spans="1:9" x14ac:dyDescent="0.3">
      <c r="A49" s="47">
        <v>48</v>
      </c>
      <c r="B49" t="s">
        <v>1313</v>
      </c>
      <c r="C49" t="s">
        <v>1224</v>
      </c>
      <c r="E49" t="s">
        <v>1225</v>
      </c>
      <c r="F49" t="s">
        <v>1226</v>
      </c>
      <c r="G49" t="s">
        <v>1227</v>
      </c>
      <c r="H49" s="194">
        <f>SUMIF(주문_리스트!C:C,거래처!B49,주문_리스트!K:K)+SUMIF(주문_리스트!C:C,거래처!B49,주문_리스트!L:L)-5199000</f>
        <v>0.10000000149011612</v>
      </c>
    </row>
    <row r="50" spans="1:9" x14ac:dyDescent="0.3">
      <c r="A50" s="47">
        <v>49</v>
      </c>
      <c r="B50" t="s">
        <v>1268</v>
      </c>
      <c r="C50" t="s">
        <v>1269</v>
      </c>
      <c r="E50" t="s">
        <v>1270</v>
      </c>
      <c r="H50" s="194">
        <f>SUMIF(주문_리스트!C:C,거래처!B50,주문_리스트!K:K)+SUMIF(주문_리스트!C:C,거래처!B50,주문_리스트!L:L)-1500000</f>
        <v>0</v>
      </c>
      <c r="I50" s="52" t="s">
        <v>3873</v>
      </c>
    </row>
    <row r="51" spans="1:9" x14ac:dyDescent="0.3">
      <c r="A51" s="47">
        <v>50</v>
      </c>
      <c r="B51" t="s">
        <v>1271</v>
      </c>
      <c r="C51" t="s">
        <v>1272</v>
      </c>
      <c r="E51" t="s">
        <v>1273</v>
      </c>
      <c r="F51" t="s">
        <v>963</v>
      </c>
      <c r="G51" t="s">
        <v>1864</v>
      </c>
      <c r="H51" s="194">
        <f>SUMIF(주문_리스트!C:C,거래처!B51,주문_리스트!K:K)+SUMIF(주문_리스트!C:C,거래처!B51,주문_리스트!L:L)-3500000</f>
        <v>0</v>
      </c>
    </row>
    <row r="52" spans="1:9" x14ac:dyDescent="0.3">
      <c r="A52" s="47">
        <v>51</v>
      </c>
      <c r="B52" t="s">
        <v>1314</v>
      </c>
      <c r="C52" t="s">
        <v>1396</v>
      </c>
      <c r="E52" t="s">
        <v>1397</v>
      </c>
      <c r="F52" t="s">
        <v>963</v>
      </c>
      <c r="G52" t="s">
        <v>1398</v>
      </c>
      <c r="H52" s="194">
        <f>SUMIF(주문_리스트!C:C,거래처!B52,주문_리스트!K:K)+SUMIF(주문_리스트!C:C,거래처!B52,주문_리스트!L:L)-650000</f>
        <v>0</v>
      </c>
    </row>
    <row r="53" spans="1:9" x14ac:dyDescent="0.3">
      <c r="A53" s="47">
        <v>52</v>
      </c>
      <c r="B53" t="s">
        <v>1315</v>
      </c>
      <c r="C53" t="s">
        <v>1036</v>
      </c>
      <c r="E53" t="s">
        <v>1037</v>
      </c>
      <c r="F53" t="s">
        <v>973</v>
      </c>
      <c r="H53" s="194">
        <f>SUMIF(주문_리스트!C:C,거래처!B53,주문_리스트!K:K)+SUMIF(주문_리스트!C:C,거래처!B53,주문_리스트!L:L)</f>
        <v>0</v>
      </c>
    </row>
    <row r="54" spans="1:9" x14ac:dyDescent="0.3">
      <c r="A54" s="47">
        <v>53</v>
      </c>
      <c r="B54" t="s">
        <v>1148</v>
      </c>
      <c r="C54" t="s">
        <v>1789</v>
      </c>
      <c r="E54" t="s">
        <v>2626</v>
      </c>
      <c r="F54" t="s">
        <v>32</v>
      </c>
      <c r="G54" t="s">
        <v>2627</v>
      </c>
      <c r="H54" s="194">
        <f>SUMIF(주문_리스트!C:C,거래처!B54,주문_리스트!K:K)+SUMIF(주문_리스트!C:C,거래처!B54,주문_리스트!L:L)-4015000</f>
        <v>1170000</v>
      </c>
      <c r="I54" s="52" t="s">
        <v>3765</v>
      </c>
    </row>
    <row r="55" spans="1:9" x14ac:dyDescent="0.3">
      <c r="A55" s="47">
        <v>54</v>
      </c>
      <c r="B55" t="s">
        <v>1089</v>
      </c>
      <c r="C55" t="s">
        <v>1090</v>
      </c>
      <c r="E55" t="s">
        <v>1091</v>
      </c>
      <c r="F55" t="s">
        <v>969</v>
      </c>
      <c r="H55" s="194">
        <f>SUMIF(주문_리스트!C:C,거래처!B55,주문_리스트!K:K)+SUMIF(주문_리스트!C:C,거래처!B55,주문_리스트!L:L)</f>
        <v>0</v>
      </c>
    </row>
    <row r="56" spans="1:9" x14ac:dyDescent="0.3">
      <c r="A56" s="47">
        <v>55</v>
      </c>
      <c r="B56" t="s">
        <v>1316</v>
      </c>
      <c r="C56" t="s">
        <v>1033</v>
      </c>
      <c r="E56" t="s">
        <v>1034</v>
      </c>
      <c r="F56" t="s">
        <v>973</v>
      </c>
      <c r="H56" s="194">
        <f>SUMIF(주문_리스트!C:C,거래처!B56,주문_리스트!K:K)+SUMIF(주문_리스트!C:C,거래처!B56,주문_리스트!L:L)</f>
        <v>0</v>
      </c>
    </row>
    <row r="57" spans="1:9" x14ac:dyDescent="0.3">
      <c r="A57" s="47">
        <v>56</v>
      </c>
      <c r="B57" t="s">
        <v>1317</v>
      </c>
      <c r="C57" t="s">
        <v>26</v>
      </c>
      <c r="E57" t="s">
        <v>27</v>
      </c>
      <c r="H57" s="194">
        <f>SUMIF(주문_리스트!C:C,거래처!B57,주문_리스트!K:K)+SUMIF(주문_리스트!C:C,거래처!B57,주문_리스트!L:L)+3478000</f>
        <v>0</v>
      </c>
    </row>
    <row r="58" spans="1:9" x14ac:dyDescent="0.3">
      <c r="A58" s="47">
        <v>57</v>
      </c>
      <c r="B58" t="s">
        <v>1318</v>
      </c>
      <c r="C58" t="s">
        <v>1242</v>
      </c>
      <c r="E58" t="s">
        <v>1243</v>
      </c>
      <c r="F58" t="s">
        <v>963</v>
      </c>
      <c r="G58" t="s">
        <v>1244</v>
      </c>
      <c r="H58" s="194">
        <f>SUMIF(주문_리스트!C:C,거래처!B58,주문_리스트!K:K)+SUMIF(주문_리스트!C:C,거래처!B58,주문_리스트!L:L)-650000</f>
        <v>0</v>
      </c>
    </row>
    <row r="59" spans="1:9" x14ac:dyDescent="0.3">
      <c r="A59" s="47">
        <v>58</v>
      </c>
      <c r="B59" t="s">
        <v>1319</v>
      </c>
      <c r="C59" t="s">
        <v>1005</v>
      </c>
      <c r="E59" t="s">
        <v>1006</v>
      </c>
      <c r="F59" t="s">
        <v>973</v>
      </c>
      <c r="H59" s="194">
        <f>SUMIF(주문_리스트!C:C,거래처!B59,주문_리스트!K:K)+SUMIF(주문_리스트!C:C,거래처!B59,주문_리스트!L:L)</f>
        <v>0</v>
      </c>
      <c r="I59" s="52" t="s">
        <v>3273</v>
      </c>
    </row>
    <row r="60" spans="1:9" x14ac:dyDescent="0.3">
      <c r="A60" s="47">
        <v>59</v>
      </c>
      <c r="B60" t="s">
        <v>997</v>
      </c>
      <c r="C60" t="s">
        <v>998</v>
      </c>
      <c r="E60" t="s">
        <v>999</v>
      </c>
      <c r="F60" t="s">
        <v>976</v>
      </c>
      <c r="H60" s="194">
        <f>SUMIF(주문_리스트!C:C,거래처!B60,주문_리스트!K:K)+SUMIF(주문_리스트!C:C,거래처!B60,주문_리스트!L:L)</f>
        <v>0</v>
      </c>
    </row>
    <row r="61" spans="1:9" x14ac:dyDescent="0.3">
      <c r="A61" s="47">
        <v>60</v>
      </c>
      <c r="B61" t="s">
        <v>1320</v>
      </c>
      <c r="C61" t="s">
        <v>1043</v>
      </c>
      <c r="E61" t="s">
        <v>1622</v>
      </c>
      <c r="F61" t="s">
        <v>973</v>
      </c>
      <c r="H61" s="194">
        <f>SUMIF(주문_리스트!C:C,거래처!B61,주문_리스트!K:K)+SUMIF(주문_리스트!C:C,거래처!B61,주문_리스트!L:L)</f>
        <v>0</v>
      </c>
    </row>
    <row r="62" spans="1:9" x14ac:dyDescent="0.3">
      <c r="A62" s="47">
        <v>61</v>
      </c>
      <c r="B62" t="s">
        <v>1321</v>
      </c>
      <c r="C62" t="s">
        <v>2605</v>
      </c>
      <c r="E62" t="s">
        <v>2606</v>
      </c>
      <c r="F62" t="s">
        <v>2607</v>
      </c>
      <c r="G62" t="s">
        <v>2608</v>
      </c>
      <c r="H62" s="194">
        <f>SUMIF(주문_리스트!C:C,거래처!B62,주문_리스트!K:K)+SUMIF(주문_리스트!C:C,거래처!B62,주문_리스트!L:L)</f>
        <v>0</v>
      </c>
    </row>
    <row r="63" spans="1:9" x14ac:dyDescent="0.3">
      <c r="A63" s="47">
        <v>62</v>
      </c>
      <c r="B63" t="s">
        <v>1322</v>
      </c>
      <c r="C63" t="s">
        <v>1041</v>
      </c>
      <c r="E63" t="s">
        <v>1042</v>
      </c>
      <c r="F63" t="s">
        <v>973</v>
      </c>
      <c r="H63" s="194">
        <f>SUMIF(주문_리스트!C:C,거래처!B63,주문_리스트!K:K)+SUMIF(주문_리스트!C:C,거래처!B63,주문_리스트!L:L)</f>
        <v>0</v>
      </c>
    </row>
    <row r="64" spans="1:9" x14ac:dyDescent="0.3">
      <c r="A64" s="47">
        <v>63</v>
      </c>
      <c r="B64" t="s">
        <v>1323</v>
      </c>
      <c r="C64" t="s">
        <v>1061</v>
      </c>
      <c r="E64" t="s">
        <v>1062</v>
      </c>
      <c r="F64" t="s">
        <v>973</v>
      </c>
      <c r="H64" s="194">
        <f>SUMIF(주문_리스트!C:C,거래처!B64,주문_리스트!K:K)+SUMIF(주문_리스트!C:C,거래처!B64,주문_리스트!L:L)</f>
        <v>0</v>
      </c>
    </row>
    <row r="65" spans="1:10" x14ac:dyDescent="0.3">
      <c r="A65" s="47">
        <v>64</v>
      </c>
      <c r="B65" t="s">
        <v>1324</v>
      </c>
      <c r="C65" t="s">
        <v>2620</v>
      </c>
      <c r="E65" t="s">
        <v>2621</v>
      </c>
      <c r="F65" t="s">
        <v>33</v>
      </c>
      <c r="G65" t="s">
        <v>3884</v>
      </c>
      <c r="H65" s="194">
        <f>SUMIF(주문_리스트!C:C,거래처!B65,주문_리스트!K:K)+SUMIF(주문_리스트!C:C,거래처!B65,주문_리스트!L:L)</f>
        <v>0</v>
      </c>
      <c r="J65" t="s">
        <v>3903</v>
      </c>
    </row>
    <row r="66" spans="1:10" x14ac:dyDescent="0.3">
      <c r="A66" s="47">
        <v>65</v>
      </c>
      <c r="B66" t="s">
        <v>1188</v>
      </c>
      <c r="C66" t="s">
        <v>1189</v>
      </c>
      <c r="E66" t="s">
        <v>1190</v>
      </c>
      <c r="F66" t="s">
        <v>2047</v>
      </c>
      <c r="G66" t="s">
        <v>2048</v>
      </c>
      <c r="H66" s="194">
        <f>SUMIF(주문_리스트!C:C,거래처!B66,주문_리스트!K:K)+SUMIF(주문_리스트!C:C,거래처!B66,주문_리스트!L:L)</f>
        <v>0</v>
      </c>
    </row>
    <row r="67" spans="1:10" x14ac:dyDescent="0.3">
      <c r="A67" s="47">
        <v>66</v>
      </c>
      <c r="B67" t="s">
        <v>1325</v>
      </c>
      <c r="C67" t="s">
        <v>1067</v>
      </c>
      <c r="E67" t="s">
        <v>1068</v>
      </c>
      <c r="F67" t="s">
        <v>973</v>
      </c>
      <c r="H67" s="194">
        <f>SUMIF(주문_리스트!C:C,거래처!B67,주문_리스트!K:K)+SUMIF(주문_리스트!C:C,거래처!B67,주문_리스트!L:L)</f>
        <v>0</v>
      </c>
    </row>
    <row r="68" spans="1:10" x14ac:dyDescent="0.3">
      <c r="A68" s="47">
        <v>67</v>
      </c>
      <c r="B68" t="s">
        <v>1326</v>
      </c>
      <c r="C68" t="s">
        <v>1027</v>
      </c>
      <c r="E68" t="s">
        <v>1028</v>
      </c>
      <c r="F68" t="s">
        <v>973</v>
      </c>
      <c r="H68" s="194">
        <f>SUMIF(주문_리스트!C:C,거래처!B68,주문_리스트!K:K)+SUMIF(주문_리스트!C:C,거래처!B68,주문_리스트!L:L)-1000000</f>
        <v>700000</v>
      </c>
    </row>
    <row r="69" spans="1:10" x14ac:dyDescent="0.3">
      <c r="A69" s="47">
        <v>68</v>
      </c>
      <c r="B69" t="s">
        <v>1327</v>
      </c>
      <c r="C69" t="s">
        <v>1071</v>
      </c>
      <c r="E69" t="s">
        <v>1072</v>
      </c>
      <c r="H69" s="194">
        <f>SUMIF(주문_리스트!C:C,거래처!B69,주문_리스트!K:K)+SUMIF(주문_리스트!C:C,거래처!B69,주문_리스트!L:L)</f>
        <v>0</v>
      </c>
    </row>
    <row r="70" spans="1:10" x14ac:dyDescent="0.3">
      <c r="A70" s="47">
        <v>69</v>
      </c>
      <c r="B70" t="s">
        <v>1328</v>
      </c>
      <c r="C70" t="s">
        <v>2102</v>
      </c>
      <c r="E70" t="s">
        <v>2103</v>
      </c>
      <c r="F70" t="s">
        <v>32</v>
      </c>
      <c r="G70" t="s">
        <v>2445</v>
      </c>
      <c r="H70" s="194">
        <f>SUMIF(주문_리스트!C:C,거래처!B70,주문_리스트!K:K)+SUMIF(주문_리스트!C:C,거래처!B70,주문_리스트!L:L)</f>
        <v>0</v>
      </c>
    </row>
    <row r="71" spans="1:10" x14ac:dyDescent="0.3">
      <c r="A71" s="47">
        <v>70</v>
      </c>
      <c r="B71" t="s">
        <v>1329</v>
      </c>
      <c r="C71" t="s">
        <v>2504</v>
      </c>
      <c r="E71" t="s">
        <v>2505</v>
      </c>
      <c r="F71" t="s">
        <v>1181</v>
      </c>
      <c r="G71" t="s">
        <v>618</v>
      </c>
      <c r="H71" s="194">
        <f>SUMIF(주문_리스트!C:C,거래처!B71,주문_리스트!K:K)+SUMIF(주문_리스트!C:C,거래처!B71,주문_리스트!L:L)</f>
        <v>0</v>
      </c>
    </row>
    <row r="72" spans="1:10" x14ac:dyDescent="0.3">
      <c r="A72" s="47">
        <v>71</v>
      </c>
      <c r="B72" t="s">
        <v>1330</v>
      </c>
      <c r="C72" t="s">
        <v>1039</v>
      </c>
      <c r="E72" t="s">
        <v>1040</v>
      </c>
      <c r="F72" t="s">
        <v>973</v>
      </c>
      <c r="H72" s="194">
        <f>SUMIF(주문_리스트!C:C,거래처!B72,주문_리스트!K:K)+SUMIF(주문_리스트!C:C,거래처!B72,주문_리스트!L:L)-1890000</f>
        <v>1500000</v>
      </c>
      <c r="I72" s="52" t="s">
        <v>3572</v>
      </c>
    </row>
    <row r="73" spans="1:10" x14ac:dyDescent="0.3">
      <c r="A73" s="47">
        <v>72</v>
      </c>
      <c r="B73" t="s">
        <v>1488</v>
      </c>
      <c r="C73" t="s">
        <v>1489</v>
      </c>
      <c r="E73" t="s">
        <v>3798</v>
      </c>
      <c r="F73" t="s">
        <v>3799</v>
      </c>
      <c r="G73" t="s">
        <v>3800</v>
      </c>
      <c r="H73" s="194">
        <f>SUMIF(주문_리스트!C:C,거래처!B73,주문_리스트!K:K)+SUMIF(주문_리스트!C:C,거래처!B73,주문_리스트!L:L)-3100000+1500000</f>
        <v>1100000</v>
      </c>
    </row>
    <row r="74" spans="1:10" x14ac:dyDescent="0.3">
      <c r="A74" s="47">
        <v>73</v>
      </c>
      <c r="B74" t="s">
        <v>1374</v>
      </c>
      <c r="C74" t="s">
        <v>1375</v>
      </c>
      <c r="E74" t="s">
        <v>1376</v>
      </c>
      <c r="F74" t="s">
        <v>32</v>
      </c>
      <c r="G74" t="s">
        <v>3858</v>
      </c>
      <c r="H74" s="194">
        <f>SUMIF(주문_리스트!C:C,거래처!B74,주문_리스트!K:K)+SUMIF(주문_리스트!C:C,거래처!B74,주문_리스트!L:L)-1500000</f>
        <v>1550000</v>
      </c>
    </row>
    <row r="75" spans="1:10" x14ac:dyDescent="0.3">
      <c r="A75" s="47">
        <v>74</v>
      </c>
      <c r="B75" t="s">
        <v>1331</v>
      </c>
      <c r="C75" t="s">
        <v>994</v>
      </c>
      <c r="E75" t="s">
        <v>1332</v>
      </c>
      <c r="H75" s="194">
        <f>SUMIF(주문_리스트!C:C,거래처!B75,주문_리스트!K:K)+SUMIF(주문_리스트!C:C,거래처!B75,주문_리스트!L:L)</f>
        <v>0</v>
      </c>
    </row>
    <row r="76" spans="1:10" x14ac:dyDescent="0.3">
      <c r="A76" s="47">
        <v>75</v>
      </c>
      <c r="B76" t="s">
        <v>1333</v>
      </c>
      <c r="C76" t="s">
        <v>1092</v>
      </c>
      <c r="E76" t="s">
        <v>1093</v>
      </c>
      <c r="F76" t="s">
        <v>973</v>
      </c>
      <c r="H76" s="194">
        <f>SUMIF(주문_리스트!C:C,거래처!B76,주문_리스트!K:K)+SUMIF(주문_리스트!C:C,거래처!B76,주문_리스트!L:L)-8677000</f>
        <v>0</v>
      </c>
    </row>
    <row r="77" spans="1:10" x14ac:dyDescent="0.3">
      <c r="A77" s="47">
        <v>76</v>
      </c>
      <c r="B77" t="s">
        <v>1334</v>
      </c>
      <c r="C77" t="s">
        <v>1010</v>
      </c>
      <c r="E77" t="s">
        <v>1011</v>
      </c>
      <c r="F77" t="s">
        <v>973</v>
      </c>
      <c r="H77" s="194">
        <f>SUMIF(주문_리스트!C:C,거래처!B77,주문_리스트!K:K)+SUMIF(주문_리스트!C:C,거래처!B77,주문_리스트!L:L)-5800000</f>
        <v>1376500</v>
      </c>
    </row>
    <row r="78" spans="1:10" x14ac:dyDescent="0.3">
      <c r="A78" s="47">
        <v>77</v>
      </c>
      <c r="B78" t="s">
        <v>1335</v>
      </c>
      <c r="C78" t="s">
        <v>3407</v>
      </c>
      <c r="E78" t="s">
        <v>3408</v>
      </c>
      <c r="F78" t="s">
        <v>963</v>
      </c>
      <c r="G78" t="s">
        <v>3409</v>
      </c>
      <c r="H78" s="194">
        <f>SUMIF(주문_리스트!C:C,거래처!B78,주문_리스트!K:K)+SUMIF(주문_리스트!C:C,거래처!B78,주문_리스트!L:L)</f>
        <v>0</v>
      </c>
    </row>
    <row r="79" spans="1:10" x14ac:dyDescent="0.3">
      <c r="A79" s="47">
        <v>78</v>
      </c>
      <c r="B79" t="s">
        <v>1336</v>
      </c>
      <c r="C79" t="s">
        <v>56</v>
      </c>
      <c r="E79" t="s">
        <v>57</v>
      </c>
      <c r="F79" t="s">
        <v>973</v>
      </c>
      <c r="H79" s="194">
        <f>SUMIF(주문_리스트!C:C,거래처!B79,주문_리스트!K:K)+SUMIF(주문_리스트!C:C,거래처!B79,주문_리스트!L:L)+84700</f>
        <v>2305000</v>
      </c>
    </row>
    <row r="80" spans="1:10" x14ac:dyDescent="0.3">
      <c r="A80" s="47">
        <v>79</v>
      </c>
      <c r="B80" t="s">
        <v>1337</v>
      </c>
      <c r="C80" t="s">
        <v>1097</v>
      </c>
      <c r="E80" t="s">
        <v>1098</v>
      </c>
      <c r="H80" s="194">
        <f>SUMIF(주문_리스트!C:C,거래처!B80,주문_리스트!K:K)+SUMIF(주문_리스트!C:C,거래처!B80,주문_리스트!L:L)</f>
        <v>0</v>
      </c>
    </row>
    <row r="81" spans="1:11" x14ac:dyDescent="0.3">
      <c r="A81" s="47">
        <v>80</v>
      </c>
      <c r="B81" t="s">
        <v>1338</v>
      </c>
      <c r="C81" t="s">
        <v>1069</v>
      </c>
      <c r="E81" t="s">
        <v>1070</v>
      </c>
      <c r="H81" s="194">
        <f>SUMIF(주문_리스트!C:C,거래처!B81,주문_리스트!K:K)+SUMIF(주문_리스트!C:C,거래처!B81,주문_리스트!L:L)</f>
        <v>0</v>
      </c>
    </row>
    <row r="82" spans="1:11" x14ac:dyDescent="0.3">
      <c r="A82" s="47">
        <v>81</v>
      </c>
      <c r="B82" t="s">
        <v>1339</v>
      </c>
      <c r="C82" t="s">
        <v>3381</v>
      </c>
      <c r="E82" t="s">
        <v>3382</v>
      </c>
      <c r="F82" t="s">
        <v>1181</v>
      </c>
      <c r="H82" s="194">
        <f>SUMIF(주문_리스트!C:C,거래처!B82,주문_리스트!K:K)+SUMIF(주문_리스트!C:C,거래처!B82,주문_리스트!L:L)-1200000</f>
        <v>0</v>
      </c>
      <c r="I82" s="52" t="s">
        <v>3090</v>
      </c>
      <c r="K82" t="s">
        <v>3402</v>
      </c>
    </row>
    <row r="83" spans="1:11" x14ac:dyDescent="0.3">
      <c r="A83" s="47">
        <v>82</v>
      </c>
      <c r="B83" t="s">
        <v>1340</v>
      </c>
      <c r="C83" t="s">
        <v>1031</v>
      </c>
      <c r="E83" t="s">
        <v>1032</v>
      </c>
      <c r="F83" t="s">
        <v>963</v>
      </c>
      <c r="H83" s="194">
        <f>SUMIF(주문_리스트!C:C,거래처!B83,주문_리스트!K:K)+SUMIF(주문_리스트!C:C,거래처!B83,주문_리스트!L:L)</f>
        <v>0</v>
      </c>
    </row>
    <row r="84" spans="1:11" x14ac:dyDescent="0.3">
      <c r="A84" s="47">
        <v>83</v>
      </c>
      <c r="B84" t="s">
        <v>1341</v>
      </c>
      <c r="C84" t="s">
        <v>1172</v>
      </c>
      <c r="E84" t="s">
        <v>3811</v>
      </c>
      <c r="F84" t="s">
        <v>3799</v>
      </c>
      <c r="G84" t="s">
        <v>3812</v>
      </c>
      <c r="H84" s="194">
        <f>SUMIF(주문_리스트!C:C,거래처!B84,주문_리스트!K:K)+SUMIF(주문_리스트!C:C,거래처!B84,주문_리스트!L:L)-1100000</f>
        <v>1040000</v>
      </c>
    </row>
    <row r="85" spans="1:11" x14ac:dyDescent="0.3">
      <c r="A85" s="47">
        <v>84</v>
      </c>
      <c r="B85" t="s">
        <v>1342</v>
      </c>
      <c r="C85" t="s">
        <v>1029</v>
      </c>
      <c r="E85" t="s">
        <v>1030</v>
      </c>
      <c r="F85" t="s">
        <v>973</v>
      </c>
      <c r="H85" s="194">
        <f>SUMIF(주문_리스트!C:C,거래처!B85,주문_리스트!K:K)+SUMIF(주문_리스트!C:C,거래처!B85,주문_리스트!L:L)</f>
        <v>1575000</v>
      </c>
    </row>
    <row r="86" spans="1:11" x14ac:dyDescent="0.3">
      <c r="A86" s="47">
        <v>85</v>
      </c>
      <c r="B86" t="s">
        <v>1343</v>
      </c>
      <c r="C86" t="s">
        <v>990</v>
      </c>
      <c r="E86" t="s">
        <v>991</v>
      </c>
      <c r="H86" s="194">
        <f>SUMIF(주문_리스트!C:C,거래처!B86,주문_리스트!K:K)+SUMIF(주문_리스트!C:C,거래처!B86,주문_리스트!L:L)</f>
        <v>0</v>
      </c>
    </row>
    <row r="87" spans="1:11" x14ac:dyDescent="0.3">
      <c r="A87" s="47">
        <v>86</v>
      </c>
      <c r="B87" t="s">
        <v>1344</v>
      </c>
      <c r="C87" t="s">
        <v>1049</v>
      </c>
      <c r="E87" t="s">
        <v>1050</v>
      </c>
      <c r="F87" t="s">
        <v>976</v>
      </c>
      <c r="H87" s="194">
        <f>SUMIF(주문_리스트!C:C,거래처!B87,주문_리스트!K:K)+SUMIF(주문_리스트!C:C,거래처!B87,주문_리스트!L:L)-650000</f>
        <v>0</v>
      </c>
    </row>
    <row r="88" spans="1:11" x14ac:dyDescent="0.3">
      <c r="A88" s="47">
        <v>87</v>
      </c>
      <c r="B88" t="s">
        <v>1345</v>
      </c>
      <c r="C88" t="s">
        <v>1963</v>
      </c>
      <c r="E88" t="s">
        <v>1962</v>
      </c>
      <c r="F88" t="s">
        <v>963</v>
      </c>
      <c r="G88" t="s">
        <v>1968</v>
      </c>
      <c r="H88" s="194">
        <f>SUMIF(주문_리스트!C:C,거래처!B88,주문_리스트!K:K)+SUMIF(주문_리스트!C:C,거래처!B88,주문_리스트!L:L)-3130000</f>
        <v>0</v>
      </c>
      <c r="I88" s="52" t="s">
        <v>3765</v>
      </c>
    </row>
    <row r="89" spans="1:11" x14ac:dyDescent="0.3">
      <c r="A89" s="47">
        <v>88</v>
      </c>
      <c r="B89" t="s">
        <v>1346</v>
      </c>
      <c r="C89" t="s">
        <v>1908</v>
      </c>
      <c r="E89" t="s">
        <v>1909</v>
      </c>
      <c r="F89" t="s">
        <v>963</v>
      </c>
      <c r="G89" t="s">
        <v>1910</v>
      </c>
      <c r="H89" s="194">
        <f>SUMIF(주문_리스트!C:C,거래처!B89,주문_리스트!K:K)+SUMIF(주문_리스트!C:C,거래처!B89,주문_리스트!L:L)</f>
        <v>0</v>
      </c>
    </row>
    <row r="90" spans="1:11" x14ac:dyDescent="0.3">
      <c r="A90" s="47">
        <v>89</v>
      </c>
      <c r="B90" t="s">
        <v>1347</v>
      </c>
      <c r="C90" t="s">
        <v>1099</v>
      </c>
      <c r="E90" t="s">
        <v>1100</v>
      </c>
      <c r="H90" s="194">
        <f>SUMIF(주문_리스트!C:C,거래처!B90,주문_리스트!K:K)+SUMIF(주문_리스트!C:C,거래처!B90,주문_리스트!L:L)</f>
        <v>0</v>
      </c>
    </row>
    <row r="91" spans="1:11" x14ac:dyDescent="0.3">
      <c r="A91" s="47">
        <v>90</v>
      </c>
      <c r="B91" t="s">
        <v>1348</v>
      </c>
      <c r="C91" t="s">
        <v>2390</v>
      </c>
      <c r="E91" t="s">
        <v>2391</v>
      </c>
      <c r="F91" t="s">
        <v>2392</v>
      </c>
      <c r="H91" s="194">
        <f>SUMIF(주문_리스트!C:C,거래처!B91,주문_리스트!K:K)+SUMIF(주문_리스트!C:C,거래처!B91,주문_리스트!L:L)-700000</f>
        <v>0</v>
      </c>
      <c r="I91" s="52" t="s">
        <v>2947</v>
      </c>
    </row>
    <row r="92" spans="1:11" x14ac:dyDescent="0.3">
      <c r="A92" s="47">
        <v>91</v>
      </c>
      <c r="B92" t="s">
        <v>1349</v>
      </c>
      <c r="C92" t="s">
        <v>1834</v>
      </c>
      <c r="E92" t="s">
        <v>1835</v>
      </c>
      <c r="F92" t="s">
        <v>1836</v>
      </c>
      <c r="G92" t="s">
        <v>1837</v>
      </c>
      <c r="H92" s="194">
        <f>SUMIF(주문_리스트!C:C,거래처!B92,주문_리스트!K:K)+SUMIF(주문_리스트!C:C,거래처!B92,주문_리스트!L:L)-2089000</f>
        <v>1320000.0999999996</v>
      </c>
    </row>
    <row r="93" spans="1:11" x14ac:dyDescent="0.3">
      <c r="A93" s="47">
        <v>92</v>
      </c>
      <c r="B93" t="s">
        <v>1350</v>
      </c>
      <c r="C93" t="s">
        <v>1051</v>
      </c>
      <c r="E93" t="s">
        <v>1052</v>
      </c>
      <c r="H93" s="194">
        <f>SUMIF(주문_리스트!C:C,거래처!B93,주문_리스트!K:K)+SUMIF(주문_리스트!C:C,거래처!B93,주문_리스트!L:L)</f>
        <v>0</v>
      </c>
    </row>
    <row r="94" spans="1:11" x14ac:dyDescent="0.3">
      <c r="A94" s="47">
        <v>93</v>
      </c>
      <c r="B94" t="s">
        <v>2219</v>
      </c>
      <c r="C94" t="s">
        <v>2220</v>
      </c>
      <c r="E94" t="s">
        <v>2221</v>
      </c>
      <c r="F94" t="s">
        <v>2222</v>
      </c>
      <c r="H94" s="194">
        <f>SUMIF(주문_리스트!C:C,거래처!B94,주문_리스트!K:K)+SUMIF(주문_리스트!C:C,거래처!B94,주문_리스트!L:L)-1320000</f>
        <v>1650000</v>
      </c>
    </row>
    <row r="95" spans="1:11" x14ac:dyDescent="0.3">
      <c r="A95" s="47">
        <v>94</v>
      </c>
      <c r="B95" t="s">
        <v>1351</v>
      </c>
      <c r="C95" t="s">
        <v>1813</v>
      </c>
      <c r="E95" t="s">
        <v>3806</v>
      </c>
      <c r="F95" t="s">
        <v>3799</v>
      </c>
      <c r="G95" t="s">
        <v>3807</v>
      </c>
      <c r="H95" s="194">
        <f>SUMIF(주문_리스트!C:C,거래처!B95,주문_리스트!K:K)+SUMIF(주문_리스트!C:C,거래처!B95,주문_리스트!L:L)-715000</f>
        <v>0</v>
      </c>
      <c r="I95" s="52" t="s">
        <v>3572</v>
      </c>
    </row>
    <row r="96" spans="1:11" x14ac:dyDescent="0.3">
      <c r="A96" s="47">
        <v>95</v>
      </c>
      <c r="B96" t="s">
        <v>1352</v>
      </c>
      <c r="C96" t="s">
        <v>3600</v>
      </c>
      <c r="E96" t="s">
        <v>3601</v>
      </c>
      <c r="F96" t="s">
        <v>963</v>
      </c>
      <c r="G96" t="s">
        <v>3602</v>
      </c>
      <c r="H96" s="194">
        <f>SUMIF(주문_리스트!C:C,거래처!B96,주문_리스트!K:K)+SUMIF(주문_리스트!C:C,거래처!B96,주문_리스트!L:L)</f>
        <v>1100000</v>
      </c>
    </row>
    <row r="97" spans="1:10" x14ac:dyDescent="0.3">
      <c r="A97" s="47">
        <v>96</v>
      </c>
      <c r="B97" t="s">
        <v>1353</v>
      </c>
      <c r="C97" t="s">
        <v>23</v>
      </c>
      <c r="D97" t="s">
        <v>72</v>
      </c>
      <c r="E97" t="s">
        <v>24</v>
      </c>
      <c r="F97" t="s">
        <v>37</v>
      </c>
      <c r="G97" t="s">
        <v>24</v>
      </c>
      <c r="H97" s="194">
        <f>SUMIF(주문_리스트!C:C,거래처!B97,주문_리스트!K:K)+SUMIF(주문_리스트!C:C,거래처!B97,주문_리스트!L:L)-650000</f>
        <v>987000</v>
      </c>
    </row>
    <row r="98" spans="1:10" x14ac:dyDescent="0.3">
      <c r="A98" s="47">
        <v>97</v>
      </c>
      <c r="B98" t="s">
        <v>1354</v>
      </c>
      <c r="C98" t="s">
        <v>1883</v>
      </c>
      <c r="E98" t="s">
        <v>1884</v>
      </c>
      <c r="F98" t="s">
        <v>963</v>
      </c>
      <c r="G98" t="s">
        <v>1885</v>
      </c>
      <c r="H98" s="194">
        <f>SUMIF(주문_리스트!C:C,거래처!B98,주문_리스트!K:K)+SUMIF(주문_리스트!C:C,거래처!B98,주문_리스트!L:L)-650000</f>
        <v>0</v>
      </c>
    </row>
    <row r="99" spans="1:10" x14ac:dyDescent="0.3">
      <c r="A99" s="47">
        <v>98</v>
      </c>
      <c r="B99" t="s">
        <v>1058</v>
      </c>
      <c r="C99" t="s">
        <v>1059</v>
      </c>
      <c r="E99" t="s">
        <v>1060</v>
      </c>
      <c r="F99" t="s">
        <v>32</v>
      </c>
      <c r="G99" t="s">
        <v>3495</v>
      </c>
      <c r="H99" s="194">
        <f>SUMIF(주문_리스트!C:C,거래처!B99,주문_리스트!K:K)+SUMIF(주문_리스트!C:C,거래처!B99,주문_리스트!L:L)</f>
        <v>0</v>
      </c>
      <c r="I99" s="52" t="s">
        <v>3650</v>
      </c>
    </row>
    <row r="100" spans="1:10" x14ac:dyDescent="0.3">
      <c r="A100" s="47">
        <v>99</v>
      </c>
      <c r="B100" t="s">
        <v>2438</v>
      </c>
      <c r="C100" t="s">
        <v>2439</v>
      </c>
      <c r="E100" t="s">
        <v>2440</v>
      </c>
      <c r="F100" t="s">
        <v>2441</v>
      </c>
      <c r="G100" t="s">
        <v>215</v>
      </c>
      <c r="H100" s="194">
        <f>SUMIF(주문_리스트!C:C,거래처!B100,주문_리스트!K:K)+SUMIF(주문_리스트!C:C,거래처!B100,주문_리스트!L:L)-2286900</f>
        <v>0</v>
      </c>
      <c r="I100" s="52" t="s">
        <v>3572</v>
      </c>
    </row>
    <row r="101" spans="1:10" x14ac:dyDescent="0.3">
      <c r="A101" s="47">
        <v>100</v>
      </c>
      <c r="B101" t="s">
        <v>980</v>
      </c>
      <c r="C101" t="s">
        <v>981</v>
      </c>
      <c r="E101" t="s">
        <v>982</v>
      </c>
      <c r="F101" t="s">
        <v>969</v>
      </c>
      <c r="G101" t="s">
        <v>133</v>
      </c>
      <c r="H101" s="194">
        <f>SUMIF(주문_리스트!C:C,거래처!B101,주문_리스트!K:K)+SUMIF(주문_리스트!C:C,거래처!B101,주문_리스트!L:L)-2824500</f>
        <v>142999.69999999925</v>
      </c>
    </row>
    <row r="102" spans="1:10" x14ac:dyDescent="0.3">
      <c r="A102" s="47">
        <v>101</v>
      </c>
      <c r="B102" t="s">
        <v>1355</v>
      </c>
      <c r="C102" t="s">
        <v>974</v>
      </c>
      <c r="E102" t="s">
        <v>975</v>
      </c>
      <c r="F102" t="s">
        <v>963</v>
      </c>
      <c r="G102" t="s">
        <v>3957</v>
      </c>
      <c r="H102" s="194">
        <f>SUMIF(주문_리스트!C:C,거래처!B102,주문_리스트!K:K)+SUMIF(주문_리스트!C:C,거래처!B102,주문_리스트!L:L)</f>
        <v>0</v>
      </c>
      <c r="J102" t="s">
        <v>3905</v>
      </c>
    </row>
    <row r="103" spans="1:10" x14ac:dyDescent="0.3">
      <c r="A103" s="47">
        <v>102</v>
      </c>
      <c r="B103" t="s">
        <v>1054</v>
      </c>
      <c r="C103" t="s">
        <v>1055</v>
      </c>
      <c r="E103" t="s">
        <v>1056</v>
      </c>
      <c r="F103" t="s">
        <v>973</v>
      </c>
      <c r="H103" s="194">
        <f>SUMIF(주문_리스트!C:C,거래처!B103,주문_리스트!K:K)+SUMIF(주문_리스트!C:C,거래처!B103,주문_리스트!L:L)</f>
        <v>0</v>
      </c>
    </row>
    <row r="104" spans="1:10" x14ac:dyDescent="0.3">
      <c r="A104" s="47">
        <v>103</v>
      </c>
      <c r="B104" t="s">
        <v>1356</v>
      </c>
      <c r="C104" t="s">
        <v>1003</v>
      </c>
      <c r="E104" t="s">
        <v>1004</v>
      </c>
      <c r="F104" t="s">
        <v>973</v>
      </c>
      <c r="H104" s="194">
        <f>SUMIF(주문_리스트!C:C,거래처!B104,주문_리스트!K:K)+SUMIF(주문_리스트!C:C,거래처!B104,주문_리스트!L:L)-3050000</f>
        <v>0</v>
      </c>
    </row>
    <row r="105" spans="1:10" x14ac:dyDescent="0.3">
      <c r="A105" s="47">
        <v>104</v>
      </c>
      <c r="B105" t="s">
        <v>1357</v>
      </c>
      <c r="C105" t="s">
        <v>2293</v>
      </c>
      <c r="E105" t="s">
        <v>2294</v>
      </c>
      <c r="F105" t="s">
        <v>2295</v>
      </c>
      <c r="H105" s="194">
        <f>SUMIF(주문_리스트!C:C,거래처!B105,주문_리스트!K:K)+SUMIF(주문_리스트!C:C,거래처!B105,주문_리스트!L:L)</f>
        <v>0</v>
      </c>
    </row>
    <row r="106" spans="1:10" x14ac:dyDescent="0.3">
      <c r="A106" s="47">
        <v>105</v>
      </c>
      <c r="B106" t="s">
        <v>1094</v>
      </c>
      <c r="C106" t="s">
        <v>1095</v>
      </c>
      <c r="E106" t="s">
        <v>1096</v>
      </c>
      <c r="F106" t="s">
        <v>963</v>
      </c>
      <c r="G106" t="s">
        <v>3854</v>
      </c>
      <c r="H106" s="194">
        <f>SUMIF(주문_리스트!C:C,거래처!B106,주문_리스트!K:K)+SUMIF(주문_리스트!C:C,거래처!B106,주문_리스트!L:L)</f>
        <v>0</v>
      </c>
    </row>
    <row r="107" spans="1:10" x14ac:dyDescent="0.3">
      <c r="A107" s="47">
        <v>106</v>
      </c>
      <c r="B107" t="s">
        <v>3128</v>
      </c>
      <c r="C107" t="s">
        <v>3129</v>
      </c>
      <c r="E107" t="s">
        <v>3130</v>
      </c>
      <c r="F107" t="s">
        <v>963</v>
      </c>
      <c r="G107" t="s">
        <v>3131</v>
      </c>
      <c r="H107" s="194">
        <f>SUMIF(주문_리스트!C:C,거래처!B107,주문_리스트!K:K)+SUMIF(주문_리스트!C:C,거래처!B107,주문_리스트!L:L)-450000</f>
        <v>0</v>
      </c>
    </row>
    <row r="108" spans="1:10" x14ac:dyDescent="0.3">
      <c r="A108" s="47">
        <v>107</v>
      </c>
      <c r="B108" t="s">
        <v>1023</v>
      </c>
      <c r="C108" t="s">
        <v>1024</v>
      </c>
      <c r="E108" t="s">
        <v>1025</v>
      </c>
      <c r="H108" s="194">
        <f>SUMIF(주문_리스트!C:C,거래처!B108,주문_리스트!K:K)+SUMIF(주문_리스트!C:C,거래처!B108,주문_리스트!L:L)</f>
        <v>0</v>
      </c>
      <c r="I108" s="52" t="s">
        <v>3901</v>
      </c>
    </row>
    <row r="109" spans="1:10" x14ac:dyDescent="0.3">
      <c r="A109" s="47">
        <v>108</v>
      </c>
      <c r="B109" t="s">
        <v>1018</v>
      </c>
      <c r="C109" t="s">
        <v>1019</v>
      </c>
      <c r="E109" t="s">
        <v>1020</v>
      </c>
      <c r="F109" t="s">
        <v>973</v>
      </c>
      <c r="H109" s="194">
        <f>SUMIF(주문_리스트!C:C,거래처!B109,주문_리스트!K:K)+SUMIF(주문_리스트!C:C,거래처!B109,주문_리스트!L:L)-3550000</f>
        <v>0</v>
      </c>
      <c r="J109" t="s">
        <v>3907</v>
      </c>
    </row>
    <row r="110" spans="1:10" x14ac:dyDescent="0.3">
      <c r="A110" s="47">
        <v>109</v>
      </c>
      <c r="B110" t="s">
        <v>1007</v>
      </c>
      <c r="C110" t="s">
        <v>1008</v>
      </c>
      <c r="E110" t="s">
        <v>1009</v>
      </c>
      <c r="F110" t="s">
        <v>973</v>
      </c>
      <c r="H110" s="194">
        <f>SUMIF(주문_리스트!C:C,거래처!B110,주문_리스트!K:K)+SUMIF(주문_리스트!C:C,거래처!B110,주문_리스트!L:L)-1200000</f>
        <v>0</v>
      </c>
      <c r="I110" s="52" t="s">
        <v>3650</v>
      </c>
    </row>
    <row r="111" spans="1:10" x14ac:dyDescent="0.3">
      <c r="A111" s="47">
        <v>110</v>
      </c>
      <c r="B111" t="s">
        <v>1358</v>
      </c>
      <c r="C111" t="s">
        <v>1085</v>
      </c>
      <c r="E111" t="s">
        <v>1086</v>
      </c>
      <c r="F111" t="s">
        <v>973</v>
      </c>
      <c r="H111" s="194">
        <f>SUMIF(주문_리스트!C:C,거래처!B111,주문_리스트!K:K)+SUMIF(주문_리스트!C:C,거래처!B111,주문_리스트!L:L)</f>
        <v>0</v>
      </c>
    </row>
    <row r="112" spans="1:10" x14ac:dyDescent="0.3">
      <c r="A112" s="47">
        <v>111</v>
      </c>
      <c r="B112" t="s">
        <v>1617</v>
      </c>
      <c r="C112" t="s">
        <v>1618</v>
      </c>
      <c r="E112" t="s">
        <v>1619</v>
      </c>
      <c r="F112" t="s">
        <v>1614</v>
      </c>
      <c r="G112" t="s">
        <v>1620</v>
      </c>
      <c r="H112" s="194">
        <f>SUMIF(주문_리스트!C:C,거래처!B112,주문_리스트!K:K)+SUMIF(주문_리스트!C:C,거래처!B112,주문_리스트!L:L)</f>
        <v>-1500000</v>
      </c>
    </row>
    <row r="113" spans="1:10" x14ac:dyDescent="0.3">
      <c r="A113" s="47">
        <v>112</v>
      </c>
      <c r="B113" t="s">
        <v>1784</v>
      </c>
      <c r="C113" t="s">
        <v>1785</v>
      </c>
      <c r="E113" t="s">
        <v>1786</v>
      </c>
      <c r="F113" t="s">
        <v>32</v>
      </c>
      <c r="G113" t="s">
        <v>1788</v>
      </c>
      <c r="H113" s="194">
        <f>SUMIF(주문_리스트!C:C,거래처!B113,주문_리스트!K:K)+SUMIF(주문_리스트!C:C,거래처!B113,주문_리스트!L:L)-5100000</f>
        <v>0</v>
      </c>
    </row>
    <row r="114" spans="1:10" x14ac:dyDescent="0.3">
      <c r="A114" s="47">
        <v>113</v>
      </c>
      <c r="B114" t="s">
        <v>1359</v>
      </c>
      <c r="C114" t="s">
        <v>1152</v>
      </c>
      <c r="E114" t="s">
        <v>1153</v>
      </c>
      <c r="H114" s="194">
        <f>SUMIF(주문_리스트!C:C,거래처!B114,주문_리스트!K:K)+SUMIF(주문_리스트!C:C,거래처!B114,주문_리스트!L:L)-650000</f>
        <v>0</v>
      </c>
      <c r="J114" t="s">
        <v>3622</v>
      </c>
    </row>
    <row r="115" spans="1:10" x14ac:dyDescent="0.3">
      <c r="A115" s="47">
        <v>114</v>
      </c>
      <c r="B115" t="s">
        <v>1156</v>
      </c>
      <c r="C115" t="s">
        <v>1157</v>
      </c>
      <c r="E115" t="s">
        <v>1158</v>
      </c>
      <c r="F115" t="s">
        <v>963</v>
      </c>
      <c r="H115" s="194">
        <f>SUMIF(주문_리스트!C:C,거래처!B115,주문_리스트!K:K)+SUMIF(주문_리스트!C:C,거래처!B115,주문_리스트!L:L)-1200000</f>
        <v>0</v>
      </c>
    </row>
    <row r="116" spans="1:10" x14ac:dyDescent="0.3">
      <c r="A116" s="47">
        <v>115</v>
      </c>
      <c r="B116" t="s">
        <v>1173</v>
      </c>
      <c r="C116" t="s">
        <v>1174</v>
      </c>
      <c r="E116" t="s">
        <v>1175</v>
      </c>
      <c r="F116" t="s">
        <v>963</v>
      </c>
      <c r="G116" t="s">
        <v>1176</v>
      </c>
      <c r="H116" s="194">
        <f>SUMIF(주문_리스트!C:C,거래처!B116,주문_리스트!K:K)+SUMIF(주문_리스트!C:C,거래처!B116,주문_리스트!L:L)-2300000</f>
        <v>0</v>
      </c>
      <c r="J116" t="s">
        <v>3909</v>
      </c>
    </row>
    <row r="117" spans="1:10" x14ac:dyDescent="0.3">
      <c r="A117" s="47">
        <v>116</v>
      </c>
      <c r="B117" t="s">
        <v>1360</v>
      </c>
      <c r="C117" t="s">
        <v>1101</v>
      </c>
      <c r="E117" t="s">
        <v>1102</v>
      </c>
      <c r="F117" t="s">
        <v>1181</v>
      </c>
      <c r="G117" t="s">
        <v>1102</v>
      </c>
      <c r="H117" s="194">
        <f>SUMIF(주문_리스트!C:C,거래처!B117,주문_리스트!K:K)+SUMIF(주문_리스트!C:C,거래처!B117,주문_리스트!L:L)</f>
        <v>0</v>
      </c>
      <c r="I117" s="52" t="s">
        <v>2863</v>
      </c>
    </row>
    <row r="118" spans="1:10" x14ac:dyDescent="0.3">
      <c r="A118" s="47">
        <v>117</v>
      </c>
      <c r="B118" t="s">
        <v>1191</v>
      </c>
      <c r="C118" t="s">
        <v>1192</v>
      </c>
      <c r="E118" t="s">
        <v>1193</v>
      </c>
      <c r="F118" t="s">
        <v>1194</v>
      </c>
      <c r="G118" t="s">
        <v>1195</v>
      </c>
      <c r="H118" s="194">
        <f>SUMIF(주문_리스트!C:C,거래처!B118,주문_리스트!K:K)+SUMIF(주문_리스트!C:C,거래처!B118,주문_리스트!L:L)-1600000</f>
        <v>0</v>
      </c>
      <c r="J118" t="s">
        <v>3948</v>
      </c>
    </row>
    <row r="119" spans="1:10" x14ac:dyDescent="0.3">
      <c r="A119" s="47">
        <v>118</v>
      </c>
      <c r="B119" t="s">
        <v>1228</v>
      </c>
      <c r="C119" t="s">
        <v>1229</v>
      </c>
      <c r="E119" t="s">
        <v>1230</v>
      </c>
      <c r="F119" t="s">
        <v>963</v>
      </c>
      <c r="G119" t="s">
        <v>1231</v>
      </c>
      <c r="H119" s="194">
        <f>SUMIF(주문_리스트!C:C,거래처!B119,주문_리스트!K:K)+SUMIF(주문_리스트!C:C,거래처!B119,주문_리스트!L:L)-1600000</f>
        <v>0</v>
      </c>
    </row>
    <row r="120" spans="1:10" x14ac:dyDescent="0.3">
      <c r="A120" s="47">
        <v>119</v>
      </c>
      <c r="B120" t="s">
        <v>1238</v>
      </c>
      <c r="C120" t="s">
        <v>1239</v>
      </c>
      <c r="E120" t="s">
        <v>1240</v>
      </c>
      <c r="F120" t="s">
        <v>973</v>
      </c>
      <c r="H120" s="194">
        <f>SUMIF(주문_리스트!C:C,거래처!B120,주문_리스트!K:K)+SUMIF(주문_리스트!C:C,거래처!B120,주문_리스트!L:L)-1600000</f>
        <v>0</v>
      </c>
    </row>
    <row r="121" spans="1:10" x14ac:dyDescent="0.3">
      <c r="A121" s="47">
        <v>120</v>
      </c>
      <c r="B121" t="s">
        <v>2491</v>
      </c>
      <c r="C121" t="s">
        <v>1522</v>
      </c>
      <c r="E121" t="s">
        <v>1523</v>
      </c>
      <c r="H121" s="194">
        <f>SUMIF(주문_리스트!C:C,거래처!B146,주문_리스트!K:K)+SUMIF(주문_리스트!C:C,거래처!B146,주문_리스트!L:L)</f>
        <v>0</v>
      </c>
    </row>
    <row r="122" spans="1:10" x14ac:dyDescent="0.3">
      <c r="A122" s="47">
        <v>121</v>
      </c>
      <c r="B122" t="s">
        <v>2283</v>
      </c>
      <c r="C122" t="s">
        <v>2284</v>
      </c>
      <c r="E122" t="s">
        <v>2285</v>
      </c>
      <c r="F122" t="s">
        <v>2286</v>
      </c>
      <c r="G122" t="s">
        <v>2287</v>
      </c>
      <c r="H122" s="194">
        <f>SUMIF(주문_리스트!C:C,거래처!B122,주문_리스트!K:K)+SUMIF(주문_리스트!C:C,거래처!B122,주문_리스트!L:L)-1500000</f>
        <v>0</v>
      </c>
    </row>
    <row r="123" spans="1:10" x14ac:dyDescent="0.3">
      <c r="A123" s="47">
        <v>122</v>
      </c>
      <c r="B123" t="s">
        <v>1565</v>
      </c>
      <c r="C123" t="s">
        <v>1566</v>
      </c>
      <c r="E123" t="s">
        <v>1567</v>
      </c>
      <c r="F123" t="s">
        <v>963</v>
      </c>
      <c r="G123" t="s">
        <v>1227</v>
      </c>
      <c r="H123" s="194">
        <f>SUMIF(주문_리스트!C:C,거래처!B123,주문_리스트!K:K)+SUMIF(주문_리스트!C:C,거래처!B123,주문_리스트!L:L)</f>
        <v>0</v>
      </c>
    </row>
    <row r="124" spans="1:10" x14ac:dyDescent="0.3">
      <c r="A124" s="47">
        <v>123</v>
      </c>
      <c r="B124" t="s">
        <v>1658</v>
      </c>
      <c r="C124" t="s">
        <v>1659</v>
      </c>
      <c r="E124" t="s">
        <v>1660</v>
      </c>
      <c r="F124" t="s">
        <v>1181</v>
      </c>
      <c r="G124" t="s">
        <v>1660</v>
      </c>
      <c r="H124" s="194">
        <f>SUMIF(주문_리스트!C:C,거래처!B124,주문_리스트!K:K)+SUMIF(주문_리스트!C:C,거래처!B124,주문_리스트!L:L)-250000</f>
        <v>0</v>
      </c>
    </row>
    <row r="125" spans="1:10" x14ac:dyDescent="0.3">
      <c r="A125" s="47">
        <v>124</v>
      </c>
      <c r="B125" t="s">
        <v>1671</v>
      </c>
      <c r="C125" t="s">
        <v>1672</v>
      </c>
      <c r="E125" t="s">
        <v>1673</v>
      </c>
      <c r="H125" s="194">
        <f>SUMIF(주문_리스트!C:C,거래처!B125,주문_리스트!K:K)+SUMIF(주문_리스트!C:C,거래처!B125,주문_리스트!L:L)-4755000</f>
        <v>0</v>
      </c>
    </row>
    <row r="126" spans="1:10" x14ac:dyDescent="0.3">
      <c r="A126" s="47">
        <v>125</v>
      </c>
      <c r="B126" t="s">
        <v>1838</v>
      </c>
      <c r="C126" t="s">
        <v>3097</v>
      </c>
      <c r="E126" t="s">
        <v>3098</v>
      </c>
      <c r="F126" t="s">
        <v>963</v>
      </c>
      <c r="G126" t="s">
        <v>3099</v>
      </c>
      <c r="H126" s="194">
        <v>0</v>
      </c>
    </row>
    <row r="127" spans="1:10" x14ac:dyDescent="0.3">
      <c r="A127" s="47">
        <v>126</v>
      </c>
      <c r="B127" t="s">
        <v>1890</v>
      </c>
      <c r="C127" t="s">
        <v>1891</v>
      </c>
      <c r="E127" t="s">
        <v>1892</v>
      </c>
      <c r="F127" t="s">
        <v>973</v>
      </c>
      <c r="H127" s="194">
        <f>SUMIF(주문_리스트!C:C,거래처!B127,주문_리스트!K:K)+SUMIF(주문_리스트!C:C,거래처!B127,주문_리스트!L:L)-250000</f>
        <v>0</v>
      </c>
    </row>
    <row r="128" spans="1:10" x14ac:dyDescent="0.3">
      <c r="A128" s="47">
        <v>127</v>
      </c>
      <c r="B128" t="s">
        <v>2017</v>
      </c>
      <c r="C128" t="s">
        <v>2018</v>
      </c>
      <c r="E128" t="s">
        <v>2019</v>
      </c>
      <c r="F128" t="s">
        <v>963</v>
      </c>
      <c r="G128" t="s">
        <v>2020</v>
      </c>
      <c r="H128" s="194">
        <f>SUMIF(주문_리스트!C:C,거래처!B128,주문_리스트!K:K)+SUMIF(주문_리스트!C:C,거래처!B128,주문_리스트!L:L)</f>
        <v>0</v>
      </c>
    </row>
    <row r="129" spans="1:10" x14ac:dyDescent="0.3">
      <c r="A129" s="47">
        <v>128</v>
      </c>
      <c r="B129" t="s">
        <v>2068</v>
      </c>
      <c r="C129" t="s">
        <v>2069</v>
      </c>
      <c r="E129" t="s">
        <v>2070</v>
      </c>
      <c r="F129" t="s">
        <v>963</v>
      </c>
      <c r="G129" t="s">
        <v>1910</v>
      </c>
      <c r="H129" s="194">
        <f>SUMIF(주문_리스트!C:C,거래처!B129,주문_리스트!K:K)+SUMIF(주문_리스트!C:C,거래처!B129,주문_리스트!L:L)</f>
        <v>0</v>
      </c>
    </row>
    <row r="130" spans="1:10" x14ac:dyDescent="0.3">
      <c r="A130" s="47">
        <v>129</v>
      </c>
      <c r="B130" t="s">
        <v>2034</v>
      </c>
      <c r="C130" t="s">
        <v>2035</v>
      </c>
      <c r="E130" t="s">
        <v>2036</v>
      </c>
      <c r="H130" s="194">
        <f>SUMIF(주문_리스트!C:C,거래처!B130,주문_리스트!K:K)+SUMIF(주문_리스트!C:C,거래처!B130,주문_리스트!L:L)</f>
        <v>0</v>
      </c>
    </row>
    <row r="131" spans="1:10" x14ac:dyDescent="0.3">
      <c r="A131" s="47">
        <v>130</v>
      </c>
      <c r="B131" t="s">
        <v>2039</v>
      </c>
      <c r="C131" t="s">
        <v>2040</v>
      </c>
      <c r="E131" t="s">
        <v>2041</v>
      </c>
      <c r="H131" s="194">
        <f>SUMIF(주문_리스트!C:C,거래처!B131,주문_리스트!K:K)+SUMIF(주문_리스트!C:C,거래처!B131,주문_리스트!L:L)</f>
        <v>0</v>
      </c>
    </row>
    <row r="132" spans="1:10" x14ac:dyDescent="0.3">
      <c r="A132" s="47">
        <v>131</v>
      </c>
      <c r="B132" t="s">
        <v>2784</v>
      </c>
      <c r="C132" t="s">
        <v>2785</v>
      </c>
      <c r="E132" t="s">
        <v>2786</v>
      </c>
      <c r="F132" t="s">
        <v>2787</v>
      </c>
      <c r="G132" t="s">
        <v>2788</v>
      </c>
      <c r="H132" s="194">
        <f>SUMIF(주문_리스트!C:C,거래처!B132,주문_리스트!K:K)+SUMIF(주문_리스트!C:C,거래처!B132,주문_리스트!L:L)</f>
        <v>0</v>
      </c>
      <c r="I132" s="52" t="s">
        <v>3524</v>
      </c>
    </row>
    <row r="133" spans="1:10" x14ac:dyDescent="0.3">
      <c r="A133" s="47">
        <v>132</v>
      </c>
      <c r="B133" t="s">
        <v>2095</v>
      </c>
      <c r="C133" t="s">
        <v>2096</v>
      </c>
      <c r="E133" t="s">
        <v>2097</v>
      </c>
      <c r="F133" t="s">
        <v>976</v>
      </c>
      <c r="G133" t="s">
        <v>2098</v>
      </c>
      <c r="H133" s="194">
        <f>SUMIF(주문_리스트!C:C,거래처!B133,주문_리스트!K:K)+SUMIF(주문_리스트!C:C,거래처!B133,주문_리스트!L:L)</f>
        <v>0</v>
      </c>
    </row>
    <row r="134" spans="1:10" x14ac:dyDescent="0.3">
      <c r="A134" s="47">
        <v>133</v>
      </c>
      <c r="B134" t="s">
        <v>2307</v>
      </c>
      <c r="C134" t="s">
        <v>2120</v>
      </c>
      <c r="E134" t="s">
        <v>2121</v>
      </c>
      <c r="F134" t="s">
        <v>973</v>
      </c>
      <c r="H134" s="194">
        <f>SUMIF(주문_리스트!C:C,거래처!B134,주문_리스트!K:K)+SUMIF(주문_리스트!C:C,거래처!B134,주문_리스트!L:L)</f>
        <v>0</v>
      </c>
      <c r="I134" s="52" t="s">
        <v>3306</v>
      </c>
    </row>
    <row r="135" spans="1:10" x14ac:dyDescent="0.3">
      <c r="A135" s="47">
        <v>134</v>
      </c>
      <c r="B135" t="s">
        <v>2133</v>
      </c>
      <c r="C135" t="s">
        <v>2134</v>
      </c>
      <c r="E135" t="s">
        <v>2135</v>
      </c>
      <c r="H135" s="194">
        <f>SUMIF(주문_리스트!C:C,거래처!B135,주문_리스트!K:K)+SUMIF(주문_리스트!C:C,거래처!B135,주문_리스트!L:L)</f>
        <v>0</v>
      </c>
    </row>
    <row r="136" spans="1:10" x14ac:dyDescent="0.3">
      <c r="A136" s="47">
        <v>135</v>
      </c>
      <c r="B136" t="s">
        <v>2148</v>
      </c>
      <c r="C136" t="s">
        <v>2150</v>
      </c>
      <c r="E136" t="s">
        <v>2151</v>
      </c>
      <c r="H136" s="194">
        <f>SUMIF(주문_리스트!C:C,거래처!B136,주문_리스트!K:K)+SUMIF(주문_리스트!C:C,거래처!B136,주문_리스트!L:L)</f>
        <v>0</v>
      </c>
      <c r="I136" s="52" t="s">
        <v>3622</v>
      </c>
      <c r="J136">
        <v>45</v>
      </c>
    </row>
    <row r="137" spans="1:10" x14ac:dyDescent="0.3">
      <c r="A137" s="47">
        <v>136</v>
      </c>
      <c r="B137" t="s">
        <v>2277</v>
      </c>
      <c r="C137" t="s">
        <v>2278</v>
      </c>
      <c r="E137" t="s">
        <v>2279</v>
      </c>
      <c r="F137" t="s">
        <v>25</v>
      </c>
      <c r="H137" s="194">
        <f>SUMIF(주문_리스트!C:C,거래처!B137,주문_리스트!K:K)+SUMIF(주문_리스트!C:C,거래처!B137,주문_리스트!L:L)</f>
        <v>0</v>
      </c>
    </row>
    <row r="138" spans="1:10" x14ac:dyDescent="0.3">
      <c r="A138" s="47">
        <v>137</v>
      </c>
      <c r="B138" t="s">
        <v>2757</v>
      </c>
      <c r="C138" t="s">
        <v>2758</v>
      </c>
      <c r="E138" t="s">
        <v>2759</v>
      </c>
      <c r="F138" t="s">
        <v>2760</v>
      </c>
      <c r="G138" t="s">
        <v>2761</v>
      </c>
      <c r="H138" s="194">
        <f>SUMIF(주문_리스트!C:C,거래처!B138,주문_리스트!K:K)+SUMIF(주문_리스트!C:C,거래처!B138,주문_리스트!L:L)</f>
        <v>0</v>
      </c>
    </row>
    <row r="139" spans="1:10" x14ac:dyDescent="0.3">
      <c r="A139" s="47">
        <v>138</v>
      </c>
      <c r="B139" t="s">
        <v>2375</v>
      </c>
      <c r="C139" t="s">
        <v>2376</v>
      </c>
      <c r="E139" t="s">
        <v>2377</v>
      </c>
      <c r="H139" s="194">
        <f>SUMIF(주문_리스트!C:C,거래처!B139,주문_리스트!K:K)+SUMIF(주문_리스트!C:C,거래처!B139,주문_리스트!L:L)</f>
        <v>0</v>
      </c>
    </row>
    <row r="140" spans="1:10" x14ac:dyDescent="0.3">
      <c r="A140" s="47">
        <v>139</v>
      </c>
      <c r="B140" t="s">
        <v>2258</v>
      </c>
      <c r="C140" t="s">
        <v>2358</v>
      </c>
      <c r="E140" t="s">
        <v>2359</v>
      </c>
      <c r="F140" t="s">
        <v>963</v>
      </c>
      <c r="H140" s="194">
        <f>SUMIF(주문_리스트!C:C,거래처!B140,주문_리스트!K:K)+SUMIF(주문_리스트!C:C,거래처!B140,주문_리스트!L:L)</f>
        <v>0</v>
      </c>
    </row>
    <row r="141" spans="1:10" x14ac:dyDescent="0.3">
      <c r="A141" s="47">
        <v>140</v>
      </c>
      <c r="B141" t="s">
        <v>2365</v>
      </c>
      <c r="C141" t="s">
        <v>2366</v>
      </c>
      <c r="E141" t="s">
        <v>2367</v>
      </c>
      <c r="H141" s="194">
        <f>SUMIF(주문_리스트!C:C,거래처!B141,주문_리스트!K:K)+SUMIF(주문_리스트!C:C,거래처!B141,주문_리스트!L:L)</f>
        <v>0</v>
      </c>
    </row>
    <row r="142" spans="1:10" x14ac:dyDescent="0.3">
      <c r="A142" s="47">
        <v>141</v>
      </c>
      <c r="B142" t="s">
        <v>2371</v>
      </c>
      <c r="C142" t="s">
        <v>2372</v>
      </c>
      <c r="E142" t="s">
        <v>2373</v>
      </c>
      <c r="H142" s="194">
        <f>SUMIF(주문_리스트!C:C,거래처!B142,주문_리스트!K:K)+SUMIF(주문_리스트!C:C,거래처!B142,주문_리스트!L:L)</f>
        <v>0</v>
      </c>
    </row>
    <row r="143" spans="1:10" x14ac:dyDescent="0.3">
      <c r="A143" s="47">
        <v>142</v>
      </c>
      <c r="B143" t="s">
        <v>2381</v>
      </c>
      <c r="C143" t="s">
        <v>2382</v>
      </c>
      <c r="E143" t="s">
        <v>2383</v>
      </c>
      <c r="H143" s="194">
        <f>SUMIF(주문_리스트!C:C,거래처!B143,주문_리스트!K:K)+SUMIF(주문_리스트!C:C,거래처!B143,주문_리스트!L:L)</f>
        <v>0</v>
      </c>
    </row>
    <row r="144" spans="1:10" x14ac:dyDescent="0.3">
      <c r="A144" s="47">
        <v>143</v>
      </c>
      <c r="B144" t="s">
        <v>2468</v>
      </c>
      <c r="C144" t="s">
        <v>2469</v>
      </c>
      <c r="E144" t="s">
        <v>2471</v>
      </c>
      <c r="F144" t="s">
        <v>2470</v>
      </c>
      <c r="H144" s="194">
        <f>SUMIF(주문_리스트!C:C,거래처!B144,주문_리스트!K:K)+SUMIF(주문_리스트!C:C,거래처!B144,주문_리스트!L:L)</f>
        <v>0</v>
      </c>
    </row>
    <row r="145" spans="1:9" x14ac:dyDescent="0.3">
      <c r="A145" s="47">
        <v>144</v>
      </c>
      <c r="B145" t="s">
        <v>2472</v>
      </c>
      <c r="C145" t="s">
        <v>2948</v>
      </c>
      <c r="E145" t="s">
        <v>2949</v>
      </c>
      <c r="F145" t="s">
        <v>963</v>
      </c>
      <c r="G145" t="s">
        <v>2950</v>
      </c>
      <c r="H145" s="194">
        <f>SUMIF(주문_리스트!C:C,거래처!B145,주문_리스트!K:K)+SUMIF(주문_리스트!C:C,거래처!B145,주문_리스트!L:L)</f>
        <v>0</v>
      </c>
    </row>
    <row r="146" spans="1:9" x14ac:dyDescent="0.3">
      <c r="A146" s="47">
        <v>145</v>
      </c>
      <c r="B146" t="s">
        <v>2487</v>
      </c>
      <c r="C146" t="s">
        <v>2488</v>
      </c>
      <c r="E146" t="s">
        <v>2489</v>
      </c>
      <c r="F146" t="s">
        <v>963</v>
      </c>
      <c r="G146" t="s">
        <v>2490</v>
      </c>
      <c r="H146" s="194">
        <f>SUMIF(주문_리스트!C:C,거래처!B146,주문_리스트!K:K)+SUMIF(주문_리스트!C:C,거래처!B146,주문_리스트!L:L)</f>
        <v>0</v>
      </c>
    </row>
    <row r="147" spans="1:9" x14ac:dyDescent="0.3">
      <c r="A147" s="47">
        <v>146</v>
      </c>
      <c r="B147" t="s">
        <v>2677</v>
      </c>
      <c r="C147" t="s">
        <v>2675</v>
      </c>
      <c r="E147" t="s">
        <v>2676</v>
      </c>
      <c r="H147" s="194">
        <f>SUMIF(주문_리스트!C:C,거래처!B147,주문_리스트!K:K)+SUMIF(주문_리스트!C:C,거래처!B147,주문_리스트!L:L)</f>
        <v>0</v>
      </c>
    </row>
    <row r="148" spans="1:9" x14ac:dyDescent="0.3">
      <c r="A148" s="47">
        <v>147</v>
      </c>
      <c r="B148" t="s">
        <v>2561</v>
      </c>
      <c r="C148" t="s">
        <v>2562</v>
      </c>
      <c r="E148" t="s">
        <v>3801</v>
      </c>
      <c r="F148" t="s">
        <v>3802</v>
      </c>
      <c r="G148" t="s">
        <v>3803</v>
      </c>
      <c r="H148" s="194">
        <f>SUMIF(주문_리스트!C:C,거래처!B148,주문_리스트!K:K)+SUMIF(주문_리스트!C:C,거래처!B148,주문_리스트!L:L)</f>
        <v>0</v>
      </c>
    </row>
    <row r="149" spans="1:9" x14ac:dyDescent="0.3">
      <c r="A149" s="47">
        <v>148</v>
      </c>
      <c r="B149" t="s">
        <v>2633</v>
      </c>
      <c r="C149" t="s">
        <v>2634</v>
      </c>
      <c r="D149" t="s">
        <v>2635</v>
      </c>
      <c r="E149" t="s">
        <v>2636</v>
      </c>
      <c r="F149" t="s">
        <v>32</v>
      </c>
      <c r="G149" t="s">
        <v>2637</v>
      </c>
      <c r="H149" s="194">
        <f>SUMIF(주문_리스트!C:C,거래처!B149,주문_리스트!K:K)+SUMIF(주문_리스트!C:C,거래처!B149,주문_리스트!L:L)</f>
        <v>0</v>
      </c>
    </row>
    <row r="150" spans="1:9" x14ac:dyDescent="0.3">
      <c r="A150" s="47">
        <v>149</v>
      </c>
      <c r="B150" t="s">
        <v>2704</v>
      </c>
      <c r="C150" t="s">
        <v>2705</v>
      </c>
      <c r="E150" t="s">
        <v>2706</v>
      </c>
      <c r="F150" t="s">
        <v>963</v>
      </c>
      <c r="G150" t="s">
        <v>2707</v>
      </c>
      <c r="H150" s="194">
        <f>SUMIF(주문_리스트!C:C,거래처!B150,주문_리스트!K:K)+SUMIF(주문_리스트!C:C,거래처!B150,주문_리스트!L:L)</f>
        <v>0</v>
      </c>
    </row>
    <row r="151" spans="1:9" x14ac:dyDescent="0.3">
      <c r="A151" s="47">
        <v>150</v>
      </c>
      <c r="B151" t="s">
        <v>2732</v>
      </c>
      <c r="C151" t="s">
        <v>2733</v>
      </c>
      <c r="E151" t="s">
        <v>2734</v>
      </c>
      <c r="F151" t="s">
        <v>1181</v>
      </c>
      <c r="H151" s="194">
        <f>SUMIF(주문_리스트!C:C,거래처!B151,주문_리스트!K:K)+SUMIF(주문_리스트!C:C,거래처!B151,주문_리스트!L:L)</f>
        <v>0</v>
      </c>
    </row>
    <row r="152" spans="1:9" x14ac:dyDescent="0.3">
      <c r="A152" s="47">
        <v>151</v>
      </c>
      <c r="B152" t="s">
        <v>2742</v>
      </c>
      <c r="C152" t="s">
        <v>2743</v>
      </c>
      <c r="E152" t="s">
        <v>2744</v>
      </c>
      <c r="F152" t="s">
        <v>963</v>
      </c>
      <c r="G152" t="s">
        <v>2745</v>
      </c>
      <c r="H152" s="194">
        <f>SUMIF(주문_리스트!C:C,거래처!B152,주문_리스트!K:K)+SUMIF(주문_리스트!C:C,거래처!B152,주문_리스트!L:L)</f>
        <v>0</v>
      </c>
    </row>
    <row r="153" spans="1:9" x14ac:dyDescent="0.3">
      <c r="A153" s="47">
        <v>152</v>
      </c>
      <c r="B153" t="s">
        <v>2762</v>
      </c>
      <c r="C153" t="s">
        <v>2763</v>
      </c>
      <c r="E153" t="s">
        <v>2764</v>
      </c>
      <c r="F153" t="s">
        <v>1181</v>
      </c>
      <c r="H153" s="194">
        <f>SUMIF(주문_리스트!C:C,거래처!B153,주문_리스트!K:K)+SUMIF(주문_리스트!C:C,거래처!B153,주문_리스트!L:L)</f>
        <v>0</v>
      </c>
    </row>
    <row r="154" spans="1:9" x14ac:dyDescent="0.3">
      <c r="A154" s="47">
        <v>153</v>
      </c>
      <c r="B154" t="s">
        <v>2769</v>
      </c>
      <c r="C154" t="s">
        <v>2770</v>
      </c>
      <c r="E154" t="s">
        <v>2771</v>
      </c>
      <c r="F154" t="s">
        <v>1181</v>
      </c>
      <c r="H154" s="194">
        <f>SUMIF(주문_리스트!C:C,거래처!B154,주문_리스트!K:K)+SUMIF(주문_리스트!C:C,거래처!B154,주문_리스트!L:L)</f>
        <v>0</v>
      </c>
    </row>
    <row r="155" spans="1:9" x14ac:dyDescent="0.3">
      <c r="A155" s="47">
        <v>154</v>
      </c>
      <c r="B155" t="s">
        <v>2789</v>
      </c>
      <c r="C155" t="s">
        <v>2790</v>
      </c>
      <c r="E155" t="s">
        <v>2791</v>
      </c>
      <c r="F155" t="s">
        <v>1181</v>
      </c>
      <c r="G155" t="s">
        <v>2792</v>
      </c>
      <c r="H155" s="194">
        <f>SUMIF(주문_리스트!C:C,거래처!B155,주문_리스트!K:K)+SUMIF(주문_리스트!C:C,거래처!B155,주문_리스트!L:L)</f>
        <v>0</v>
      </c>
      <c r="I155" s="52" t="s">
        <v>3083</v>
      </c>
    </row>
    <row r="156" spans="1:9" x14ac:dyDescent="0.3">
      <c r="A156" s="47">
        <v>155</v>
      </c>
      <c r="B156" t="s">
        <v>2809</v>
      </c>
      <c r="C156" t="s">
        <v>2810</v>
      </c>
      <c r="E156" t="s">
        <v>2811</v>
      </c>
      <c r="F156" t="s">
        <v>976</v>
      </c>
      <c r="G156" t="s">
        <v>2812</v>
      </c>
      <c r="H156" s="194">
        <f>SUMIF(주문_리스트!C:C,거래처!B156,주문_리스트!K:K)+SUMIF(주문_리스트!C:C,거래처!B156,주문_리스트!L:L)</f>
        <v>0</v>
      </c>
    </row>
    <row r="157" spans="1:9" x14ac:dyDescent="0.3">
      <c r="A157" s="47">
        <v>156</v>
      </c>
      <c r="B157" t="s">
        <v>2860</v>
      </c>
      <c r="C157" t="s">
        <v>2866</v>
      </c>
      <c r="E157" t="s">
        <v>2867</v>
      </c>
      <c r="F157" t="s">
        <v>976</v>
      </c>
      <c r="G157" t="s">
        <v>3259</v>
      </c>
      <c r="H157" s="194">
        <f>SUMIF(주문_리스트!C:C,거래처!B157,주문_리스트!K:K)+SUMIF(주문_리스트!C:C,거래처!B157,주문_리스트!L:L)</f>
        <v>0</v>
      </c>
      <c r="I157" s="52" t="s">
        <v>3765</v>
      </c>
    </row>
    <row r="158" spans="1:9" x14ac:dyDescent="0.3">
      <c r="A158" s="47">
        <v>157</v>
      </c>
      <c r="B158" t="s">
        <v>2869</v>
      </c>
      <c r="C158" t="s">
        <v>2870</v>
      </c>
      <c r="E158" t="s">
        <v>2871</v>
      </c>
      <c r="F158" t="s">
        <v>1181</v>
      </c>
      <c r="G158" t="s">
        <v>2880</v>
      </c>
      <c r="H158" s="194">
        <f>SUMIF(주문_리스트!C:C,거래처!B158,주문_리스트!K:K)+SUMIF(주문_리스트!C:C,거래처!B158,주문_리스트!L:L)</f>
        <v>0</v>
      </c>
    </row>
    <row r="159" spans="1:9" x14ac:dyDescent="0.3">
      <c r="A159" s="47">
        <v>158</v>
      </c>
      <c r="B159" t="s">
        <v>2873</v>
      </c>
      <c r="C159" t="s">
        <v>2874</v>
      </c>
      <c r="E159" t="s">
        <v>2875</v>
      </c>
      <c r="F159" t="s">
        <v>973</v>
      </c>
      <c r="H159" s="194">
        <f>SUMIF(주문_리스트!C:C,거래처!B159,주문_리스트!K:K)+SUMIF(주문_리스트!C:C,거래처!B159,주문_리스트!L:L)</f>
        <v>0</v>
      </c>
    </row>
    <row r="160" spans="1:9" x14ac:dyDescent="0.3">
      <c r="A160" s="47">
        <v>159</v>
      </c>
      <c r="B160" t="s">
        <v>2890</v>
      </c>
      <c r="C160" t="s">
        <v>2891</v>
      </c>
      <c r="E160" t="s">
        <v>2892</v>
      </c>
      <c r="F160" t="s">
        <v>963</v>
      </c>
      <c r="G160" t="s">
        <v>2893</v>
      </c>
      <c r="H160" s="194">
        <f>SUMIF(주문_리스트!C:C,거래처!B160,주문_리스트!K:K)+SUMIF(주문_리스트!C:C,거래처!B160,주문_리스트!L:L)</f>
        <v>0</v>
      </c>
    </row>
    <row r="161" spans="1:10" x14ac:dyDescent="0.3">
      <c r="A161" s="47">
        <v>160</v>
      </c>
      <c r="B161" t="s">
        <v>2896</v>
      </c>
      <c r="C161" t="s">
        <v>2897</v>
      </c>
      <c r="E161" t="s">
        <v>2898</v>
      </c>
      <c r="F161" t="s">
        <v>1181</v>
      </c>
      <c r="H161" s="194">
        <f>SUMIF(주문_리스트!C:C,거래처!B161,주문_리스트!K:K)+SUMIF(주문_리스트!C:C,거래처!B161,주문_리스트!L:L)</f>
        <v>0</v>
      </c>
    </row>
    <row r="162" spans="1:10" x14ac:dyDescent="0.3">
      <c r="A162" s="47">
        <v>161</v>
      </c>
      <c r="B162" t="s">
        <v>2916</v>
      </c>
      <c r="C162" t="s">
        <v>2917</v>
      </c>
      <c r="E162" t="s">
        <v>655</v>
      </c>
      <c r="F162" t="s">
        <v>1181</v>
      </c>
      <c r="H162" s="194">
        <f>SUMIF(주문_리스트!C:C,거래처!B162,주문_리스트!K:K)+SUMIF(주문_리스트!C:C,거래처!B162,주문_리스트!L:L)</f>
        <v>0</v>
      </c>
    </row>
    <row r="163" spans="1:10" x14ac:dyDescent="0.3">
      <c r="A163" s="47">
        <v>162</v>
      </c>
      <c r="B163" t="s">
        <v>2930</v>
      </c>
      <c r="C163" t="s">
        <v>2931</v>
      </c>
      <c r="E163" t="s">
        <v>2932</v>
      </c>
      <c r="F163" t="s">
        <v>976</v>
      </c>
      <c r="G163" t="s">
        <v>2933</v>
      </c>
      <c r="H163" s="194">
        <f>SUMIF(주문_리스트!C:C,거래처!B163,주문_리스트!K:K)+SUMIF(주문_리스트!C:C,거래처!B163,주문_리스트!L:L)</f>
        <v>0</v>
      </c>
    </row>
    <row r="164" spans="1:10" x14ac:dyDescent="0.3">
      <c r="A164" s="47">
        <v>163</v>
      </c>
      <c r="B164" t="s">
        <v>2935</v>
      </c>
      <c r="C164" t="s">
        <v>2936</v>
      </c>
      <c r="E164" t="s">
        <v>2937</v>
      </c>
      <c r="F164" t="s">
        <v>973</v>
      </c>
      <c r="H164" s="194">
        <f>SUMIF(주문_리스트!C:C,거래처!B164,주문_리스트!K:K)+SUMIF(주문_리스트!C:C,거래처!B164,주문_리스트!L:L)</f>
        <v>0</v>
      </c>
      <c r="I164" s="52" t="s">
        <v>2947</v>
      </c>
    </row>
    <row r="165" spans="1:10" x14ac:dyDescent="0.3">
      <c r="A165" s="47">
        <v>164</v>
      </c>
      <c r="B165" t="s">
        <v>2942</v>
      </c>
      <c r="C165" t="s">
        <v>2931</v>
      </c>
      <c r="E165" t="s">
        <v>2932</v>
      </c>
      <c r="F165" t="s">
        <v>976</v>
      </c>
      <c r="G165" t="s">
        <v>2933</v>
      </c>
      <c r="H165" s="194">
        <f>SUMIF(주문_리스트!C:C,거래처!B165,주문_리스트!K:K)+SUMIF(주문_리스트!C:C,거래처!B165,주문_리스트!L:L)</f>
        <v>0</v>
      </c>
    </row>
    <row r="166" spans="1:10" x14ac:dyDescent="0.3">
      <c r="A166" s="47">
        <v>165</v>
      </c>
      <c r="B166" t="s">
        <v>2964</v>
      </c>
      <c r="C166" t="s">
        <v>2965</v>
      </c>
      <c r="E166" t="s">
        <v>2966</v>
      </c>
      <c r="F166" t="s">
        <v>963</v>
      </c>
      <c r="G166" t="s">
        <v>2967</v>
      </c>
      <c r="H166" s="194">
        <f>SUMIF(주문_리스트!C:C,거래처!B166,주문_리스트!K:K)+SUMIF(주문_리스트!C:C,거래처!B166,주문_리스트!L:L)</f>
        <v>0</v>
      </c>
    </row>
    <row r="167" spans="1:10" x14ac:dyDescent="0.3">
      <c r="A167" s="47">
        <v>166</v>
      </c>
      <c r="B167" t="s">
        <v>3021</v>
      </c>
      <c r="C167" t="s">
        <v>3022</v>
      </c>
      <c r="E167" t="s">
        <v>3023</v>
      </c>
      <c r="F167" t="s">
        <v>973</v>
      </c>
      <c r="H167" s="194">
        <f>SUMIF(주문_리스트!C:C,거래처!B167,주문_리스트!K:K)+SUMIF(주문_리스트!C:C,거래처!B167,주문_리스트!L:L)</f>
        <v>0</v>
      </c>
    </row>
    <row r="168" spans="1:10" x14ac:dyDescent="0.3">
      <c r="A168" s="47">
        <v>167</v>
      </c>
      <c r="B168" t="s">
        <v>3029</v>
      </c>
      <c r="C168" t="s">
        <v>3030</v>
      </c>
      <c r="D168" t="s">
        <v>3031</v>
      </c>
      <c r="E168" t="s">
        <v>3032</v>
      </c>
      <c r="F168" t="s">
        <v>976</v>
      </c>
      <c r="G168" t="s">
        <v>3033</v>
      </c>
      <c r="H168" s="194">
        <f>SUMIF(주문_리스트!C:C,거래처!B168,주문_리스트!K:K)+SUMIF(주문_리스트!C:C,거래처!B168,주문_리스트!L:L)</f>
        <v>0</v>
      </c>
    </row>
    <row r="169" spans="1:10" x14ac:dyDescent="0.3">
      <c r="A169" s="47">
        <v>168</v>
      </c>
      <c r="B169" t="s">
        <v>3077</v>
      </c>
      <c r="C169" t="s">
        <v>3078</v>
      </c>
      <c r="E169" t="s">
        <v>3079</v>
      </c>
      <c r="F169" t="s">
        <v>976</v>
      </c>
      <c r="G169" t="s">
        <v>3080</v>
      </c>
      <c r="H169" s="194">
        <f>SUMIF(주문_리스트!C:C,거래처!B169,주문_리스트!K:K)+SUMIF(주문_리스트!C:C,거래처!B169,주문_리스트!L:L)</f>
        <v>0</v>
      </c>
      <c r="I169" s="52" t="s">
        <v>3083</v>
      </c>
    </row>
    <row r="170" spans="1:10" x14ac:dyDescent="0.3">
      <c r="A170" s="47">
        <v>169</v>
      </c>
      <c r="B170" t="s">
        <v>3120</v>
      </c>
      <c r="C170" t="s">
        <v>3121</v>
      </c>
      <c r="E170" t="s">
        <v>3122</v>
      </c>
      <c r="F170" t="s">
        <v>963</v>
      </c>
      <c r="G170" t="s">
        <v>3123</v>
      </c>
      <c r="H170" s="194">
        <f>SUMIF(주문_리스트!C:C,거래처!B170,주문_리스트!K:K)+SUMIF(주문_리스트!C:C,거래처!B170,주문_리스트!L:L)</f>
        <v>0</v>
      </c>
    </row>
    <row r="171" spans="1:10" x14ac:dyDescent="0.3">
      <c r="A171" s="47">
        <v>170</v>
      </c>
      <c r="B171" t="s">
        <v>3151</v>
      </c>
      <c r="C171" t="s">
        <v>3152</v>
      </c>
      <c r="E171" t="s">
        <v>3153</v>
      </c>
      <c r="F171" t="s">
        <v>976</v>
      </c>
      <c r="G171" t="s">
        <v>3154</v>
      </c>
      <c r="H171" s="194">
        <f>SUMIF(주문_리스트!C:C,거래처!B171,주문_리스트!K:K)+SUMIF(주문_리스트!C:C,거래처!B171,주문_리스트!L:L)</f>
        <v>0</v>
      </c>
    </row>
    <row r="172" spans="1:10" x14ac:dyDescent="0.3">
      <c r="A172" s="47">
        <v>171</v>
      </c>
      <c r="B172" t="s">
        <v>3183</v>
      </c>
      <c r="C172" t="s">
        <v>3184</v>
      </c>
      <c r="E172" t="s">
        <v>3185</v>
      </c>
      <c r="F172" t="s">
        <v>963</v>
      </c>
      <c r="H172" s="194">
        <f>SUMIF(주문_리스트!C:C,거래처!B172,주문_리스트!K:K)+SUMIF(주문_리스트!C:C,거래처!B172,주문_리스트!L:L)</f>
        <v>0</v>
      </c>
    </row>
    <row r="173" spans="1:10" x14ac:dyDescent="0.3">
      <c r="A173" s="47">
        <v>172</v>
      </c>
      <c r="B173" t="s">
        <v>3187</v>
      </c>
      <c r="C173" t="s">
        <v>3188</v>
      </c>
      <c r="E173" t="s">
        <v>3189</v>
      </c>
      <c r="F173" t="s">
        <v>32</v>
      </c>
      <c r="G173" t="s">
        <v>3194</v>
      </c>
      <c r="H173" s="194">
        <f>SUMIF(주문_리스트!C:C,거래처!B173,주문_리스트!K:K)+SUMIF(주문_리스트!C:C,거래처!B173,주문_리스트!L:L)</f>
        <v>0</v>
      </c>
    </row>
    <row r="174" spans="1:10" x14ac:dyDescent="0.3">
      <c r="A174" s="47">
        <v>173</v>
      </c>
      <c r="B174" t="s">
        <v>3210</v>
      </c>
      <c r="C174" t="s">
        <v>3211</v>
      </c>
      <c r="E174" t="s">
        <v>3212</v>
      </c>
      <c r="F174" t="s">
        <v>963</v>
      </c>
      <c r="G174" t="s">
        <v>130</v>
      </c>
      <c r="H174" s="194">
        <f>SUMIF(주문_리스트!C:C,거래처!B174,주문_리스트!K:K)+SUMIF(주문_리스트!C:C,거래처!B174,주문_리스트!L:L)</f>
        <v>0</v>
      </c>
    </row>
    <row r="175" spans="1:10" x14ac:dyDescent="0.3">
      <c r="A175" s="47">
        <v>174</v>
      </c>
      <c r="B175" t="s">
        <v>3263</v>
      </c>
      <c r="C175" t="s">
        <v>3264</v>
      </c>
      <c r="E175" t="s">
        <v>3265</v>
      </c>
      <c r="F175" t="s">
        <v>1181</v>
      </c>
      <c r="G175" t="s">
        <v>2792</v>
      </c>
      <c r="H175" s="194">
        <f>SUMIF(주문_리스트!C:C,거래처!B175,주문_리스트!K:K)+SUMIF(주문_리스트!C:C,거래처!B175,주문_리스트!L:L)</f>
        <v>0</v>
      </c>
    </row>
    <row r="176" spans="1:10" x14ac:dyDescent="0.3">
      <c r="A176" s="47">
        <v>175</v>
      </c>
      <c r="B176" t="s">
        <v>3742</v>
      </c>
      <c r="C176" t="s">
        <v>3743</v>
      </c>
      <c r="E176" t="s">
        <v>3744</v>
      </c>
      <c r="F176" t="s">
        <v>3745</v>
      </c>
      <c r="G176" t="s">
        <v>3744</v>
      </c>
      <c r="H176" s="194">
        <f>SUMIF(주문_리스트!C:C,거래처!B176,주문_리스트!K:K)+SUMIF(주문_리스트!C:C,거래처!B176,주문_리스트!L:L)</f>
        <v>0</v>
      </c>
      <c r="J176" t="s">
        <v>3911</v>
      </c>
    </row>
    <row r="177" spans="1:11" x14ac:dyDescent="0.3">
      <c r="A177" s="47">
        <v>176</v>
      </c>
      <c r="B177" t="s">
        <v>3291</v>
      </c>
      <c r="C177" t="s">
        <v>3292</v>
      </c>
      <c r="E177" t="s">
        <v>3293</v>
      </c>
      <c r="F177" t="s">
        <v>976</v>
      </c>
      <c r="G177" t="s">
        <v>3294</v>
      </c>
      <c r="H177" s="194">
        <f>SUMIF(주문_리스트!C:C,거래처!B177,주문_리스트!K:K)+SUMIF(주문_리스트!C:C,거래처!B177,주문_리스트!L:L)</f>
        <v>0</v>
      </c>
      <c r="K177" t="s">
        <v>3402</v>
      </c>
    </row>
    <row r="178" spans="1:11" x14ac:dyDescent="0.3">
      <c r="A178" s="47">
        <v>177</v>
      </c>
      <c r="B178" t="s">
        <v>3350</v>
      </c>
      <c r="C178" t="s">
        <v>3351</v>
      </c>
      <c r="E178" t="s">
        <v>3352</v>
      </c>
      <c r="F178" t="s">
        <v>3353</v>
      </c>
      <c r="G178" t="s">
        <v>3354</v>
      </c>
      <c r="H178" s="194">
        <f>SUMIF(주문_리스트!C:C,거래처!B178,주문_리스트!K:K)+SUMIF(주문_리스트!C:C,거래처!B178,주문_리스트!L:L)</f>
        <v>0</v>
      </c>
    </row>
    <row r="179" spans="1:11" x14ac:dyDescent="0.3">
      <c r="A179" s="47">
        <v>178</v>
      </c>
      <c r="B179" t="s">
        <v>3403</v>
      </c>
      <c r="C179" t="s">
        <v>3404</v>
      </c>
      <c r="E179" t="s">
        <v>3405</v>
      </c>
      <c r="F179" t="s">
        <v>963</v>
      </c>
      <c r="G179" t="s">
        <v>181</v>
      </c>
      <c r="H179" s="194">
        <f>SUMIF(주문_리스트!C:C,거래처!B179,주문_리스트!K:K)+SUMIF(주문_리스트!C:C,거래처!B179,주문_리스트!L:L)</f>
        <v>0</v>
      </c>
      <c r="J179" t="s">
        <v>3879</v>
      </c>
    </row>
    <row r="180" spans="1:11" x14ac:dyDescent="0.3">
      <c r="A180" s="47">
        <v>179</v>
      </c>
      <c r="B180" t="s">
        <v>3452</v>
      </c>
      <c r="C180" t="s">
        <v>3453</v>
      </c>
      <c r="E180" t="s">
        <v>3454</v>
      </c>
      <c r="F180" t="s">
        <v>3455</v>
      </c>
      <c r="G180" t="s">
        <v>3456</v>
      </c>
      <c r="H180" s="194">
        <f>SUMIF(주문_리스트!C:C,거래처!B180,주문_리스트!K:K)+SUMIF(주문_리스트!C:C,거래처!B180,주문_리스트!L:L)</f>
        <v>0</v>
      </c>
      <c r="J180" t="s">
        <v>3622</v>
      </c>
    </row>
    <row r="181" spans="1:11" x14ac:dyDescent="0.3">
      <c r="A181" s="47">
        <v>180</v>
      </c>
      <c r="B181" t="s">
        <v>3459</v>
      </c>
      <c r="C181" t="s">
        <v>3460</v>
      </c>
      <c r="E181" t="s">
        <v>3461</v>
      </c>
      <c r="F181" t="s">
        <v>973</v>
      </c>
      <c r="H181" s="194">
        <f>SUMIF(주문_리스트!C:C,거래처!B181,주문_리스트!K:K)+SUMIF(주문_리스트!C:C,거래처!B181,주문_리스트!L:L)</f>
        <v>0</v>
      </c>
    </row>
    <row r="182" spans="1:11" x14ac:dyDescent="0.3">
      <c r="A182" s="47">
        <v>181</v>
      </c>
      <c r="B182" t="s">
        <v>3463</v>
      </c>
      <c r="C182" t="s">
        <v>3464</v>
      </c>
      <c r="E182" t="s">
        <v>3465</v>
      </c>
      <c r="F182" t="s">
        <v>1181</v>
      </c>
      <c r="G182" t="s">
        <v>2792</v>
      </c>
      <c r="H182" s="194">
        <f>SUMIF(주문_리스트!C:C,거래처!B182,주문_리스트!K:K)+SUMIF(주문_리스트!C:C,거래처!B182,주문_리스트!L:L)</f>
        <v>0</v>
      </c>
      <c r="J182" t="s">
        <v>3765</v>
      </c>
    </row>
    <row r="183" spans="1:11" x14ac:dyDescent="0.3">
      <c r="A183" s="47">
        <v>182</v>
      </c>
      <c r="B183" t="s">
        <v>3767</v>
      </c>
      <c r="C183" t="s">
        <v>3768</v>
      </c>
      <c r="E183" t="s">
        <v>3769</v>
      </c>
      <c r="F183" t="s">
        <v>3770</v>
      </c>
      <c r="G183" t="s">
        <v>3771</v>
      </c>
      <c r="H183" s="194">
        <f>SUMIF(주문_리스트!C:C,거래처!B183,주문_리스트!K:K)+SUMIF(주문_리스트!C:C,거래처!B183,주문_리스트!L:L)</f>
        <v>0</v>
      </c>
      <c r="I183" s="52" t="s">
        <v>3524</v>
      </c>
    </row>
    <row r="184" spans="1:11" x14ac:dyDescent="0.3">
      <c r="A184" s="47">
        <v>183</v>
      </c>
      <c r="B184" t="s">
        <v>3504</v>
      </c>
      <c r="C184" t="s">
        <v>3505</v>
      </c>
      <c r="E184" t="s">
        <v>3509</v>
      </c>
      <c r="F184" t="s">
        <v>973</v>
      </c>
      <c r="H184" s="194">
        <v>0</v>
      </c>
      <c r="I184" s="52" t="s">
        <v>3524</v>
      </c>
    </row>
    <row r="185" spans="1:11" x14ac:dyDescent="0.3">
      <c r="A185" s="47">
        <v>184</v>
      </c>
      <c r="B185" t="s">
        <v>3578</v>
      </c>
      <c r="C185" t="s">
        <v>3579</v>
      </c>
      <c r="E185" t="s">
        <v>3580</v>
      </c>
      <c r="F185" t="s">
        <v>963</v>
      </c>
      <c r="G185" t="s">
        <v>3581</v>
      </c>
      <c r="H185" s="194">
        <f>SUMIF(주문_리스트!C:C,거래처!B185,주문_리스트!K:K)+SUMIF(주문_리스트!C:C,거래처!B185,주문_리스트!L:L)</f>
        <v>0</v>
      </c>
      <c r="J185" t="s">
        <v>3622</v>
      </c>
    </row>
    <row r="186" spans="1:11" x14ac:dyDescent="0.3">
      <c r="A186" s="47">
        <v>185</v>
      </c>
      <c r="B186" t="s">
        <v>3637</v>
      </c>
      <c r="C186" t="s">
        <v>3638</v>
      </c>
      <c r="E186" t="s">
        <v>3639</v>
      </c>
      <c r="F186" t="s">
        <v>1181</v>
      </c>
      <c r="G186" t="s">
        <v>3636</v>
      </c>
      <c r="H186" s="194">
        <f>SUMIF(주문_리스트!C:C,거래처!B186,주문_리스트!K:K)+SUMIF(주문_리스트!C:C,거래처!B186,주문_리스트!L:L)-2100000</f>
        <v>0</v>
      </c>
    </row>
    <row r="187" spans="1:11" x14ac:dyDescent="0.3">
      <c r="A187" s="47">
        <v>186</v>
      </c>
      <c r="B187" t="s">
        <v>3729</v>
      </c>
      <c r="C187" t="s">
        <v>3730</v>
      </c>
      <c r="E187" t="s">
        <v>3731</v>
      </c>
      <c r="F187" t="s">
        <v>1181</v>
      </c>
      <c r="G187" t="s">
        <v>3732</v>
      </c>
      <c r="H187" s="194">
        <f>SUMIF(주문_리스트!C:C,거래처!B187,주문_리스트!K:K)+SUMIF(주문_리스트!C:C,거래처!B187,주문_리스트!L:L)</f>
        <v>0</v>
      </c>
    </row>
    <row r="188" spans="1:11" x14ac:dyDescent="0.3">
      <c r="A188" s="47">
        <v>188</v>
      </c>
      <c r="B188" t="s">
        <v>3826</v>
      </c>
      <c r="C188" t="s">
        <v>3827</v>
      </c>
      <c r="E188" t="s">
        <v>3828</v>
      </c>
      <c r="F188" t="s">
        <v>1181</v>
      </c>
      <c r="G188" t="s">
        <v>3828</v>
      </c>
      <c r="H188" s="194">
        <f>SUMIF(주문_리스트!C:C,거래처!B188,주문_리스트!K:K)+SUMIF(주문_리스트!C:C,거래처!B188,주문_리스트!L:L)</f>
        <v>0</v>
      </c>
    </row>
    <row r="189" spans="1:11" x14ac:dyDescent="0.3">
      <c r="A189" s="47">
        <v>189</v>
      </c>
      <c r="B189" t="s">
        <v>3892</v>
      </c>
      <c r="C189" t="s">
        <v>3893</v>
      </c>
      <c r="E189" t="s">
        <v>3894</v>
      </c>
      <c r="F189" t="s">
        <v>973</v>
      </c>
      <c r="H189" s="194">
        <f>SUMIF(주문_리스트!C:C,거래처!B189,주문_리스트!K:K)+SUMIF(주문_리스트!C:C,거래처!B189,주문_리스트!L:L)</f>
        <v>0</v>
      </c>
      <c r="J189" t="s">
        <v>3913</v>
      </c>
    </row>
    <row r="190" spans="1:11" x14ac:dyDescent="0.3">
      <c r="A190" s="47">
        <v>190</v>
      </c>
      <c r="B190" t="s">
        <v>3921</v>
      </c>
      <c r="C190" t="s">
        <v>3922</v>
      </c>
      <c r="E190" t="s">
        <v>3923</v>
      </c>
      <c r="H190" s="194">
        <f>SUMIF(주문_리스트!C:C,거래처!B190,주문_리스트!K:K)+SUMIF(주문_리스트!C:C,거래처!B190,주문_리스트!L:L)</f>
        <v>1320000</v>
      </c>
    </row>
    <row r="191" spans="1:11" x14ac:dyDescent="0.3">
      <c r="A191" s="47">
        <v>191</v>
      </c>
      <c r="B191" t="s">
        <v>3938</v>
      </c>
      <c r="C191" t="s">
        <v>3939</v>
      </c>
      <c r="E191" t="s">
        <v>3940</v>
      </c>
      <c r="F191" t="s">
        <v>976</v>
      </c>
      <c r="G191" t="s">
        <v>3941</v>
      </c>
      <c r="H191" s="194">
        <f>SUMIF(주문_리스트!C:C,거래처!B191,주문_리스트!K:K)+SUMIF(주문_리스트!C:C,거래처!B191,주문_리스트!L:L)</f>
        <v>0</v>
      </c>
    </row>
    <row r="192" spans="1:11" x14ac:dyDescent="0.3">
      <c r="A192" s="47">
        <v>192</v>
      </c>
      <c r="B192" t="s">
        <v>3952</v>
      </c>
      <c r="C192" t="s">
        <v>3953</v>
      </c>
      <c r="E192" t="s">
        <v>3954</v>
      </c>
      <c r="F192" t="s">
        <v>963</v>
      </c>
      <c r="G192" t="s">
        <v>3955</v>
      </c>
      <c r="H192" s="194">
        <f>SUMIF(주문_리스트!C:C,거래처!B192,주문_리스트!K:K)+SUMIF(주문_리스트!C:C,거래처!B192,주문_리스트!L:L)</f>
        <v>0</v>
      </c>
      <c r="J192" t="s">
        <v>3948</v>
      </c>
    </row>
    <row r="193" spans="8:8" x14ac:dyDescent="0.3">
      <c r="H193" s="194">
        <f>SUMIF(주문_리스트!C:C,거래처!B193,주문_리스트!K:K)+SUMIF(주문_리스트!C:C,거래처!B193,주문_리스트!L:L)</f>
        <v>0</v>
      </c>
    </row>
    <row r="194" spans="8:8" x14ac:dyDescent="0.3">
      <c r="H194" s="194">
        <f>SUMIF(주문_리스트!C:C,거래처!B194,주문_리스트!K:K)+SUMIF(주문_리스트!C:C,거래처!B194,주문_리스트!L:L)</f>
        <v>0</v>
      </c>
    </row>
    <row r="195" spans="8:8" x14ac:dyDescent="0.3">
      <c r="H195" s="194">
        <f>SUMIF(주문_리스트!C:C,거래처!B195,주문_리스트!K:K)+SUMIF(주문_리스트!C:C,거래처!B195,주문_리스트!L:L)</f>
        <v>0</v>
      </c>
    </row>
    <row r="196" spans="8:8" x14ac:dyDescent="0.3">
      <c r="H196" s="194">
        <f>SUMIF(주문_리스트!C:C,거래처!B196,주문_리스트!K:K)+SUMIF(주문_리스트!C:C,거래처!B196,주문_리스트!L:L)</f>
        <v>0</v>
      </c>
    </row>
    <row r="197" spans="8:8" x14ac:dyDescent="0.3">
      <c r="H197" s="194">
        <f>SUMIF(주문_리스트!C:C,거래처!B197,주문_리스트!K:K)+SUMIF(주문_리스트!C:C,거래처!B197,주문_리스트!L:L)</f>
        <v>0</v>
      </c>
    </row>
    <row r="198" spans="8:8" x14ac:dyDescent="0.3">
      <c r="H198" s="194">
        <f>SUMIF(주문_리스트!C:C,거래처!B198,주문_리스트!K:K)+SUMIF(주문_리스트!C:C,거래처!B198,주문_리스트!L:L)</f>
        <v>0</v>
      </c>
    </row>
    <row r="199" spans="8:8" x14ac:dyDescent="0.3">
      <c r="H199" s="194">
        <f>SUMIF(주문_리스트!C:C,거래처!B199,주문_리스트!K:K)+SUMIF(주문_리스트!C:C,거래처!B199,주문_리스트!L:L)</f>
        <v>0</v>
      </c>
    </row>
    <row r="200" spans="8:8" x14ac:dyDescent="0.3">
      <c r="H200" s="194">
        <f>SUMIF(주문_리스트!C:C,거래처!B200,주문_리스트!K:K)+SUMIF(주문_리스트!C:C,거래처!B200,주문_리스트!L:L)</f>
        <v>0</v>
      </c>
    </row>
    <row r="201" spans="8:8" x14ac:dyDescent="0.3">
      <c r="H201" s="194">
        <f>SUMIF(주문_리스트!C:C,거래처!B201,주문_리스트!K:K)+SUMIF(주문_리스트!C:C,거래처!B201,주문_리스트!L:L)</f>
        <v>0</v>
      </c>
    </row>
    <row r="202" spans="8:8" x14ac:dyDescent="0.3">
      <c r="H202" s="194">
        <f>SUMIF(주문_리스트!C:C,거래처!B202,주문_리스트!K:K)+SUMIF(주문_리스트!C:C,거래처!B202,주문_리스트!L:L)</f>
        <v>0</v>
      </c>
    </row>
    <row r="203" spans="8:8" x14ac:dyDescent="0.3">
      <c r="H203" s="194">
        <f>SUMIF(주문_리스트!C:C,거래처!B203,주문_리스트!K:K)+SUMIF(주문_리스트!C:C,거래처!B203,주문_리스트!L:L)</f>
        <v>0</v>
      </c>
    </row>
    <row r="204" spans="8:8" x14ac:dyDescent="0.3">
      <c r="H204" s="194">
        <f>SUMIF(주문_리스트!C:C,거래처!B204,주문_리스트!K:K)+SUMIF(주문_리스트!C:C,거래처!B204,주문_리스트!L:L)</f>
        <v>0</v>
      </c>
    </row>
    <row r="205" spans="8:8" x14ac:dyDescent="0.3">
      <c r="H205" s="194">
        <f>SUMIF(주문_리스트!C:C,거래처!B205,주문_리스트!K:K)+SUMIF(주문_리스트!C:C,거래처!B205,주문_리스트!L:L)</f>
        <v>0</v>
      </c>
    </row>
    <row r="206" spans="8:8" x14ac:dyDescent="0.3">
      <c r="H206" s="194">
        <f>SUMIF(주문_리스트!C:C,거래처!B206,주문_리스트!K:K)+SUMIF(주문_리스트!C:C,거래처!B206,주문_리스트!L:L)</f>
        <v>0</v>
      </c>
    </row>
    <row r="207" spans="8:8" x14ac:dyDescent="0.3">
      <c r="H207" s="194">
        <f>SUMIF(주문_리스트!C:C,거래처!B207,주문_리스트!K:K)+SUMIF(주문_리스트!C:C,거래처!B207,주문_리스트!L:L)</f>
        <v>0</v>
      </c>
    </row>
    <row r="208" spans="8:8" x14ac:dyDescent="0.3">
      <c r="H208" s="194">
        <f>SUMIF(주문_리스트!C:C,거래처!B208,주문_리스트!K:K)+SUMIF(주문_리스트!C:C,거래처!B208,주문_리스트!L:L)</f>
        <v>0</v>
      </c>
    </row>
    <row r="209" spans="8:8" x14ac:dyDescent="0.3">
      <c r="H209" s="194">
        <f>SUMIF(주문_리스트!C:C,거래처!B209,주문_리스트!K:K)+SUMIF(주문_리스트!C:C,거래처!B209,주문_리스트!L:L)</f>
        <v>0</v>
      </c>
    </row>
    <row r="210" spans="8:8" x14ac:dyDescent="0.3">
      <c r="H210" s="194">
        <f>SUMIF(주문_리스트!C:C,거래처!B210,주문_리스트!K:K)+SUMIF(주문_리스트!C:C,거래처!B210,주문_리스트!L:L)</f>
        <v>0</v>
      </c>
    </row>
    <row r="211" spans="8:8" x14ac:dyDescent="0.3">
      <c r="H211" s="194">
        <f>SUMIF(주문_리스트!C:C,거래처!B211,주문_리스트!K:K)+SUMIF(주문_리스트!C:C,거래처!B211,주문_리스트!L:L)</f>
        <v>0</v>
      </c>
    </row>
    <row r="212" spans="8:8" x14ac:dyDescent="0.3">
      <c r="H212" s="194">
        <f>SUMIF(주문_리스트!C:C,거래처!B212,주문_리스트!K:K)+SUMIF(주문_리스트!C:C,거래처!B212,주문_리스트!L:L)</f>
        <v>0</v>
      </c>
    </row>
    <row r="213" spans="8:8" x14ac:dyDescent="0.3">
      <c r="H213" s="194">
        <f>SUMIF(주문_리스트!C:C,거래처!B213,주문_리스트!K:K)+SUMIF(주문_리스트!C:C,거래처!B213,주문_리스트!L:L)</f>
        <v>0</v>
      </c>
    </row>
    <row r="214" spans="8:8" x14ac:dyDescent="0.3">
      <c r="H214" s="194">
        <f>SUMIF(주문_리스트!C:C,거래처!B214,주문_리스트!K:K)+SUMIF(주문_리스트!C:C,거래처!B214,주문_리스트!L:L)</f>
        <v>0</v>
      </c>
    </row>
    <row r="215" spans="8:8" x14ac:dyDescent="0.3">
      <c r="H215" s="194">
        <f>SUMIF(주문_리스트!C:C,거래처!B215,주문_리스트!K:K)+SUMIF(주문_리스트!C:C,거래처!B215,주문_리스트!L:L)</f>
        <v>0</v>
      </c>
    </row>
    <row r="216" spans="8:8" x14ac:dyDescent="0.3">
      <c r="H216" s="194">
        <f>SUMIF(주문_리스트!C:C,거래처!B216,주문_리스트!K:K)+SUMIF(주문_리스트!C:C,거래처!B216,주문_리스트!L:L)</f>
        <v>0</v>
      </c>
    </row>
    <row r="217" spans="8:8" x14ac:dyDescent="0.3">
      <c r="H217" s="194">
        <f>SUMIF(주문_리스트!C:C,거래처!B217,주문_리스트!K:K)+SUMIF(주문_리스트!C:C,거래처!B217,주문_리스트!L:L)</f>
        <v>0</v>
      </c>
    </row>
    <row r="218" spans="8:8" x14ac:dyDescent="0.3">
      <c r="H218" s="194">
        <f>SUMIF(주문_리스트!C:C,거래처!B218,주문_리스트!K:K)+SUMIF(주문_리스트!C:C,거래처!B218,주문_리스트!L:L)</f>
        <v>0</v>
      </c>
    </row>
    <row r="219" spans="8:8" x14ac:dyDescent="0.3">
      <c r="H219" s="194">
        <f>SUMIF(주문_리스트!C:C,거래처!B219,주문_리스트!K:K)+SUMIF(주문_리스트!C:C,거래처!B219,주문_리스트!L:L)</f>
        <v>0</v>
      </c>
    </row>
    <row r="220" spans="8:8" x14ac:dyDescent="0.3">
      <c r="H220" s="194">
        <f>SUMIF(주문_리스트!C:C,거래처!B220,주문_리스트!K:K)+SUMIF(주문_리스트!C:C,거래처!B220,주문_리스트!L:L)</f>
        <v>0</v>
      </c>
    </row>
    <row r="221" spans="8:8" x14ac:dyDescent="0.3">
      <c r="H221" s="194">
        <f>SUMIF(주문_리스트!C:C,거래처!B221,주문_리스트!K:K)+SUMIF(주문_리스트!C:C,거래처!B221,주문_리스트!L:L)</f>
        <v>0</v>
      </c>
    </row>
    <row r="222" spans="8:8" x14ac:dyDescent="0.3">
      <c r="H222" s="194">
        <f>SUMIF(주문_리스트!C:C,거래처!B222,주문_리스트!K:K)+SUMIF(주문_리스트!C:C,거래처!B222,주문_리스트!L:L)</f>
        <v>0</v>
      </c>
    </row>
    <row r="223" spans="8:8" x14ac:dyDescent="0.3">
      <c r="H223" s="194">
        <f>SUMIF(주문_리스트!C:C,거래처!B223,주문_리스트!K:K)+SUMIF(주문_리스트!C:C,거래처!B223,주문_리스트!L:L)</f>
        <v>0</v>
      </c>
    </row>
    <row r="224" spans="8:8" x14ac:dyDescent="0.3">
      <c r="H224" s="194">
        <f>SUMIF(주문_리스트!C:C,거래처!B224,주문_리스트!K:K)+SUMIF(주문_리스트!C:C,거래처!B224,주문_리스트!L:L)</f>
        <v>0</v>
      </c>
    </row>
  </sheetData>
  <autoFilter ref="A1:I221" xr:uid="{508475FB-B701-4E31-85ED-27AFC3218E22}"/>
  <phoneticPr fontId="2" type="noConversion"/>
  <pageMargins left="0.7" right="0.7" top="0.75" bottom="0.75" header="0.3" footer="0.3"/>
  <pageSetup paperSize="9" orientation="portrait" horizontalDpi="4294967293" verticalDpi="203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4BB12A-F488-4C4B-87E6-43F3AE5FA34B}">
  <sheetPr codeName="shtItem"/>
  <dimension ref="A1:K243"/>
  <sheetViews>
    <sheetView zoomScale="115" zoomScaleNormal="115" workbookViewId="0">
      <pane xSplit="2" ySplit="1" topLeftCell="C125" activePane="bottomRight" state="frozen"/>
      <selection activeCell="N26" sqref="N26"/>
      <selection pane="topRight" activeCell="N26" sqref="N26"/>
      <selection pane="bottomLeft" activeCell="N26" sqref="N26"/>
      <selection pane="bottomRight" activeCell="F144" sqref="F144"/>
    </sheetView>
  </sheetViews>
  <sheetFormatPr defaultColWidth="9" defaultRowHeight="16.5" x14ac:dyDescent="0.3"/>
  <cols>
    <col min="1" max="2" width="11.75" customWidth="1"/>
    <col min="3" max="3" width="22" style="288" customWidth="1"/>
    <col min="4" max="4" width="26" style="288" bestFit="1" customWidth="1"/>
    <col min="5" max="5" width="15.625" style="288" customWidth="1"/>
    <col min="6" max="8" width="13.125" style="52" customWidth="1"/>
    <col min="9" max="9" width="68.375" style="52" bestFit="1" customWidth="1"/>
    <col min="10" max="10" width="13.125" bestFit="1" customWidth="1"/>
  </cols>
  <sheetData>
    <row r="1" spans="1:11" ht="17.25" thickBot="1" x14ac:dyDescent="0.35">
      <c r="A1" s="31" t="s">
        <v>2</v>
      </c>
      <c r="B1" s="31" t="s">
        <v>1118</v>
      </c>
      <c r="C1" s="287" t="s">
        <v>1</v>
      </c>
      <c r="D1" s="287" t="s">
        <v>0</v>
      </c>
      <c r="E1" s="287" t="s">
        <v>44</v>
      </c>
      <c r="F1" s="51" t="s">
        <v>42</v>
      </c>
      <c r="G1" s="51" t="s">
        <v>1608</v>
      </c>
      <c r="H1" s="51" t="s">
        <v>1830</v>
      </c>
      <c r="I1" s="51" t="s">
        <v>4</v>
      </c>
      <c r="J1" s="97">
        <v>247</v>
      </c>
    </row>
    <row r="2" spans="1:11" x14ac:dyDescent="0.3">
      <c r="A2">
        <v>1</v>
      </c>
      <c r="B2">
        <v>2</v>
      </c>
      <c r="C2" s="288">
        <v>28120504</v>
      </c>
      <c r="D2" s="288" t="s">
        <v>2519</v>
      </c>
      <c r="E2" s="288">
        <v>28120504</v>
      </c>
      <c r="F2" s="52">
        <v>1000000</v>
      </c>
      <c r="H2">
        <f>SUMIF(재고!D:D,제품!D2,재고!F:F)-SUMIF(주문_리스트!E:E,제품!D2,주문_리스트!H:H)</f>
        <v>-3</v>
      </c>
      <c r="I2"/>
    </row>
    <row r="3" spans="1:11" x14ac:dyDescent="0.3">
      <c r="A3">
        <v>2</v>
      </c>
      <c r="B3">
        <v>3</v>
      </c>
      <c r="D3" s="288" t="s">
        <v>2195</v>
      </c>
      <c r="F3" s="52">
        <v>300000</v>
      </c>
      <c r="H3">
        <f>SUMIF(재고!D:D,제품!D3,재고!F:F)-SUMIF(주문_리스트!E:E,제품!D3,주문_리스트!H:H)</f>
        <v>-3</v>
      </c>
      <c r="I3"/>
    </row>
    <row r="4" spans="1:11" x14ac:dyDescent="0.3">
      <c r="A4">
        <v>3</v>
      </c>
      <c r="B4">
        <v>1</v>
      </c>
      <c r="D4" s="288" t="s">
        <v>1141</v>
      </c>
      <c r="F4" s="52">
        <v>700000</v>
      </c>
      <c r="H4">
        <f>SUMIF(재고!D:D,제품!D4,재고!F:F)-SUMIF(주문_리스트!E:E,제품!D4,주문_리스트!H:H)</f>
        <v>-1</v>
      </c>
      <c r="I4"/>
    </row>
    <row r="5" spans="1:11" x14ac:dyDescent="0.3">
      <c r="A5">
        <v>4</v>
      </c>
      <c r="B5">
        <v>6</v>
      </c>
      <c r="C5" s="288" t="s">
        <v>1952</v>
      </c>
      <c r="D5" s="288" t="s">
        <v>1951</v>
      </c>
      <c r="E5" s="288" t="s">
        <v>1952</v>
      </c>
      <c r="F5" s="52">
        <v>1000000</v>
      </c>
      <c r="G5" s="52">
        <v>550000</v>
      </c>
      <c r="H5">
        <f>SUMIF(재고!D:D,제품!D5,재고!F:F)-SUMIF(주문_리스트!E:E,제품!D5,주문_리스트!H:H)</f>
        <v>-5</v>
      </c>
      <c r="I5"/>
    </row>
    <row r="6" spans="1:11" x14ac:dyDescent="0.3">
      <c r="A6">
        <v>5</v>
      </c>
      <c r="B6">
        <v>1</v>
      </c>
      <c r="D6" s="288" t="s">
        <v>1640</v>
      </c>
      <c r="F6" s="52">
        <v>198000</v>
      </c>
      <c r="H6">
        <f>SUMIF(재고!D:D,제품!D6,재고!F:F)-SUMIF(주문_리스트!E:E,제품!D6,주문_리스트!H:H)</f>
        <v>-3</v>
      </c>
      <c r="I6"/>
    </row>
    <row r="7" spans="1:11" x14ac:dyDescent="0.3">
      <c r="A7">
        <v>6</v>
      </c>
      <c r="B7">
        <v>8</v>
      </c>
      <c r="D7" s="288" t="s">
        <v>1609</v>
      </c>
      <c r="F7" s="52">
        <v>12000</v>
      </c>
      <c r="H7">
        <f>SUMIF(재고!D:D,제품!D7,재고!F:F)-SUMIF(주문_리스트!E:E,제품!D7,주문_리스트!H:H)</f>
        <v>-1</v>
      </c>
      <c r="I7"/>
    </row>
    <row r="8" spans="1:11" x14ac:dyDescent="0.3">
      <c r="A8">
        <v>7</v>
      </c>
      <c r="D8" s="288" t="s">
        <v>1743</v>
      </c>
      <c r="F8" s="52">
        <v>650000</v>
      </c>
      <c r="H8">
        <f>SUMIF(재고!D:D,제품!D8,재고!F:F)-SUMIF(주문_리스트!E:E,제품!D8,주문_리스트!H:H)</f>
        <v>-48</v>
      </c>
      <c r="I8"/>
    </row>
    <row r="9" spans="1:11" x14ac:dyDescent="0.3">
      <c r="A9">
        <v>8</v>
      </c>
      <c r="B9">
        <v>2</v>
      </c>
      <c r="C9" s="288" t="s">
        <v>3852</v>
      </c>
      <c r="D9" s="288" t="s">
        <v>1140</v>
      </c>
      <c r="E9" s="288" t="s">
        <v>3852</v>
      </c>
      <c r="F9" s="52">
        <v>1000000</v>
      </c>
      <c r="H9">
        <f>SUMIF(재고!D:D,제품!D9,재고!F:F)-SUMIF(주문_리스트!E:E,제품!D9,주문_리스트!H:H)</f>
        <v>-5</v>
      </c>
    </row>
    <row r="10" spans="1:11" x14ac:dyDescent="0.3">
      <c r="A10">
        <v>9</v>
      </c>
      <c r="B10">
        <v>9</v>
      </c>
      <c r="C10" s="288">
        <v>602000700</v>
      </c>
      <c r="D10" s="288" t="s">
        <v>2921</v>
      </c>
      <c r="E10" s="288">
        <v>602000700</v>
      </c>
      <c r="F10" s="52">
        <v>350000</v>
      </c>
      <c r="G10" s="52">
        <v>340000</v>
      </c>
      <c r="H10">
        <v>0</v>
      </c>
    </row>
    <row r="11" spans="1:11" x14ac:dyDescent="0.3">
      <c r="A11">
        <v>10</v>
      </c>
      <c r="B11">
        <v>7</v>
      </c>
      <c r="D11" s="288" t="s">
        <v>1143</v>
      </c>
      <c r="F11" s="52">
        <v>600000</v>
      </c>
      <c r="H11">
        <f>SUMIF(재고!D:D,제품!D11,재고!F:F)-SUMIF(주문_리스트!E:E,제품!D11,주문_리스트!H:H)</f>
        <v>-1</v>
      </c>
    </row>
    <row r="12" spans="1:11" x14ac:dyDescent="0.3">
      <c r="A12">
        <v>11</v>
      </c>
      <c r="B12">
        <v>8</v>
      </c>
      <c r="D12" s="288" t="s">
        <v>1144</v>
      </c>
      <c r="F12" s="52">
        <v>25000</v>
      </c>
      <c r="H12">
        <f>SUMIF(재고!D:D,제품!D12,재고!F:F)-SUMIF(주문_리스트!E:E,제품!D12,주문_리스트!H:H)</f>
        <v>-1</v>
      </c>
    </row>
    <row r="13" spans="1:11" x14ac:dyDescent="0.3">
      <c r="A13">
        <v>12</v>
      </c>
      <c r="B13">
        <v>8</v>
      </c>
      <c r="D13" s="288" t="s">
        <v>1145</v>
      </c>
      <c r="F13" s="52">
        <v>800000</v>
      </c>
      <c r="H13">
        <f>SUMIF(재고!D:D,제품!D13,재고!F:F)-SUMIF(주문_리스트!E:E,제품!D13,주문_리스트!H:H)</f>
        <v>-1</v>
      </c>
    </row>
    <row r="14" spans="1:11" x14ac:dyDescent="0.3">
      <c r="A14">
        <v>13</v>
      </c>
      <c r="B14">
        <v>9</v>
      </c>
      <c r="C14" s="288">
        <v>415054509</v>
      </c>
      <c r="D14" s="288" t="s">
        <v>2522</v>
      </c>
      <c r="E14" s="288">
        <v>415054509</v>
      </c>
      <c r="F14" s="52">
        <v>330000</v>
      </c>
      <c r="G14" s="52">
        <v>330000</v>
      </c>
      <c r="H14">
        <v>-12</v>
      </c>
      <c r="J14" t="s">
        <v>1641</v>
      </c>
      <c r="K14">
        <v>75000</v>
      </c>
    </row>
    <row r="15" spans="1:11" x14ac:dyDescent="0.3">
      <c r="A15">
        <v>14</v>
      </c>
      <c r="B15">
        <v>2</v>
      </c>
      <c r="C15" s="288" t="s">
        <v>3853</v>
      </c>
      <c r="D15" s="288" t="s">
        <v>1654</v>
      </c>
      <c r="E15" s="288" t="s">
        <v>3670</v>
      </c>
      <c r="F15" s="52">
        <v>1100000</v>
      </c>
      <c r="H15">
        <f>SUMIF(재고!D:D,제품!D15,재고!F:F)-SUMIF(주문_리스트!E:E,제품!D15,주문_리스트!H:H)</f>
        <v>-5</v>
      </c>
    </row>
    <row r="16" spans="1:11" x14ac:dyDescent="0.3">
      <c r="A16">
        <v>15</v>
      </c>
      <c r="B16">
        <v>2</v>
      </c>
      <c r="C16" s="288">
        <v>2830506</v>
      </c>
      <c r="D16" s="288" t="s">
        <v>2682</v>
      </c>
      <c r="E16" s="288">
        <v>2830506</v>
      </c>
      <c r="F16" s="52">
        <v>1650000</v>
      </c>
      <c r="H16">
        <f>SUMIF(재고!D:D,제품!D16,재고!F:F)-SUMIF(주문_리스트!E:E,제품!D16,주문_리스트!H:H)</f>
        <v>-3</v>
      </c>
    </row>
    <row r="17" spans="1:9" x14ac:dyDescent="0.3">
      <c r="A17">
        <v>16</v>
      </c>
      <c r="B17">
        <v>3</v>
      </c>
      <c r="C17" s="288">
        <v>2820403</v>
      </c>
      <c r="D17" s="288" t="s">
        <v>2686</v>
      </c>
      <c r="E17" s="288">
        <v>2820403</v>
      </c>
      <c r="F17" s="52">
        <v>1500000</v>
      </c>
      <c r="H17">
        <f>SUMIF(재고!D:D,제품!D17,재고!F:F)-SUMIF(주문_리스트!E:E,제품!D17,주문_리스트!H:H)</f>
        <v>-23</v>
      </c>
    </row>
    <row r="18" spans="1:9" x14ac:dyDescent="0.3">
      <c r="A18">
        <v>17</v>
      </c>
      <c r="D18" s="288" t="s">
        <v>1108</v>
      </c>
      <c r="F18" s="52">
        <v>198000</v>
      </c>
      <c r="H18">
        <f>SUMIF(재고!D:D,제품!D18,재고!F:F)-SUMIF(주문_리스트!E:E,제품!D18,주문_리스트!H:H)</f>
        <v>-1</v>
      </c>
    </row>
    <row r="19" spans="1:9" x14ac:dyDescent="0.3">
      <c r="A19">
        <v>18</v>
      </c>
      <c r="B19">
        <v>8</v>
      </c>
      <c r="D19" s="288" t="s">
        <v>2203</v>
      </c>
      <c r="F19" s="52">
        <v>150000</v>
      </c>
      <c r="H19">
        <f>SUMIF(재고!D:D,제품!D19,재고!F:F)-SUMIF(주문_리스트!E:E,제품!D19,주문_리스트!H:H)</f>
        <v>-2</v>
      </c>
    </row>
    <row r="20" spans="1:9" x14ac:dyDescent="0.3">
      <c r="A20">
        <v>19</v>
      </c>
      <c r="B20">
        <v>8</v>
      </c>
      <c r="D20" s="288" t="s">
        <v>2201</v>
      </c>
      <c r="F20" s="52">
        <v>100000</v>
      </c>
      <c r="H20">
        <f>SUMIF(재고!D:D,제품!D20,재고!F:F)-SUMIF(주문_리스트!E:E,제품!D20,주문_리스트!H:H)</f>
        <v>0</v>
      </c>
    </row>
    <row r="21" spans="1:9" x14ac:dyDescent="0.3">
      <c r="A21">
        <v>20</v>
      </c>
      <c r="B21">
        <v>8</v>
      </c>
      <c r="D21" s="288" t="s">
        <v>1652</v>
      </c>
      <c r="F21" s="52">
        <v>230000</v>
      </c>
      <c r="H21">
        <f>SUMIF(재고!D:D,제품!D21,재고!F:F)-SUMIF(주문_리스트!E:E,제품!D21,주문_리스트!H:H)</f>
        <v>-1</v>
      </c>
    </row>
    <row r="22" spans="1:9" x14ac:dyDescent="0.3">
      <c r="A22">
        <v>21</v>
      </c>
      <c r="B22">
        <v>3</v>
      </c>
      <c r="D22" s="288" t="s">
        <v>2185</v>
      </c>
      <c r="F22" s="52">
        <v>600000</v>
      </c>
      <c r="H22">
        <f>SUMIF(재고!D:D,제품!D22,재고!F:F)-SUMIF(주문_리스트!E:E,제품!D22,주문_리스트!H:H)</f>
        <v>0</v>
      </c>
    </row>
    <row r="23" spans="1:9" x14ac:dyDescent="0.3">
      <c r="A23">
        <v>22</v>
      </c>
      <c r="B23">
        <v>4</v>
      </c>
      <c r="C23" s="288" t="s">
        <v>1198</v>
      </c>
      <c r="D23" s="288" t="s">
        <v>2197</v>
      </c>
      <c r="E23" s="288" t="s">
        <v>1198</v>
      </c>
      <c r="F23" s="52">
        <v>1000000</v>
      </c>
      <c r="H23">
        <f>SUMIF(재고!D:D,제품!D23,재고!F:F)-SUMIF(주문_리스트!E:E,제품!D23,주문_리스트!H:H)</f>
        <v>-7</v>
      </c>
    </row>
    <row r="24" spans="1:9" x14ac:dyDescent="0.3">
      <c r="A24">
        <v>23</v>
      </c>
      <c r="B24">
        <v>4</v>
      </c>
      <c r="C24" s="288" t="s">
        <v>1199</v>
      </c>
      <c r="D24" s="288" t="s">
        <v>2197</v>
      </c>
      <c r="E24" s="288" t="s">
        <v>1199</v>
      </c>
      <c r="F24" s="52">
        <v>1000000</v>
      </c>
      <c r="H24">
        <f>SUMIF(재고!D:D,제품!D24,재고!F:F)-SUMIF(주문_리스트!E:E,제품!D24,주문_리스트!H:H)</f>
        <v>-7</v>
      </c>
    </row>
    <row r="25" spans="1:9" x14ac:dyDescent="0.3">
      <c r="A25">
        <v>24</v>
      </c>
      <c r="B25">
        <v>3</v>
      </c>
      <c r="C25" s="288" t="s">
        <v>1200</v>
      </c>
      <c r="D25" s="288" t="s">
        <v>2186</v>
      </c>
      <c r="E25" s="288" t="s">
        <v>1200</v>
      </c>
      <c r="F25" s="52">
        <v>1400000</v>
      </c>
      <c r="H25">
        <f>SUMIF(재고!D:D,제품!D25,재고!F:F)-SUMIF(주문_리스트!E:E,제품!D25,주문_리스트!H:H)</f>
        <v>-19</v>
      </c>
    </row>
    <row r="26" spans="1:9" x14ac:dyDescent="0.3">
      <c r="A26">
        <v>25</v>
      </c>
      <c r="B26">
        <v>3</v>
      </c>
      <c r="C26" s="288" t="s">
        <v>1201</v>
      </c>
      <c r="D26" s="288" t="s">
        <v>2180</v>
      </c>
      <c r="E26" s="288" t="s">
        <v>1201</v>
      </c>
      <c r="F26" s="52">
        <v>1500000</v>
      </c>
      <c r="H26">
        <f>SUMIF(재고!D:D,제품!D26,재고!F:F)-SUMIF(주문_리스트!E:E,제품!D26,주문_리스트!H:H)</f>
        <v>-83</v>
      </c>
    </row>
    <row r="27" spans="1:9" x14ac:dyDescent="0.3">
      <c r="A27">
        <v>26</v>
      </c>
      <c r="B27">
        <v>3</v>
      </c>
      <c r="C27" s="288" t="s">
        <v>1994</v>
      </c>
      <c r="D27" s="288" t="s">
        <v>1645</v>
      </c>
      <c r="E27" s="288" t="s">
        <v>1994</v>
      </c>
      <c r="F27" s="52">
        <v>1500000</v>
      </c>
      <c r="H27">
        <f>SUMIF(재고!D:D,제품!D27,재고!F:F)-SUMIF(주문_리스트!E:E,제품!D27,주문_리스트!H:H)</f>
        <v>-1</v>
      </c>
    </row>
    <row r="28" spans="1:9" x14ac:dyDescent="0.3">
      <c r="A28">
        <v>27</v>
      </c>
      <c r="B28">
        <v>1</v>
      </c>
      <c r="C28" s="288" t="s">
        <v>1221</v>
      </c>
      <c r="D28" s="288" t="s">
        <v>1219</v>
      </c>
      <c r="E28" s="288" t="s">
        <v>1221</v>
      </c>
      <c r="F28" s="52">
        <v>1400000</v>
      </c>
      <c r="H28">
        <f>SUMIF(재고!D:D,제품!D28,재고!F:F)-SUMIF(주문_리스트!E:E,제품!D28,주문_리스트!H:H)</f>
        <v>-101</v>
      </c>
      <c r="I28" s="52">
        <v>5000</v>
      </c>
    </row>
    <row r="29" spans="1:9" x14ac:dyDescent="0.3">
      <c r="A29">
        <v>28</v>
      </c>
      <c r="B29">
        <v>1</v>
      </c>
      <c r="C29" s="288" t="s">
        <v>1204</v>
      </c>
      <c r="D29" s="288" t="s">
        <v>1205</v>
      </c>
      <c r="E29" s="288" t="s">
        <v>1204</v>
      </c>
      <c r="F29" s="52">
        <v>1200000</v>
      </c>
      <c r="H29">
        <f>SUMIF(재고!D:D,제품!D29,재고!F:F)-SUMIF(주문_리스트!E:E,제품!D29,주문_리스트!H:H)</f>
        <v>-30</v>
      </c>
    </row>
    <row r="30" spans="1:9" x14ac:dyDescent="0.3">
      <c r="A30">
        <v>29</v>
      </c>
      <c r="B30">
        <v>1</v>
      </c>
      <c r="C30" s="288" t="s">
        <v>1206</v>
      </c>
      <c r="D30" s="288" t="s">
        <v>1205</v>
      </c>
      <c r="E30" s="288" t="s">
        <v>1206</v>
      </c>
      <c r="F30" s="52">
        <v>1200000</v>
      </c>
      <c r="H30">
        <f>SUMIF(재고!D:D,제품!D30,재고!F:F)-SUMIF(주문_리스트!E:E,제품!D30,주문_리스트!H:H)</f>
        <v>-30</v>
      </c>
    </row>
    <row r="31" spans="1:9" x14ac:dyDescent="0.3">
      <c r="A31">
        <v>30</v>
      </c>
      <c r="B31">
        <v>3</v>
      </c>
      <c r="C31" s="288" t="s">
        <v>1760</v>
      </c>
      <c r="D31" s="288" t="s">
        <v>3467</v>
      </c>
      <c r="E31" s="288" t="s">
        <v>1760</v>
      </c>
      <c r="F31" s="52">
        <v>569000</v>
      </c>
      <c r="G31" s="52">
        <v>480000</v>
      </c>
      <c r="H31">
        <v>-50</v>
      </c>
    </row>
    <row r="32" spans="1:9" x14ac:dyDescent="0.3">
      <c r="A32">
        <v>31</v>
      </c>
      <c r="B32">
        <v>1</v>
      </c>
      <c r="C32" s="288" t="s">
        <v>1210</v>
      </c>
      <c r="D32" s="288" t="s">
        <v>1209</v>
      </c>
      <c r="E32" s="288" t="s">
        <v>1210</v>
      </c>
      <c r="F32" s="52">
        <v>1300000</v>
      </c>
      <c r="H32">
        <f>SUMIF(재고!D:D,제품!D32,재고!F:F)-SUMIF(주문_리스트!E:E,제품!D32,주문_리스트!H:H)</f>
        <v>0</v>
      </c>
    </row>
    <row r="33" spans="1:8" x14ac:dyDescent="0.3">
      <c r="A33">
        <v>32</v>
      </c>
      <c r="B33">
        <v>4</v>
      </c>
      <c r="C33" s="288" t="s">
        <v>1212</v>
      </c>
      <c r="D33" s="288" t="s">
        <v>2466</v>
      </c>
      <c r="E33" s="288" t="s">
        <v>1212</v>
      </c>
      <c r="F33" s="52">
        <v>1500000</v>
      </c>
      <c r="H33">
        <f>SUMIF(재고!D:D,제품!D33,재고!F:F)-SUMIF(주문_리스트!E:E,제품!D33,주문_리스트!H:H)</f>
        <v>-17</v>
      </c>
    </row>
    <row r="34" spans="1:8" x14ac:dyDescent="0.3">
      <c r="A34">
        <v>33</v>
      </c>
      <c r="B34">
        <v>4</v>
      </c>
      <c r="C34" s="288" t="s">
        <v>2576</v>
      </c>
      <c r="D34" s="288" t="s">
        <v>2577</v>
      </c>
      <c r="E34" s="288" t="s">
        <v>2576</v>
      </c>
      <c r="F34" s="52">
        <v>1600000</v>
      </c>
      <c r="H34">
        <f>SUMIF(재고!D:D,제품!D34,재고!F:F)-SUMIF(주문_리스트!E:E,제품!D34,주문_리스트!H:H)</f>
        <v>-8</v>
      </c>
    </row>
    <row r="35" spans="1:8" x14ac:dyDescent="0.3">
      <c r="A35">
        <v>34</v>
      </c>
      <c r="B35">
        <v>4</v>
      </c>
      <c r="C35" s="288" t="s">
        <v>1215</v>
      </c>
      <c r="D35" s="288" t="s">
        <v>2179</v>
      </c>
      <c r="E35" s="288" t="s">
        <v>1215</v>
      </c>
      <c r="F35" s="52">
        <v>2200000</v>
      </c>
      <c r="H35">
        <f>SUMIF(재고!D:D,제품!D35,재고!F:F)-SUMIF(주문_리스트!E:E,제품!D35,주문_리스트!H:H)</f>
        <v>-1</v>
      </c>
    </row>
    <row r="36" spans="1:8" x14ac:dyDescent="0.3">
      <c r="A36">
        <v>35</v>
      </c>
      <c r="B36">
        <v>4</v>
      </c>
      <c r="C36" s="288" t="s">
        <v>1216</v>
      </c>
      <c r="D36" s="288" t="s">
        <v>1646</v>
      </c>
      <c r="E36" s="288" t="s">
        <v>1216</v>
      </c>
      <c r="F36" s="52">
        <v>1500000</v>
      </c>
      <c r="H36">
        <f>SUMIF(재고!D:D,제품!D36,재고!F:F)-SUMIF(주문_리스트!E:E,제품!D36,주문_리스트!H:H)</f>
        <v>-10</v>
      </c>
    </row>
    <row r="37" spans="1:8" x14ac:dyDescent="0.3">
      <c r="A37">
        <v>36</v>
      </c>
      <c r="B37">
        <v>1</v>
      </c>
      <c r="C37" s="288" t="s">
        <v>1223</v>
      </c>
      <c r="D37" s="288" t="s">
        <v>1366</v>
      </c>
      <c r="E37" s="288" t="s">
        <v>1367</v>
      </c>
      <c r="F37" s="52">
        <v>1600000</v>
      </c>
      <c r="H37">
        <f>SUMIF(재고!D:D,제품!D37,재고!F:F)-SUMIF(주문_리스트!E:E,제품!D37,주문_리스트!H:H)</f>
        <v>-12</v>
      </c>
    </row>
    <row r="38" spans="1:8" x14ac:dyDescent="0.3">
      <c r="A38">
        <v>37</v>
      </c>
      <c r="B38">
        <v>1</v>
      </c>
      <c r="C38" s="288" t="s">
        <v>1257</v>
      </c>
      <c r="D38" s="288" t="s">
        <v>1258</v>
      </c>
      <c r="E38" s="288" t="s">
        <v>1257</v>
      </c>
      <c r="F38" s="52">
        <v>770000</v>
      </c>
      <c r="H38">
        <f>SUMIF(재고!D:D,제품!D38,재고!F:F)-SUMIF(주문_리스트!E:E,제품!D38,주문_리스트!H:H)</f>
        <v>-3</v>
      </c>
    </row>
    <row r="39" spans="1:8" x14ac:dyDescent="0.3">
      <c r="A39">
        <v>38</v>
      </c>
      <c r="B39">
        <v>3</v>
      </c>
      <c r="C39" s="288" t="s">
        <v>1678</v>
      </c>
      <c r="D39" s="288" t="s">
        <v>2188</v>
      </c>
      <c r="E39" s="288" t="s">
        <v>1678</v>
      </c>
      <c r="F39" s="52">
        <v>130000</v>
      </c>
      <c r="G39" s="52">
        <v>90000</v>
      </c>
      <c r="H39">
        <f>SUMIF(재고!D:D,제품!D39,재고!F:F)-SUMIF(주문_리스트!E:E,제품!D39,주문_리스트!H:H)</f>
        <v>-33</v>
      </c>
    </row>
    <row r="40" spans="1:8" x14ac:dyDescent="0.3">
      <c r="A40">
        <v>39</v>
      </c>
      <c r="B40">
        <v>2</v>
      </c>
      <c r="C40" s="288" t="s">
        <v>1727</v>
      </c>
      <c r="D40" s="288" t="s">
        <v>1728</v>
      </c>
      <c r="E40" s="288" t="s">
        <v>1727</v>
      </c>
      <c r="F40" s="52">
        <v>50000</v>
      </c>
      <c r="H40">
        <f>SUMIF(재고!D:D,제품!D40,재고!F:F)-SUMIF(주문_리스트!E:E,제품!D40,주문_리스트!H:H)</f>
        <v>-48</v>
      </c>
    </row>
    <row r="41" spans="1:8" x14ac:dyDescent="0.3">
      <c r="A41">
        <v>40</v>
      </c>
      <c r="B41">
        <v>2</v>
      </c>
      <c r="D41" s="288" t="s">
        <v>1380</v>
      </c>
      <c r="F41" s="52">
        <v>1000000</v>
      </c>
      <c r="H41">
        <f>SUMIF(재고!D:D,제품!D41,재고!F:F)-SUMIF(주문_리스트!E:E,제품!D41,주문_리스트!H:H)</f>
        <v>-3</v>
      </c>
    </row>
    <row r="42" spans="1:8" x14ac:dyDescent="0.3">
      <c r="A42">
        <v>41</v>
      </c>
      <c r="B42">
        <v>8</v>
      </c>
      <c r="D42" s="288" t="s">
        <v>1470</v>
      </c>
      <c r="F42" s="52">
        <v>10000</v>
      </c>
      <c r="H42">
        <f>SUMIF(재고!D:D,제품!D42,재고!F:F)-SUMIF(주문_리스트!E:E,제품!D42,주문_리스트!H:H)</f>
        <v>-1</v>
      </c>
    </row>
    <row r="43" spans="1:8" x14ac:dyDescent="0.3">
      <c r="A43">
        <v>42</v>
      </c>
      <c r="B43">
        <v>8</v>
      </c>
      <c r="D43" s="288" t="s">
        <v>1480</v>
      </c>
      <c r="F43" s="52">
        <v>140000</v>
      </c>
      <c r="H43">
        <f>SUMIF(재고!D:D,제품!D43,재고!F:F)-SUMIF(주문_리스트!E:E,제품!D43,주문_리스트!H:H)</f>
        <v>-3</v>
      </c>
    </row>
    <row r="44" spans="1:8" x14ac:dyDescent="0.3">
      <c r="A44">
        <v>43</v>
      </c>
      <c r="B44">
        <v>2</v>
      </c>
      <c r="D44" s="288" t="s">
        <v>1486</v>
      </c>
      <c r="F44" s="52">
        <v>1600000</v>
      </c>
      <c r="H44">
        <f>SUMIF(재고!D:D,제품!D44,재고!F:F)-SUMIF(주문_리스트!E:E,제품!D44,주문_리스트!H:H)</f>
        <v>-1</v>
      </c>
    </row>
    <row r="45" spans="1:8" x14ac:dyDescent="0.3">
      <c r="A45">
        <v>44</v>
      </c>
      <c r="B45">
        <v>7</v>
      </c>
      <c r="D45" s="288" t="s">
        <v>2204</v>
      </c>
      <c r="F45" s="52">
        <v>1600000</v>
      </c>
      <c r="H45">
        <f>SUMIF(재고!D:D,제품!D45,재고!F:F)-SUMIF(주문_리스트!E:E,제품!D45,주문_리스트!H:H)</f>
        <v>0</v>
      </c>
    </row>
    <row r="46" spans="1:8" x14ac:dyDescent="0.3">
      <c r="A46">
        <v>45</v>
      </c>
      <c r="B46">
        <v>3</v>
      </c>
      <c r="D46" s="288" t="s">
        <v>2189</v>
      </c>
      <c r="F46" s="52">
        <v>100000</v>
      </c>
      <c r="H46">
        <f>SUMIF(재고!D:D,제품!D46,재고!F:F)-SUMIF(주문_리스트!E:E,제품!D46,주문_리스트!H:H)</f>
        <v>-5</v>
      </c>
    </row>
    <row r="47" spans="1:8" x14ac:dyDescent="0.3">
      <c r="A47">
        <v>46</v>
      </c>
      <c r="B47">
        <v>1</v>
      </c>
      <c r="C47" s="288" t="s">
        <v>2720</v>
      </c>
      <c r="D47" s="288" t="s">
        <v>2338</v>
      </c>
      <c r="E47" s="288" t="s">
        <v>2720</v>
      </c>
      <c r="F47" s="52">
        <v>350000</v>
      </c>
      <c r="H47">
        <f>SUMIF(재고!D:D,제품!D47,재고!F:F)-SUMIF(주문_리스트!E:E,제품!D47,주문_리스트!H:H)</f>
        <v>-47</v>
      </c>
    </row>
    <row r="48" spans="1:8" x14ac:dyDescent="0.3">
      <c r="A48">
        <v>47</v>
      </c>
      <c r="D48" s="288" t="s">
        <v>1506</v>
      </c>
      <c r="F48" s="52">
        <v>200000</v>
      </c>
      <c r="H48">
        <f>SUMIF(재고!D:D,제품!D48,재고!F:F)-SUMIF(주문_리스트!E:E,제품!D48,주문_리스트!H:H)</f>
        <v>-3</v>
      </c>
    </row>
    <row r="49" spans="1:9" x14ac:dyDescent="0.3">
      <c r="A49">
        <v>48</v>
      </c>
      <c r="D49" s="288" t="s">
        <v>1519</v>
      </c>
      <c r="F49" s="52">
        <v>20000</v>
      </c>
      <c r="H49">
        <f>SUMIF(재고!D:D,제품!D49,재고!F:F)-SUMIF(주문_리스트!E:E,제품!D49,주문_리스트!H:H)</f>
        <v>-25</v>
      </c>
    </row>
    <row r="50" spans="1:9" x14ac:dyDescent="0.3">
      <c r="A50">
        <v>49</v>
      </c>
      <c r="D50" s="288" t="s">
        <v>1524</v>
      </c>
      <c r="F50" s="52">
        <v>250000</v>
      </c>
      <c r="H50">
        <f>SUMIF(재고!D:D,제품!D50,재고!F:F)-SUMIF(주문_리스트!E:E,제품!D50,주문_리스트!H:H)</f>
        <v>-2</v>
      </c>
    </row>
    <row r="51" spans="1:9" x14ac:dyDescent="0.3">
      <c r="A51">
        <v>50</v>
      </c>
      <c r="B51">
        <v>1</v>
      </c>
      <c r="D51" s="288">
        <v>2703900</v>
      </c>
      <c r="F51" s="52">
        <v>1600000</v>
      </c>
      <c r="H51">
        <f>SUMIF(재고!D:D,제품!D51,재고!F:F)-SUMIF(주문_리스트!E:E,제품!D51,주문_리스트!H:H)</f>
        <v>-2</v>
      </c>
    </row>
    <row r="52" spans="1:9" x14ac:dyDescent="0.3">
      <c r="A52">
        <v>51</v>
      </c>
      <c r="B52">
        <v>1</v>
      </c>
      <c r="D52" s="288">
        <v>2703900</v>
      </c>
      <c r="F52" s="52">
        <v>1600000</v>
      </c>
      <c r="H52">
        <f>SUMIF(재고!D:D,제품!D52,재고!F:F)-SUMIF(주문_리스트!E:E,제품!D52,주문_리스트!H:H)</f>
        <v>-2</v>
      </c>
    </row>
    <row r="53" spans="1:9" x14ac:dyDescent="0.3">
      <c r="A53">
        <v>52</v>
      </c>
      <c r="D53" s="288" t="s">
        <v>1535</v>
      </c>
      <c r="F53" s="52">
        <v>450000</v>
      </c>
      <c r="H53">
        <f>SUMIF(재고!D:D,제품!D53,재고!F:F)-SUMIF(주문_리스트!E:E,제품!D53,주문_리스트!H:H)</f>
        <v>-15</v>
      </c>
    </row>
    <row r="54" spans="1:9" x14ac:dyDescent="0.3">
      <c r="A54">
        <v>53</v>
      </c>
      <c r="B54">
        <v>2</v>
      </c>
      <c r="C54" s="288">
        <v>24152333903</v>
      </c>
      <c r="D54" s="288" t="s">
        <v>1817</v>
      </c>
      <c r="E54" s="288">
        <v>24152333903</v>
      </c>
      <c r="F54" s="52">
        <v>50000</v>
      </c>
      <c r="H54">
        <f>SUMIF(재고!D:D,제품!D54,재고!F:F)-SUMIF(주문_리스트!E:E,제품!D54,주문_리스트!H:H)</f>
        <v>-18</v>
      </c>
      <c r="I54" s="52" t="s">
        <v>1818</v>
      </c>
    </row>
    <row r="55" spans="1:9" x14ac:dyDescent="0.3">
      <c r="A55">
        <v>54</v>
      </c>
      <c r="B55">
        <v>10</v>
      </c>
      <c r="D55" s="288" t="s">
        <v>1555</v>
      </c>
      <c r="F55" s="52">
        <v>350000</v>
      </c>
      <c r="H55">
        <f>SUMIF(재고!D:D,제품!D55,재고!F:F)-SUMIF(주문_리스트!E:E,제품!D55,주문_리스트!H:H)</f>
        <v>-1</v>
      </c>
    </row>
    <row r="56" spans="1:9" x14ac:dyDescent="0.3">
      <c r="A56">
        <v>55</v>
      </c>
      <c r="B56">
        <v>3</v>
      </c>
      <c r="C56" s="288" t="s">
        <v>1647</v>
      </c>
      <c r="D56" s="288" t="s">
        <v>1970</v>
      </c>
      <c r="E56" s="288" t="s">
        <v>1647</v>
      </c>
      <c r="F56" s="52">
        <v>1800000</v>
      </c>
      <c r="H56">
        <f>SUMIF(재고!D:D,제품!D56,재고!F:F)-SUMIF(주문_리스트!E:E,제품!D56,주문_리스트!H:H)</f>
        <v>-6</v>
      </c>
    </row>
    <row r="57" spans="1:9" x14ac:dyDescent="0.3">
      <c r="A57">
        <v>56</v>
      </c>
      <c r="C57" s="288" t="s">
        <v>1210</v>
      </c>
      <c r="D57" s="288" t="s">
        <v>1426</v>
      </c>
      <c r="E57" s="288" t="s">
        <v>1210</v>
      </c>
      <c r="F57" s="52">
        <v>1000000</v>
      </c>
      <c r="H57">
        <f>SUMIF(재고!D:D,제품!D57,재고!F:F)-SUMIF(주문_리스트!E:E,제품!D57,주문_리스트!H:H)</f>
        <v>-30</v>
      </c>
    </row>
    <row r="58" spans="1:9" x14ac:dyDescent="0.3">
      <c r="A58">
        <v>57</v>
      </c>
      <c r="B58">
        <v>3</v>
      </c>
      <c r="C58" s="288" t="s">
        <v>2748</v>
      </c>
      <c r="D58" s="288" t="s">
        <v>2206</v>
      </c>
      <c r="E58" s="288" t="s">
        <v>2748</v>
      </c>
      <c r="F58" s="52">
        <v>1100000</v>
      </c>
      <c r="H58">
        <f>SUMIF(재고!D:D,제품!D58,재고!F:F)-SUMIF(주문_리스트!E:E,제품!D58,주문_리스트!H:H)</f>
        <v>-11</v>
      </c>
    </row>
    <row r="59" spans="1:9" x14ac:dyDescent="0.3">
      <c r="A59">
        <v>58</v>
      </c>
      <c r="B59">
        <v>1</v>
      </c>
      <c r="C59" s="288" t="s">
        <v>1649</v>
      </c>
      <c r="D59" s="288" t="s">
        <v>1648</v>
      </c>
      <c r="E59" s="288" t="s">
        <v>1649</v>
      </c>
      <c r="F59" s="52">
        <v>1100000</v>
      </c>
      <c r="H59">
        <f>SUMIF(재고!D:D,제품!D59,재고!F:F)-SUMIF(주문_리스트!E:E,제품!D59,주문_리스트!H:H)</f>
        <v>-12</v>
      </c>
    </row>
    <row r="60" spans="1:9" x14ac:dyDescent="0.3">
      <c r="A60">
        <v>59</v>
      </c>
      <c r="B60">
        <v>1</v>
      </c>
      <c r="C60" s="288" t="s">
        <v>1650</v>
      </c>
      <c r="D60" s="288" t="s">
        <v>1651</v>
      </c>
      <c r="E60" s="288" t="s">
        <v>1650</v>
      </c>
      <c r="F60" s="52">
        <v>3500000</v>
      </c>
      <c r="H60">
        <f>SUMIF(재고!D:D,제품!D60,재고!F:F)-SUMIF(주문_리스트!E:E,제품!D60,주문_리스트!H:H)</f>
        <v>0</v>
      </c>
    </row>
    <row r="61" spans="1:9" x14ac:dyDescent="0.3">
      <c r="A61">
        <v>60</v>
      </c>
      <c r="B61">
        <v>3</v>
      </c>
      <c r="C61" s="288">
        <v>2820403</v>
      </c>
      <c r="D61" s="288" t="s">
        <v>2684</v>
      </c>
      <c r="E61" s="288">
        <v>2820403</v>
      </c>
      <c r="F61" s="52">
        <v>800000</v>
      </c>
      <c r="H61">
        <f>SUMIF(재고!D:D,제품!D61,재고!F:F)-SUMIF(주문_리스트!E:E,제품!D61,주문_리스트!H:H)</f>
        <v>-2</v>
      </c>
    </row>
    <row r="62" spans="1:9" x14ac:dyDescent="0.3">
      <c r="A62">
        <v>61</v>
      </c>
      <c r="B62">
        <v>9</v>
      </c>
      <c r="C62" s="288">
        <v>415090409</v>
      </c>
      <c r="D62" s="288" t="s">
        <v>2522</v>
      </c>
      <c r="E62" s="288">
        <v>415090409</v>
      </c>
      <c r="F62" s="52">
        <v>510000</v>
      </c>
      <c r="H62">
        <f>SUMIF(재고!D:D,제품!D62,재고!F:F)-SUMIF(주문_리스트!E:E,제품!D62,주문_리스트!H:H)</f>
        <v>-20</v>
      </c>
      <c r="I62" s="52" t="s">
        <v>2523</v>
      </c>
    </row>
    <row r="63" spans="1:9" x14ac:dyDescent="0.3">
      <c r="A63">
        <v>62</v>
      </c>
      <c r="C63" s="288" t="s">
        <v>1626</v>
      </c>
      <c r="D63" s="288" t="s">
        <v>1627</v>
      </c>
      <c r="E63" s="288" t="s">
        <v>1626</v>
      </c>
      <c r="F63" s="52">
        <v>12000</v>
      </c>
      <c r="H63">
        <f>SUMIF(재고!D:D,제품!D63,재고!F:F)-SUMIF(주문_리스트!E:E,제품!D63,주문_리스트!H:H)</f>
        <v>-2</v>
      </c>
    </row>
    <row r="64" spans="1:9" x14ac:dyDescent="0.3">
      <c r="A64">
        <v>63</v>
      </c>
      <c r="D64" s="288" t="s">
        <v>1629</v>
      </c>
      <c r="F64" s="52">
        <v>27000</v>
      </c>
      <c r="H64">
        <f>SUMIF(재고!D:D,제품!D64,재고!F:F)-SUMIF(주문_리스트!E:E,제품!D64,주문_리스트!H:H)</f>
        <v>-1</v>
      </c>
    </row>
    <row r="65" spans="1:9" x14ac:dyDescent="0.3">
      <c r="A65">
        <v>64</v>
      </c>
      <c r="B65">
        <v>2</v>
      </c>
      <c r="D65" s="288" t="s">
        <v>1636</v>
      </c>
      <c r="F65" s="52">
        <v>850000</v>
      </c>
      <c r="H65">
        <f>SUMIF(재고!D:D,제품!D65,재고!F:F)-SUMIF(주문_리스트!E:E,제품!D65,주문_리스트!H:H)</f>
        <v>-1</v>
      </c>
    </row>
    <row r="66" spans="1:9" x14ac:dyDescent="0.3">
      <c r="A66">
        <v>65</v>
      </c>
      <c r="B66">
        <v>4</v>
      </c>
      <c r="C66" s="288">
        <v>50228</v>
      </c>
      <c r="D66" s="288" t="s">
        <v>2190</v>
      </c>
      <c r="E66" s="288">
        <v>50228</v>
      </c>
      <c r="F66" s="52">
        <v>110000</v>
      </c>
      <c r="H66">
        <f>SUMIF(재고!D:D,제품!D66,재고!F:F)-SUMIF(주문_리스트!E:E,제품!D66,주문_리스트!H:H)</f>
        <v>-42</v>
      </c>
    </row>
    <row r="67" spans="1:9" x14ac:dyDescent="0.3">
      <c r="A67">
        <v>66</v>
      </c>
      <c r="B67">
        <v>4</v>
      </c>
      <c r="C67" s="288">
        <v>50229</v>
      </c>
      <c r="D67" s="288" t="s">
        <v>2190</v>
      </c>
      <c r="E67" s="288">
        <v>50229</v>
      </c>
      <c r="F67" s="52">
        <v>75000</v>
      </c>
      <c r="H67">
        <f>SUMIF(재고!D:D,제품!D67,재고!F:F)-SUMIF(주문_리스트!E:E,제품!D67,주문_리스트!H:H)</f>
        <v>-42</v>
      </c>
    </row>
    <row r="68" spans="1:9" x14ac:dyDescent="0.3">
      <c r="A68">
        <v>67</v>
      </c>
      <c r="D68" s="288" t="s">
        <v>1653</v>
      </c>
      <c r="F68" s="52">
        <v>150000</v>
      </c>
      <c r="H68">
        <f>SUMIF(재고!D:D,제품!D68,재고!F:F)-SUMIF(주문_리스트!E:E,제품!D68,주문_리스트!H:H)</f>
        <v>0</v>
      </c>
    </row>
    <row r="69" spans="1:9" x14ac:dyDescent="0.3">
      <c r="A69">
        <v>68</v>
      </c>
      <c r="D69" s="288" t="s">
        <v>1653</v>
      </c>
      <c r="F69" s="52">
        <v>200000</v>
      </c>
      <c r="H69">
        <f>SUMIF(재고!D:D,제품!D69,재고!F:F)-SUMIF(주문_리스트!E:E,제품!D69,주문_리스트!H:H)</f>
        <v>0</v>
      </c>
    </row>
    <row r="70" spans="1:9" x14ac:dyDescent="0.3">
      <c r="A70">
        <v>69</v>
      </c>
      <c r="D70" s="288" t="s">
        <v>1661</v>
      </c>
      <c r="F70" s="52">
        <v>250000</v>
      </c>
      <c r="H70">
        <f>SUMIF(재고!D:D,제품!D70,재고!F:F)-SUMIF(주문_리스트!E:E,제품!D70,주문_리스트!H:H)</f>
        <v>-1</v>
      </c>
    </row>
    <row r="71" spans="1:9" x14ac:dyDescent="0.3">
      <c r="A71">
        <v>70</v>
      </c>
      <c r="B71">
        <v>2</v>
      </c>
      <c r="D71" s="288" t="s">
        <v>1668</v>
      </c>
      <c r="F71" s="52">
        <v>1850000</v>
      </c>
      <c r="H71">
        <f>SUMIF(재고!D:D,제품!D71,재고!F:F)-SUMIF(주문_리스트!E:E,제품!D71,주문_리스트!H:H)</f>
        <v>-2</v>
      </c>
    </row>
    <row r="72" spans="1:9" x14ac:dyDescent="0.3">
      <c r="A72">
        <v>71</v>
      </c>
      <c r="B72">
        <v>4</v>
      </c>
      <c r="C72" s="288" t="s">
        <v>2578</v>
      </c>
      <c r="D72" s="288" t="s">
        <v>2579</v>
      </c>
      <c r="E72" s="288" t="s">
        <v>2578</v>
      </c>
      <c r="F72" s="52">
        <v>1500000</v>
      </c>
      <c r="H72">
        <f>SUMIF(재고!D:D,제품!D72,재고!F:F)-SUMIF(주문_리스트!E:E,제품!D72,주문_리스트!H:H)</f>
        <v>0</v>
      </c>
    </row>
    <row r="73" spans="1:9" x14ac:dyDescent="0.3">
      <c r="A73">
        <v>72</v>
      </c>
      <c r="B73">
        <v>4</v>
      </c>
      <c r="C73" s="288" t="s">
        <v>1679</v>
      </c>
      <c r="D73" s="288" t="s">
        <v>2198</v>
      </c>
      <c r="E73" s="288" t="s">
        <v>1679</v>
      </c>
      <c r="F73" s="52">
        <v>50000</v>
      </c>
      <c r="G73" s="52">
        <v>14500</v>
      </c>
      <c r="H73">
        <f>SUMIF(재고!D:D,제품!D73,재고!F:F)-SUMIF(주문_리스트!E:E,제품!D73,주문_리스트!H:H)</f>
        <v>0</v>
      </c>
    </row>
    <row r="74" spans="1:9" x14ac:dyDescent="0.3">
      <c r="A74">
        <v>73</v>
      </c>
      <c r="B74">
        <v>13</v>
      </c>
      <c r="C74" s="288">
        <v>28111601</v>
      </c>
      <c r="D74" s="288" t="s">
        <v>1769</v>
      </c>
      <c r="E74" s="288">
        <v>28111601</v>
      </c>
      <c r="F74" s="52">
        <v>220000</v>
      </c>
      <c r="G74" s="52">
        <v>105000</v>
      </c>
      <c r="H74">
        <f>SUMIF(재고!D:D,제품!D74,재고!F:F)-SUMIF(주문_리스트!E:E,제품!D74,주문_리스트!H:H)</f>
        <v>0</v>
      </c>
      <c r="I74" s="52" t="s">
        <v>1774</v>
      </c>
    </row>
    <row r="75" spans="1:9" x14ac:dyDescent="0.3">
      <c r="A75">
        <v>74</v>
      </c>
      <c r="D75" s="288" t="s">
        <v>1771</v>
      </c>
      <c r="F75" s="52">
        <v>200000</v>
      </c>
      <c r="G75" s="52">
        <v>105000</v>
      </c>
      <c r="H75">
        <f>SUMIF(재고!D:D,제품!D75,재고!F:F)-SUMIF(주문_리스트!E:E,제품!D75,주문_리스트!H:H)</f>
        <v>0</v>
      </c>
      <c r="I75" s="52" t="s">
        <v>1770</v>
      </c>
    </row>
    <row r="76" spans="1:9" x14ac:dyDescent="0.3">
      <c r="A76">
        <v>75</v>
      </c>
      <c r="D76" s="288" t="s">
        <v>2199</v>
      </c>
      <c r="F76" s="52">
        <v>130000</v>
      </c>
      <c r="G76" s="52">
        <v>53000</v>
      </c>
      <c r="H76">
        <f>SUMIF(재고!D:D,제품!D76,재고!F:F)-SUMIF(주문_리스트!E:E,제품!D76,주문_리스트!H:H)</f>
        <v>0</v>
      </c>
    </row>
    <row r="77" spans="1:9" x14ac:dyDescent="0.3">
      <c r="A77">
        <v>76</v>
      </c>
      <c r="B77">
        <v>2</v>
      </c>
      <c r="C77" s="288" t="s">
        <v>1693</v>
      </c>
      <c r="D77" s="288" t="s">
        <v>1708</v>
      </c>
      <c r="E77" s="288" t="s">
        <v>1693</v>
      </c>
      <c r="F77" s="52">
        <v>20000</v>
      </c>
      <c r="G77" s="52">
        <v>12000</v>
      </c>
      <c r="H77">
        <f>SUMIF(재고!D:D,제품!D77,재고!F:F)-SUMIF(주문_리스트!E:E,제품!D77,주문_리스트!H:H)</f>
        <v>-6</v>
      </c>
      <c r="I77" s="52" t="s">
        <v>1709</v>
      </c>
    </row>
    <row r="78" spans="1:9" x14ac:dyDescent="0.3">
      <c r="A78">
        <v>77</v>
      </c>
      <c r="D78" s="288" t="s">
        <v>1680</v>
      </c>
      <c r="F78" s="52">
        <v>20000</v>
      </c>
      <c r="G78" s="52">
        <v>10000</v>
      </c>
      <c r="H78">
        <f>SUMIF(재고!D:D,제품!D78,재고!F:F)-SUMIF(주문_리스트!E:E,제품!D78,주문_리스트!H:H)</f>
        <v>0</v>
      </c>
    </row>
    <row r="79" spans="1:9" x14ac:dyDescent="0.3">
      <c r="A79">
        <v>78</v>
      </c>
      <c r="B79">
        <v>2</v>
      </c>
      <c r="C79" s="288">
        <v>1087298441</v>
      </c>
      <c r="D79" s="288" t="s">
        <v>1687</v>
      </c>
      <c r="E79" s="288">
        <v>1087298441</v>
      </c>
      <c r="F79" s="52">
        <v>35000</v>
      </c>
      <c r="G79" s="52">
        <v>13000</v>
      </c>
      <c r="H79">
        <f>SUMIF(재고!D:D,제품!D79,재고!F:F)-SUMIF(주문_리스트!E:E,제품!D79,주문_리스트!H:H)</f>
        <v>-10</v>
      </c>
      <c r="I79" s="52" t="s">
        <v>1697</v>
      </c>
    </row>
    <row r="80" spans="1:9" x14ac:dyDescent="0.3">
      <c r="A80">
        <v>79</v>
      </c>
      <c r="D80" s="288" t="s">
        <v>2200</v>
      </c>
      <c r="F80" s="52">
        <v>10000</v>
      </c>
      <c r="H80">
        <f>SUMIF(재고!D:D,제품!D80,재고!F:F)-SUMIF(주문_리스트!E:E,제품!D80,주문_리스트!H:H)</f>
        <v>0</v>
      </c>
    </row>
    <row r="81" spans="1:9" x14ac:dyDescent="0.3">
      <c r="A81">
        <v>80</v>
      </c>
      <c r="B81">
        <v>2</v>
      </c>
      <c r="D81" s="288" t="s">
        <v>1681</v>
      </c>
      <c r="F81" s="52">
        <v>130000</v>
      </c>
      <c r="G81" s="52">
        <v>53000</v>
      </c>
      <c r="H81">
        <f>SUMIF(재고!D:D,제품!D81,재고!F:F)-SUMIF(주문_리스트!E:E,제품!D81,주문_리스트!H:H)</f>
        <v>0</v>
      </c>
      <c r="I81" s="52" t="s">
        <v>1682</v>
      </c>
    </row>
    <row r="82" spans="1:9" x14ac:dyDescent="0.3">
      <c r="A82">
        <v>81</v>
      </c>
      <c r="B82">
        <v>2</v>
      </c>
      <c r="D82" s="288" t="s">
        <v>1691</v>
      </c>
      <c r="F82" s="52">
        <v>280000</v>
      </c>
      <c r="H82">
        <f>SUMIF(재고!D:D,제품!D82,재고!F:F)-SUMIF(주문_리스트!E:E,제품!D82,주문_리스트!H:H)</f>
        <v>0</v>
      </c>
    </row>
    <row r="83" spans="1:9" x14ac:dyDescent="0.3">
      <c r="A83">
        <v>82</v>
      </c>
      <c r="B83">
        <v>2</v>
      </c>
      <c r="C83" s="288">
        <v>24137542885</v>
      </c>
      <c r="D83" s="288" t="s">
        <v>1701</v>
      </c>
      <c r="E83" s="288">
        <v>24137542885</v>
      </c>
      <c r="H83">
        <f>SUMIF(재고!D:D,제품!D83,재고!F:F)-SUMIF(주문_리스트!E:E,제품!D83,주문_리스트!H:H)</f>
        <v>-1</v>
      </c>
      <c r="I83" s="52" t="s">
        <v>1702</v>
      </c>
    </row>
    <row r="84" spans="1:9" x14ac:dyDescent="0.3">
      <c r="A84">
        <v>83</v>
      </c>
      <c r="B84">
        <v>2</v>
      </c>
      <c r="C84" s="288">
        <v>24137519344</v>
      </c>
      <c r="D84" s="288" t="s">
        <v>1706</v>
      </c>
      <c r="E84" s="288">
        <v>24137519344</v>
      </c>
      <c r="H84">
        <f>SUMIF(재고!D:D,제품!D84,재고!F:F)-SUMIF(주문_리스트!E:E,제품!D84,주문_리스트!H:H)</f>
        <v>0</v>
      </c>
      <c r="I84" s="52" t="s">
        <v>1707</v>
      </c>
    </row>
    <row r="85" spans="1:9" x14ac:dyDescent="0.3">
      <c r="A85">
        <v>84</v>
      </c>
      <c r="B85">
        <v>1</v>
      </c>
      <c r="C85" s="288" t="s">
        <v>2750</v>
      </c>
      <c r="D85" s="288" t="s">
        <v>2737</v>
      </c>
      <c r="E85" s="288" t="s">
        <v>2750</v>
      </c>
      <c r="F85" s="52">
        <v>129000</v>
      </c>
      <c r="G85" s="52">
        <v>70000</v>
      </c>
      <c r="H85">
        <f>SUMIF(재고!D:D,제품!D85,재고!F:F)-SUMIF(주문_리스트!E:E,제품!D85,주문_리스트!H:H)</f>
        <v>-10</v>
      </c>
    </row>
    <row r="86" spans="1:9" x14ac:dyDescent="0.3">
      <c r="A86">
        <v>85</v>
      </c>
      <c r="B86">
        <v>1</v>
      </c>
      <c r="C86" s="288" t="s">
        <v>1704</v>
      </c>
      <c r="D86" s="288" t="s">
        <v>1705</v>
      </c>
      <c r="E86" s="288" t="s">
        <v>1704</v>
      </c>
      <c r="F86" s="52">
        <v>50000</v>
      </c>
      <c r="H86">
        <f>SUMIF(재고!D:D,제품!D86,재고!F:F)-SUMIF(주문_리스트!E:E,제품!D86,주문_리스트!H:H)</f>
        <v>-20</v>
      </c>
    </row>
    <row r="87" spans="1:9" x14ac:dyDescent="0.3">
      <c r="A87">
        <v>86</v>
      </c>
      <c r="B87">
        <v>1</v>
      </c>
      <c r="C87" s="288" t="s">
        <v>1715</v>
      </c>
      <c r="D87" s="288" t="s">
        <v>1716</v>
      </c>
      <c r="E87" s="288" t="s">
        <v>1715</v>
      </c>
      <c r="F87" s="52">
        <v>20000</v>
      </c>
      <c r="G87" s="52">
        <v>9000</v>
      </c>
      <c r="H87">
        <f>SUMIF(재고!D:D,제품!D87,재고!F:F)-SUMIF(주문_리스트!E:E,제품!D87,주문_리스트!H:H)</f>
        <v>-19</v>
      </c>
    </row>
    <row r="88" spans="1:9" x14ac:dyDescent="0.3">
      <c r="A88">
        <v>87</v>
      </c>
      <c r="B88">
        <v>2</v>
      </c>
      <c r="C88" s="288">
        <v>2800802</v>
      </c>
      <c r="D88" s="288" t="s">
        <v>1723</v>
      </c>
      <c r="E88" s="288">
        <v>2800802</v>
      </c>
      <c r="F88" s="52">
        <v>150000</v>
      </c>
      <c r="G88" s="52">
        <v>85000</v>
      </c>
      <c r="H88">
        <f>SUMIF(재고!D:D,제품!D88,재고!F:F)-SUMIF(주문_리스트!E:E,제품!D88,주문_리스트!H:H)</f>
        <v>-43</v>
      </c>
    </row>
    <row r="89" spans="1:9" x14ac:dyDescent="0.3">
      <c r="A89">
        <v>88</v>
      </c>
      <c r="B89">
        <v>2</v>
      </c>
      <c r="C89" s="288">
        <v>2800801</v>
      </c>
      <c r="D89" s="288" t="s">
        <v>1724</v>
      </c>
      <c r="E89" s="288">
        <v>2800801</v>
      </c>
      <c r="F89" s="52">
        <v>150000</v>
      </c>
      <c r="G89" s="52">
        <v>85000</v>
      </c>
      <c r="H89">
        <f>SUMIF(재고!D:D,제품!D89,재고!F:F)-SUMIF(주문_리스트!E:E,제품!D89,주문_리스트!H:H)</f>
        <v>-5</v>
      </c>
    </row>
    <row r="90" spans="1:9" x14ac:dyDescent="0.3">
      <c r="A90">
        <v>89</v>
      </c>
      <c r="B90">
        <v>3</v>
      </c>
      <c r="C90" s="288" t="s">
        <v>1718</v>
      </c>
      <c r="D90" s="288" t="s">
        <v>2224</v>
      </c>
      <c r="E90" s="288" t="s">
        <v>1718</v>
      </c>
      <c r="F90" s="52">
        <v>250000</v>
      </c>
      <c r="G90" s="52">
        <v>45000</v>
      </c>
      <c r="H90">
        <f>SUMIF(재고!D:D,제품!D90,재고!F:F)-SUMIF(주문_리스트!E:E,제품!D90,주문_리스트!H:H)</f>
        <v>-8</v>
      </c>
      <c r="I90" s="52" t="s">
        <v>2225</v>
      </c>
    </row>
    <row r="91" spans="1:9" x14ac:dyDescent="0.3">
      <c r="A91">
        <v>90</v>
      </c>
      <c r="B91">
        <v>3</v>
      </c>
      <c r="C91" s="288" t="s">
        <v>1720</v>
      </c>
      <c r="D91" s="288" t="s">
        <v>2183</v>
      </c>
      <c r="E91" s="288" t="s">
        <v>1720</v>
      </c>
      <c r="F91" s="52">
        <v>60000</v>
      </c>
      <c r="G91" s="52">
        <v>40000</v>
      </c>
      <c r="H91">
        <f>SUMIF(재고!D:D,제품!D91,재고!F:F)-SUMIF(주문_리스트!E:E,제품!D91,주문_리스트!H:H)</f>
        <v>-10</v>
      </c>
    </row>
    <row r="92" spans="1:9" x14ac:dyDescent="0.3">
      <c r="A92">
        <v>91</v>
      </c>
      <c r="D92" s="288" t="s">
        <v>1730</v>
      </c>
      <c r="F92" s="52">
        <v>200000</v>
      </c>
      <c r="G92" s="52">
        <v>25000</v>
      </c>
      <c r="H92">
        <f>SUMIF(재고!D:D,제품!D92,재고!F:F)-SUMIF(주문_리스트!E:E,제품!D92,주문_리스트!H:H)</f>
        <v>0</v>
      </c>
    </row>
    <row r="93" spans="1:9" x14ac:dyDescent="0.3">
      <c r="A93">
        <v>92</v>
      </c>
      <c r="B93">
        <v>3</v>
      </c>
      <c r="C93" s="288" t="s">
        <v>1732</v>
      </c>
      <c r="D93" s="288" t="s">
        <v>2191</v>
      </c>
      <c r="E93" s="288" t="s">
        <v>1732</v>
      </c>
      <c r="F93" s="52">
        <v>30000</v>
      </c>
      <c r="G93" s="52">
        <v>16000</v>
      </c>
      <c r="H93">
        <f>SUMIF(재고!D:D,제품!D93,재고!F:F)-SUMIF(주문_리스트!E:E,제품!D93,주문_리스트!H:H)</f>
        <v>-35</v>
      </c>
    </row>
    <row r="94" spans="1:9" x14ac:dyDescent="0.3">
      <c r="A94">
        <v>93</v>
      </c>
      <c r="B94">
        <v>3</v>
      </c>
      <c r="C94" s="288" t="s">
        <v>1733</v>
      </c>
      <c r="D94" s="288" t="s">
        <v>2192</v>
      </c>
      <c r="E94" s="288" t="s">
        <v>1733</v>
      </c>
      <c r="F94" s="52">
        <v>10000</v>
      </c>
      <c r="G94" s="52">
        <v>8500</v>
      </c>
      <c r="H94">
        <f>SUMIF(재고!D:D,제품!D94,재고!F:F)-SUMIF(주문_리스트!E:E,제품!D94,주문_리스트!H:H)</f>
        <v>-47</v>
      </c>
      <c r="I94" s="52" t="s">
        <v>1781</v>
      </c>
    </row>
    <row r="95" spans="1:9" x14ac:dyDescent="0.3">
      <c r="A95">
        <v>94</v>
      </c>
      <c r="B95">
        <v>3</v>
      </c>
      <c r="C95" s="288" t="s">
        <v>1782</v>
      </c>
      <c r="D95" s="288" t="s">
        <v>2193</v>
      </c>
      <c r="E95" s="288" t="s">
        <v>1782</v>
      </c>
      <c r="F95" s="52">
        <v>10000</v>
      </c>
      <c r="G95" s="52">
        <v>5500</v>
      </c>
      <c r="H95">
        <f>SUMIF(재고!D:D,제품!D95,재고!F:F)-SUMIF(주문_리스트!E:E,제품!D95,주문_리스트!H:H)</f>
        <v>-1</v>
      </c>
    </row>
    <row r="96" spans="1:9" x14ac:dyDescent="0.3">
      <c r="A96">
        <v>95</v>
      </c>
      <c r="B96">
        <v>3</v>
      </c>
      <c r="C96" s="288" t="s">
        <v>1734</v>
      </c>
      <c r="D96" s="288" t="s">
        <v>1735</v>
      </c>
      <c r="E96" s="288" t="s">
        <v>1734</v>
      </c>
      <c r="F96" s="52">
        <v>20000</v>
      </c>
      <c r="G96" s="52">
        <v>13000</v>
      </c>
      <c r="H96">
        <f>SUMIF(재고!D:D,제품!D96,재고!F:F)-SUMIF(주문_리스트!E:E,제품!D96,주문_리스트!H:H)</f>
        <v>-4</v>
      </c>
    </row>
    <row r="97" spans="1:9" x14ac:dyDescent="0.3">
      <c r="A97">
        <v>96</v>
      </c>
      <c r="B97">
        <v>6</v>
      </c>
      <c r="C97" s="288">
        <v>2850701</v>
      </c>
      <c r="D97" s="288" t="s">
        <v>1736</v>
      </c>
      <c r="E97" s="288">
        <v>2850701</v>
      </c>
      <c r="F97" s="52">
        <v>400000</v>
      </c>
      <c r="G97" s="52">
        <v>160000</v>
      </c>
      <c r="H97">
        <f>SUMIF(재고!D:D,제품!D97,재고!F:F)-SUMIF(주문_리스트!E:E,제품!D97,주문_리스트!H:H)</f>
        <v>-3</v>
      </c>
    </row>
    <row r="98" spans="1:9" x14ac:dyDescent="0.3">
      <c r="A98">
        <v>97</v>
      </c>
      <c r="B98">
        <v>1</v>
      </c>
      <c r="C98" s="288" t="s">
        <v>2834</v>
      </c>
      <c r="D98" s="288" t="s">
        <v>2498</v>
      </c>
      <c r="E98" s="288" t="s">
        <v>2834</v>
      </c>
      <c r="F98" s="52">
        <v>450000</v>
      </c>
      <c r="G98" s="52">
        <v>250000</v>
      </c>
      <c r="H98"/>
    </row>
    <row r="99" spans="1:9" x14ac:dyDescent="0.3">
      <c r="A99">
        <v>98</v>
      </c>
      <c r="B99">
        <v>2</v>
      </c>
      <c r="C99" s="288">
        <v>2830701</v>
      </c>
      <c r="D99" s="288" t="s">
        <v>1738</v>
      </c>
      <c r="E99" s="288">
        <v>2830701</v>
      </c>
      <c r="F99" s="52">
        <v>360000</v>
      </c>
      <c r="G99" s="52">
        <v>160000</v>
      </c>
      <c r="H99">
        <f>SUMIF(재고!D:D,제품!D99,재고!F:F)-SUMIF(주문_리스트!E:E,제품!D99,주문_리스트!H:H)</f>
        <v>0</v>
      </c>
    </row>
    <row r="100" spans="1:9" x14ac:dyDescent="0.3">
      <c r="A100">
        <v>99</v>
      </c>
      <c r="B100">
        <v>3</v>
      </c>
      <c r="C100" s="288">
        <v>2801701</v>
      </c>
      <c r="D100" s="288" t="s">
        <v>1740</v>
      </c>
      <c r="E100" s="288">
        <v>2801701</v>
      </c>
      <c r="F100" s="52">
        <v>15000</v>
      </c>
      <c r="G100" s="52">
        <v>4500</v>
      </c>
      <c r="H100">
        <f>SUMIF(재고!D:D,제품!D100,재고!F:F)-SUMIF(주문_리스트!E:E,제품!D100,주문_리스트!H:H)</f>
        <v>-6</v>
      </c>
      <c r="I100" s="52" t="s">
        <v>1741</v>
      </c>
    </row>
    <row r="101" spans="1:9" x14ac:dyDescent="0.3">
      <c r="A101">
        <v>100</v>
      </c>
      <c r="B101">
        <v>3</v>
      </c>
      <c r="C101" s="288">
        <v>2801702</v>
      </c>
      <c r="D101" s="288" t="s">
        <v>1740</v>
      </c>
      <c r="E101" s="288">
        <v>2801702</v>
      </c>
      <c r="F101" s="52">
        <v>15000</v>
      </c>
      <c r="G101" s="52">
        <v>3300</v>
      </c>
      <c r="H101">
        <f>SUMIF(재고!D:D,제품!D101,재고!F:F)-SUMIF(주문_리스트!E:E,제품!D101,주문_리스트!H:H)</f>
        <v>-6</v>
      </c>
      <c r="I101" s="52" t="s">
        <v>1742</v>
      </c>
    </row>
    <row r="102" spans="1:9" x14ac:dyDescent="0.3">
      <c r="A102">
        <v>101</v>
      </c>
      <c r="B102">
        <v>3</v>
      </c>
      <c r="C102" s="288" t="s">
        <v>1755</v>
      </c>
      <c r="D102" s="288" t="s">
        <v>2181</v>
      </c>
      <c r="E102" s="288" t="s">
        <v>1755</v>
      </c>
      <c r="F102" s="52">
        <v>50000</v>
      </c>
      <c r="G102" s="52">
        <v>33000</v>
      </c>
      <c r="H102">
        <f>SUMIF(재고!D:D,제품!D102,재고!F:F)-SUMIF(주문_리스트!E:E,제품!D102,주문_리스트!H:H)</f>
        <v>-67</v>
      </c>
      <c r="I102" s="52" t="s">
        <v>1756</v>
      </c>
    </row>
    <row r="103" spans="1:9" x14ac:dyDescent="0.3">
      <c r="A103">
        <v>102</v>
      </c>
      <c r="B103">
        <v>2</v>
      </c>
      <c r="C103" s="288">
        <v>2830501</v>
      </c>
      <c r="D103" s="288" t="s">
        <v>1827</v>
      </c>
      <c r="E103" s="288">
        <v>2830501</v>
      </c>
      <c r="F103" s="52">
        <v>1550000</v>
      </c>
      <c r="H103">
        <f>SUMIF(재고!D:D,제품!D103,재고!F:F)-SUMIF(주문_리스트!E:E,제품!D103,주문_리스트!H:H)</f>
        <v>-14</v>
      </c>
    </row>
    <row r="104" spans="1:9" x14ac:dyDescent="0.3">
      <c r="A104">
        <v>103</v>
      </c>
      <c r="B104">
        <v>1</v>
      </c>
      <c r="C104" s="288" t="s">
        <v>1752</v>
      </c>
      <c r="D104" s="288" t="s">
        <v>1203</v>
      </c>
      <c r="E104" s="288" t="s">
        <v>1752</v>
      </c>
      <c r="F104" s="52">
        <v>1200000</v>
      </c>
      <c r="H104">
        <f>SUMIF(재고!D:D,제품!D104,재고!F:F)-SUMIF(주문_리스트!E:E,제품!D104,주문_리스트!H:H)</f>
        <v>-101</v>
      </c>
      <c r="I104" s="52" t="s">
        <v>1753</v>
      </c>
    </row>
    <row r="105" spans="1:9" x14ac:dyDescent="0.3">
      <c r="A105">
        <v>104</v>
      </c>
      <c r="B105">
        <v>2</v>
      </c>
      <c r="C105" s="288">
        <v>24347544930</v>
      </c>
      <c r="D105" s="288" t="s">
        <v>1758</v>
      </c>
      <c r="E105" s="288">
        <v>24347544930</v>
      </c>
      <c r="F105" s="52">
        <v>250000</v>
      </c>
      <c r="G105" s="52">
        <v>0</v>
      </c>
      <c r="H105">
        <f>SUMIF(재고!D:D,제품!D105,재고!F:F)-SUMIF(주문_리스트!E:E,제품!D105,주문_리스트!H:H)</f>
        <v>0</v>
      </c>
      <c r="I105" s="52" t="s">
        <v>1757</v>
      </c>
    </row>
    <row r="106" spans="1:9" x14ac:dyDescent="0.3">
      <c r="A106">
        <v>105</v>
      </c>
      <c r="B106">
        <v>14</v>
      </c>
      <c r="C106" s="288">
        <v>501220641</v>
      </c>
      <c r="D106" s="288" t="s">
        <v>2088</v>
      </c>
      <c r="E106" s="288">
        <v>501220641</v>
      </c>
      <c r="F106" s="52">
        <v>250000</v>
      </c>
      <c r="G106" s="52">
        <v>150000</v>
      </c>
      <c r="H106"/>
    </row>
    <row r="107" spans="1:9" x14ac:dyDescent="0.3">
      <c r="A107">
        <v>106</v>
      </c>
      <c r="B107">
        <v>12</v>
      </c>
      <c r="C107" s="288" t="s">
        <v>1763</v>
      </c>
      <c r="D107" s="288" t="s">
        <v>1764</v>
      </c>
      <c r="E107" s="288" t="s">
        <v>1763</v>
      </c>
      <c r="F107" s="52">
        <v>25000</v>
      </c>
      <c r="G107" s="52">
        <v>11200</v>
      </c>
      <c r="H107">
        <f>SUMIF(재고!D:D,제품!D107,재고!F:F)-SUMIF(주문_리스트!E:E,제품!D107,주문_리스트!H:H)</f>
        <v>-6</v>
      </c>
      <c r="I107" s="52" t="s">
        <v>1765</v>
      </c>
    </row>
    <row r="108" spans="1:9" x14ac:dyDescent="0.3">
      <c r="A108">
        <v>107</v>
      </c>
      <c r="B108">
        <v>12</v>
      </c>
      <c r="C108" s="288" t="s">
        <v>1766</v>
      </c>
      <c r="D108" s="288" t="s">
        <v>1764</v>
      </c>
      <c r="E108" s="288" t="s">
        <v>1766</v>
      </c>
      <c r="F108" s="52">
        <v>65000</v>
      </c>
      <c r="G108" s="52">
        <v>45000</v>
      </c>
      <c r="H108">
        <f>SUMIF(재고!D:D,제품!D108,재고!F:F)-SUMIF(주문_리스트!E:E,제품!D108,주문_리스트!H:H)</f>
        <v>-6</v>
      </c>
      <c r="I108" s="52" t="s">
        <v>1767</v>
      </c>
    </row>
    <row r="109" spans="1:9" x14ac:dyDescent="0.3">
      <c r="A109">
        <v>108</v>
      </c>
      <c r="B109">
        <v>1</v>
      </c>
      <c r="C109" s="288" t="s">
        <v>1768</v>
      </c>
      <c r="D109" s="288" t="s">
        <v>1561</v>
      </c>
      <c r="E109" s="288" t="s">
        <v>1768</v>
      </c>
      <c r="F109" s="52">
        <v>1400000</v>
      </c>
      <c r="H109">
        <f>SUMIF(재고!D:D,제품!D109,재고!F:F)-SUMIF(주문_리스트!E:E,제품!D109,주문_리스트!H:H)</f>
        <v>-12</v>
      </c>
    </row>
    <row r="110" spans="1:9" x14ac:dyDescent="0.3">
      <c r="A110">
        <v>109</v>
      </c>
      <c r="B110">
        <v>2</v>
      </c>
      <c r="C110" s="288">
        <v>1068298046</v>
      </c>
      <c r="D110" s="288" t="s">
        <v>1815</v>
      </c>
      <c r="E110" s="288">
        <v>1068298046</v>
      </c>
      <c r="F110" s="52">
        <v>450000</v>
      </c>
      <c r="H110">
        <f>SUMIF(재고!D:D,제품!D110,재고!F:F)-SUMIF(주문_리스트!E:E,제품!D110,주문_리스트!H:H)</f>
        <v>-10</v>
      </c>
      <c r="I110" s="52" t="s">
        <v>1816</v>
      </c>
    </row>
    <row r="111" spans="1:9" x14ac:dyDescent="0.3">
      <c r="A111">
        <v>110</v>
      </c>
      <c r="B111">
        <v>2</v>
      </c>
      <c r="C111" s="288">
        <v>1087298388</v>
      </c>
      <c r="D111" s="288" t="s">
        <v>2238</v>
      </c>
      <c r="E111" s="288">
        <v>1087298388</v>
      </c>
      <c r="F111" s="52">
        <v>550000</v>
      </c>
      <c r="G111" s="52">
        <v>340000</v>
      </c>
      <c r="H111">
        <f>SUMIF(재고!D:D,제품!D111,재고!F:F)-SUMIF(주문_리스트!E:E,제품!D111,주문_리스트!H:H)</f>
        <v>-5</v>
      </c>
      <c r="I111" s="52" t="s">
        <v>2236</v>
      </c>
    </row>
    <row r="112" spans="1:9" x14ac:dyDescent="0.3">
      <c r="A112">
        <v>111</v>
      </c>
      <c r="B112">
        <v>2</v>
      </c>
      <c r="C112" s="288">
        <v>1068298044</v>
      </c>
      <c r="D112" s="288" t="s">
        <v>1815</v>
      </c>
      <c r="E112" s="288">
        <v>1068298044</v>
      </c>
      <c r="F112" s="52">
        <v>400000</v>
      </c>
      <c r="H112">
        <f>SUMIF(재고!D:D,제품!D112,재고!F:F)-SUMIF(주문_리스트!E:E,제품!D112,주문_리스트!H:H)</f>
        <v>-10</v>
      </c>
      <c r="I112" s="52" t="s">
        <v>1820</v>
      </c>
    </row>
    <row r="113" spans="1:9" x14ac:dyDescent="0.3">
      <c r="A113">
        <v>112</v>
      </c>
      <c r="B113">
        <v>2</v>
      </c>
      <c r="C113" s="288">
        <v>24152333907</v>
      </c>
      <c r="D113" s="288" t="s">
        <v>1549</v>
      </c>
      <c r="E113" s="288">
        <v>24152333907</v>
      </c>
      <c r="F113" s="52">
        <v>50000</v>
      </c>
      <c r="H113">
        <f>SUMIF(재고!D:D,제품!D113,재고!F:F)-SUMIF(주문_리스트!E:E,제품!D113,주문_리스트!H:H)</f>
        <v>-18</v>
      </c>
      <c r="I113" s="52" t="s">
        <v>1819</v>
      </c>
    </row>
    <row r="114" spans="1:9" x14ac:dyDescent="0.3">
      <c r="A114">
        <v>113</v>
      </c>
      <c r="B114">
        <v>3</v>
      </c>
      <c r="C114" s="288">
        <v>6058008122</v>
      </c>
      <c r="D114" s="288" t="s">
        <v>1829</v>
      </c>
      <c r="E114" s="288">
        <v>6058008122</v>
      </c>
      <c r="F114" s="52">
        <v>2500000</v>
      </c>
      <c r="H114">
        <f>SUMIF(재고!D:D,제품!D114,재고!F:F)-SUMIF(주문_리스트!E:E,제품!D114,주문_리스트!H:H)</f>
        <v>-2</v>
      </c>
    </row>
    <row r="115" spans="1:9" x14ac:dyDescent="0.3">
      <c r="A115">
        <v>114</v>
      </c>
      <c r="B115">
        <v>1</v>
      </c>
      <c r="C115" s="288" t="s">
        <v>1851</v>
      </c>
      <c r="D115" s="288" t="s">
        <v>1852</v>
      </c>
      <c r="E115" s="288" t="s">
        <v>1851</v>
      </c>
      <c r="F115" s="52">
        <v>210000</v>
      </c>
      <c r="G115" s="52">
        <v>150000</v>
      </c>
      <c r="H115">
        <f>SUMIF(재고!D:D,제품!D115,재고!F:F)-SUMIF(주문_리스트!E:E,제품!D115,주문_리스트!H:H)</f>
        <v>-3</v>
      </c>
      <c r="I115" s="52" t="s">
        <v>1854</v>
      </c>
    </row>
    <row r="116" spans="1:9" x14ac:dyDescent="0.3">
      <c r="A116">
        <v>115</v>
      </c>
      <c r="B116">
        <v>9</v>
      </c>
      <c r="C116" s="288">
        <v>415062109</v>
      </c>
      <c r="D116" s="288" t="s">
        <v>2522</v>
      </c>
      <c r="E116" s="288">
        <v>415062109</v>
      </c>
      <c r="F116" s="52">
        <v>680000</v>
      </c>
      <c r="H116">
        <f>SUMIF(재고!D:D,제품!D116,재고!F:F)-SUMIF(주문_리스트!E:E,제품!D116,주문_리스트!H:H)</f>
        <v>-20</v>
      </c>
    </row>
    <row r="117" spans="1:9" x14ac:dyDescent="0.3">
      <c r="A117">
        <v>116</v>
      </c>
      <c r="B117">
        <v>12</v>
      </c>
      <c r="C117" s="288">
        <v>501218962</v>
      </c>
      <c r="D117" s="288" t="s">
        <v>2824</v>
      </c>
      <c r="E117" s="288">
        <v>501218962</v>
      </c>
      <c r="F117" s="52">
        <v>3500000</v>
      </c>
      <c r="H117">
        <f>SUMIF(재고!D:D,제품!D117,재고!F:F)-SUMIF(주문_리스트!E:E,제품!D117,주문_리스트!H:H)</f>
        <v>-3</v>
      </c>
    </row>
    <row r="118" spans="1:9" x14ac:dyDescent="0.3">
      <c r="A118">
        <v>117</v>
      </c>
      <c r="B118">
        <v>2</v>
      </c>
      <c r="C118" s="288" t="s">
        <v>1873</v>
      </c>
      <c r="D118" s="288" t="s">
        <v>1874</v>
      </c>
      <c r="E118" s="288" t="s">
        <v>1873</v>
      </c>
      <c r="F118" s="52">
        <v>10000</v>
      </c>
      <c r="G118" s="52">
        <v>0</v>
      </c>
      <c r="H118">
        <f>SUMIF(재고!D:D,제품!D118,재고!F:F)-SUMIF(주문_리스트!E:E,제품!D118,주문_리스트!H:H)</f>
        <v>-6</v>
      </c>
      <c r="I118" s="52" t="s">
        <v>1875</v>
      </c>
    </row>
    <row r="119" spans="1:9" x14ac:dyDescent="0.3">
      <c r="A119">
        <v>118</v>
      </c>
      <c r="B119">
        <v>3</v>
      </c>
      <c r="D119" s="288" t="s">
        <v>1893</v>
      </c>
      <c r="F119" s="52">
        <v>250000</v>
      </c>
      <c r="H119">
        <f>SUMIF(재고!D:D,제품!D119,재고!F:F)-SUMIF(주문_리스트!E:E,제품!D119,주문_리스트!H:H)</f>
        <v>-2</v>
      </c>
    </row>
    <row r="120" spans="1:9" x14ac:dyDescent="0.3">
      <c r="A120">
        <v>119</v>
      </c>
      <c r="B120">
        <v>2</v>
      </c>
      <c r="C120" s="288">
        <v>501215718</v>
      </c>
      <c r="D120" s="288" t="s">
        <v>1913</v>
      </c>
      <c r="E120" s="288">
        <v>501215718</v>
      </c>
      <c r="F120" s="52">
        <v>15000</v>
      </c>
      <c r="G120" s="52">
        <v>8000</v>
      </c>
      <c r="H120">
        <f>SUMIF(재고!D:D,제품!D120,재고!F:F)-SUMIF(주문_리스트!E:E,제품!D120,주문_리스트!H:H)</f>
        <v>0</v>
      </c>
      <c r="I120" s="52" t="s">
        <v>1911</v>
      </c>
    </row>
    <row r="121" spans="1:9" x14ac:dyDescent="0.3">
      <c r="A121">
        <v>120</v>
      </c>
      <c r="B121">
        <v>2</v>
      </c>
      <c r="C121" s="288">
        <v>501215783</v>
      </c>
      <c r="D121" s="288" t="s">
        <v>1913</v>
      </c>
      <c r="E121" s="288">
        <v>501215783</v>
      </c>
      <c r="F121" s="52">
        <v>15000</v>
      </c>
      <c r="G121" s="52">
        <v>8000</v>
      </c>
      <c r="H121">
        <f>SUMIF(재고!D:D,제품!D121,재고!F:F)-SUMIF(주문_리스트!E:E,제품!D121,주문_리스트!H:H)</f>
        <v>0</v>
      </c>
      <c r="I121" s="52" t="s">
        <v>1912</v>
      </c>
    </row>
    <row r="122" spans="1:9" x14ac:dyDescent="0.3">
      <c r="A122">
        <v>121</v>
      </c>
      <c r="B122">
        <v>4</v>
      </c>
      <c r="C122" s="288" t="s">
        <v>2054</v>
      </c>
      <c r="D122" s="288" t="s">
        <v>2055</v>
      </c>
      <c r="E122" s="288" t="s">
        <v>2054</v>
      </c>
      <c r="F122" s="52">
        <v>1000000</v>
      </c>
      <c r="H122">
        <f>SUMIF(재고!D:D,제품!D122,재고!F:F)-SUMIF(주문_리스트!E:E,제품!D122,주문_리스트!H:H)</f>
        <v>-4</v>
      </c>
    </row>
    <row r="123" spans="1:9" x14ac:dyDescent="0.3">
      <c r="A123">
        <v>122</v>
      </c>
      <c r="B123">
        <v>14</v>
      </c>
      <c r="D123" s="288" t="s">
        <v>1919</v>
      </c>
      <c r="F123" s="52">
        <v>2000000</v>
      </c>
      <c r="H123">
        <f>SUMIF(재고!D:D,제품!D123,재고!F:F)-SUMIF(주문_리스트!E:E,제품!D123,주문_리스트!H:H)</f>
        <v>-3</v>
      </c>
    </row>
    <row r="124" spans="1:9" x14ac:dyDescent="0.3">
      <c r="A124">
        <v>123</v>
      </c>
      <c r="B124">
        <v>1</v>
      </c>
      <c r="C124" s="288" t="s">
        <v>1923</v>
      </c>
      <c r="D124" s="288" t="s">
        <v>1581</v>
      </c>
      <c r="E124" s="288" t="s">
        <v>1923</v>
      </c>
      <c r="F124" s="52">
        <v>1400000</v>
      </c>
      <c r="H124">
        <f>SUMIF(재고!D:D,제품!D124,재고!F:F)-SUMIF(주문_리스트!E:E,제품!D124,주문_리스트!H:H)</f>
        <v>-3</v>
      </c>
    </row>
    <row r="125" spans="1:9" x14ac:dyDescent="0.3">
      <c r="A125">
        <v>124</v>
      </c>
      <c r="B125">
        <v>12</v>
      </c>
      <c r="C125" s="288" t="s">
        <v>1939</v>
      </c>
      <c r="D125" s="288" t="s">
        <v>1940</v>
      </c>
      <c r="E125" s="288" t="s">
        <v>1939</v>
      </c>
      <c r="F125" s="52">
        <v>1200000</v>
      </c>
      <c r="G125" s="52">
        <v>400000</v>
      </c>
      <c r="H125">
        <f>SUMIF(재고!D:D,제품!D125,재고!F:F)-SUMIF(주문_리스트!E:E,제품!D125,주문_리스트!H:H)</f>
        <v>-1</v>
      </c>
      <c r="I125" s="52" t="s">
        <v>1941</v>
      </c>
    </row>
    <row r="126" spans="1:9" x14ac:dyDescent="0.3">
      <c r="A126">
        <v>125</v>
      </c>
      <c r="B126">
        <v>12</v>
      </c>
      <c r="C126" s="288" t="s">
        <v>1937</v>
      </c>
      <c r="D126" s="288" t="s">
        <v>1938</v>
      </c>
      <c r="E126" s="288" t="s">
        <v>1937</v>
      </c>
      <c r="F126" s="52">
        <v>1000000</v>
      </c>
      <c r="G126" s="52">
        <v>380000</v>
      </c>
      <c r="H126">
        <f>SUMIF(재고!D:D,제품!D126,재고!F:F)-SUMIF(주문_리스트!E:E,제품!D126,주문_리스트!H:H)</f>
        <v>-1</v>
      </c>
    </row>
    <row r="127" spans="1:9" x14ac:dyDescent="0.3">
      <c r="A127">
        <v>126</v>
      </c>
      <c r="B127">
        <v>9</v>
      </c>
      <c r="C127" s="288">
        <v>415072909</v>
      </c>
      <c r="D127" s="288" t="s">
        <v>2522</v>
      </c>
      <c r="E127" s="288">
        <v>415072909</v>
      </c>
      <c r="F127" s="52">
        <v>380000</v>
      </c>
      <c r="H127">
        <f>SUMIF(재고!D:D,제품!D127,재고!F:F)-SUMIF(주문_리스트!E:E,제품!D127,주문_리스트!H:H)</f>
        <v>-20</v>
      </c>
    </row>
    <row r="128" spans="1:9" x14ac:dyDescent="0.3">
      <c r="A128">
        <v>127</v>
      </c>
      <c r="B128">
        <v>3</v>
      </c>
      <c r="C128" s="288" t="s">
        <v>1950</v>
      </c>
      <c r="D128" s="288" t="s">
        <v>1949</v>
      </c>
      <c r="E128" s="288" t="s">
        <v>1950</v>
      </c>
      <c r="F128" s="52">
        <v>250000</v>
      </c>
      <c r="G128" s="52">
        <v>120000</v>
      </c>
      <c r="H128">
        <f>SUMIF(재고!D:D,제품!D128,재고!F:F)-SUMIF(주문_리스트!E:E,제품!D128,주문_리스트!H:H)</f>
        <v>-2</v>
      </c>
    </row>
    <row r="129" spans="1:8" x14ac:dyDescent="0.3">
      <c r="A129">
        <v>128</v>
      </c>
      <c r="D129" s="288" t="s">
        <v>1953</v>
      </c>
      <c r="F129" s="52">
        <v>50000</v>
      </c>
      <c r="H129">
        <f>SUMIF(재고!D:D,제품!D129,재고!F:F)-SUMIF(주문_리스트!E:E,제품!D129,주문_리스트!H:H)</f>
        <v>-1</v>
      </c>
    </row>
    <row r="130" spans="1:8" x14ac:dyDescent="0.3">
      <c r="A130">
        <v>129</v>
      </c>
      <c r="B130">
        <v>4</v>
      </c>
      <c r="D130" s="288" t="s">
        <v>1959</v>
      </c>
      <c r="F130" s="52">
        <v>1600000</v>
      </c>
      <c r="H130">
        <f>SUMIF(재고!D:D,제품!D130,재고!F:F)-SUMIF(주문_리스트!E:E,제품!D130,주문_리스트!H:H)</f>
        <v>0</v>
      </c>
    </row>
    <row r="131" spans="1:8" x14ac:dyDescent="0.3">
      <c r="A131">
        <v>130</v>
      </c>
      <c r="B131">
        <v>3</v>
      </c>
      <c r="D131" s="288" t="s">
        <v>2194</v>
      </c>
      <c r="F131" s="52">
        <v>600000</v>
      </c>
      <c r="H131">
        <f>SUMIF(재고!D:D,제품!D131,재고!F:F)-SUMIF(주문_리스트!E:E,제품!D131,주문_리스트!H:H)</f>
        <v>-12</v>
      </c>
    </row>
    <row r="132" spans="1:8" x14ac:dyDescent="0.3">
      <c r="A132">
        <v>131</v>
      </c>
      <c r="B132">
        <v>2</v>
      </c>
      <c r="C132" s="288">
        <v>7583332</v>
      </c>
      <c r="D132" s="288" t="s">
        <v>1983</v>
      </c>
      <c r="E132" s="288">
        <v>7583332</v>
      </c>
      <c r="F132" s="52">
        <v>450000</v>
      </c>
      <c r="H132">
        <f>SUMIF(재고!D:D,제품!D132,재고!F:F)-SUMIF(주문_리스트!E:E,제품!D132,주문_리스트!H:H)</f>
        <v>0</v>
      </c>
    </row>
    <row r="133" spans="1:8" x14ac:dyDescent="0.3">
      <c r="A133">
        <v>132</v>
      </c>
      <c r="D133" s="288" t="s">
        <v>1985</v>
      </c>
      <c r="F133" s="52">
        <v>150000</v>
      </c>
      <c r="H133">
        <f>SUMIF(재고!D:D,제품!D133,재고!F:F)-SUMIF(주문_리스트!E:E,제품!D133,주문_리스트!H:H)</f>
        <v>-2</v>
      </c>
    </row>
    <row r="134" spans="1:8" x14ac:dyDescent="0.3">
      <c r="A134">
        <v>133</v>
      </c>
      <c r="B134">
        <v>1</v>
      </c>
      <c r="C134" s="288" t="s">
        <v>1992</v>
      </c>
      <c r="D134" s="288" t="s">
        <v>1205</v>
      </c>
      <c r="E134" s="288" t="s">
        <v>1992</v>
      </c>
      <c r="F134" s="52">
        <v>1700000</v>
      </c>
      <c r="H134">
        <f>SUMIF(재고!D:D,제품!D134,재고!F:F)-SUMIF(주문_리스트!E:E,제품!D134,주문_리스트!H:H)</f>
        <v>-30</v>
      </c>
    </row>
    <row r="135" spans="1:8" x14ac:dyDescent="0.3">
      <c r="A135">
        <v>134</v>
      </c>
      <c r="B135">
        <v>14</v>
      </c>
      <c r="D135" s="288" t="s">
        <v>2010</v>
      </c>
      <c r="F135" s="52">
        <v>2000000</v>
      </c>
      <c r="H135">
        <f>SUMIF(재고!D:D,제품!D135,재고!F:F)-SUMIF(주문_리스트!E:E,제품!D135,주문_리스트!H:H)</f>
        <v>-1</v>
      </c>
    </row>
    <row r="136" spans="1:8" x14ac:dyDescent="0.3">
      <c r="A136">
        <v>135</v>
      </c>
      <c r="B136">
        <v>14</v>
      </c>
      <c r="C136" s="288" t="s">
        <v>2022</v>
      </c>
      <c r="D136" s="288" t="s">
        <v>2023</v>
      </c>
      <c r="E136" s="288" t="s">
        <v>2022</v>
      </c>
      <c r="F136" s="52">
        <v>550000</v>
      </c>
      <c r="H136">
        <f>SUMIF(재고!D:D,제품!D136,재고!F:F)-SUMIF(주문_리스트!E:E,제품!D136,주문_리스트!H:H)</f>
        <v>-3</v>
      </c>
    </row>
    <row r="137" spans="1:8" x14ac:dyDescent="0.3">
      <c r="A137">
        <v>136</v>
      </c>
      <c r="D137" s="288" t="s">
        <v>2029</v>
      </c>
      <c r="F137" s="52">
        <v>84000</v>
      </c>
      <c r="H137">
        <f>SUMIF(재고!D:D,제품!D137,재고!F:F)-SUMIF(주문_리스트!E:E,제품!D137,주문_리스트!H:H)</f>
        <v>-5</v>
      </c>
    </row>
    <row r="138" spans="1:8" x14ac:dyDescent="0.3">
      <c r="A138">
        <v>137</v>
      </c>
      <c r="D138" s="288" t="s">
        <v>2032</v>
      </c>
      <c r="F138" s="52">
        <v>1000000</v>
      </c>
      <c r="H138">
        <f>SUMIF(재고!D:D,제품!D138,재고!F:F)-SUMIF(주문_리스트!E:E,제품!D138,주문_리스트!H:H)</f>
        <v>-2</v>
      </c>
    </row>
    <row r="139" spans="1:8" x14ac:dyDescent="0.3">
      <c r="A139">
        <v>138</v>
      </c>
      <c r="B139">
        <v>2</v>
      </c>
      <c r="C139" s="288" t="s">
        <v>3853</v>
      </c>
      <c r="D139" s="288" t="s">
        <v>2685</v>
      </c>
      <c r="E139" s="288" t="s">
        <v>3853</v>
      </c>
      <c r="F139" s="52">
        <v>1200000</v>
      </c>
      <c r="H139">
        <f>SUMIF(재고!D:D,제품!D139,재고!F:F)-SUMIF(주문_리스트!E:E,제품!D139,주문_리스트!H:H)</f>
        <v>-6</v>
      </c>
    </row>
    <row r="140" spans="1:8" x14ac:dyDescent="0.3">
      <c r="A140">
        <v>139</v>
      </c>
      <c r="B140">
        <v>14</v>
      </c>
      <c r="C140" s="288" t="s">
        <v>3582</v>
      </c>
      <c r="D140" s="288" t="s">
        <v>2683</v>
      </c>
      <c r="E140" s="288" t="s">
        <v>3582</v>
      </c>
      <c r="F140" s="52">
        <v>1000000</v>
      </c>
      <c r="H140">
        <f>SUMIF(재고!D:D,제품!D140,재고!F:F)-SUMIF(주문_리스트!E:E,제품!D140,주문_리스트!H:H)</f>
        <v>-4</v>
      </c>
    </row>
    <row r="141" spans="1:8" x14ac:dyDescent="0.3">
      <c r="A141">
        <v>140</v>
      </c>
      <c r="D141" s="288" t="s">
        <v>2049</v>
      </c>
      <c r="F141" s="52">
        <v>900000</v>
      </c>
      <c r="H141">
        <f>SUMIF(재고!D:D,제품!D141,재고!F:F)-SUMIF(주문_리스트!E:E,제품!D141,주문_리스트!H:H)</f>
        <v>-1</v>
      </c>
    </row>
    <row r="142" spans="1:8" x14ac:dyDescent="0.3">
      <c r="A142">
        <v>141</v>
      </c>
      <c r="B142">
        <v>8</v>
      </c>
      <c r="C142" s="288" t="s">
        <v>1911</v>
      </c>
      <c r="D142" s="288" t="s">
        <v>2140</v>
      </c>
      <c r="E142" s="288" t="s">
        <v>1911</v>
      </c>
      <c r="F142" s="52">
        <v>20000</v>
      </c>
      <c r="G142" s="52">
        <v>14500</v>
      </c>
      <c r="H142">
        <f>SUMIF(재고!D:D,제품!D142,재고!F:F)-SUMIF(주문_리스트!E:E,제품!D142,주문_리스트!H:H)</f>
        <v>-1</v>
      </c>
    </row>
    <row r="143" spans="1:8" x14ac:dyDescent="0.3">
      <c r="A143">
        <v>142</v>
      </c>
      <c r="B143">
        <v>8</v>
      </c>
      <c r="C143" s="288">
        <v>24347588724</v>
      </c>
      <c r="D143" s="288" t="s">
        <v>2060</v>
      </c>
      <c r="E143" s="288">
        <v>24347588724</v>
      </c>
      <c r="F143" s="52">
        <v>20000</v>
      </c>
      <c r="G143" s="52">
        <v>14500</v>
      </c>
      <c r="H143">
        <f>SUMIF(재고!D:D,제품!D143,재고!F:F)-SUMIF(주문_리스트!E:E,제품!D143,주문_리스트!H:H)</f>
        <v>0</v>
      </c>
    </row>
    <row r="144" spans="1:8" x14ac:dyDescent="0.3">
      <c r="A144">
        <v>143</v>
      </c>
      <c r="B144">
        <v>14</v>
      </c>
      <c r="C144" s="288">
        <v>501220522</v>
      </c>
      <c r="D144" s="288" t="s">
        <v>2087</v>
      </c>
      <c r="E144" s="288">
        <v>501220522</v>
      </c>
      <c r="F144" s="52">
        <v>450000</v>
      </c>
      <c r="H144">
        <f>SUMIF(재고!D:D,제품!D144,재고!F:F)-SUMIF(주문_리스트!E:E,제품!D144,주문_리스트!H:H)</f>
        <v>-3</v>
      </c>
    </row>
    <row r="145" spans="1:9" x14ac:dyDescent="0.3">
      <c r="A145">
        <v>144</v>
      </c>
      <c r="C145" s="288">
        <v>2830401</v>
      </c>
      <c r="D145" s="288" t="s">
        <v>2211</v>
      </c>
      <c r="E145" s="288">
        <v>2830401</v>
      </c>
      <c r="F145" s="52">
        <v>1100000</v>
      </c>
      <c r="H145">
        <f>SUMIF(재고!D:D,제품!D145,재고!F:F)-SUMIF(주문_리스트!E:E,제품!D145,주문_리스트!H:H)</f>
        <v>-5</v>
      </c>
    </row>
    <row r="146" spans="1:9" x14ac:dyDescent="0.3">
      <c r="A146">
        <v>145</v>
      </c>
      <c r="B146">
        <v>13</v>
      </c>
      <c r="C146" s="288">
        <v>36050661</v>
      </c>
      <c r="D146" s="288" t="s">
        <v>2108</v>
      </c>
      <c r="E146" s="288">
        <v>36050661</v>
      </c>
      <c r="F146" s="52">
        <v>1200000</v>
      </c>
      <c r="G146" s="52">
        <v>440000</v>
      </c>
      <c r="H146">
        <f>SUMIF(재고!D:D,제품!D146,재고!F:F)-SUMIF(주문_리스트!E:E,제품!D146,주문_리스트!H:H)</f>
        <v>-3</v>
      </c>
    </row>
    <row r="147" spans="1:9" x14ac:dyDescent="0.3">
      <c r="A147">
        <v>146</v>
      </c>
      <c r="B147">
        <v>14</v>
      </c>
      <c r="C147" s="288" t="s">
        <v>2582</v>
      </c>
      <c r="D147" s="288" t="s">
        <v>2341</v>
      </c>
      <c r="E147" s="288" t="s">
        <v>2582</v>
      </c>
      <c r="F147" s="52">
        <v>65000</v>
      </c>
      <c r="G147" s="52">
        <v>35000</v>
      </c>
      <c r="H147">
        <f>SUMIF(재고!D:D,제품!D147,재고!F:F)-SUMIF(주문_리스트!E:E,제품!D147,주문_리스트!H:H)</f>
        <v>-4</v>
      </c>
    </row>
    <row r="148" spans="1:9" x14ac:dyDescent="0.3">
      <c r="A148">
        <v>147</v>
      </c>
      <c r="B148">
        <v>14</v>
      </c>
      <c r="C148" s="288" t="s">
        <v>3772</v>
      </c>
      <c r="D148" s="288" t="s">
        <v>2683</v>
      </c>
      <c r="E148" s="288" t="s">
        <v>3772</v>
      </c>
      <c r="H148">
        <v>-3</v>
      </c>
    </row>
    <row r="149" spans="1:9" x14ac:dyDescent="0.3">
      <c r="A149">
        <v>148</v>
      </c>
      <c r="B149">
        <v>2</v>
      </c>
      <c r="D149" s="288" t="s">
        <v>2126</v>
      </c>
      <c r="F149" s="52">
        <v>200000</v>
      </c>
      <c r="H149">
        <f>SUMIF(재고!D:D,제품!D149,재고!F:F)-SUMIF(주문_리스트!E:E,제품!D149,주문_리스트!H:H)</f>
        <v>-1</v>
      </c>
    </row>
    <row r="150" spans="1:9" x14ac:dyDescent="0.3">
      <c r="A150">
        <v>149</v>
      </c>
      <c r="B150">
        <v>2</v>
      </c>
      <c r="D150" s="288" t="s">
        <v>2127</v>
      </c>
      <c r="F150" s="52">
        <v>250000</v>
      </c>
      <c r="H150">
        <f>SUMIF(재고!D:D,제품!D150,재고!F:F)-SUMIF(주문_리스트!E:E,제품!D150,주문_리스트!H:H)</f>
        <v>-2</v>
      </c>
    </row>
    <row r="151" spans="1:9" x14ac:dyDescent="0.3">
      <c r="A151">
        <v>150</v>
      </c>
      <c r="B151">
        <v>2</v>
      </c>
      <c r="C151" s="288">
        <v>2830502</v>
      </c>
      <c r="D151" s="288" t="s">
        <v>2687</v>
      </c>
      <c r="E151" s="288">
        <v>2830502</v>
      </c>
      <c r="F151" s="52">
        <v>1650000</v>
      </c>
      <c r="H151">
        <f>SUMIF(재고!D:D,제품!D151,재고!F:F)-SUMIF(주문_리스트!E:E,제품!D151,주문_리스트!H:H)</f>
        <v>-5</v>
      </c>
    </row>
    <row r="152" spans="1:9" x14ac:dyDescent="0.3">
      <c r="A152">
        <v>151</v>
      </c>
      <c r="B152">
        <v>14</v>
      </c>
      <c r="C152" s="288" t="s">
        <v>3583</v>
      </c>
      <c r="D152" s="288" t="s">
        <v>2518</v>
      </c>
      <c r="E152" s="288" t="s">
        <v>3583</v>
      </c>
      <c r="F152" s="52">
        <v>1550000</v>
      </c>
      <c r="H152">
        <f>SUMIF(재고!D:D,제품!D152,재고!F:F)-SUMIF(주문_리스트!E:E,제품!D152,주문_리스트!H:H)</f>
        <v>-1</v>
      </c>
    </row>
    <row r="153" spans="1:9" x14ac:dyDescent="0.3">
      <c r="A153">
        <v>152</v>
      </c>
      <c r="B153">
        <v>4</v>
      </c>
      <c r="D153" s="288" t="s">
        <v>2156</v>
      </c>
      <c r="F153" s="52">
        <v>990000</v>
      </c>
      <c r="G153" s="52">
        <v>940000</v>
      </c>
      <c r="H153">
        <f>SUMIF(재고!D:D,제품!D153,재고!F:F)-SUMIF(주문_리스트!E:E,제품!D153,주문_리스트!H:H)</f>
        <v>-1</v>
      </c>
      <c r="I153" s="52" t="s">
        <v>2694</v>
      </c>
    </row>
    <row r="154" spans="1:9" x14ac:dyDescent="0.3">
      <c r="A154">
        <v>153</v>
      </c>
      <c r="B154">
        <v>3</v>
      </c>
      <c r="D154" s="288" t="s">
        <v>2158</v>
      </c>
      <c r="F154" s="52">
        <v>1000000</v>
      </c>
      <c r="H154">
        <f>SUMIF(재고!D:D,제품!D154,재고!F:F)-SUMIF(주문_리스트!E:E,제품!D154,주문_리스트!H:H)</f>
        <v>-2</v>
      </c>
    </row>
    <row r="155" spans="1:9" x14ac:dyDescent="0.3">
      <c r="A155">
        <v>154</v>
      </c>
      <c r="B155">
        <v>2</v>
      </c>
      <c r="D155" s="288" t="s">
        <v>2160</v>
      </c>
      <c r="F155" s="52">
        <v>1200000</v>
      </c>
      <c r="H155">
        <f>SUMIF(재고!D:D,제품!D155,재고!F:F)-SUMIF(주문_리스트!E:E,제품!D155,주문_리스트!H:H)</f>
        <v>-1</v>
      </c>
    </row>
    <row r="156" spans="1:9" x14ac:dyDescent="0.3">
      <c r="A156">
        <v>155</v>
      </c>
      <c r="C156" s="288">
        <v>2295001282</v>
      </c>
      <c r="D156" s="288" t="s">
        <v>2522</v>
      </c>
      <c r="E156" s="288">
        <v>2295001282</v>
      </c>
      <c r="F156" s="52">
        <v>422000</v>
      </c>
      <c r="H156">
        <f>SUMIF(재고!D:D,제품!D156,재고!F:F)-SUMIF(주문_리스트!E:E,제품!D156,주문_리스트!H:H)</f>
        <v>-20</v>
      </c>
    </row>
    <row r="157" spans="1:9" x14ac:dyDescent="0.3">
      <c r="A157">
        <v>156</v>
      </c>
      <c r="D157" s="288" t="s">
        <v>2581</v>
      </c>
      <c r="F157" s="52">
        <v>500000</v>
      </c>
      <c r="G157" s="52">
        <v>250000</v>
      </c>
      <c r="H157">
        <f>SUMIF(재고!D:D,제품!D157,재고!F:F)-SUMIF(주문_리스트!E:E,제품!D157,주문_리스트!H:H)</f>
        <v>-1</v>
      </c>
    </row>
    <row r="158" spans="1:9" x14ac:dyDescent="0.3">
      <c r="A158">
        <v>157</v>
      </c>
      <c r="D158" s="288" t="s">
        <v>2230</v>
      </c>
      <c r="F158" s="52">
        <v>150000</v>
      </c>
      <c r="H158">
        <f>SUMIF(재고!D:D,제품!D158,재고!F:F)-SUMIF(주문_리스트!E:E,제품!D158,주문_리스트!H:H)</f>
        <v>-1</v>
      </c>
    </row>
    <row r="159" spans="1:9" x14ac:dyDescent="0.3">
      <c r="A159">
        <v>158</v>
      </c>
      <c r="B159">
        <v>6</v>
      </c>
      <c r="D159" s="288" t="s">
        <v>2241</v>
      </c>
      <c r="F159" s="52">
        <v>800000</v>
      </c>
      <c r="H159">
        <f>SUMIF(재고!D:D,제품!D159,재고!F:F)-SUMIF(주문_리스트!E:E,제품!D159,주문_리스트!H:H)</f>
        <v>-1</v>
      </c>
    </row>
    <row r="160" spans="1:9" x14ac:dyDescent="0.3">
      <c r="A160">
        <v>159</v>
      </c>
      <c r="D160" s="288" t="s">
        <v>2246</v>
      </c>
      <c r="F160" s="52">
        <v>900000</v>
      </c>
      <c r="H160">
        <f>SUMIF(재고!D:D,제품!D160,재고!F:F)-SUMIF(주문_리스트!E:E,제품!D160,주문_리스트!H:H)</f>
        <v>-1</v>
      </c>
    </row>
    <row r="161" spans="1:9" x14ac:dyDescent="0.3">
      <c r="A161">
        <v>160</v>
      </c>
      <c r="D161" s="288" t="s">
        <v>2256</v>
      </c>
      <c r="F161" s="52">
        <v>900000</v>
      </c>
      <c r="G161" s="52">
        <v>600000</v>
      </c>
      <c r="H161">
        <f>SUMIF(재고!D:D,제품!D161,재고!F:F)-SUMIF(주문_리스트!E:E,제품!D161,주문_리스트!H:H)</f>
        <v>-1</v>
      </c>
    </row>
    <row r="162" spans="1:9" x14ac:dyDescent="0.3">
      <c r="A162">
        <v>161</v>
      </c>
      <c r="B162">
        <v>14</v>
      </c>
      <c r="C162" s="288">
        <v>1068327224</v>
      </c>
      <c r="D162" s="288" t="s">
        <v>2272</v>
      </c>
      <c r="E162" s="288">
        <v>1068327224</v>
      </c>
      <c r="F162" s="52">
        <v>80000</v>
      </c>
      <c r="G162" s="52">
        <v>45000</v>
      </c>
      <c r="H162">
        <f>SUMIF(재고!D:D,제품!D162,재고!F:F)-SUMIF(주문_리스트!E:E,제품!D162,주문_리스트!H:H)</f>
        <v>-1</v>
      </c>
    </row>
    <row r="163" spans="1:9" x14ac:dyDescent="0.3">
      <c r="A163">
        <v>162</v>
      </c>
      <c r="C163" s="288">
        <v>1087327175</v>
      </c>
      <c r="D163" s="288" t="s">
        <v>2270</v>
      </c>
      <c r="E163" s="288">
        <v>1087327175</v>
      </c>
      <c r="F163" s="52">
        <v>90000</v>
      </c>
      <c r="G163" s="52">
        <v>65000</v>
      </c>
      <c r="H163">
        <f>SUMIF(재고!D:D,제품!D163,재고!F:F)-SUMIF(주문_리스트!E:E,제품!D163,주문_리스트!H:H)</f>
        <v>-1</v>
      </c>
      <c r="I163" s="52" t="s">
        <v>2271</v>
      </c>
    </row>
    <row r="164" spans="1:9" x14ac:dyDescent="0.3">
      <c r="A164">
        <v>163</v>
      </c>
      <c r="B164">
        <v>3</v>
      </c>
      <c r="C164" s="288" t="s">
        <v>2273</v>
      </c>
      <c r="D164" s="288" t="s">
        <v>2274</v>
      </c>
      <c r="E164" s="288" t="s">
        <v>2273</v>
      </c>
      <c r="F164" s="52">
        <v>350000</v>
      </c>
      <c r="G164" s="52">
        <v>155000</v>
      </c>
      <c r="H164">
        <f>SUMIF(재고!D:D,제품!D164,재고!F:F)-SUMIF(주문_리스트!E:E,제품!D164,주문_리스트!H:H)</f>
        <v>-4</v>
      </c>
    </row>
    <row r="165" spans="1:9" x14ac:dyDescent="0.3">
      <c r="A165">
        <v>164</v>
      </c>
      <c r="C165" s="288" t="s">
        <v>2473</v>
      </c>
      <c r="D165" s="288" t="s">
        <v>2474</v>
      </c>
      <c r="E165" s="288" t="s">
        <v>2473</v>
      </c>
      <c r="F165" s="52">
        <v>450000</v>
      </c>
      <c r="G165" s="52">
        <v>260000</v>
      </c>
      <c r="H165">
        <f>SUMIF(재고!D:D,제품!D165,재고!F:F)-SUMIF(주문_리스트!E:E,제품!D165,주문_리스트!H:H)</f>
        <v>0</v>
      </c>
    </row>
    <row r="166" spans="1:9" x14ac:dyDescent="0.3">
      <c r="A166">
        <v>165</v>
      </c>
      <c r="C166" s="288">
        <v>4150862090</v>
      </c>
      <c r="D166" s="288" t="s">
        <v>2522</v>
      </c>
      <c r="E166" s="288">
        <v>4150862090</v>
      </c>
      <c r="F166" s="52">
        <v>445000</v>
      </c>
      <c r="H166">
        <f>SUMIF(재고!D:D,제품!D166,재고!F:F)-SUMIF(주문_리스트!E:E,제품!D166,주문_리스트!H:H)</f>
        <v>-20</v>
      </c>
    </row>
    <row r="167" spans="1:9" x14ac:dyDescent="0.3">
      <c r="A167">
        <v>166</v>
      </c>
      <c r="B167">
        <v>3</v>
      </c>
      <c r="D167" s="288" t="s">
        <v>2290</v>
      </c>
      <c r="F167" s="52">
        <v>1600000</v>
      </c>
      <c r="H167">
        <f>SUMIF(재고!D:D,제품!D167,재고!F:F)-SUMIF(주문_리스트!E:E,제품!D167,주문_리스트!H:H)</f>
        <v>-10</v>
      </c>
    </row>
    <row r="168" spans="1:9" x14ac:dyDescent="0.3">
      <c r="A168">
        <v>167</v>
      </c>
      <c r="D168" s="288" t="s">
        <v>2318</v>
      </c>
      <c r="F168" s="52">
        <v>1200000</v>
      </c>
      <c r="H168">
        <f>SUMIF(재고!D:D,제품!D168,재고!F:F)-SUMIF(주문_리스트!E:E,제품!D168,주문_리스트!H:H)</f>
        <v>-1</v>
      </c>
    </row>
    <row r="169" spans="1:9" x14ac:dyDescent="0.3">
      <c r="A169">
        <v>168</v>
      </c>
      <c r="D169" s="288" t="s">
        <v>2299</v>
      </c>
      <c r="F169" s="52">
        <v>650000</v>
      </c>
      <c r="H169">
        <f>SUMIF(재고!D:D,제품!D169,재고!F:F)-SUMIF(주문_리스트!E:E,제품!D169,주문_리스트!H:H)</f>
        <v>-18</v>
      </c>
    </row>
    <row r="170" spans="1:9" x14ac:dyDescent="0.3">
      <c r="A170">
        <v>169</v>
      </c>
      <c r="C170" s="288">
        <v>415089709</v>
      </c>
      <c r="D170" s="288" t="s">
        <v>2522</v>
      </c>
      <c r="E170" s="288">
        <v>415089709</v>
      </c>
      <c r="F170" s="52">
        <v>498000</v>
      </c>
      <c r="G170" s="52">
        <v>448000</v>
      </c>
      <c r="H170">
        <f>SUMIF(재고!D:D,제품!D170,재고!F:F)-SUMIF(주문_리스트!E:E,제품!D170,주문_리스트!H:H)</f>
        <v>-20</v>
      </c>
    </row>
    <row r="171" spans="1:9" x14ac:dyDescent="0.3">
      <c r="A171">
        <v>170</v>
      </c>
      <c r="B171">
        <v>1</v>
      </c>
      <c r="C171" s="288" t="s">
        <v>2327</v>
      </c>
      <c r="D171" s="288" t="s">
        <v>3070</v>
      </c>
      <c r="E171" s="288" t="s">
        <v>2327</v>
      </c>
      <c r="F171" s="52">
        <v>990000</v>
      </c>
      <c r="G171" s="52">
        <v>900000</v>
      </c>
      <c r="H171">
        <f>SUMIF(재고!D:D,제품!D171,재고!F:F)-SUMIF(주문_리스트!E:E,제품!D171,주문_리스트!H:H)</f>
        <v>-4</v>
      </c>
    </row>
    <row r="172" spans="1:9" x14ac:dyDescent="0.3">
      <c r="A172">
        <v>171</v>
      </c>
      <c r="B172">
        <v>14</v>
      </c>
      <c r="C172" s="288">
        <v>28120411</v>
      </c>
      <c r="D172" s="288" t="s">
        <v>2330</v>
      </c>
      <c r="E172" s="288">
        <v>28120411</v>
      </c>
      <c r="F172" s="52">
        <v>1500000</v>
      </c>
      <c r="H172">
        <f>SUMIF(재고!D:D,제품!D172,재고!F:F)-SUMIF(주문_리스트!E:E,제품!D172,주문_리스트!H:H)</f>
        <v>-2</v>
      </c>
    </row>
    <row r="173" spans="1:9" x14ac:dyDescent="0.3">
      <c r="A173">
        <v>172</v>
      </c>
      <c r="B173">
        <v>9</v>
      </c>
      <c r="C173" s="288">
        <v>1087298437</v>
      </c>
      <c r="D173" s="288" t="s">
        <v>2667</v>
      </c>
      <c r="E173" s="288">
        <v>1087298437</v>
      </c>
      <c r="F173" s="52">
        <v>86000</v>
      </c>
      <c r="G173" s="52">
        <v>76000</v>
      </c>
      <c r="H173">
        <f>SUMIF(재고!D:D,제품!D173,재고!F:F)-SUMIF(주문_리스트!E:E,제품!D173,주문_리스트!H:H)</f>
        <v>-9</v>
      </c>
    </row>
    <row r="174" spans="1:9" x14ac:dyDescent="0.3">
      <c r="A174">
        <v>173</v>
      </c>
      <c r="D174" s="288" t="s">
        <v>2343</v>
      </c>
      <c r="F174" s="52">
        <v>150000</v>
      </c>
      <c r="H174">
        <f>SUMIF(재고!D:D,제품!D174,재고!F:F)-SUMIF(주문_리스트!E:E,제품!D174,주문_리스트!H:H)</f>
        <v>-2</v>
      </c>
    </row>
    <row r="175" spans="1:9" x14ac:dyDescent="0.3">
      <c r="A175">
        <v>174</v>
      </c>
      <c r="B175">
        <v>15</v>
      </c>
      <c r="C175" s="288">
        <v>24046895</v>
      </c>
      <c r="D175" s="288" t="s">
        <v>2347</v>
      </c>
      <c r="E175" s="288">
        <v>24046895</v>
      </c>
      <c r="F175" s="52">
        <v>120000</v>
      </c>
      <c r="G175" s="52">
        <v>55000</v>
      </c>
      <c r="H175">
        <f>SUMIF(재고!D:D,제품!D175,재고!F:F)-SUMIF(주문_리스트!E:E,제품!D175,주문_리스트!H:H)</f>
        <v>-3</v>
      </c>
    </row>
    <row r="176" spans="1:9" x14ac:dyDescent="0.3">
      <c r="A176">
        <v>175</v>
      </c>
      <c r="B176">
        <v>3</v>
      </c>
      <c r="C176" s="288" t="s">
        <v>2887</v>
      </c>
      <c r="D176" s="288" t="s">
        <v>2888</v>
      </c>
      <c r="E176" s="288" t="s">
        <v>2887</v>
      </c>
      <c r="F176" s="52">
        <v>450000</v>
      </c>
      <c r="H176">
        <f>SUMIF(재고!D:D,제품!D176,재고!F:F)-SUMIF(주문_리스트!E:E,제품!D176,주문_리스트!H:H)</f>
        <v>-2</v>
      </c>
      <c r="I176" s="52" t="s">
        <v>2889</v>
      </c>
    </row>
    <row r="177" spans="1:8" x14ac:dyDescent="0.3">
      <c r="A177">
        <v>176</v>
      </c>
      <c r="D177" s="288" t="s">
        <v>2397</v>
      </c>
      <c r="F177" s="52">
        <v>600000</v>
      </c>
      <c r="H177">
        <f>SUMIF(재고!D:D,제품!D177,재고!F:F)-SUMIF(주문_리스트!E:E,제품!D177,주문_리스트!H:H)</f>
        <v>-1</v>
      </c>
    </row>
    <row r="178" spans="1:8" x14ac:dyDescent="0.3">
      <c r="A178">
        <v>177</v>
      </c>
      <c r="B178">
        <v>1</v>
      </c>
      <c r="C178" s="288" t="s">
        <v>2399</v>
      </c>
      <c r="D178" s="288" t="s">
        <v>2400</v>
      </c>
      <c r="E178" s="288" t="s">
        <v>2399</v>
      </c>
      <c r="F178" s="52">
        <v>850000</v>
      </c>
      <c r="G178" s="52">
        <v>520000</v>
      </c>
      <c r="H178">
        <f>SUMIF(재고!D:D,제품!D178,재고!F:F)-SUMIF(주문_리스트!E:E,제품!D178,주문_리스트!H:H)</f>
        <v>-1</v>
      </c>
    </row>
    <row r="179" spans="1:8" x14ac:dyDescent="0.3">
      <c r="A179">
        <v>178</v>
      </c>
      <c r="D179" s="288" t="s">
        <v>2404</v>
      </c>
      <c r="F179" s="52">
        <v>200000</v>
      </c>
      <c r="H179">
        <f>SUMIF(재고!D:D,제품!D179,재고!F:F)-SUMIF(주문_리스트!E:E,제품!D179,주문_리스트!H:H)</f>
        <v>-3</v>
      </c>
    </row>
    <row r="180" spans="1:8" x14ac:dyDescent="0.3">
      <c r="A180">
        <v>179</v>
      </c>
      <c r="B180">
        <v>1</v>
      </c>
      <c r="C180" s="288" t="s">
        <v>2417</v>
      </c>
      <c r="D180" s="288" t="s">
        <v>2384</v>
      </c>
      <c r="E180" s="288" t="s">
        <v>2417</v>
      </c>
      <c r="F180" s="52">
        <v>770000</v>
      </c>
      <c r="H180">
        <f>SUMIF(재고!D:D,제품!D180,재고!F:F)-SUMIF(주문_리스트!E:E,제품!D180,주문_리스트!H:H)</f>
        <v>-3</v>
      </c>
    </row>
    <row r="181" spans="1:8" x14ac:dyDescent="0.3">
      <c r="A181">
        <v>180</v>
      </c>
      <c r="B181">
        <v>3</v>
      </c>
      <c r="C181" s="288" t="s">
        <v>2424</v>
      </c>
      <c r="D181" s="288" t="s">
        <v>2425</v>
      </c>
      <c r="E181" s="288" t="s">
        <v>2424</v>
      </c>
      <c r="F181" s="52">
        <v>650000</v>
      </c>
      <c r="G181" s="52">
        <v>627000</v>
      </c>
      <c r="H181">
        <f>SUMIF(재고!D:D,제품!D181,재고!F:F)-SUMIF(주문_리스트!E:E,제품!D181,주문_리스트!H:H)</f>
        <v>-1</v>
      </c>
    </row>
    <row r="182" spans="1:8" x14ac:dyDescent="0.3">
      <c r="A182">
        <v>181</v>
      </c>
      <c r="B182">
        <v>3</v>
      </c>
      <c r="C182" s="288" t="s">
        <v>2426</v>
      </c>
      <c r="D182" s="288" t="s">
        <v>2427</v>
      </c>
      <c r="E182" s="288" t="s">
        <v>2426</v>
      </c>
      <c r="F182" s="52">
        <v>100000</v>
      </c>
      <c r="G182" s="52">
        <v>69000</v>
      </c>
      <c r="H182">
        <f>SUMIF(재고!D:D,제품!D182,재고!F:F)-SUMIF(주문_리스트!E:E,제품!D182,주문_리스트!H:H)</f>
        <v>-1</v>
      </c>
    </row>
    <row r="183" spans="1:8" x14ac:dyDescent="0.3">
      <c r="A183">
        <v>182</v>
      </c>
      <c r="D183" s="288" t="s">
        <v>2455</v>
      </c>
      <c r="F183" s="52">
        <v>850000</v>
      </c>
      <c r="H183">
        <f>SUMIF(재고!D:D,제품!D183,재고!F:F)-SUMIF(주문_리스트!E:E,제품!D183,주문_리스트!H:H)</f>
        <v>-1</v>
      </c>
    </row>
    <row r="184" spans="1:8" x14ac:dyDescent="0.3">
      <c r="A184">
        <v>183</v>
      </c>
      <c r="B184">
        <v>1</v>
      </c>
      <c r="D184" s="288" t="s">
        <v>2499</v>
      </c>
      <c r="F184" s="52">
        <v>500000</v>
      </c>
      <c r="H184">
        <f>SUMIF(재고!D:D,제품!D184,재고!F:F)-SUMIF(주문_리스트!E:E,제품!D184,주문_리스트!H:H)</f>
        <v>0</v>
      </c>
    </row>
    <row r="185" spans="1:8" x14ac:dyDescent="0.3">
      <c r="A185">
        <v>184</v>
      </c>
      <c r="C185" s="288">
        <v>2463772400</v>
      </c>
      <c r="D185" s="288" t="s">
        <v>2513</v>
      </c>
      <c r="E185" s="288">
        <v>2463772400</v>
      </c>
      <c r="F185" s="52">
        <v>67500</v>
      </c>
      <c r="H185">
        <f>SUMIF(재고!D:D,제품!D185,재고!F:F)-SUMIF(주문_리스트!E:E,제품!D185,주문_리스트!H:H)</f>
        <v>-1</v>
      </c>
    </row>
    <row r="186" spans="1:8" x14ac:dyDescent="0.3">
      <c r="A186">
        <v>185</v>
      </c>
      <c r="C186" s="288">
        <v>2462500901</v>
      </c>
      <c r="D186" s="288" t="s">
        <v>2512</v>
      </c>
      <c r="E186" s="288">
        <v>2462500901</v>
      </c>
      <c r="F186" s="52">
        <v>1170000</v>
      </c>
      <c r="H186">
        <f>SUMIF(재고!D:D,제품!D186,재고!F:F)-SUMIF(주문_리스트!E:E,제품!D186,주문_리스트!H:H)</f>
        <v>0</v>
      </c>
    </row>
    <row r="187" spans="1:8" x14ac:dyDescent="0.3">
      <c r="A187">
        <v>186</v>
      </c>
      <c r="B187">
        <v>3</v>
      </c>
      <c r="C187" s="288" t="s">
        <v>2565</v>
      </c>
      <c r="D187" s="288" t="s">
        <v>2566</v>
      </c>
      <c r="E187" s="288" t="s">
        <v>2565</v>
      </c>
      <c r="F187" s="52">
        <v>1000000</v>
      </c>
      <c r="H187">
        <f>SUMIF(재고!D:D,제품!D187,재고!F:F)-SUMIF(주문_리스트!E:E,제품!D187,주문_리스트!H:H)</f>
        <v>-3</v>
      </c>
    </row>
    <row r="188" spans="1:8" x14ac:dyDescent="0.3">
      <c r="A188">
        <v>187</v>
      </c>
      <c r="B188">
        <v>12</v>
      </c>
      <c r="C188" s="288" t="s">
        <v>2822</v>
      </c>
      <c r="D188" s="288" t="s">
        <v>2823</v>
      </c>
      <c r="E188" s="288" t="s">
        <v>2822</v>
      </c>
      <c r="F188" s="52">
        <v>1600000</v>
      </c>
      <c r="G188" s="52">
        <v>1250000</v>
      </c>
      <c r="H188">
        <f>SUMIF(재고!D:D,제품!D188,재고!F:F)-SUMIF(주문_리스트!E:E,제품!D188,주문_리스트!H:H)</f>
        <v>-2</v>
      </c>
    </row>
    <row r="189" spans="1:8" x14ac:dyDescent="0.3">
      <c r="A189">
        <v>188</v>
      </c>
      <c r="B189">
        <v>12</v>
      </c>
      <c r="C189" s="288" t="s">
        <v>2615</v>
      </c>
      <c r="D189" s="288" t="s">
        <v>2616</v>
      </c>
      <c r="E189" s="288" t="s">
        <v>2615</v>
      </c>
      <c r="F189" s="52">
        <v>1500000</v>
      </c>
      <c r="G189" s="52">
        <v>1250000</v>
      </c>
      <c r="H189">
        <f>SUMIF(재고!D:D,제품!D189,재고!F:F)-SUMIF(주문_리스트!E:E,제품!D189,주문_리스트!H:H)</f>
        <v>-2</v>
      </c>
    </row>
    <row r="190" spans="1:8" x14ac:dyDescent="0.3">
      <c r="A190">
        <v>189</v>
      </c>
      <c r="B190">
        <v>2</v>
      </c>
      <c r="D190" s="288" t="s">
        <v>2622</v>
      </c>
      <c r="F190" s="52">
        <v>1100000</v>
      </c>
      <c r="H190">
        <f>SUMIF(재고!D:D,제품!D190,재고!F:F)-SUMIF(주문_리스트!E:E,제품!D190,주문_리스트!H:H)</f>
        <v>-1</v>
      </c>
    </row>
    <row r="191" spans="1:8" x14ac:dyDescent="0.3">
      <c r="A191">
        <v>190</v>
      </c>
      <c r="D191" s="288" t="s">
        <v>2651</v>
      </c>
      <c r="F191" s="52">
        <v>1700000</v>
      </c>
      <c r="H191">
        <f>SUMIF(재고!D:D,제품!D191,재고!F:F)-SUMIF(주문_리스트!E:E,제품!D191,주문_리스트!H:H)</f>
        <v>-3</v>
      </c>
    </row>
    <row r="192" spans="1:8" x14ac:dyDescent="0.3">
      <c r="A192">
        <v>191</v>
      </c>
      <c r="C192" s="288" t="s">
        <v>2689</v>
      </c>
      <c r="D192" s="288" t="s">
        <v>2690</v>
      </c>
      <c r="E192" s="288" t="s">
        <v>2689</v>
      </c>
      <c r="F192" s="52">
        <v>400000</v>
      </c>
      <c r="H192">
        <f>SUMIF(재고!D:D,제품!D192,재고!F:F)-SUMIF(주문_리스트!E:E,제품!D192,주문_리스트!H:H)</f>
        <v>0</v>
      </c>
    </row>
    <row r="193" spans="1:9" x14ac:dyDescent="0.3">
      <c r="A193">
        <v>192</v>
      </c>
      <c r="C193" s="288" t="s">
        <v>2712</v>
      </c>
      <c r="D193" s="288" t="s">
        <v>2713</v>
      </c>
      <c r="E193" s="288" t="s">
        <v>2712</v>
      </c>
      <c r="F193" s="52">
        <v>1500000</v>
      </c>
      <c r="H193">
        <f>SUMIF(재고!D:D,제품!D193,재고!F:F)-SUMIF(주문_리스트!E:E,제품!D193,주문_리스트!H:H)</f>
        <v>-2</v>
      </c>
    </row>
    <row r="194" spans="1:9" x14ac:dyDescent="0.3">
      <c r="A194">
        <v>193</v>
      </c>
      <c r="B194">
        <v>2</v>
      </c>
      <c r="D194" s="288" t="s">
        <v>2724</v>
      </c>
      <c r="F194" s="52">
        <v>150000</v>
      </c>
      <c r="H194">
        <f>SUMIF(재고!D:D,제품!D194,재고!F:F)-SUMIF(주문_리스트!E:E,제품!D194,주문_리스트!H:H)</f>
        <v>-1</v>
      </c>
    </row>
    <row r="195" spans="1:9" x14ac:dyDescent="0.3">
      <c r="A195">
        <v>194</v>
      </c>
      <c r="B195">
        <v>1</v>
      </c>
      <c r="C195" s="288">
        <v>7252703114</v>
      </c>
      <c r="D195" s="288" t="s">
        <v>2749</v>
      </c>
      <c r="E195" s="288">
        <v>7252703114</v>
      </c>
      <c r="F195" s="52">
        <v>198000</v>
      </c>
      <c r="G195" s="52">
        <v>135000</v>
      </c>
      <c r="H195">
        <f>SUMIF(재고!D:D,제품!D195,재고!F:F)-SUMIF(주문_리스트!E:E,제품!D195,주문_리스트!H:H)</f>
        <v>-1</v>
      </c>
    </row>
    <row r="196" spans="1:9" x14ac:dyDescent="0.3">
      <c r="A196">
        <v>195</v>
      </c>
      <c r="B196">
        <v>14</v>
      </c>
      <c r="C196" s="288">
        <v>1094302044</v>
      </c>
      <c r="D196" s="288" t="s">
        <v>2751</v>
      </c>
      <c r="E196" s="288">
        <v>1094302044</v>
      </c>
      <c r="F196" s="52">
        <v>300000</v>
      </c>
      <c r="G196" s="52">
        <v>150000</v>
      </c>
      <c r="H196">
        <f>SUMIF(재고!D:D,제품!D196,재고!F:F)-SUMIF(주문_리스트!E:E,제품!D196,주문_리스트!H:H)</f>
        <v>-2</v>
      </c>
      <c r="I196" s="52" t="s">
        <v>2752</v>
      </c>
    </row>
    <row r="197" spans="1:9" x14ac:dyDescent="0.3">
      <c r="A197">
        <v>196</v>
      </c>
      <c r="B197">
        <v>14</v>
      </c>
      <c r="C197" s="288" t="s">
        <v>2842</v>
      </c>
      <c r="D197" s="288" t="s">
        <v>2843</v>
      </c>
      <c r="E197" s="288" t="s">
        <v>2842</v>
      </c>
      <c r="F197" s="52">
        <v>300000</v>
      </c>
      <c r="G197" s="52">
        <v>150000</v>
      </c>
      <c r="H197">
        <f>SUMIF(재고!D:D,제품!D197,재고!F:F)-SUMIF(주문_리스트!E:E,제품!D197,주문_리스트!H:H)</f>
        <v>0</v>
      </c>
      <c r="I197" s="52" t="s">
        <v>2844</v>
      </c>
    </row>
    <row r="198" spans="1:9" x14ac:dyDescent="0.3">
      <c r="A198">
        <v>197</v>
      </c>
      <c r="B198">
        <v>14</v>
      </c>
      <c r="C198" s="288">
        <v>501220639</v>
      </c>
      <c r="D198" s="288" t="s">
        <v>1759</v>
      </c>
      <c r="E198" s="288">
        <v>501220639</v>
      </c>
      <c r="F198" s="52">
        <v>250000</v>
      </c>
      <c r="G198" s="52">
        <v>150000</v>
      </c>
      <c r="H198">
        <f>SUMIF(재고!D:D,제품!D198,재고!F:F)-SUMIF(주문_리스트!E:E,제품!D198,주문_리스트!H:H)</f>
        <v>-4</v>
      </c>
    </row>
    <row r="199" spans="1:9" x14ac:dyDescent="0.3">
      <c r="A199">
        <v>198</v>
      </c>
      <c r="B199">
        <v>3</v>
      </c>
      <c r="C199" s="288" t="s">
        <v>2848</v>
      </c>
      <c r="D199" s="288" t="s">
        <v>2850</v>
      </c>
      <c r="E199" s="288" t="s">
        <v>2848</v>
      </c>
      <c r="F199" s="52">
        <v>75000</v>
      </c>
      <c r="G199" s="52">
        <v>67000</v>
      </c>
      <c r="H199">
        <f>SUMIF(재고!D:D,제품!D199,재고!F:F)-SUMIF(주문_리스트!E:E,제품!D199,주문_리스트!H:H)</f>
        <v>-1</v>
      </c>
    </row>
    <row r="200" spans="1:9" x14ac:dyDescent="0.3">
      <c r="A200">
        <v>199</v>
      </c>
      <c r="C200" s="288" t="s">
        <v>2922</v>
      </c>
      <c r="D200" s="288" t="s">
        <v>2923</v>
      </c>
      <c r="E200" s="288" t="s">
        <v>2922</v>
      </c>
      <c r="F200" s="52">
        <v>13000</v>
      </c>
      <c r="G200" s="52">
        <v>13000</v>
      </c>
      <c r="H200">
        <f>SUMIF(재고!D:D,제품!D200,재고!F:F)-SUMIF(주문_리스트!E:E,제품!D200,주문_리스트!H:H)</f>
        <v>-1</v>
      </c>
    </row>
    <row r="201" spans="1:9" x14ac:dyDescent="0.3">
      <c r="A201">
        <v>200</v>
      </c>
      <c r="C201" s="288" t="s">
        <v>2884</v>
      </c>
      <c r="D201" s="288" t="s">
        <v>2885</v>
      </c>
      <c r="E201" s="288" t="s">
        <v>2884</v>
      </c>
      <c r="H201">
        <f>SUMIF(재고!D:D,제품!D201,재고!F:F)-SUMIF(주문_리스트!E:E,제품!D201,주문_리스트!H:H)</f>
        <v>0</v>
      </c>
    </row>
    <row r="202" spans="1:9" x14ac:dyDescent="0.3">
      <c r="A202">
        <v>201</v>
      </c>
      <c r="B202">
        <v>3</v>
      </c>
      <c r="C202" s="288">
        <v>709013001</v>
      </c>
      <c r="D202" s="288" t="s">
        <v>2886</v>
      </c>
      <c r="E202" s="288">
        <v>709013001</v>
      </c>
      <c r="H202">
        <f>SUMIF(재고!D:D,제품!D202,재고!F:F)-SUMIF(주문_리스트!E:E,제품!D202,주문_리스트!H:H)</f>
        <v>0</v>
      </c>
    </row>
    <row r="203" spans="1:9" x14ac:dyDescent="0.3">
      <c r="A203">
        <v>202</v>
      </c>
      <c r="D203" s="288" t="s">
        <v>2904</v>
      </c>
      <c r="F203" s="52">
        <v>50000</v>
      </c>
      <c r="H203">
        <f>SUMIF(재고!D:D,제품!D203,재고!F:F)-SUMIF(주문_리스트!E:E,제품!D203,주문_리스트!H:H)</f>
        <v>-4</v>
      </c>
    </row>
    <row r="204" spans="1:9" x14ac:dyDescent="0.3">
      <c r="A204">
        <v>203</v>
      </c>
      <c r="D204" s="288" t="s">
        <v>2924</v>
      </c>
      <c r="F204" s="52">
        <v>35000</v>
      </c>
      <c r="H204">
        <f>SUMIF(재고!D:D,제품!D204,재고!F:F)-SUMIF(주문_리스트!E:E,제품!D204,주문_리스트!H:H)</f>
        <v>-1</v>
      </c>
    </row>
    <row r="205" spans="1:9" x14ac:dyDescent="0.3">
      <c r="A205">
        <v>204</v>
      </c>
      <c r="B205">
        <v>14</v>
      </c>
      <c r="C205" s="288">
        <v>6058008117</v>
      </c>
      <c r="D205" s="288" t="s">
        <v>3125</v>
      </c>
      <c r="E205" s="288">
        <v>6058008117</v>
      </c>
      <c r="F205" s="52">
        <v>900000</v>
      </c>
      <c r="H205">
        <f>SUMIF(재고!D:D,제품!D205,재고!F:F)-SUMIF(주문_리스트!E:E,제품!D205,주문_리스트!H:H)</f>
        <v>0</v>
      </c>
    </row>
    <row r="206" spans="1:9" x14ac:dyDescent="0.3">
      <c r="A206">
        <v>205</v>
      </c>
      <c r="B206">
        <v>14</v>
      </c>
      <c r="C206" s="288" t="s">
        <v>3117</v>
      </c>
      <c r="D206" s="288" t="s">
        <v>3538</v>
      </c>
      <c r="E206" s="288" t="s">
        <v>3117</v>
      </c>
      <c r="F206" s="52">
        <v>1000000</v>
      </c>
      <c r="H206">
        <v>-1</v>
      </c>
    </row>
    <row r="207" spans="1:9" x14ac:dyDescent="0.3">
      <c r="A207">
        <v>206</v>
      </c>
      <c r="B207">
        <v>4</v>
      </c>
      <c r="C207" s="288" t="s">
        <v>2954</v>
      </c>
      <c r="D207" s="288" t="s">
        <v>2955</v>
      </c>
      <c r="E207" s="288" t="s">
        <v>2954</v>
      </c>
      <c r="F207" s="52">
        <v>500000</v>
      </c>
      <c r="H207">
        <f>SUMIF(재고!D:D,제품!D207,재고!F:F)-SUMIF(주문_리스트!E:E,제품!D207,주문_리스트!H:H)</f>
        <v>-1</v>
      </c>
    </row>
    <row r="208" spans="1:9" x14ac:dyDescent="0.3">
      <c r="A208">
        <v>207</v>
      </c>
      <c r="B208">
        <v>2</v>
      </c>
      <c r="C208" s="288">
        <v>33108841535</v>
      </c>
      <c r="D208" s="288" t="s">
        <v>2958</v>
      </c>
      <c r="E208" s="288">
        <v>33108841535</v>
      </c>
      <c r="F208" s="52">
        <v>1200000</v>
      </c>
      <c r="H208">
        <f>SUMIF(재고!D:D,제품!D208,재고!F:F)-SUMIF(주문_리스트!E:E,제품!D208,주문_리스트!H:H)</f>
        <v>-1</v>
      </c>
    </row>
    <row r="209" spans="1:9" x14ac:dyDescent="0.3">
      <c r="A209">
        <v>208</v>
      </c>
      <c r="B209">
        <v>1</v>
      </c>
      <c r="C209" s="288" t="s">
        <v>2987</v>
      </c>
      <c r="D209" s="288" t="s">
        <v>2988</v>
      </c>
      <c r="E209" s="288" t="s">
        <v>2987</v>
      </c>
      <c r="F209" s="52">
        <v>250000</v>
      </c>
      <c r="G209" s="52">
        <v>140000</v>
      </c>
      <c r="H209">
        <f>SUMIF(재고!D:D,제품!D209,재고!F:F)-SUMIF(주문_리스트!E:E,제품!D209,주문_리스트!H:H)</f>
        <v>0</v>
      </c>
    </row>
    <row r="210" spans="1:9" x14ac:dyDescent="0.3">
      <c r="A210">
        <v>209</v>
      </c>
      <c r="B210">
        <v>7</v>
      </c>
      <c r="D210" s="288" t="s">
        <v>3074</v>
      </c>
      <c r="F210" s="52">
        <v>200000</v>
      </c>
      <c r="H210">
        <f>SUMIF(재고!D:D,제품!D210,재고!F:F)-SUMIF(주문_리스트!E:E,제품!D210,주문_리스트!H:H)</f>
        <v>-1</v>
      </c>
    </row>
    <row r="211" spans="1:9" x14ac:dyDescent="0.3">
      <c r="A211">
        <v>210</v>
      </c>
      <c r="B211">
        <v>7</v>
      </c>
      <c r="C211" s="288">
        <v>2212500301</v>
      </c>
      <c r="D211" s="288" t="s">
        <v>2919</v>
      </c>
      <c r="E211" s="288">
        <v>2212500301</v>
      </c>
      <c r="F211" s="52">
        <v>900000</v>
      </c>
      <c r="H211">
        <f>SUMIF(재고!D:D,제품!D211,재고!F:F)-SUMIF(주문_리스트!E:E,제품!D211,주문_리스트!H:H)</f>
        <v>-20</v>
      </c>
    </row>
    <row r="212" spans="1:9" x14ac:dyDescent="0.3">
      <c r="A212">
        <v>211</v>
      </c>
      <c r="B212">
        <v>3</v>
      </c>
      <c r="C212" s="288">
        <v>6058008122</v>
      </c>
      <c r="D212" s="288" t="s">
        <v>3124</v>
      </c>
      <c r="E212" s="288">
        <v>6058008122</v>
      </c>
      <c r="F212" s="52">
        <v>2500000</v>
      </c>
      <c r="H212">
        <f>SUMIF(재고!D:D,제품!D212,재고!F:F)-SUMIF(주문_리스트!E:E,제품!D212,주문_리스트!H:H)</f>
        <v>-1</v>
      </c>
    </row>
    <row r="213" spans="1:9" x14ac:dyDescent="0.3">
      <c r="A213">
        <v>212</v>
      </c>
      <c r="B213">
        <v>3</v>
      </c>
      <c r="C213" s="288">
        <v>6058008068</v>
      </c>
      <c r="D213" s="288" t="s">
        <v>3124</v>
      </c>
      <c r="E213" s="288">
        <v>6058008068</v>
      </c>
      <c r="H213">
        <f>SUMIF(재고!D:D,제품!D213,재고!F:F)-SUMIF(주문_리스트!E:E,제품!D213,주문_리스트!H:H)</f>
        <v>-1</v>
      </c>
    </row>
    <row r="214" spans="1:9" x14ac:dyDescent="0.3">
      <c r="A214">
        <v>213</v>
      </c>
      <c r="B214">
        <v>2</v>
      </c>
      <c r="D214" s="288" t="s">
        <v>3133</v>
      </c>
      <c r="F214" s="52">
        <v>110000</v>
      </c>
      <c r="H214">
        <f>SUMIF(재고!D:D,제품!D214,재고!F:F)-SUMIF(주문_리스트!E:E,제품!D214,주문_리스트!H:H)</f>
        <v>-1</v>
      </c>
    </row>
    <row r="215" spans="1:9" x14ac:dyDescent="0.3">
      <c r="A215">
        <v>214</v>
      </c>
      <c r="B215">
        <v>1</v>
      </c>
      <c r="C215" s="288" t="s">
        <v>3166</v>
      </c>
      <c r="D215" s="288" t="s">
        <v>2384</v>
      </c>
      <c r="E215" s="288" t="s">
        <v>3166</v>
      </c>
      <c r="F215" s="52">
        <v>1550000</v>
      </c>
      <c r="H215">
        <f>SUMIF(재고!D:D,제품!D215,재고!F:F)-SUMIF(주문_리스트!E:E,제품!D215,주문_리스트!H:H)</f>
        <v>-3</v>
      </c>
    </row>
    <row r="216" spans="1:9" x14ac:dyDescent="0.3">
      <c r="A216">
        <v>215</v>
      </c>
      <c r="B216">
        <v>12</v>
      </c>
      <c r="C216" s="288" t="s">
        <v>3573</v>
      </c>
      <c r="D216" s="288" t="s">
        <v>3574</v>
      </c>
      <c r="E216" s="288" t="s">
        <v>3573</v>
      </c>
      <c r="H216">
        <v>0</v>
      </c>
    </row>
    <row r="217" spans="1:9" x14ac:dyDescent="0.3">
      <c r="A217">
        <v>216</v>
      </c>
      <c r="B217">
        <v>14</v>
      </c>
      <c r="C217" s="288">
        <v>1112427047</v>
      </c>
      <c r="D217" s="288" t="s">
        <v>3216</v>
      </c>
      <c r="E217" s="288">
        <v>1112427047</v>
      </c>
      <c r="H217">
        <f>SUMIF(재고!D:D,제품!D217,재고!F:F)-SUMIF(주문_리스트!E:E,제품!D217,주문_리스트!H:H)</f>
        <v>0</v>
      </c>
    </row>
    <row r="218" spans="1:9" x14ac:dyDescent="0.3">
      <c r="A218">
        <v>217</v>
      </c>
      <c r="B218">
        <v>14</v>
      </c>
      <c r="C218" s="288" t="s">
        <v>3277</v>
      </c>
      <c r="D218" s="288" t="s">
        <v>3217</v>
      </c>
      <c r="E218" s="288">
        <v>501223434</v>
      </c>
      <c r="H218">
        <f>SUMIF(재고!D:D,제품!D218,재고!F:F)-SUMIF(주문_리스트!E:E,제품!D218,주문_리스트!H:H)</f>
        <v>0</v>
      </c>
    </row>
    <row r="219" spans="1:9" x14ac:dyDescent="0.3">
      <c r="A219">
        <v>218</v>
      </c>
      <c r="B219">
        <v>12</v>
      </c>
      <c r="C219" s="288" t="s">
        <v>3278</v>
      </c>
      <c r="D219" s="288" t="s">
        <v>3275</v>
      </c>
      <c r="E219" s="288">
        <v>501327105</v>
      </c>
      <c r="H219">
        <f>SUMIF(재고!D:D,제품!D219,재고!F:F)-SUMIF(주문_리스트!E:E,제품!D219,주문_리스트!H:H)</f>
        <v>-1</v>
      </c>
      <c r="I219" s="52" t="s">
        <v>3276</v>
      </c>
    </row>
    <row r="220" spans="1:9" x14ac:dyDescent="0.3">
      <c r="A220">
        <v>219</v>
      </c>
      <c r="B220">
        <v>4</v>
      </c>
      <c r="C220" s="288" t="s">
        <v>3284</v>
      </c>
      <c r="D220" s="288" t="s">
        <v>3285</v>
      </c>
      <c r="E220" s="288" t="s">
        <v>3284</v>
      </c>
      <c r="F220" s="52">
        <v>300000</v>
      </c>
      <c r="H220">
        <f>SUMIF(재고!D:D,제품!D220,재고!F:F)-SUMIF(주문_리스트!E:E,제품!D220,주문_리스트!H:H)</f>
        <v>-1</v>
      </c>
    </row>
    <row r="221" spans="1:9" x14ac:dyDescent="0.3">
      <c r="A221">
        <v>220</v>
      </c>
      <c r="B221">
        <v>7</v>
      </c>
      <c r="C221" s="288" t="s">
        <v>3313</v>
      </c>
      <c r="D221" s="288" t="s">
        <v>3314</v>
      </c>
      <c r="E221" s="288">
        <v>6058008114</v>
      </c>
      <c r="F221" s="52">
        <v>650000</v>
      </c>
      <c r="H221">
        <f>SUMIF(재고!D:D,제품!D221,재고!F:F)-SUMIF(주문_리스트!E:E,제품!D221,주문_리스트!H:H)</f>
        <v>-1</v>
      </c>
    </row>
    <row r="222" spans="1:9" x14ac:dyDescent="0.3">
      <c r="A222">
        <v>221</v>
      </c>
      <c r="B222">
        <v>1</v>
      </c>
      <c r="C222" s="288" t="s">
        <v>3385</v>
      </c>
      <c r="D222" s="288" t="s">
        <v>3386</v>
      </c>
      <c r="E222" s="288" t="s">
        <v>3385</v>
      </c>
      <c r="H222">
        <f>SUMIF(재고!D:D,제품!D222,재고!F:F)-SUMIF(주문_리스트!E:E,제품!D222,주문_리스트!H:H)</f>
        <v>-1</v>
      </c>
      <c r="I222" s="52" t="s">
        <v>3387</v>
      </c>
    </row>
    <row r="223" spans="1:9" x14ac:dyDescent="0.3">
      <c r="A223">
        <v>222</v>
      </c>
      <c r="B223">
        <v>1</v>
      </c>
      <c r="C223" s="288" t="s">
        <v>3415</v>
      </c>
      <c r="D223" s="288" t="s">
        <v>3416</v>
      </c>
      <c r="E223" s="288" t="s">
        <v>3415</v>
      </c>
      <c r="F223" s="52">
        <v>1500000</v>
      </c>
      <c r="H223">
        <f>SUMIF(재고!D:D,제품!D223,재고!F:F)-SUMIF(주문_리스트!E:E,제품!D223,주문_리스트!H:H)</f>
        <v>-1</v>
      </c>
    </row>
    <row r="224" spans="1:9" x14ac:dyDescent="0.3">
      <c r="A224">
        <v>223</v>
      </c>
      <c r="B224">
        <v>13</v>
      </c>
      <c r="D224" s="288" t="s">
        <v>3441</v>
      </c>
      <c r="F224" s="52">
        <v>750000</v>
      </c>
      <c r="H224">
        <f>SUMIF(재고!D:D,제품!D224,재고!F:F)-SUMIF(주문_리스트!E:E,제품!D224,주문_리스트!H:H)</f>
        <v>-1</v>
      </c>
    </row>
    <row r="225" spans="1:8" x14ac:dyDescent="0.3">
      <c r="A225">
        <v>224</v>
      </c>
      <c r="C225" s="288" t="s">
        <v>3478</v>
      </c>
      <c r="D225" s="288" t="s">
        <v>3479</v>
      </c>
      <c r="E225" s="288">
        <v>2202701006</v>
      </c>
      <c r="F225" s="52">
        <v>3500000</v>
      </c>
    </row>
    <row r="226" spans="1:8" x14ac:dyDescent="0.3">
      <c r="A226">
        <v>225</v>
      </c>
      <c r="B226">
        <v>3</v>
      </c>
      <c r="C226" s="288" t="s">
        <v>3525</v>
      </c>
      <c r="D226" s="288" t="s">
        <v>3222</v>
      </c>
      <c r="E226" s="288" t="s">
        <v>3525</v>
      </c>
      <c r="F226" s="52">
        <v>1100000</v>
      </c>
    </row>
    <row r="227" spans="1:8" x14ac:dyDescent="0.3">
      <c r="A227">
        <v>226</v>
      </c>
      <c r="B227">
        <v>2</v>
      </c>
      <c r="C227" s="288" t="s">
        <v>3551</v>
      </c>
      <c r="D227" s="288" t="s">
        <v>3552</v>
      </c>
      <c r="E227" s="288" t="s">
        <v>3551</v>
      </c>
    </row>
    <row r="228" spans="1:8" x14ac:dyDescent="0.3">
      <c r="A228">
        <v>227</v>
      </c>
      <c r="B228">
        <v>3</v>
      </c>
      <c r="D228" s="288" t="s">
        <v>3559</v>
      </c>
      <c r="F228" s="52">
        <v>300000</v>
      </c>
    </row>
    <row r="229" spans="1:8" x14ac:dyDescent="0.3">
      <c r="A229">
        <v>228</v>
      </c>
      <c r="B229">
        <v>12</v>
      </c>
      <c r="C229" s="288" t="s">
        <v>3575</v>
      </c>
      <c r="D229" s="288" t="s">
        <v>3576</v>
      </c>
      <c r="E229" s="288" t="s">
        <v>3575</v>
      </c>
      <c r="H229" s="52">
        <v>0</v>
      </c>
    </row>
    <row r="230" spans="1:8" x14ac:dyDescent="0.3">
      <c r="A230">
        <v>229</v>
      </c>
      <c r="B230">
        <v>3</v>
      </c>
      <c r="D230" s="288" t="s">
        <v>3587</v>
      </c>
      <c r="F230" s="52">
        <v>2200000</v>
      </c>
    </row>
    <row r="231" spans="1:8" x14ac:dyDescent="0.3">
      <c r="A231">
        <v>230</v>
      </c>
      <c r="B231">
        <v>15</v>
      </c>
      <c r="C231" s="288" t="s">
        <v>3592</v>
      </c>
      <c r="D231" s="288" t="s">
        <v>3593</v>
      </c>
      <c r="E231" s="288" t="s">
        <v>3592</v>
      </c>
      <c r="F231" s="52">
        <v>260000</v>
      </c>
      <c r="G231" s="52">
        <v>160000</v>
      </c>
    </row>
    <row r="232" spans="1:8" x14ac:dyDescent="0.3">
      <c r="A232">
        <v>231</v>
      </c>
      <c r="B232">
        <v>4</v>
      </c>
      <c r="C232" s="288" t="s">
        <v>3595</v>
      </c>
      <c r="D232" s="288" t="s">
        <v>3596</v>
      </c>
      <c r="E232" s="288" t="s">
        <v>3595</v>
      </c>
      <c r="F232" s="52">
        <v>130000</v>
      </c>
      <c r="G232" s="52">
        <v>110000</v>
      </c>
    </row>
    <row r="233" spans="1:8" x14ac:dyDescent="0.3">
      <c r="A233">
        <v>232</v>
      </c>
      <c r="B233">
        <v>4</v>
      </c>
      <c r="C233" s="288" t="s">
        <v>3597</v>
      </c>
      <c r="D233" s="288" t="s">
        <v>3587</v>
      </c>
      <c r="E233" s="288" t="s">
        <v>3597</v>
      </c>
      <c r="F233" s="52">
        <v>2200000</v>
      </c>
    </row>
    <row r="234" spans="1:8" x14ac:dyDescent="0.3">
      <c r="A234">
        <v>233</v>
      </c>
      <c r="B234">
        <v>3</v>
      </c>
      <c r="C234" s="288" t="s">
        <v>3598</v>
      </c>
      <c r="D234" s="288" t="s">
        <v>3599</v>
      </c>
      <c r="E234" s="288" t="s">
        <v>3598</v>
      </c>
      <c r="F234" s="52">
        <v>300000</v>
      </c>
    </row>
    <row r="235" spans="1:8" x14ac:dyDescent="0.3">
      <c r="A235">
        <v>234</v>
      </c>
      <c r="B235">
        <v>7</v>
      </c>
      <c r="C235" s="288" t="s">
        <v>3633</v>
      </c>
      <c r="D235" s="288" t="s">
        <v>3634</v>
      </c>
      <c r="E235" s="288" t="s">
        <v>3633</v>
      </c>
      <c r="F235" s="52">
        <v>30000</v>
      </c>
      <c r="G235" s="52">
        <v>15000</v>
      </c>
    </row>
    <row r="236" spans="1:8" x14ac:dyDescent="0.3">
      <c r="A236">
        <v>235</v>
      </c>
      <c r="B236">
        <v>13</v>
      </c>
      <c r="C236" s="288" t="s">
        <v>3833</v>
      </c>
      <c r="D236" s="288" t="s">
        <v>3834</v>
      </c>
      <c r="E236" s="288" t="s">
        <v>3833</v>
      </c>
      <c r="F236" s="52">
        <v>600000</v>
      </c>
    </row>
    <row r="237" spans="1:8" x14ac:dyDescent="0.3">
      <c r="A237">
        <v>236</v>
      </c>
      <c r="B237">
        <v>3</v>
      </c>
      <c r="C237" s="288" t="s">
        <v>3845</v>
      </c>
      <c r="D237" s="288" t="s">
        <v>3845</v>
      </c>
      <c r="E237" s="288" t="s">
        <v>3846</v>
      </c>
      <c r="F237" s="52">
        <v>2500000</v>
      </c>
    </row>
    <row r="238" spans="1:8" x14ac:dyDescent="0.3">
      <c r="A238">
        <v>241</v>
      </c>
      <c r="B238">
        <v>7</v>
      </c>
      <c r="D238" s="288" t="s">
        <v>3859</v>
      </c>
      <c r="E238" s="288" t="s">
        <v>3860</v>
      </c>
      <c r="F238" s="52">
        <v>10000</v>
      </c>
    </row>
    <row r="239" spans="1:8" x14ac:dyDescent="0.3">
      <c r="A239">
        <v>242</v>
      </c>
      <c r="B239">
        <v>2</v>
      </c>
      <c r="C239" s="288" t="s">
        <v>3885</v>
      </c>
      <c r="D239" s="288" t="s">
        <v>3886</v>
      </c>
      <c r="E239" s="288" t="s">
        <v>3885</v>
      </c>
    </row>
    <row r="240" spans="1:8" x14ac:dyDescent="0.3">
      <c r="A240">
        <v>243</v>
      </c>
      <c r="B240">
        <v>4</v>
      </c>
      <c r="C240" s="288" t="s">
        <v>3931</v>
      </c>
      <c r="D240" s="288" t="s">
        <v>3932</v>
      </c>
      <c r="E240" s="288" t="s">
        <v>3931</v>
      </c>
      <c r="F240" s="52">
        <v>1000000</v>
      </c>
    </row>
    <row r="241" spans="1:8" x14ac:dyDescent="0.3">
      <c r="A241">
        <v>244</v>
      </c>
      <c r="B241">
        <v>2</v>
      </c>
      <c r="D241" s="288" t="s">
        <v>3964</v>
      </c>
      <c r="F241" s="52">
        <v>1000000</v>
      </c>
    </row>
    <row r="242" spans="1:8" x14ac:dyDescent="0.3">
      <c r="A242">
        <v>245</v>
      </c>
      <c r="B242">
        <v>2</v>
      </c>
      <c r="D242" s="288" t="s">
        <v>3969</v>
      </c>
      <c r="F242" s="52">
        <v>200000</v>
      </c>
    </row>
    <row r="243" spans="1:8" x14ac:dyDescent="0.3">
      <c r="A243">
        <v>246</v>
      </c>
      <c r="B243">
        <v>3</v>
      </c>
      <c r="C243" s="288" t="s">
        <v>1207</v>
      </c>
      <c r="D243" s="288" t="s">
        <v>3971</v>
      </c>
      <c r="E243" s="288" t="s">
        <v>1207</v>
      </c>
      <c r="F243" s="52">
        <v>400000</v>
      </c>
      <c r="G243" s="52">
        <v>200000</v>
      </c>
      <c r="H243" s="52">
        <v>-50</v>
      </c>
    </row>
  </sheetData>
  <dataConsolidate/>
  <phoneticPr fontId="2" type="noConversion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83FFDD-E34F-4E2E-8170-4C07C6434298}">
  <sheetPr codeName="shtInventory"/>
  <dimension ref="A1:H217"/>
  <sheetViews>
    <sheetView zoomScaleNormal="100" workbookViewId="0">
      <pane ySplit="1" topLeftCell="A2" activePane="bottomLeft" state="frozen"/>
      <selection activeCell="N26" sqref="N26"/>
      <selection pane="bottomLeft" activeCell="F5" sqref="F5"/>
    </sheetView>
  </sheetViews>
  <sheetFormatPr defaultColWidth="9" defaultRowHeight="16.5" x14ac:dyDescent="0.3"/>
  <cols>
    <col min="1" max="1" width="5.625" customWidth="1"/>
    <col min="2" max="2" width="12.5" customWidth="1"/>
    <col min="3" max="3" width="9.5" style="191" bestFit="1" customWidth="1"/>
    <col min="4" max="4" width="26" style="190" bestFit="1" customWidth="1"/>
    <col min="5" max="5" width="14.375" style="190" customWidth="1"/>
    <col min="6" max="6" width="13.125" style="52" customWidth="1"/>
    <col min="7" max="7" width="15.625" customWidth="1"/>
  </cols>
  <sheetData>
    <row r="1" spans="1:8" ht="17.25" thickBot="1" x14ac:dyDescent="0.35">
      <c r="A1" s="31" t="s">
        <v>2</v>
      </c>
      <c r="B1" s="7" t="s">
        <v>14</v>
      </c>
      <c r="C1" s="50" t="s">
        <v>36</v>
      </c>
      <c r="D1" s="31" t="s">
        <v>0</v>
      </c>
      <c r="E1" s="31" t="s">
        <v>44</v>
      </c>
      <c r="F1" s="51" t="s">
        <v>50</v>
      </c>
      <c r="G1" s="7" t="s">
        <v>48</v>
      </c>
      <c r="H1" s="97">
        <v>209</v>
      </c>
    </row>
    <row r="2" spans="1:8" x14ac:dyDescent="0.3">
      <c r="A2">
        <v>1</v>
      </c>
      <c r="B2" s="13">
        <v>45778</v>
      </c>
      <c r="C2" s="190"/>
      <c r="D2" s="190" t="s">
        <v>2519</v>
      </c>
      <c r="E2" s="190">
        <v>28120504</v>
      </c>
    </row>
    <row r="3" spans="1:8" x14ac:dyDescent="0.3">
      <c r="A3">
        <v>2</v>
      </c>
      <c r="B3" s="13"/>
      <c r="C3" s="190"/>
      <c r="D3" s="190" t="s">
        <v>2195</v>
      </c>
    </row>
    <row r="4" spans="1:8" x14ac:dyDescent="0.3">
      <c r="A4">
        <v>3</v>
      </c>
      <c r="B4" s="13"/>
      <c r="C4" s="190"/>
      <c r="D4" s="190" t="s">
        <v>1141</v>
      </c>
    </row>
    <row r="5" spans="1:8" x14ac:dyDescent="0.3">
      <c r="A5">
        <v>4</v>
      </c>
      <c r="B5" s="13"/>
      <c r="D5" s="190" t="s">
        <v>1951</v>
      </c>
      <c r="E5" s="190" t="s">
        <v>1952</v>
      </c>
    </row>
    <row r="6" spans="1:8" x14ac:dyDescent="0.3">
      <c r="A6">
        <v>5</v>
      </c>
      <c r="C6" s="190"/>
      <c r="D6" s="190" t="s">
        <v>1640</v>
      </c>
    </row>
    <row r="7" spans="1:8" x14ac:dyDescent="0.3">
      <c r="A7">
        <v>6</v>
      </c>
      <c r="C7" s="190"/>
      <c r="D7" s="190" t="s">
        <v>1609</v>
      </c>
    </row>
    <row r="8" spans="1:8" x14ac:dyDescent="0.3">
      <c r="A8">
        <v>7</v>
      </c>
      <c r="C8" s="190"/>
      <c r="D8" s="190" t="s">
        <v>1743</v>
      </c>
    </row>
    <row r="9" spans="1:8" x14ac:dyDescent="0.3">
      <c r="A9">
        <v>8</v>
      </c>
      <c r="D9" s="190" t="s">
        <v>1140</v>
      </c>
    </row>
    <row r="10" spans="1:8" x14ac:dyDescent="0.3">
      <c r="A10">
        <v>9</v>
      </c>
      <c r="D10" s="190" t="s">
        <v>2921</v>
      </c>
      <c r="E10" s="190">
        <v>602000700</v>
      </c>
    </row>
    <row r="11" spans="1:8" x14ac:dyDescent="0.3">
      <c r="A11">
        <v>10</v>
      </c>
      <c r="D11" s="190" t="s">
        <v>1143</v>
      </c>
    </row>
    <row r="12" spans="1:8" x14ac:dyDescent="0.3">
      <c r="A12">
        <v>11</v>
      </c>
      <c r="D12" s="190" t="s">
        <v>1144</v>
      </c>
    </row>
    <row r="13" spans="1:8" x14ac:dyDescent="0.3">
      <c r="A13">
        <v>12</v>
      </c>
      <c r="D13" s="190" t="s">
        <v>1145</v>
      </c>
    </row>
    <row r="14" spans="1:8" x14ac:dyDescent="0.3">
      <c r="A14">
        <v>13</v>
      </c>
      <c r="D14" s="190" t="s">
        <v>2522</v>
      </c>
      <c r="E14" s="190">
        <v>415054509</v>
      </c>
    </row>
    <row r="15" spans="1:8" x14ac:dyDescent="0.3">
      <c r="A15">
        <v>14</v>
      </c>
      <c r="D15" s="190" t="s">
        <v>1654</v>
      </c>
      <c r="E15" s="190">
        <v>2830402</v>
      </c>
    </row>
    <row r="16" spans="1:8" x14ac:dyDescent="0.3">
      <c r="A16">
        <v>15</v>
      </c>
      <c r="D16" s="190" t="s">
        <v>2682</v>
      </c>
      <c r="E16" s="190">
        <v>2830506</v>
      </c>
    </row>
    <row r="17" spans="1:5" x14ac:dyDescent="0.3">
      <c r="A17">
        <v>16</v>
      </c>
      <c r="D17" s="190" t="s">
        <v>2686</v>
      </c>
      <c r="E17" s="190">
        <v>2820403</v>
      </c>
    </row>
    <row r="18" spans="1:5" x14ac:dyDescent="0.3">
      <c r="A18">
        <v>17</v>
      </c>
      <c r="D18" s="190" t="s">
        <v>1108</v>
      </c>
    </row>
    <row r="19" spans="1:5" x14ac:dyDescent="0.3">
      <c r="A19">
        <v>18</v>
      </c>
      <c r="D19" s="190" t="s">
        <v>2203</v>
      </c>
    </row>
    <row r="20" spans="1:5" x14ac:dyDescent="0.3">
      <c r="A20">
        <v>19</v>
      </c>
      <c r="D20" s="190" t="s">
        <v>2201</v>
      </c>
    </row>
    <row r="21" spans="1:5" x14ac:dyDescent="0.3">
      <c r="A21">
        <v>20</v>
      </c>
      <c r="D21" s="190" t="s">
        <v>1652</v>
      </c>
    </row>
    <row r="22" spans="1:5" x14ac:dyDescent="0.3">
      <c r="A22">
        <v>21</v>
      </c>
      <c r="D22" s="190" t="s">
        <v>2185</v>
      </c>
    </row>
    <row r="23" spans="1:5" x14ac:dyDescent="0.3">
      <c r="A23">
        <v>22</v>
      </c>
      <c r="D23" s="190" t="s">
        <v>2197</v>
      </c>
      <c r="E23" s="190" t="s">
        <v>1198</v>
      </c>
    </row>
    <row r="24" spans="1:5" x14ac:dyDescent="0.3">
      <c r="A24">
        <v>23</v>
      </c>
      <c r="D24" s="190" t="s">
        <v>2197</v>
      </c>
      <c r="E24" s="190" t="s">
        <v>1199</v>
      </c>
    </row>
    <row r="25" spans="1:5" x14ac:dyDescent="0.3">
      <c r="A25">
        <v>24</v>
      </c>
      <c r="D25" s="190" t="s">
        <v>2186</v>
      </c>
      <c r="E25" s="190" t="s">
        <v>1200</v>
      </c>
    </row>
    <row r="26" spans="1:5" x14ac:dyDescent="0.3">
      <c r="A26">
        <v>25</v>
      </c>
      <c r="D26" s="190" t="s">
        <v>2180</v>
      </c>
      <c r="E26" s="190" t="s">
        <v>1201</v>
      </c>
    </row>
    <row r="27" spans="1:5" x14ac:dyDescent="0.3">
      <c r="A27">
        <v>26</v>
      </c>
      <c r="D27" s="190" t="s">
        <v>1645</v>
      </c>
      <c r="E27" s="190" t="s">
        <v>1994</v>
      </c>
    </row>
    <row r="28" spans="1:5" x14ac:dyDescent="0.3">
      <c r="A28">
        <v>27</v>
      </c>
      <c r="C28" s="190"/>
      <c r="D28" s="190" t="s">
        <v>1219</v>
      </c>
      <c r="E28" s="190" t="s">
        <v>1221</v>
      </c>
    </row>
    <row r="29" spans="1:5" x14ac:dyDescent="0.3">
      <c r="A29">
        <v>28</v>
      </c>
      <c r="D29" s="190" t="s">
        <v>1205</v>
      </c>
      <c r="E29" s="190" t="s">
        <v>1204</v>
      </c>
    </row>
    <row r="30" spans="1:5" x14ac:dyDescent="0.3">
      <c r="A30">
        <v>29</v>
      </c>
      <c r="D30" s="190" t="s">
        <v>1205</v>
      </c>
      <c r="E30" s="190" t="s">
        <v>1206</v>
      </c>
    </row>
    <row r="31" spans="1:5" x14ac:dyDescent="0.3">
      <c r="A31">
        <v>30</v>
      </c>
      <c r="D31" s="190" t="s">
        <v>2216</v>
      </c>
      <c r="E31" s="190" t="s">
        <v>1760</v>
      </c>
    </row>
    <row r="32" spans="1:5" x14ac:dyDescent="0.3">
      <c r="A32">
        <v>31</v>
      </c>
      <c r="C32" s="190"/>
      <c r="D32" s="190" t="s">
        <v>1209</v>
      </c>
      <c r="E32" s="190" t="s">
        <v>1210</v>
      </c>
    </row>
    <row r="33" spans="1:5" x14ac:dyDescent="0.3">
      <c r="A33">
        <v>32</v>
      </c>
      <c r="D33" s="190" t="s">
        <v>2466</v>
      </c>
      <c r="E33" s="190" t="s">
        <v>1212</v>
      </c>
    </row>
    <row r="34" spans="1:5" x14ac:dyDescent="0.3">
      <c r="A34">
        <v>33</v>
      </c>
      <c r="D34" s="190" t="s">
        <v>2577</v>
      </c>
      <c r="E34" s="190" t="s">
        <v>2576</v>
      </c>
    </row>
    <row r="35" spans="1:5" x14ac:dyDescent="0.3">
      <c r="A35">
        <v>34</v>
      </c>
      <c r="D35" s="190" t="s">
        <v>2179</v>
      </c>
      <c r="E35" s="190" t="s">
        <v>1215</v>
      </c>
    </row>
    <row r="36" spans="1:5" x14ac:dyDescent="0.3">
      <c r="A36">
        <v>35</v>
      </c>
      <c r="D36" s="190" t="s">
        <v>1646</v>
      </c>
      <c r="E36" s="190" t="s">
        <v>1216</v>
      </c>
    </row>
    <row r="37" spans="1:5" x14ac:dyDescent="0.3">
      <c r="A37">
        <v>36</v>
      </c>
      <c r="C37" s="190"/>
      <c r="D37" s="190" t="s">
        <v>1366</v>
      </c>
      <c r="E37" s="190" t="s">
        <v>1367</v>
      </c>
    </row>
    <row r="38" spans="1:5" x14ac:dyDescent="0.3">
      <c r="A38">
        <v>37</v>
      </c>
      <c r="C38" s="190"/>
      <c r="D38" s="190" t="s">
        <v>1258</v>
      </c>
      <c r="E38" s="190" t="s">
        <v>1257</v>
      </c>
    </row>
    <row r="39" spans="1:5" x14ac:dyDescent="0.3">
      <c r="A39">
        <v>38</v>
      </c>
      <c r="D39" s="190" t="s">
        <v>2188</v>
      </c>
      <c r="E39" s="190" t="s">
        <v>1678</v>
      </c>
    </row>
    <row r="40" spans="1:5" x14ac:dyDescent="0.3">
      <c r="A40">
        <v>39</v>
      </c>
      <c r="D40" s="190" t="s">
        <v>1728</v>
      </c>
      <c r="E40" s="190" t="s">
        <v>1727</v>
      </c>
    </row>
    <row r="41" spans="1:5" x14ac:dyDescent="0.3">
      <c r="A41">
        <v>40</v>
      </c>
      <c r="D41" s="190" t="s">
        <v>1380</v>
      </c>
    </row>
    <row r="42" spans="1:5" x14ac:dyDescent="0.3">
      <c r="A42">
        <v>41</v>
      </c>
      <c r="D42" s="190" t="s">
        <v>1470</v>
      </c>
    </row>
    <row r="43" spans="1:5" x14ac:dyDescent="0.3">
      <c r="A43">
        <v>42</v>
      </c>
      <c r="D43" s="190" t="s">
        <v>1480</v>
      </c>
    </row>
    <row r="44" spans="1:5" x14ac:dyDescent="0.3">
      <c r="A44">
        <v>43</v>
      </c>
      <c r="D44" s="190" t="s">
        <v>1486</v>
      </c>
    </row>
    <row r="45" spans="1:5" x14ac:dyDescent="0.3">
      <c r="A45">
        <v>44</v>
      </c>
      <c r="D45" s="190" t="s">
        <v>2204</v>
      </c>
    </row>
    <row r="46" spans="1:5" x14ac:dyDescent="0.3">
      <c r="A46">
        <v>45</v>
      </c>
      <c r="D46" s="190" t="s">
        <v>2189</v>
      </c>
    </row>
    <row r="47" spans="1:5" x14ac:dyDescent="0.3">
      <c r="A47">
        <v>46</v>
      </c>
      <c r="D47" s="190" t="s">
        <v>2338</v>
      </c>
      <c r="E47" s="190" t="s">
        <v>2720</v>
      </c>
    </row>
    <row r="48" spans="1:5" x14ac:dyDescent="0.3">
      <c r="A48">
        <v>47</v>
      </c>
      <c r="D48" s="190" t="s">
        <v>2205</v>
      </c>
    </row>
    <row r="49" spans="1:5" x14ac:dyDescent="0.3">
      <c r="A49">
        <v>48</v>
      </c>
      <c r="D49" s="190" t="s">
        <v>1506</v>
      </c>
    </row>
    <row r="50" spans="1:5" x14ac:dyDescent="0.3">
      <c r="A50">
        <v>49</v>
      </c>
      <c r="D50" s="190" t="s">
        <v>1519</v>
      </c>
    </row>
    <row r="51" spans="1:5" x14ac:dyDescent="0.3">
      <c r="A51">
        <v>50</v>
      </c>
      <c r="D51" s="190" t="s">
        <v>1524</v>
      </c>
    </row>
    <row r="52" spans="1:5" x14ac:dyDescent="0.3">
      <c r="A52">
        <v>51</v>
      </c>
      <c r="D52" s="190">
        <v>2703900</v>
      </c>
    </row>
    <row r="53" spans="1:5" x14ac:dyDescent="0.3">
      <c r="A53">
        <v>52</v>
      </c>
      <c r="D53" s="190">
        <v>2703900</v>
      </c>
    </row>
    <row r="54" spans="1:5" x14ac:dyDescent="0.3">
      <c r="A54">
        <v>53</v>
      </c>
      <c r="D54" s="190" t="s">
        <v>1535</v>
      </c>
    </row>
    <row r="55" spans="1:5" x14ac:dyDescent="0.3">
      <c r="A55">
        <v>54</v>
      </c>
      <c r="D55" s="190" t="s">
        <v>1817</v>
      </c>
      <c r="E55" s="190">
        <v>24152333903</v>
      </c>
    </row>
    <row r="56" spans="1:5" x14ac:dyDescent="0.3">
      <c r="A56">
        <v>55</v>
      </c>
      <c r="D56" s="190" t="s">
        <v>1555</v>
      </c>
    </row>
    <row r="57" spans="1:5" x14ac:dyDescent="0.3">
      <c r="A57">
        <v>56</v>
      </c>
      <c r="D57" s="190" t="s">
        <v>1970</v>
      </c>
      <c r="E57" s="190" t="s">
        <v>1647</v>
      </c>
    </row>
    <row r="58" spans="1:5" x14ac:dyDescent="0.3">
      <c r="A58">
        <v>57</v>
      </c>
      <c r="D58" s="190" t="s">
        <v>1426</v>
      </c>
      <c r="E58" s="190" t="s">
        <v>1210</v>
      </c>
    </row>
    <row r="59" spans="1:5" x14ac:dyDescent="0.3">
      <c r="A59">
        <v>58</v>
      </c>
      <c r="D59" s="190" t="s">
        <v>2206</v>
      </c>
      <c r="E59" s="190" t="s">
        <v>2748</v>
      </c>
    </row>
    <row r="60" spans="1:5" x14ac:dyDescent="0.3">
      <c r="A60">
        <v>59</v>
      </c>
      <c r="D60" s="190" t="s">
        <v>1366</v>
      </c>
      <c r="E60" s="190" t="s">
        <v>1649</v>
      </c>
    </row>
    <row r="61" spans="1:5" x14ac:dyDescent="0.3">
      <c r="A61">
        <v>60</v>
      </c>
      <c r="D61" s="190" t="s">
        <v>1651</v>
      </c>
      <c r="E61" s="190" t="s">
        <v>1650</v>
      </c>
    </row>
    <row r="62" spans="1:5" x14ac:dyDescent="0.3">
      <c r="A62">
        <v>61</v>
      </c>
      <c r="D62" s="190" t="s">
        <v>2684</v>
      </c>
      <c r="E62" s="190">
        <v>2820403</v>
      </c>
    </row>
    <row r="63" spans="1:5" x14ac:dyDescent="0.3">
      <c r="A63">
        <v>62</v>
      </c>
      <c r="D63" s="190" t="s">
        <v>2522</v>
      </c>
      <c r="E63" s="190">
        <v>415090409</v>
      </c>
    </row>
    <row r="64" spans="1:5" x14ac:dyDescent="0.3">
      <c r="A64">
        <v>63</v>
      </c>
      <c r="D64" s="190" t="s">
        <v>1627</v>
      </c>
      <c r="E64" s="190" t="s">
        <v>1626</v>
      </c>
    </row>
    <row r="65" spans="1:5" x14ac:dyDescent="0.3">
      <c r="A65">
        <v>64</v>
      </c>
      <c r="D65" s="190" t="s">
        <v>1629</v>
      </c>
    </row>
    <row r="66" spans="1:5" x14ac:dyDescent="0.3">
      <c r="A66">
        <v>65</v>
      </c>
      <c r="D66" s="190" t="s">
        <v>1636</v>
      </c>
    </row>
    <row r="67" spans="1:5" x14ac:dyDescent="0.3">
      <c r="A67">
        <v>66</v>
      </c>
      <c r="D67" s="190" t="s">
        <v>2190</v>
      </c>
      <c r="E67" s="190">
        <v>50228</v>
      </c>
    </row>
    <row r="68" spans="1:5" x14ac:dyDescent="0.3">
      <c r="A68">
        <v>67</v>
      </c>
      <c r="D68" s="190" t="s">
        <v>2190</v>
      </c>
      <c r="E68" s="190">
        <v>50229</v>
      </c>
    </row>
    <row r="69" spans="1:5" x14ac:dyDescent="0.3">
      <c r="A69">
        <v>68</v>
      </c>
      <c r="D69" s="190" t="s">
        <v>1653</v>
      </c>
    </row>
    <row r="70" spans="1:5" x14ac:dyDescent="0.3">
      <c r="A70">
        <v>69</v>
      </c>
      <c r="D70" s="190" t="s">
        <v>1653</v>
      </c>
    </row>
    <row r="71" spans="1:5" x14ac:dyDescent="0.3">
      <c r="A71">
        <v>70</v>
      </c>
      <c r="D71" s="190" t="s">
        <v>1661</v>
      </c>
    </row>
    <row r="72" spans="1:5" x14ac:dyDescent="0.3">
      <c r="A72">
        <v>71</v>
      </c>
      <c r="D72" s="190" t="s">
        <v>1668</v>
      </c>
    </row>
    <row r="73" spans="1:5" x14ac:dyDescent="0.3">
      <c r="A73">
        <v>72</v>
      </c>
      <c r="D73" s="190" t="s">
        <v>2579</v>
      </c>
      <c r="E73" s="190" t="s">
        <v>2578</v>
      </c>
    </row>
    <row r="74" spans="1:5" x14ac:dyDescent="0.3">
      <c r="A74">
        <v>73</v>
      </c>
      <c r="D74" s="190" t="s">
        <v>2198</v>
      </c>
      <c r="E74" s="190" t="s">
        <v>1679</v>
      </c>
    </row>
    <row r="75" spans="1:5" x14ac:dyDescent="0.3">
      <c r="A75">
        <v>74</v>
      </c>
      <c r="D75" s="190" t="s">
        <v>1769</v>
      </c>
      <c r="E75" s="190">
        <v>28111601</v>
      </c>
    </row>
    <row r="76" spans="1:5" x14ac:dyDescent="0.3">
      <c r="A76">
        <v>75</v>
      </c>
      <c r="D76" s="190" t="s">
        <v>1771</v>
      </c>
    </row>
    <row r="77" spans="1:5" x14ac:dyDescent="0.3">
      <c r="A77">
        <v>76</v>
      </c>
      <c r="D77" s="190" t="s">
        <v>2199</v>
      </c>
    </row>
    <row r="78" spans="1:5" x14ac:dyDescent="0.3">
      <c r="A78">
        <v>77</v>
      </c>
      <c r="D78" s="190" t="s">
        <v>1708</v>
      </c>
      <c r="E78" s="190" t="s">
        <v>1693</v>
      </c>
    </row>
    <row r="79" spans="1:5" x14ac:dyDescent="0.3">
      <c r="A79">
        <v>78</v>
      </c>
      <c r="D79" s="190" t="s">
        <v>1680</v>
      </c>
    </row>
    <row r="80" spans="1:5" x14ac:dyDescent="0.3">
      <c r="A80">
        <v>79</v>
      </c>
      <c r="D80" s="190" t="s">
        <v>1687</v>
      </c>
      <c r="E80" s="190">
        <v>1087298441</v>
      </c>
    </row>
    <row r="81" spans="1:5" x14ac:dyDescent="0.3">
      <c r="A81">
        <v>80</v>
      </c>
      <c r="D81" s="190" t="s">
        <v>2200</v>
      </c>
    </row>
    <row r="82" spans="1:5" x14ac:dyDescent="0.3">
      <c r="A82">
        <v>81</v>
      </c>
      <c r="D82" s="190" t="s">
        <v>1681</v>
      </c>
    </row>
    <row r="83" spans="1:5" x14ac:dyDescent="0.3">
      <c r="A83">
        <v>82</v>
      </c>
      <c r="D83" s="190" t="s">
        <v>1691</v>
      </c>
    </row>
    <row r="84" spans="1:5" x14ac:dyDescent="0.3">
      <c r="A84">
        <v>83</v>
      </c>
      <c r="D84" s="190" t="s">
        <v>1701</v>
      </c>
      <c r="E84" s="190">
        <v>24137542885</v>
      </c>
    </row>
    <row r="85" spans="1:5" x14ac:dyDescent="0.3">
      <c r="A85">
        <v>84</v>
      </c>
      <c r="D85" s="190" t="s">
        <v>1706</v>
      </c>
      <c r="E85" s="190">
        <v>24137519344</v>
      </c>
    </row>
    <row r="86" spans="1:5" x14ac:dyDescent="0.3">
      <c r="A86">
        <v>85</v>
      </c>
      <c r="D86" s="190" t="s">
        <v>2737</v>
      </c>
      <c r="E86" s="190" t="s">
        <v>2750</v>
      </c>
    </row>
    <row r="87" spans="1:5" x14ac:dyDescent="0.3">
      <c r="A87">
        <v>86</v>
      </c>
      <c r="D87" s="190" t="s">
        <v>1705</v>
      </c>
      <c r="E87" s="190" t="s">
        <v>1704</v>
      </c>
    </row>
    <row r="88" spans="1:5" x14ac:dyDescent="0.3">
      <c r="A88">
        <v>87</v>
      </c>
      <c r="D88" s="190" t="s">
        <v>1716</v>
      </c>
      <c r="E88" s="190" t="s">
        <v>1715</v>
      </c>
    </row>
    <row r="89" spans="1:5" x14ac:dyDescent="0.3">
      <c r="A89">
        <v>88</v>
      </c>
      <c r="D89" s="190" t="s">
        <v>1723</v>
      </c>
      <c r="E89" s="190">
        <v>2800802</v>
      </c>
    </row>
    <row r="90" spans="1:5" x14ac:dyDescent="0.3">
      <c r="A90">
        <v>89</v>
      </c>
      <c r="D90" s="190" t="s">
        <v>1724</v>
      </c>
      <c r="E90" s="190">
        <v>2800801</v>
      </c>
    </row>
    <row r="91" spans="1:5" x14ac:dyDescent="0.3">
      <c r="A91">
        <v>90</v>
      </c>
      <c r="D91" s="190" t="s">
        <v>2224</v>
      </c>
      <c r="E91" s="190" t="s">
        <v>1718</v>
      </c>
    </row>
    <row r="92" spans="1:5" x14ac:dyDescent="0.3">
      <c r="A92">
        <v>91</v>
      </c>
      <c r="D92" s="190" t="s">
        <v>2183</v>
      </c>
      <c r="E92" s="190" t="s">
        <v>1720</v>
      </c>
    </row>
    <row r="93" spans="1:5" x14ac:dyDescent="0.3">
      <c r="A93">
        <v>92</v>
      </c>
      <c r="D93" s="190" t="s">
        <v>1730</v>
      </c>
    </row>
    <row r="94" spans="1:5" x14ac:dyDescent="0.3">
      <c r="A94">
        <v>93</v>
      </c>
      <c r="D94" s="190" t="s">
        <v>2191</v>
      </c>
      <c r="E94" s="190" t="s">
        <v>1732</v>
      </c>
    </row>
    <row r="95" spans="1:5" x14ac:dyDescent="0.3">
      <c r="A95">
        <v>94</v>
      </c>
      <c r="D95" s="190" t="s">
        <v>2192</v>
      </c>
      <c r="E95" s="190" t="s">
        <v>1733</v>
      </c>
    </row>
    <row r="96" spans="1:5" x14ac:dyDescent="0.3">
      <c r="A96">
        <v>95</v>
      </c>
      <c r="D96" s="190" t="s">
        <v>2193</v>
      </c>
      <c r="E96" s="190" t="s">
        <v>1782</v>
      </c>
    </row>
    <row r="97" spans="1:5" x14ac:dyDescent="0.3">
      <c r="A97">
        <v>96</v>
      </c>
      <c r="D97" s="190" t="s">
        <v>1735</v>
      </c>
      <c r="E97" s="190" t="s">
        <v>1734</v>
      </c>
    </row>
    <row r="98" spans="1:5" x14ac:dyDescent="0.3">
      <c r="A98">
        <v>97</v>
      </c>
      <c r="D98" s="190" t="s">
        <v>1736</v>
      </c>
      <c r="E98" s="190">
        <v>2850701</v>
      </c>
    </row>
    <row r="99" spans="1:5" x14ac:dyDescent="0.3">
      <c r="A99">
        <v>98</v>
      </c>
      <c r="D99" s="190" t="s">
        <v>2498</v>
      </c>
      <c r="E99" s="190" t="s">
        <v>2834</v>
      </c>
    </row>
    <row r="100" spans="1:5" x14ac:dyDescent="0.3">
      <c r="A100">
        <v>99</v>
      </c>
      <c r="D100" s="190" t="s">
        <v>1738</v>
      </c>
      <c r="E100" s="190">
        <v>2830701</v>
      </c>
    </row>
    <row r="101" spans="1:5" x14ac:dyDescent="0.3">
      <c r="A101">
        <v>100</v>
      </c>
      <c r="D101" s="190" t="s">
        <v>1738</v>
      </c>
      <c r="E101" s="190">
        <v>2830701</v>
      </c>
    </row>
    <row r="102" spans="1:5" x14ac:dyDescent="0.3">
      <c r="A102">
        <v>101</v>
      </c>
      <c r="D102" s="190" t="s">
        <v>1740</v>
      </c>
      <c r="E102" s="190">
        <v>2801701</v>
      </c>
    </row>
    <row r="103" spans="1:5" x14ac:dyDescent="0.3">
      <c r="A103">
        <v>102</v>
      </c>
      <c r="D103" s="190" t="s">
        <v>1740</v>
      </c>
      <c r="E103" s="190">
        <v>2801702</v>
      </c>
    </row>
    <row r="104" spans="1:5" x14ac:dyDescent="0.3">
      <c r="A104">
        <v>103</v>
      </c>
      <c r="D104" s="190" t="s">
        <v>2181</v>
      </c>
      <c r="E104" s="190" t="s">
        <v>1755</v>
      </c>
    </row>
    <row r="105" spans="1:5" x14ac:dyDescent="0.3">
      <c r="A105">
        <v>104</v>
      </c>
      <c r="D105" s="190" t="s">
        <v>1827</v>
      </c>
      <c r="E105" s="190">
        <v>2830501</v>
      </c>
    </row>
    <row r="106" spans="1:5" x14ac:dyDescent="0.3">
      <c r="A106">
        <v>105</v>
      </c>
      <c r="D106" s="190" t="s">
        <v>1203</v>
      </c>
      <c r="E106" s="190" t="s">
        <v>1752</v>
      </c>
    </row>
    <row r="107" spans="1:5" x14ac:dyDescent="0.3">
      <c r="A107">
        <v>106</v>
      </c>
      <c r="D107" s="190" t="s">
        <v>1758</v>
      </c>
      <c r="E107" s="190">
        <v>24347544930</v>
      </c>
    </row>
    <row r="108" spans="1:5" x14ac:dyDescent="0.3">
      <c r="A108">
        <v>107</v>
      </c>
      <c r="D108" s="190" t="s">
        <v>2088</v>
      </c>
      <c r="E108" s="190">
        <v>501220641</v>
      </c>
    </row>
    <row r="109" spans="1:5" x14ac:dyDescent="0.3">
      <c r="A109">
        <v>108</v>
      </c>
      <c r="D109" s="190" t="s">
        <v>1764</v>
      </c>
      <c r="E109" s="190" t="s">
        <v>1763</v>
      </c>
    </row>
    <row r="110" spans="1:5" x14ac:dyDescent="0.3">
      <c r="A110">
        <v>109</v>
      </c>
      <c r="D110" s="190" t="s">
        <v>1764</v>
      </c>
      <c r="E110" s="190" t="s">
        <v>1766</v>
      </c>
    </row>
    <row r="111" spans="1:5" x14ac:dyDescent="0.3">
      <c r="A111">
        <v>110</v>
      </c>
      <c r="D111" s="190" t="s">
        <v>1561</v>
      </c>
      <c r="E111" s="190" t="s">
        <v>1768</v>
      </c>
    </row>
    <row r="112" spans="1:5" x14ac:dyDescent="0.3">
      <c r="A112">
        <v>111</v>
      </c>
      <c r="D112" s="190" t="s">
        <v>1815</v>
      </c>
      <c r="E112" s="190">
        <v>1068298046</v>
      </c>
    </row>
    <row r="113" spans="1:5" x14ac:dyDescent="0.3">
      <c r="A113">
        <v>112</v>
      </c>
      <c r="D113" s="190" t="s">
        <v>2238</v>
      </c>
      <c r="E113" s="190">
        <v>1087298388</v>
      </c>
    </row>
    <row r="114" spans="1:5" x14ac:dyDescent="0.3">
      <c r="A114">
        <v>113</v>
      </c>
      <c r="D114" s="190" t="s">
        <v>1815</v>
      </c>
      <c r="E114" s="190">
        <v>1068298044</v>
      </c>
    </row>
    <row r="115" spans="1:5" x14ac:dyDescent="0.3">
      <c r="A115">
        <v>114</v>
      </c>
      <c r="D115" s="190" t="s">
        <v>1549</v>
      </c>
      <c r="E115" s="190">
        <v>24152333907</v>
      </c>
    </row>
    <row r="116" spans="1:5" x14ac:dyDescent="0.3">
      <c r="A116">
        <v>115</v>
      </c>
      <c r="D116" s="190" t="s">
        <v>1829</v>
      </c>
      <c r="E116" s="190">
        <v>6058008122</v>
      </c>
    </row>
    <row r="117" spans="1:5" x14ac:dyDescent="0.3">
      <c r="A117">
        <v>116</v>
      </c>
      <c r="D117" s="190" t="s">
        <v>1852</v>
      </c>
      <c r="E117" s="190" t="s">
        <v>1851</v>
      </c>
    </row>
    <row r="118" spans="1:5" x14ac:dyDescent="0.3">
      <c r="A118">
        <v>117</v>
      </c>
      <c r="D118" s="190" t="s">
        <v>2522</v>
      </c>
      <c r="E118" s="190">
        <v>415062109</v>
      </c>
    </row>
    <row r="119" spans="1:5" x14ac:dyDescent="0.3">
      <c r="A119">
        <v>118</v>
      </c>
      <c r="D119" s="190" t="s">
        <v>2824</v>
      </c>
      <c r="E119" s="190">
        <v>501218962</v>
      </c>
    </row>
    <row r="120" spans="1:5" x14ac:dyDescent="0.3">
      <c r="A120">
        <v>119</v>
      </c>
      <c r="D120" s="190" t="s">
        <v>1874</v>
      </c>
      <c r="E120" s="190" t="s">
        <v>1873</v>
      </c>
    </row>
    <row r="121" spans="1:5" x14ac:dyDescent="0.3">
      <c r="A121">
        <v>120</v>
      </c>
      <c r="D121" s="190" t="s">
        <v>1893</v>
      </c>
    </row>
    <row r="122" spans="1:5" x14ac:dyDescent="0.3">
      <c r="A122">
        <v>121</v>
      </c>
      <c r="D122" s="190" t="s">
        <v>1913</v>
      </c>
      <c r="E122" s="190">
        <v>501215718</v>
      </c>
    </row>
    <row r="123" spans="1:5" x14ac:dyDescent="0.3">
      <c r="A123">
        <v>122</v>
      </c>
      <c r="D123" s="190" t="s">
        <v>1913</v>
      </c>
      <c r="E123" s="190">
        <v>501215783</v>
      </c>
    </row>
    <row r="124" spans="1:5" x14ac:dyDescent="0.3">
      <c r="A124">
        <v>123</v>
      </c>
      <c r="B124" s="13">
        <v>45762</v>
      </c>
      <c r="D124" s="190" t="s">
        <v>2055</v>
      </c>
      <c r="E124" s="190" t="s">
        <v>2054</v>
      </c>
    </row>
    <row r="125" spans="1:5" x14ac:dyDescent="0.3">
      <c r="A125">
        <v>124</v>
      </c>
      <c r="B125" s="13">
        <v>45771</v>
      </c>
      <c r="D125" s="190" t="s">
        <v>1919</v>
      </c>
    </row>
    <row r="126" spans="1:5" x14ac:dyDescent="0.3">
      <c r="A126">
        <v>125</v>
      </c>
      <c r="D126" s="190" t="s">
        <v>1581</v>
      </c>
      <c r="E126" s="190" t="s">
        <v>1923</v>
      </c>
    </row>
    <row r="127" spans="1:5" x14ac:dyDescent="0.3">
      <c r="A127">
        <v>126</v>
      </c>
      <c r="D127" s="190" t="s">
        <v>1926</v>
      </c>
    </row>
    <row r="128" spans="1:5" x14ac:dyDescent="0.3">
      <c r="A128">
        <v>127</v>
      </c>
      <c r="D128" s="190" t="s">
        <v>1940</v>
      </c>
      <c r="E128" s="190" t="s">
        <v>1939</v>
      </c>
    </row>
    <row r="129" spans="1:5" x14ac:dyDescent="0.3">
      <c r="A129">
        <v>128</v>
      </c>
      <c r="D129" s="190" t="s">
        <v>1938</v>
      </c>
      <c r="E129" s="190" t="s">
        <v>1937</v>
      </c>
    </row>
    <row r="130" spans="1:5" x14ac:dyDescent="0.3">
      <c r="A130">
        <v>129</v>
      </c>
      <c r="D130" s="190" t="s">
        <v>2522</v>
      </c>
      <c r="E130" s="190">
        <v>415072909</v>
      </c>
    </row>
    <row r="131" spans="1:5" x14ac:dyDescent="0.3">
      <c r="A131">
        <v>130</v>
      </c>
      <c r="D131" s="190" t="s">
        <v>1949</v>
      </c>
      <c r="E131" s="190" t="s">
        <v>1950</v>
      </c>
    </row>
    <row r="132" spans="1:5" x14ac:dyDescent="0.3">
      <c r="A132">
        <v>131</v>
      </c>
      <c r="D132" s="190" t="s">
        <v>1953</v>
      </c>
    </row>
    <row r="133" spans="1:5" x14ac:dyDescent="0.3">
      <c r="A133">
        <v>132</v>
      </c>
      <c r="D133" s="190" t="s">
        <v>1959</v>
      </c>
    </row>
    <row r="134" spans="1:5" x14ac:dyDescent="0.3">
      <c r="A134">
        <v>133</v>
      </c>
      <c r="D134" s="190" t="s">
        <v>2194</v>
      </c>
    </row>
    <row r="135" spans="1:5" x14ac:dyDescent="0.3">
      <c r="A135">
        <v>134</v>
      </c>
      <c r="D135" s="190" t="s">
        <v>1983</v>
      </c>
      <c r="E135" s="190">
        <v>7583332</v>
      </c>
    </row>
    <row r="136" spans="1:5" x14ac:dyDescent="0.3">
      <c r="A136">
        <v>135</v>
      </c>
      <c r="D136" s="190" t="s">
        <v>1985</v>
      </c>
    </row>
    <row r="137" spans="1:5" x14ac:dyDescent="0.3">
      <c r="A137">
        <v>136</v>
      </c>
      <c r="D137" s="190" t="s">
        <v>1205</v>
      </c>
      <c r="E137" s="190" t="s">
        <v>1992</v>
      </c>
    </row>
    <row r="138" spans="1:5" x14ac:dyDescent="0.3">
      <c r="A138">
        <v>137</v>
      </c>
      <c r="D138" s="190" t="s">
        <v>2010</v>
      </c>
    </row>
    <row r="139" spans="1:5" x14ac:dyDescent="0.3">
      <c r="A139">
        <v>138</v>
      </c>
      <c r="D139" s="190" t="s">
        <v>2023</v>
      </c>
      <c r="E139" s="190" t="s">
        <v>2022</v>
      </c>
    </row>
    <row r="140" spans="1:5" x14ac:dyDescent="0.3">
      <c r="A140">
        <v>139</v>
      </c>
      <c r="D140" s="190" t="s">
        <v>2029</v>
      </c>
    </row>
    <row r="141" spans="1:5" x14ac:dyDescent="0.3">
      <c r="A141">
        <v>140</v>
      </c>
      <c r="D141" s="190" t="s">
        <v>2032</v>
      </c>
    </row>
    <row r="142" spans="1:5" x14ac:dyDescent="0.3">
      <c r="A142">
        <v>141</v>
      </c>
      <c r="D142" s="190" t="s">
        <v>2685</v>
      </c>
      <c r="E142" s="190">
        <v>2830406</v>
      </c>
    </row>
    <row r="143" spans="1:5" x14ac:dyDescent="0.3">
      <c r="A143">
        <v>142</v>
      </c>
      <c r="D143" s="190" t="s">
        <v>2683</v>
      </c>
      <c r="E143" s="190">
        <v>2830301</v>
      </c>
    </row>
    <row r="144" spans="1:5" x14ac:dyDescent="0.3">
      <c r="A144">
        <v>143</v>
      </c>
      <c r="D144" s="190" t="s">
        <v>2049</v>
      </c>
    </row>
    <row r="145" spans="1:5" x14ac:dyDescent="0.3">
      <c r="A145">
        <v>144</v>
      </c>
      <c r="D145" s="190" t="s">
        <v>2140</v>
      </c>
      <c r="E145" s="190" t="s">
        <v>1911</v>
      </c>
    </row>
    <row r="146" spans="1:5" x14ac:dyDescent="0.3">
      <c r="A146">
        <v>145</v>
      </c>
      <c r="D146" s="190" t="s">
        <v>2060</v>
      </c>
      <c r="E146" s="190">
        <v>24347588724</v>
      </c>
    </row>
    <row r="147" spans="1:5" x14ac:dyDescent="0.3">
      <c r="A147">
        <v>146</v>
      </c>
      <c r="D147" s="190" t="s">
        <v>2087</v>
      </c>
      <c r="E147" s="190">
        <v>501220522</v>
      </c>
    </row>
    <row r="148" spans="1:5" x14ac:dyDescent="0.3">
      <c r="A148">
        <v>147</v>
      </c>
      <c r="D148" s="190" t="s">
        <v>2211</v>
      </c>
      <c r="E148" s="190">
        <v>2830401</v>
      </c>
    </row>
    <row r="149" spans="1:5" x14ac:dyDescent="0.3">
      <c r="A149">
        <v>148</v>
      </c>
      <c r="D149" s="190" t="s">
        <v>2108</v>
      </c>
      <c r="E149" s="190">
        <v>36050661</v>
      </c>
    </row>
    <row r="150" spans="1:5" x14ac:dyDescent="0.3">
      <c r="A150">
        <v>149</v>
      </c>
      <c r="D150" s="190" t="s">
        <v>2341</v>
      </c>
      <c r="E150" s="190" t="s">
        <v>2582</v>
      </c>
    </row>
    <row r="151" spans="1:5" x14ac:dyDescent="0.3">
      <c r="A151">
        <v>150</v>
      </c>
      <c r="D151" s="190" t="s">
        <v>2043</v>
      </c>
      <c r="E151" s="190">
        <v>6058008211</v>
      </c>
    </row>
    <row r="152" spans="1:5" x14ac:dyDescent="0.3">
      <c r="A152">
        <v>151</v>
      </c>
      <c r="D152" s="190" t="s">
        <v>2126</v>
      </c>
    </row>
    <row r="153" spans="1:5" x14ac:dyDescent="0.3">
      <c r="A153">
        <v>152</v>
      </c>
      <c r="D153" s="190" t="s">
        <v>2127</v>
      </c>
    </row>
    <row r="154" spans="1:5" x14ac:dyDescent="0.3">
      <c r="A154">
        <v>153</v>
      </c>
      <c r="D154" s="190" t="s">
        <v>2687</v>
      </c>
      <c r="E154" s="190">
        <v>2830502</v>
      </c>
    </row>
    <row r="155" spans="1:5" x14ac:dyDescent="0.3">
      <c r="A155">
        <v>154</v>
      </c>
      <c r="D155" s="190" t="s">
        <v>2518</v>
      </c>
      <c r="E155" s="190">
        <v>28120505</v>
      </c>
    </row>
    <row r="156" spans="1:5" x14ac:dyDescent="0.3">
      <c r="A156">
        <v>155</v>
      </c>
      <c r="D156" s="190" t="s">
        <v>2156</v>
      </c>
    </row>
    <row r="157" spans="1:5" x14ac:dyDescent="0.3">
      <c r="A157">
        <v>156</v>
      </c>
      <c r="D157" s="190" t="s">
        <v>2158</v>
      </c>
    </row>
    <row r="158" spans="1:5" x14ac:dyDescent="0.3">
      <c r="A158">
        <v>157</v>
      </c>
      <c r="D158" s="190" t="s">
        <v>2160</v>
      </c>
    </row>
    <row r="159" spans="1:5" x14ac:dyDescent="0.3">
      <c r="A159">
        <v>158</v>
      </c>
      <c r="D159" s="190" t="s">
        <v>2522</v>
      </c>
      <c r="E159" s="190">
        <v>2295001282</v>
      </c>
    </row>
    <row r="160" spans="1:5" x14ac:dyDescent="0.3">
      <c r="A160">
        <v>159</v>
      </c>
      <c r="D160" s="190" t="s">
        <v>2581</v>
      </c>
    </row>
    <row r="161" spans="1:5" x14ac:dyDescent="0.3">
      <c r="A161">
        <v>160</v>
      </c>
      <c r="D161" s="190" t="s">
        <v>2230</v>
      </c>
    </row>
    <row r="162" spans="1:5" x14ac:dyDescent="0.3">
      <c r="A162">
        <v>161</v>
      </c>
      <c r="D162" s="190" t="s">
        <v>2241</v>
      </c>
    </row>
    <row r="163" spans="1:5" x14ac:dyDescent="0.3">
      <c r="A163">
        <v>162</v>
      </c>
      <c r="D163" s="190" t="s">
        <v>2246</v>
      </c>
    </row>
    <row r="164" spans="1:5" x14ac:dyDescent="0.3">
      <c r="A164">
        <v>163</v>
      </c>
      <c r="D164" s="190" t="s">
        <v>2256</v>
      </c>
    </row>
    <row r="165" spans="1:5" x14ac:dyDescent="0.3">
      <c r="A165">
        <v>164</v>
      </c>
      <c r="D165" s="190" t="s">
        <v>2272</v>
      </c>
      <c r="E165" s="190">
        <v>1068327224</v>
      </c>
    </row>
    <row r="166" spans="1:5" x14ac:dyDescent="0.3">
      <c r="A166">
        <v>165</v>
      </c>
      <c r="D166" s="190" t="s">
        <v>2270</v>
      </c>
      <c r="E166" s="190">
        <v>1087327175</v>
      </c>
    </row>
    <row r="167" spans="1:5" x14ac:dyDescent="0.3">
      <c r="A167">
        <v>166</v>
      </c>
      <c r="D167" s="190" t="s">
        <v>2274</v>
      </c>
      <c r="E167" s="190" t="s">
        <v>2273</v>
      </c>
    </row>
    <row r="168" spans="1:5" x14ac:dyDescent="0.3">
      <c r="A168">
        <v>167</v>
      </c>
      <c r="D168" s="190" t="s">
        <v>2474</v>
      </c>
      <c r="E168" s="190" t="s">
        <v>2473</v>
      </c>
    </row>
    <row r="169" spans="1:5" x14ac:dyDescent="0.3">
      <c r="A169">
        <v>168</v>
      </c>
      <c r="D169" s="190" t="s">
        <v>2522</v>
      </c>
      <c r="E169" s="190">
        <v>4150862090</v>
      </c>
    </row>
    <row r="170" spans="1:5" x14ac:dyDescent="0.3">
      <c r="A170">
        <v>169</v>
      </c>
      <c r="D170" s="190" t="s">
        <v>2290</v>
      </c>
    </row>
    <row r="171" spans="1:5" x14ac:dyDescent="0.3">
      <c r="A171">
        <v>170</v>
      </c>
      <c r="D171" s="190" t="s">
        <v>2318</v>
      </c>
    </row>
    <row r="172" spans="1:5" x14ac:dyDescent="0.3">
      <c r="A172">
        <v>171</v>
      </c>
      <c r="D172" s="190" t="s">
        <v>2299</v>
      </c>
    </row>
    <row r="173" spans="1:5" x14ac:dyDescent="0.3">
      <c r="A173">
        <v>172</v>
      </c>
      <c r="D173" s="190" t="s">
        <v>2522</v>
      </c>
      <c r="E173" s="190">
        <v>415089709</v>
      </c>
    </row>
    <row r="174" spans="1:5" x14ac:dyDescent="0.3">
      <c r="A174">
        <v>173</v>
      </c>
      <c r="D174" s="190" t="s">
        <v>2328</v>
      </c>
      <c r="E174" s="190" t="s">
        <v>2327</v>
      </c>
    </row>
    <row r="175" spans="1:5" x14ac:dyDescent="0.3">
      <c r="A175">
        <v>174</v>
      </c>
      <c r="D175" s="190" t="s">
        <v>2330</v>
      </c>
      <c r="E175" s="190">
        <v>28120411</v>
      </c>
    </row>
    <row r="176" spans="1:5" x14ac:dyDescent="0.3">
      <c r="A176">
        <v>175</v>
      </c>
      <c r="D176" s="190" t="s">
        <v>2667</v>
      </c>
      <c r="E176" s="190">
        <v>1087298437</v>
      </c>
    </row>
    <row r="177" spans="1:5" x14ac:dyDescent="0.3">
      <c r="A177">
        <v>176</v>
      </c>
      <c r="D177" s="190" t="s">
        <v>2343</v>
      </c>
    </row>
    <row r="178" spans="1:5" x14ac:dyDescent="0.3">
      <c r="A178">
        <v>177</v>
      </c>
      <c r="D178" s="190" t="s">
        <v>2347</v>
      </c>
      <c r="E178" s="190">
        <v>24046895</v>
      </c>
    </row>
    <row r="179" spans="1:5" x14ac:dyDescent="0.3">
      <c r="A179">
        <v>178</v>
      </c>
      <c r="D179" s="190" t="s">
        <v>2888</v>
      </c>
      <c r="E179" s="190" t="s">
        <v>2887</v>
      </c>
    </row>
    <row r="180" spans="1:5" x14ac:dyDescent="0.3">
      <c r="A180">
        <v>179</v>
      </c>
      <c r="D180" s="190" t="s">
        <v>2397</v>
      </c>
    </row>
    <row r="181" spans="1:5" x14ac:dyDescent="0.3">
      <c r="A181">
        <v>180</v>
      </c>
      <c r="D181" s="190" t="s">
        <v>2400</v>
      </c>
      <c r="E181" s="190" t="s">
        <v>2399</v>
      </c>
    </row>
    <row r="182" spans="1:5" x14ac:dyDescent="0.3">
      <c r="A182">
        <v>181</v>
      </c>
      <c r="D182" s="190" t="s">
        <v>2404</v>
      </c>
    </row>
    <row r="183" spans="1:5" x14ac:dyDescent="0.3">
      <c r="A183">
        <v>182</v>
      </c>
      <c r="D183" s="190" t="s">
        <v>2384</v>
      </c>
      <c r="E183" s="190" t="s">
        <v>2417</v>
      </c>
    </row>
    <row r="184" spans="1:5" x14ac:dyDescent="0.3">
      <c r="A184">
        <v>183</v>
      </c>
      <c r="D184" s="190" t="s">
        <v>2425</v>
      </c>
      <c r="E184" s="190" t="s">
        <v>2424</v>
      </c>
    </row>
    <row r="185" spans="1:5" x14ac:dyDescent="0.3">
      <c r="A185">
        <v>184</v>
      </c>
      <c r="D185" s="190" t="s">
        <v>2427</v>
      </c>
      <c r="E185" s="190" t="s">
        <v>2426</v>
      </c>
    </row>
    <row r="186" spans="1:5" x14ac:dyDescent="0.3">
      <c r="A186">
        <v>185</v>
      </c>
      <c r="D186" s="190" t="s">
        <v>2455</v>
      </c>
    </row>
    <row r="187" spans="1:5" x14ac:dyDescent="0.3">
      <c r="A187">
        <v>186</v>
      </c>
      <c r="D187" s="190" t="s">
        <v>2499</v>
      </c>
    </row>
    <row r="188" spans="1:5" x14ac:dyDescent="0.3">
      <c r="A188">
        <v>187</v>
      </c>
      <c r="D188" s="190" t="s">
        <v>2513</v>
      </c>
      <c r="E188" s="190">
        <v>2463772400</v>
      </c>
    </row>
    <row r="189" spans="1:5" x14ac:dyDescent="0.3">
      <c r="A189">
        <v>188</v>
      </c>
      <c r="D189" s="190" t="s">
        <v>2512</v>
      </c>
      <c r="E189" s="190">
        <v>2462500901</v>
      </c>
    </row>
    <row r="190" spans="1:5" x14ac:dyDescent="0.3">
      <c r="A190">
        <v>189</v>
      </c>
      <c r="D190" s="190" t="s">
        <v>2566</v>
      </c>
      <c r="E190" s="190" t="s">
        <v>2565</v>
      </c>
    </row>
    <row r="191" spans="1:5" x14ac:dyDescent="0.3">
      <c r="A191">
        <v>190</v>
      </c>
      <c r="D191" s="190" t="s">
        <v>2823</v>
      </c>
      <c r="E191" s="190" t="s">
        <v>2822</v>
      </c>
    </row>
    <row r="192" spans="1:5" x14ac:dyDescent="0.3">
      <c r="A192">
        <v>191</v>
      </c>
      <c r="D192" s="190" t="s">
        <v>2616</v>
      </c>
      <c r="E192" s="190" t="s">
        <v>2615</v>
      </c>
    </row>
    <row r="193" spans="1:5" x14ac:dyDescent="0.3">
      <c r="A193">
        <v>192</v>
      </c>
      <c r="D193" s="190" t="s">
        <v>2622</v>
      </c>
    </row>
    <row r="194" spans="1:5" x14ac:dyDescent="0.3">
      <c r="A194">
        <v>193</v>
      </c>
      <c r="D194" s="190" t="s">
        <v>2651</v>
      </c>
    </row>
    <row r="195" spans="1:5" x14ac:dyDescent="0.3">
      <c r="A195">
        <v>194</v>
      </c>
      <c r="D195" s="190" t="s">
        <v>2690</v>
      </c>
      <c r="E195" s="190" t="s">
        <v>2689</v>
      </c>
    </row>
    <row r="196" spans="1:5" x14ac:dyDescent="0.3">
      <c r="A196">
        <v>195</v>
      </c>
      <c r="D196" s="190" t="s">
        <v>2713</v>
      </c>
      <c r="E196" s="190" t="s">
        <v>2712</v>
      </c>
    </row>
    <row r="197" spans="1:5" x14ac:dyDescent="0.3">
      <c r="A197">
        <v>196</v>
      </c>
      <c r="D197" s="190" t="s">
        <v>2724</v>
      </c>
    </row>
    <row r="198" spans="1:5" x14ac:dyDescent="0.3">
      <c r="A198">
        <v>197</v>
      </c>
      <c r="D198" s="190" t="s">
        <v>2749</v>
      </c>
      <c r="E198" s="190">
        <v>7252703114</v>
      </c>
    </row>
    <row r="199" spans="1:5" x14ac:dyDescent="0.3">
      <c r="A199">
        <v>198</v>
      </c>
      <c r="D199" s="190" t="s">
        <v>2751</v>
      </c>
      <c r="E199" s="190">
        <v>1094302044</v>
      </c>
    </row>
    <row r="200" spans="1:5" x14ac:dyDescent="0.3">
      <c r="A200">
        <v>199</v>
      </c>
      <c r="D200" s="190" t="s">
        <v>2843</v>
      </c>
      <c r="E200" s="190" t="s">
        <v>2842</v>
      </c>
    </row>
    <row r="201" spans="1:5" x14ac:dyDescent="0.3">
      <c r="A201">
        <v>200</v>
      </c>
      <c r="D201" s="190" t="s">
        <v>1759</v>
      </c>
      <c r="E201" s="190">
        <v>501220639</v>
      </c>
    </row>
    <row r="202" spans="1:5" x14ac:dyDescent="0.3">
      <c r="A202">
        <v>201</v>
      </c>
      <c r="D202" s="190" t="s">
        <v>2850</v>
      </c>
      <c r="E202" s="190" t="s">
        <v>2848</v>
      </c>
    </row>
    <row r="203" spans="1:5" x14ac:dyDescent="0.3">
      <c r="A203">
        <v>202</v>
      </c>
      <c r="D203" s="190" t="s">
        <v>2923</v>
      </c>
      <c r="E203" s="190" t="s">
        <v>2922</v>
      </c>
    </row>
    <row r="204" spans="1:5" x14ac:dyDescent="0.3">
      <c r="A204">
        <v>203</v>
      </c>
      <c r="D204" s="190" t="s">
        <v>2885</v>
      </c>
      <c r="E204" s="190" t="s">
        <v>2884</v>
      </c>
    </row>
    <row r="205" spans="1:5" x14ac:dyDescent="0.3">
      <c r="A205">
        <v>204</v>
      </c>
      <c r="D205" s="190" t="s">
        <v>2886</v>
      </c>
      <c r="E205" s="190">
        <v>709013001</v>
      </c>
    </row>
    <row r="206" spans="1:5" x14ac:dyDescent="0.3">
      <c r="A206">
        <v>205</v>
      </c>
      <c r="D206" s="190" t="s">
        <v>2904</v>
      </c>
    </row>
    <row r="207" spans="1:5" x14ac:dyDescent="0.3">
      <c r="A207">
        <v>206</v>
      </c>
      <c r="D207" s="190" t="s">
        <v>2924</v>
      </c>
    </row>
    <row r="208" spans="1:5" x14ac:dyDescent="0.3">
      <c r="A208">
        <v>207</v>
      </c>
      <c r="D208" s="190" t="s">
        <v>3125</v>
      </c>
      <c r="E208" s="190">
        <v>6058008117</v>
      </c>
    </row>
    <row r="209" spans="1:5" x14ac:dyDescent="0.3">
      <c r="A209">
        <v>208</v>
      </c>
      <c r="D209" s="190" t="s">
        <v>2940</v>
      </c>
    </row>
    <row r="210" spans="1:5" x14ac:dyDescent="0.3">
      <c r="D210" s="190" t="s">
        <v>2955</v>
      </c>
      <c r="E210" s="190" t="s">
        <v>2954</v>
      </c>
    </row>
    <row r="211" spans="1:5" x14ac:dyDescent="0.3">
      <c r="D211" s="190" t="s">
        <v>2958</v>
      </c>
      <c r="E211" s="190">
        <v>33108841535</v>
      </c>
    </row>
    <row r="212" spans="1:5" x14ac:dyDescent="0.3">
      <c r="D212" s="190" t="s">
        <v>2988</v>
      </c>
      <c r="E212" s="190" t="s">
        <v>2987</v>
      </c>
    </row>
    <row r="213" spans="1:5" x14ac:dyDescent="0.3">
      <c r="D213" s="190" t="s">
        <v>3074</v>
      </c>
    </row>
    <row r="214" spans="1:5" x14ac:dyDescent="0.3">
      <c r="D214" s="190" t="s">
        <v>2919</v>
      </c>
      <c r="E214" s="190">
        <v>2212500301</v>
      </c>
    </row>
    <row r="215" spans="1:5" x14ac:dyDescent="0.3">
      <c r="D215" s="190" t="s">
        <v>3124</v>
      </c>
      <c r="E215" s="190">
        <v>6058008122</v>
      </c>
    </row>
    <row r="216" spans="1:5" x14ac:dyDescent="0.3">
      <c r="D216" s="190" t="s">
        <v>3124</v>
      </c>
      <c r="E216" s="190">
        <v>6058008068</v>
      </c>
    </row>
    <row r="217" spans="1:5" x14ac:dyDescent="0.3">
      <c r="D217" s="190" t="s">
        <v>3133</v>
      </c>
    </row>
  </sheetData>
  <autoFilter ref="A1:G1" xr:uid="{BA83FFDD-E34F-4E2E-8170-4C07C6434298}"/>
  <dataConsolidate/>
  <phoneticPr fontId="2" type="noConversion"/>
  <pageMargins left="0.7" right="0.7" top="0.75" bottom="0.75" header="0.3" footer="0.3"/>
  <pageSetup paperSize="9" orientation="portrait" horizontalDpi="300" verticalDpi="300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636FEF-B8E5-428E-BFAF-64A69E32C5FB}">
  <sheetPr codeName="shtDelivery"/>
  <dimension ref="A1:A6"/>
  <sheetViews>
    <sheetView workbookViewId="0">
      <selection activeCell="E13" sqref="E13"/>
    </sheetView>
  </sheetViews>
  <sheetFormatPr defaultRowHeight="16.5" x14ac:dyDescent="0.3"/>
  <cols>
    <col min="1" max="1" width="14.125" customWidth="1"/>
  </cols>
  <sheetData>
    <row r="1" spans="1:1" x14ac:dyDescent="0.3">
      <c r="A1" t="s">
        <v>22</v>
      </c>
    </row>
    <row r="2" spans="1:1" x14ac:dyDescent="0.3">
      <c r="A2" t="s">
        <v>25</v>
      </c>
    </row>
    <row r="3" spans="1:1" x14ac:dyDescent="0.3">
      <c r="A3" t="s">
        <v>32</v>
      </c>
    </row>
    <row r="4" spans="1:1" x14ac:dyDescent="0.3">
      <c r="A4" t="s">
        <v>33</v>
      </c>
    </row>
    <row r="5" spans="1:1" x14ac:dyDescent="0.3">
      <c r="A5" t="s">
        <v>34</v>
      </c>
    </row>
    <row r="6" spans="1:1" x14ac:dyDescent="0.3">
      <c r="A6" t="s">
        <v>35</v>
      </c>
    </row>
  </sheetData>
  <phoneticPr fontId="2" type="noConversion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99EF44-A120-4DFE-9124-8F03BB685940}">
  <sheetPr codeName="shtLevel"/>
  <dimension ref="A1:A5"/>
  <sheetViews>
    <sheetView workbookViewId="0">
      <selection activeCell="A6" sqref="A6"/>
    </sheetView>
  </sheetViews>
  <sheetFormatPr defaultRowHeight="16.5" x14ac:dyDescent="0.3"/>
  <sheetData>
    <row r="1" spans="1:1" x14ac:dyDescent="0.3">
      <c r="A1" t="s">
        <v>41</v>
      </c>
    </row>
    <row r="2" spans="1:1" x14ac:dyDescent="0.3">
      <c r="A2" t="s">
        <v>38</v>
      </c>
    </row>
    <row r="3" spans="1:1" x14ac:dyDescent="0.3">
      <c r="A3" t="s">
        <v>39</v>
      </c>
    </row>
    <row r="4" spans="1:1" x14ac:dyDescent="0.3">
      <c r="A4" t="s">
        <v>40</v>
      </c>
    </row>
    <row r="5" spans="1:1" x14ac:dyDescent="0.3">
      <c r="A5" t="s">
        <v>2674</v>
      </c>
    </row>
  </sheetData>
  <phoneticPr fontId="2" type="noConversion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365BBB-E211-490D-A1AC-31AC47E277F8}">
  <sheetPr codeName="shtCategory"/>
  <dimension ref="A1:C14"/>
  <sheetViews>
    <sheetView zoomScaleNormal="100" workbookViewId="0">
      <selection activeCell="B5" sqref="B5"/>
    </sheetView>
  </sheetViews>
  <sheetFormatPr defaultRowHeight="16.5" x14ac:dyDescent="0.3"/>
  <cols>
    <col min="2" max="2" width="12.375" customWidth="1"/>
  </cols>
  <sheetData>
    <row r="1" spans="1:3" ht="17.25" thickBot="1" x14ac:dyDescent="0.35">
      <c r="A1" s="7" t="s">
        <v>2</v>
      </c>
      <c r="B1" s="7" t="s">
        <v>43</v>
      </c>
      <c r="C1" s="8">
        <v>16</v>
      </c>
    </row>
    <row r="2" spans="1:3" x14ac:dyDescent="0.3">
      <c r="A2">
        <v>1</v>
      </c>
      <c r="B2" t="s">
        <v>28</v>
      </c>
    </row>
    <row r="3" spans="1:3" x14ac:dyDescent="0.3">
      <c r="A3">
        <v>2</v>
      </c>
      <c r="B3" t="s">
        <v>1111</v>
      </c>
    </row>
    <row r="4" spans="1:3" x14ac:dyDescent="0.3">
      <c r="A4">
        <v>3</v>
      </c>
      <c r="B4" t="s">
        <v>1112</v>
      </c>
    </row>
    <row r="5" spans="1:3" x14ac:dyDescent="0.3">
      <c r="A5">
        <v>4</v>
      </c>
      <c r="B5" t="s">
        <v>1731</v>
      </c>
    </row>
    <row r="6" spans="1:3" x14ac:dyDescent="0.3">
      <c r="A6">
        <v>5</v>
      </c>
      <c r="B6" t="s">
        <v>1113</v>
      </c>
    </row>
    <row r="7" spans="1:3" x14ac:dyDescent="0.3">
      <c r="A7">
        <v>6</v>
      </c>
      <c r="B7" t="s">
        <v>1114</v>
      </c>
    </row>
    <row r="8" spans="1:3" x14ac:dyDescent="0.3">
      <c r="A8">
        <v>7</v>
      </c>
      <c r="B8" t="s">
        <v>1133</v>
      </c>
    </row>
    <row r="9" spans="1:3" x14ac:dyDescent="0.3">
      <c r="A9">
        <v>8</v>
      </c>
      <c r="B9" t="s">
        <v>1134</v>
      </c>
    </row>
    <row r="10" spans="1:3" x14ac:dyDescent="0.3">
      <c r="A10">
        <v>9</v>
      </c>
      <c r="B10" t="s">
        <v>1142</v>
      </c>
    </row>
    <row r="11" spans="1:3" x14ac:dyDescent="0.3">
      <c r="A11">
        <v>12</v>
      </c>
      <c r="B11" t="s">
        <v>1762</v>
      </c>
    </row>
    <row r="12" spans="1:3" x14ac:dyDescent="0.3">
      <c r="A12">
        <v>13</v>
      </c>
      <c r="B12" t="s">
        <v>1773</v>
      </c>
    </row>
    <row r="13" spans="1:3" x14ac:dyDescent="0.3">
      <c r="A13">
        <v>14</v>
      </c>
      <c r="B13" t="s">
        <v>1918</v>
      </c>
    </row>
    <row r="14" spans="1:3" x14ac:dyDescent="0.3">
      <c r="A14">
        <v>15</v>
      </c>
      <c r="B14" t="s">
        <v>2346</v>
      </c>
    </row>
  </sheetData>
  <phoneticPr fontId="2" type="noConversion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724A30-9653-4CB8-BDC6-38F0B92CD8E7}">
  <sheetPr codeName="shtUnit"/>
  <dimension ref="A1:A7"/>
  <sheetViews>
    <sheetView workbookViewId="0">
      <selection activeCell="E13" sqref="E13"/>
    </sheetView>
  </sheetViews>
  <sheetFormatPr defaultRowHeight="16.5" x14ac:dyDescent="0.3"/>
  <sheetData>
    <row r="1" spans="1:1" ht="17.25" thickBot="1" x14ac:dyDescent="0.35">
      <c r="A1" s="7" t="s">
        <v>3</v>
      </c>
    </row>
    <row r="2" spans="1:1" x14ac:dyDescent="0.3">
      <c r="A2" t="s">
        <v>5</v>
      </c>
    </row>
    <row r="3" spans="1:1" x14ac:dyDescent="0.3">
      <c r="A3" t="s">
        <v>17</v>
      </c>
    </row>
    <row r="4" spans="1:1" x14ac:dyDescent="0.3">
      <c r="A4" t="s">
        <v>6</v>
      </c>
    </row>
    <row r="5" spans="1:1" x14ac:dyDescent="0.3">
      <c r="A5" t="s">
        <v>7</v>
      </c>
    </row>
    <row r="6" spans="1:1" x14ac:dyDescent="0.3">
      <c r="A6" t="s">
        <v>18</v>
      </c>
    </row>
    <row r="7" spans="1:1" x14ac:dyDescent="0.3">
      <c r="A7" t="s">
        <v>19</v>
      </c>
    </row>
  </sheetData>
  <phoneticPr fontId="2" type="noConversion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29D077-3DC4-44E5-B107-8C839218164E}">
  <sheetPr codeName="Sheet1"/>
  <dimension ref="A1:C306"/>
  <sheetViews>
    <sheetView workbookViewId="0">
      <selection activeCell="C1" sqref="C1"/>
    </sheetView>
  </sheetViews>
  <sheetFormatPr defaultRowHeight="16.5" x14ac:dyDescent="0.3"/>
  <sheetData>
    <row r="1" spans="1:3" ht="17.25" thickBot="1" x14ac:dyDescent="0.35">
      <c r="A1" t="s">
        <v>956</v>
      </c>
      <c r="B1" t="s">
        <v>10</v>
      </c>
      <c r="C1" t="s">
        <v>9</v>
      </c>
    </row>
    <row r="2" spans="1:3" ht="54.75" thickBot="1" x14ac:dyDescent="0.35">
      <c r="A2" s="39" t="s">
        <v>91</v>
      </c>
      <c r="B2" s="39" t="s">
        <v>92</v>
      </c>
      <c r="C2" s="40" t="s">
        <v>93</v>
      </c>
    </row>
    <row r="3" spans="1:3" ht="54.75" thickBot="1" x14ac:dyDescent="0.35">
      <c r="A3" s="41" t="s">
        <v>94</v>
      </c>
      <c r="B3" s="42" t="s">
        <v>95</v>
      </c>
      <c r="C3" s="43" t="s">
        <v>96</v>
      </c>
    </row>
    <row r="4" spans="1:3" ht="54.75" thickBot="1" x14ac:dyDescent="0.35">
      <c r="A4" s="39" t="s">
        <v>97</v>
      </c>
      <c r="B4" s="39" t="s">
        <v>98</v>
      </c>
      <c r="C4" s="40" t="s">
        <v>99</v>
      </c>
    </row>
    <row r="5" spans="1:3" ht="54.75" thickBot="1" x14ac:dyDescent="0.35">
      <c r="A5" s="41" t="s">
        <v>100</v>
      </c>
      <c r="B5" s="42" t="s">
        <v>101</v>
      </c>
      <c r="C5" s="43" t="s">
        <v>102</v>
      </c>
    </row>
    <row r="6" spans="1:3" ht="54.75" thickBot="1" x14ac:dyDescent="0.35">
      <c r="A6" s="41" t="s">
        <v>103</v>
      </c>
      <c r="B6" s="39" t="s">
        <v>104</v>
      </c>
      <c r="C6" s="40" t="s">
        <v>105</v>
      </c>
    </row>
    <row r="7" spans="1:3" ht="54.75" thickBot="1" x14ac:dyDescent="0.35">
      <c r="A7" s="41" t="s">
        <v>106</v>
      </c>
      <c r="B7" s="42" t="s">
        <v>107</v>
      </c>
      <c r="C7" s="43" t="s">
        <v>108</v>
      </c>
    </row>
    <row r="8" spans="1:3" ht="54.75" thickBot="1" x14ac:dyDescent="0.35">
      <c r="A8" s="41" t="s">
        <v>109</v>
      </c>
      <c r="B8" s="39" t="s">
        <v>110</v>
      </c>
      <c r="C8" s="40" t="s">
        <v>111</v>
      </c>
    </row>
    <row r="9" spans="1:3" ht="68.25" thickBot="1" x14ac:dyDescent="0.35">
      <c r="A9" s="41" t="s">
        <v>112</v>
      </c>
      <c r="B9" s="42" t="s">
        <v>113</v>
      </c>
      <c r="C9" s="43" t="s">
        <v>114</v>
      </c>
    </row>
    <row r="10" spans="1:3" ht="54.75" thickBot="1" x14ac:dyDescent="0.35">
      <c r="A10" s="41" t="s">
        <v>97</v>
      </c>
      <c r="B10" s="39" t="s">
        <v>98</v>
      </c>
      <c r="C10" s="40" t="s">
        <v>99</v>
      </c>
    </row>
    <row r="11" spans="1:3" ht="54.75" thickBot="1" x14ac:dyDescent="0.35">
      <c r="A11" s="41" t="s">
        <v>115</v>
      </c>
      <c r="B11" s="42" t="s">
        <v>116</v>
      </c>
      <c r="C11" s="43" t="s">
        <v>117</v>
      </c>
    </row>
    <row r="12" spans="1:3" ht="81.75" thickBot="1" x14ac:dyDescent="0.35">
      <c r="A12" s="41" t="s">
        <v>118</v>
      </c>
      <c r="B12" s="39" t="s">
        <v>119</v>
      </c>
      <c r="C12" s="40" t="s">
        <v>120</v>
      </c>
    </row>
    <row r="13" spans="1:3" ht="68.25" thickBot="1" x14ac:dyDescent="0.35">
      <c r="A13" s="41" t="s">
        <v>121</v>
      </c>
      <c r="B13" s="42" t="s">
        <v>122</v>
      </c>
      <c r="C13" s="43" t="s">
        <v>123</v>
      </c>
    </row>
    <row r="14" spans="1:3" ht="54.75" thickBot="1" x14ac:dyDescent="0.35">
      <c r="A14" s="41" t="s">
        <v>124</v>
      </c>
      <c r="B14" s="39" t="s">
        <v>125</v>
      </c>
      <c r="C14" s="40" t="s">
        <v>126</v>
      </c>
    </row>
    <row r="15" spans="1:3" ht="54.75" thickBot="1" x14ac:dyDescent="0.35">
      <c r="A15" s="41" t="s">
        <v>127</v>
      </c>
      <c r="B15" s="42" t="s">
        <v>128</v>
      </c>
      <c r="C15" s="43" t="s">
        <v>129</v>
      </c>
    </row>
    <row r="16" spans="1:3" ht="68.25" thickBot="1" x14ac:dyDescent="0.35">
      <c r="A16" s="41" t="s">
        <v>130</v>
      </c>
      <c r="B16" s="39" t="s">
        <v>131</v>
      </c>
      <c r="C16" s="40" t="s">
        <v>132</v>
      </c>
    </row>
    <row r="17" spans="1:3" ht="54.75" thickBot="1" x14ac:dyDescent="0.35">
      <c r="A17" s="41" t="s">
        <v>133</v>
      </c>
      <c r="B17" s="42" t="s">
        <v>134</v>
      </c>
      <c r="C17" s="43" t="s">
        <v>135</v>
      </c>
    </row>
    <row r="18" spans="1:3" ht="41.25" thickBot="1" x14ac:dyDescent="0.35">
      <c r="A18" s="39" t="s">
        <v>136</v>
      </c>
      <c r="B18" s="39" t="s">
        <v>137</v>
      </c>
      <c r="C18" s="40" t="s">
        <v>138</v>
      </c>
    </row>
    <row r="19" spans="1:3" ht="41.25" thickBot="1" x14ac:dyDescent="0.35">
      <c r="A19" s="41" t="s">
        <v>139</v>
      </c>
      <c r="B19" s="42" t="s">
        <v>140</v>
      </c>
      <c r="C19" s="43" t="s">
        <v>141</v>
      </c>
    </row>
    <row r="20" spans="1:3" ht="41.25" thickBot="1" x14ac:dyDescent="0.35">
      <c r="A20" s="39" t="s">
        <v>142</v>
      </c>
      <c r="B20" s="39" t="s">
        <v>143</v>
      </c>
      <c r="C20" s="40" t="s">
        <v>144</v>
      </c>
    </row>
    <row r="21" spans="1:3" ht="41.25" thickBot="1" x14ac:dyDescent="0.35">
      <c r="A21" s="41" t="s">
        <v>145</v>
      </c>
      <c r="B21" s="42" t="s">
        <v>146</v>
      </c>
      <c r="C21" s="43" t="s">
        <v>147</v>
      </c>
    </row>
    <row r="22" spans="1:3" ht="41.25" thickBot="1" x14ac:dyDescent="0.35">
      <c r="A22" s="41" t="s">
        <v>148</v>
      </c>
      <c r="B22" s="39" t="s">
        <v>149</v>
      </c>
      <c r="C22" s="40" t="s">
        <v>150</v>
      </c>
    </row>
    <row r="23" spans="1:3" ht="41.25" thickBot="1" x14ac:dyDescent="0.35">
      <c r="A23" s="42" t="s">
        <v>151</v>
      </c>
      <c r="B23" s="42" t="s">
        <v>152</v>
      </c>
      <c r="C23" s="43" t="s">
        <v>153</v>
      </c>
    </row>
    <row r="24" spans="1:3" ht="41.25" thickBot="1" x14ac:dyDescent="0.35">
      <c r="A24" s="41" t="s">
        <v>154</v>
      </c>
      <c r="B24" s="39" t="s">
        <v>155</v>
      </c>
      <c r="C24" s="40" t="s">
        <v>156</v>
      </c>
    </row>
    <row r="25" spans="1:3" ht="41.25" thickBot="1" x14ac:dyDescent="0.35">
      <c r="A25" s="41" t="s">
        <v>157</v>
      </c>
      <c r="B25" s="42" t="s">
        <v>158</v>
      </c>
      <c r="C25" s="43" t="s">
        <v>159</v>
      </c>
    </row>
    <row r="26" spans="1:3" ht="54.75" thickBot="1" x14ac:dyDescent="0.35">
      <c r="A26" s="41" t="s">
        <v>160</v>
      </c>
      <c r="B26" s="39" t="s">
        <v>161</v>
      </c>
      <c r="C26" s="40" t="s">
        <v>162</v>
      </c>
    </row>
    <row r="27" spans="1:3" ht="41.25" thickBot="1" x14ac:dyDescent="0.35">
      <c r="A27" s="41" t="s">
        <v>163</v>
      </c>
      <c r="B27" s="42" t="s">
        <v>164</v>
      </c>
      <c r="C27" s="43" t="s">
        <v>165</v>
      </c>
    </row>
    <row r="28" spans="1:3" ht="54.75" thickBot="1" x14ac:dyDescent="0.35">
      <c r="A28" s="41" t="s">
        <v>166</v>
      </c>
      <c r="B28" s="39" t="s">
        <v>167</v>
      </c>
      <c r="C28" s="40" t="s">
        <v>168</v>
      </c>
    </row>
    <row r="29" spans="1:3" ht="54.75" thickBot="1" x14ac:dyDescent="0.35">
      <c r="A29" s="41" t="s">
        <v>169</v>
      </c>
      <c r="B29" s="42" t="s">
        <v>170</v>
      </c>
      <c r="C29" s="43" t="s">
        <v>171</v>
      </c>
    </row>
    <row r="30" spans="1:3" ht="54.75" thickBot="1" x14ac:dyDescent="0.35">
      <c r="A30" s="41" t="s">
        <v>172</v>
      </c>
      <c r="B30" s="39" t="s">
        <v>173</v>
      </c>
      <c r="C30" s="40" t="s">
        <v>174</v>
      </c>
    </row>
    <row r="31" spans="1:3" ht="54.75" thickBot="1" x14ac:dyDescent="0.35">
      <c r="A31" s="41" t="s">
        <v>175</v>
      </c>
      <c r="B31" s="42" t="s">
        <v>176</v>
      </c>
      <c r="C31" s="43" t="s">
        <v>177</v>
      </c>
    </row>
    <row r="32" spans="1:3" ht="54.75" thickBot="1" x14ac:dyDescent="0.35">
      <c r="A32" s="41" t="s">
        <v>178</v>
      </c>
      <c r="B32" s="39" t="s">
        <v>179</v>
      </c>
      <c r="C32" s="40" t="s">
        <v>180</v>
      </c>
    </row>
    <row r="33" spans="1:3" ht="41.25" thickBot="1" x14ac:dyDescent="0.35">
      <c r="A33" s="41" t="s">
        <v>181</v>
      </c>
      <c r="B33" s="42" t="s">
        <v>182</v>
      </c>
      <c r="C33" s="43" t="s">
        <v>183</v>
      </c>
    </row>
    <row r="34" spans="1:3" ht="41.25" thickBot="1" x14ac:dyDescent="0.35">
      <c r="A34" s="41" t="s">
        <v>184</v>
      </c>
      <c r="B34" s="39" t="s">
        <v>185</v>
      </c>
      <c r="C34" s="40" t="s">
        <v>186</v>
      </c>
    </row>
    <row r="35" spans="1:3" ht="54.75" thickBot="1" x14ac:dyDescent="0.35">
      <c r="A35" s="41" t="s">
        <v>187</v>
      </c>
      <c r="B35" s="42" t="s">
        <v>188</v>
      </c>
      <c r="C35" s="43" t="s">
        <v>189</v>
      </c>
    </row>
    <row r="36" spans="1:3" ht="54.75" thickBot="1" x14ac:dyDescent="0.35">
      <c r="A36" s="41" t="s">
        <v>190</v>
      </c>
      <c r="B36" s="39" t="s">
        <v>191</v>
      </c>
      <c r="C36" s="40" t="s">
        <v>192</v>
      </c>
    </row>
    <row r="37" spans="1:3" ht="54.75" thickBot="1" x14ac:dyDescent="0.35">
      <c r="A37" s="41" t="s">
        <v>193</v>
      </c>
      <c r="B37" s="42" t="s">
        <v>194</v>
      </c>
      <c r="C37" s="43" t="s">
        <v>195</v>
      </c>
    </row>
    <row r="38" spans="1:3" ht="54.75" thickBot="1" x14ac:dyDescent="0.35">
      <c r="A38" s="41" t="s">
        <v>196</v>
      </c>
      <c r="B38" s="39" t="s">
        <v>197</v>
      </c>
      <c r="C38" s="40" t="s">
        <v>198</v>
      </c>
    </row>
    <row r="39" spans="1:3" ht="54.75" thickBot="1" x14ac:dyDescent="0.35">
      <c r="A39" s="41" t="s">
        <v>199</v>
      </c>
      <c r="B39" s="42" t="s">
        <v>200</v>
      </c>
      <c r="C39" s="43" t="s">
        <v>201</v>
      </c>
    </row>
    <row r="40" spans="1:3" ht="54.75" thickBot="1" x14ac:dyDescent="0.35">
      <c r="A40" s="41" t="s">
        <v>196</v>
      </c>
      <c r="B40" s="39" t="s">
        <v>202</v>
      </c>
      <c r="C40" s="40" t="s">
        <v>198</v>
      </c>
    </row>
    <row r="41" spans="1:3" ht="41.25" thickBot="1" x14ac:dyDescent="0.35">
      <c r="A41" s="41" t="s">
        <v>203</v>
      </c>
      <c r="B41" s="42" t="s">
        <v>204</v>
      </c>
      <c r="C41" s="43" t="s">
        <v>205</v>
      </c>
    </row>
    <row r="42" spans="1:3" ht="54.75" thickBot="1" x14ac:dyDescent="0.35">
      <c r="A42" s="39" t="s">
        <v>206</v>
      </c>
      <c r="B42" s="39" t="s">
        <v>207</v>
      </c>
      <c r="C42" s="40" t="s">
        <v>208</v>
      </c>
    </row>
    <row r="43" spans="1:3" ht="54.75" thickBot="1" x14ac:dyDescent="0.35">
      <c r="A43" s="41" t="s">
        <v>209</v>
      </c>
      <c r="B43" s="42" t="s">
        <v>210</v>
      </c>
      <c r="C43" s="43" t="s">
        <v>211</v>
      </c>
    </row>
    <row r="44" spans="1:3" ht="54.75" thickBot="1" x14ac:dyDescent="0.35">
      <c r="A44" s="41" t="s">
        <v>212</v>
      </c>
      <c r="B44" s="39" t="s">
        <v>213</v>
      </c>
      <c r="C44" s="40" t="s">
        <v>214</v>
      </c>
    </row>
    <row r="45" spans="1:3" ht="41.25" thickBot="1" x14ac:dyDescent="0.35">
      <c r="A45" s="42" t="s">
        <v>215</v>
      </c>
      <c r="B45" s="42" t="s">
        <v>216</v>
      </c>
      <c r="C45" s="43" t="s">
        <v>217</v>
      </c>
    </row>
    <row r="46" spans="1:3" ht="41.25" thickBot="1" x14ac:dyDescent="0.35">
      <c r="A46" s="41" t="s">
        <v>218</v>
      </c>
      <c r="B46" s="39" t="s">
        <v>219</v>
      </c>
      <c r="C46" s="40" t="s">
        <v>220</v>
      </c>
    </row>
    <row r="47" spans="1:3" ht="41.25" thickBot="1" x14ac:dyDescent="0.35">
      <c r="A47" s="41" t="s">
        <v>221</v>
      </c>
      <c r="B47" s="42" t="s">
        <v>222</v>
      </c>
      <c r="C47" s="43" t="s">
        <v>223</v>
      </c>
    </row>
    <row r="48" spans="1:3" ht="41.25" thickBot="1" x14ac:dyDescent="0.35">
      <c r="A48" s="41" t="s">
        <v>224</v>
      </c>
      <c r="B48" s="39" t="s">
        <v>225</v>
      </c>
      <c r="C48" s="40" t="s">
        <v>226</v>
      </c>
    </row>
    <row r="49" spans="1:3" ht="41.25" thickBot="1" x14ac:dyDescent="0.35">
      <c r="A49" s="41" t="s">
        <v>227</v>
      </c>
      <c r="B49" s="42" t="s">
        <v>228</v>
      </c>
      <c r="C49" s="43" t="s">
        <v>229</v>
      </c>
    </row>
    <row r="50" spans="1:3" ht="54.75" thickBot="1" x14ac:dyDescent="0.35">
      <c r="A50" s="39" t="s">
        <v>230</v>
      </c>
      <c r="B50" s="39" t="s">
        <v>231</v>
      </c>
      <c r="C50" s="40" t="s">
        <v>232</v>
      </c>
    </row>
    <row r="51" spans="1:3" ht="41.25" thickBot="1" x14ac:dyDescent="0.35">
      <c r="A51" s="41" t="s">
        <v>233</v>
      </c>
      <c r="B51" s="42" t="s">
        <v>234</v>
      </c>
      <c r="C51" s="43" t="s">
        <v>235</v>
      </c>
    </row>
    <row r="52" spans="1:3" ht="68.25" thickBot="1" x14ac:dyDescent="0.35">
      <c r="A52" s="41" t="s">
        <v>236</v>
      </c>
      <c r="B52" s="39" t="s">
        <v>237</v>
      </c>
      <c r="C52" s="40" t="s">
        <v>238</v>
      </c>
    </row>
    <row r="53" spans="1:3" ht="41.25" thickBot="1" x14ac:dyDescent="0.35">
      <c r="A53" s="41" t="s">
        <v>239</v>
      </c>
      <c r="B53" s="42" t="s">
        <v>240</v>
      </c>
      <c r="C53" s="43" t="s">
        <v>241</v>
      </c>
    </row>
    <row r="54" spans="1:3" ht="54.75" thickBot="1" x14ac:dyDescent="0.35">
      <c r="A54" s="41" t="s">
        <v>242</v>
      </c>
      <c r="B54" s="39" t="s">
        <v>243</v>
      </c>
      <c r="C54" s="40" t="s">
        <v>244</v>
      </c>
    </row>
    <row r="55" spans="1:3" ht="54.75" thickBot="1" x14ac:dyDescent="0.35">
      <c r="A55" s="41" t="s">
        <v>245</v>
      </c>
      <c r="B55" s="42" t="s">
        <v>246</v>
      </c>
      <c r="C55" s="43" t="s">
        <v>247</v>
      </c>
    </row>
    <row r="56" spans="1:3" ht="54.75" thickBot="1" x14ac:dyDescent="0.35">
      <c r="A56" s="41" t="s">
        <v>248</v>
      </c>
      <c r="B56" s="39" t="s">
        <v>249</v>
      </c>
      <c r="C56" s="40" t="s">
        <v>250</v>
      </c>
    </row>
    <row r="57" spans="1:3" ht="54.75" thickBot="1" x14ac:dyDescent="0.35">
      <c r="A57" s="41" t="s">
        <v>251</v>
      </c>
      <c r="B57" s="42" t="s">
        <v>252</v>
      </c>
      <c r="C57" s="43" t="s">
        <v>253</v>
      </c>
    </row>
    <row r="58" spans="1:3" ht="54.75" thickBot="1" x14ac:dyDescent="0.35">
      <c r="A58" s="41" t="s">
        <v>254</v>
      </c>
      <c r="B58" s="39" t="s">
        <v>255</v>
      </c>
      <c r="C58" s="40" t="s">
        <v>256</v>
      </c>
    </row>
    <row r="59" spans="1:3" ht="54.75" thickBot="1" x14ac:dyDescent="0.35">
      <c r="A59" s="41" t="s">
        <v>257</v>
      </c>
      <c r="B59" s="42" t="s">
        <v>258</v>
      </c>
      <c r="C59" s="43" t="s">
        <v>259</v>
      </c>
    </row>
    <row r="60" spans="1:3" ht="54.75" thickBot="1" x14ac:dyDescent="0.35">
      <c r="A60" s="41" t="s">
        <v>260</v>
      </c>
      <c r="B60" s="39" t="s">
        <v>261</v>
      </c>
      <c r="C60" s="40" t="s">
        <v>262</v>
      </c>
    </row>
    <row r="61" spans="1:3" ht="68.25" thickBot="1" x14ac:dyDescent="0.35">
      <c r="A61" s="41" t="s">
        <v>263</v>
      </c>
      <c r="B61" s="42" t="s">
        <v>264</v>
      </c>
      <c r="C61" s="43" t="s">
        <v>265</v>
      </c>
    </row>
    <row r="62" spans="1:3" ht="68.25" thickBot="1" x14ac:dyDescent="0.35">
      <c r="A62" s="41" t="s">
        <v>266</v>
      </c>
      <c r="B62" s="39" t="s">
        <v>267</v>
      </c>
      <c r="C62" s="40" t="s">
        <v>268</v>
      </c>
    </row>
    <row r="63" spans="1:3" ht="68.25" thickBot="1" x14ac:dyDescent="0.35">
      <c r="A63" s="41" t="s">
        <v>269</v>
      </c>
      <c r="B63" s="42" t="s">
        <v>270</v>
      </c>
      <c r="C63" s="43" t="s">
        <v>271</v>
      </c>
    </row>
    <row r="64" spans="1:3" ht="54.75" thickBot="1" x14ac:dyDescent="0.35">
      <c r="A64" s="41" t="s">
        <v>272</v>
      </c>
      <c r="B64" s="39" t="s">
        <v>273</v>
      </c>
      <c r="C64" s="40" t="s">
        <v>274</v>
      </c>
    </row>
    <row r="65" spans="1:3" ht="54.75" thickBot="1" x14ac:dyDescent="0.35">
      <c r="A65" s="41" t="s">
        <v>275</v>
      </c>
      <c r="B65" s="42" t="s">
        <v>276</v>
      </c>
      <c r="C65" s="43" t="s">
        <v>277</v>
      </c>
    </row>
    <row r="66" spans="1:3" ht="68.25" thickBot="1" x14ac:dyDescent="0.35">
      <c r="A66" s="41" t="s">
        <v>278</v>
      </c>
      <c r="B66" s="39" t="s">
        <v>279</v>
      </c>
      <c r="C66" s="40" t="s">
        <v>280</v>
      </c>
    </row>
    <row r="67" spans="1:3" ht="54.75" thickBot="1" x14ac:dyDescent="0.35">
      <c r="A67" s="41" t="s">
        <v>281</v>
      </c>
      <c r="B67" s="42" t="s">
        <v>282</v>
      </c>
      <c r="C67" s="43" t="s">
        <v>283</v>
      </c>
    </row>
    <row r="68" spans="1:3" ht="68.25" thickBot="1" x14ac:dyDescent="0.35">
      <c r="A68" s="41" t="s">
        <v>284</v>
      </c>
      <c r="B68" s="39" t="s">
        <v>285</v>
      </c>
      <c r="C68" s="40" t="s">
        <v>286</v>
      </c>
    </row>
    <row r="69" spans="1:3" ht="54.75" thickBot="1" x14ac:dyDescent="0.35">
      <c r="A69" s="41" t="s">
        <v>287</v>
      </c>
      <c r="B69" s="42" t="s">
        <v>288</v>
      </c>
      <c r="C69" s="43" t="s">
        <v>289</v>
      </c>
    </row>
    <row r="70" spans="1:3" ht="54.75" thickBot="1" x14ac:dyDescent="0.35">
      <c r="A70" s="41" t="s">
        <v>290</v>
      </c>
      <c r="B70" s="39" t="s">
        <v>291</v>
      </c>
      <c r="C70" s="40" t="s">
        <v>292</v>
      </c>
    </row>
    <row r="71" spans="1:3" ht="54.75" thickBot="1" x14ac:dyDescent="0.35">
      <c r="A71" s="41" t="s">
        <v>293</v>
      </c>
      <c r="B71" s="42" t="s">
        <v>294</v>
      </c>
      <c r="C71" s="43" t="s">
        <v>295</v>
      </c>
    </row>
    <row r="72" spans="1:3" ht="54.75" thickBot="1" x14ac:dyDescent="0.35">
      <c r="A72" s="41" t="s">
        <v>296</v>
      </c>
      <c r="B72" s="39" t="s">
        <v>297</v>
      </c>
      <c r="C72" s="40" t="s">
        <v>298</v>
      </c>
    </row>
    <row r="73" spans="1:3" ht="54.75" thickBot="1" x14ac:dyDescent="0.35">
      <c r="A73" s="41" t="s">
        <v>299</v>
      </c>
      <c r="B73" s="42" t="s">
        <v>300</v>
      </c>
      <c r="C73" s="43" t="s">
        <v>301</v>
      </c>
    </row>
    <row r="74" spans="1:3" ht="54.75" thickBot="1" x14ac:dyDescent="0.35">
      <c r="A74" s="41" t="s">
        <v>302</v>
      </c>
      <c r="B74" s="39" t="s">
        <v>303</v>
      </c>
      <c r="C74" s="40" t="s">
        <v>304</v>
      </c>
    </row>
    <row r="75" spans="1:3" ht="54.75" thickBot="1" x14ac:dyDescent="0.35">
      <c r="A75" s="41" t="s">
        <v>305</v>
      </c>
      <c r="B75" s="42" t="s">
        <v>306</v>
      </c>
      <c r="C75" s="43" t="s">
        <v>307</v>
      </c>
    </row>
    <row r="76" spans="1:3" ht="54.75" thickBot="1" x14ac:dyDescent="0.35">
      <c r="A76" s="41" t="s">
        <v>308</v>
      </c>
      <c r="B76" s="39" t="s">
        <v>309</v>
      </c>
      <c r="C76" s="40" t="s">
        <v>310</v>
      </c>
    </row>
    <row r="77" spans="1:3" ht="54.75" thickBot="1" x14ac:dyDescent="0.35">
      <c r="A77" s="41" t="s">
        <v>311</v>
      </c>
      <c r="B77" s="42" t="s">
        <v>312</v>
      </c>
      <c r="C77" s="43" t="s">
        <v>313</v>
      </c>
    </row>
    <row r="78" spans="1:3" ht="68.25" thickBot="1" x14ac:dyDescent="0.35">
      <c r="A78" s="41" t="s">
        <v>302</v>
      </c>
      <c r="B78" s="39" t="s">
        <v>314</v>
      </c>
      <c r="C78" s="40" t="s">
        <v>304</v>
      </c>
    </row>
    <row r="79" spans="1:3" ht="54.75" thickBot="1" x14ac:dyDescent="0.35">
      <c r="A79" s="42" t="s">
        <v>315</v>
      </c>
      <c r="B79" s="42" t="s">
        <v>316</v>
      </c>
      <c r="C79" s="43" t="s">
        <v>317</v>
      </c>
    </row>
    <row r="80" spans="1:3" ht="54.75" thickBot="1" x14ac:dyDescent="0.35">
      <c r="A80" s="41" t="s">
        <v>318</v>
      </c>
      <c r="B80" s="39" t="s">
        <v>319</v>
      </c>
      <c r="C80" s="40" t="s">
        <v>320</v>
      </c>
    </row>
    <row r="81" spans="1:3" ht="54.75" thickBot="1" x14ac:dyDescent="0.35">
      <c r="A81" s="41" t="s">
        <v>318</v>
      </c>
      <c r="B81" s="42" t="s">
        <v>319</v>
      </c>
      <c r="C81" s="43" t="s">
        <v>320</v>
      </c>
    </row>
    <row r="82" spans="1:3" ht="54.75" thickBot="1" x14ac:dyDescent="0.35">
      <c r="A82" s="41" t="s">
        <v>321</v>
      </c>
      <c r="B82" s="39" t="s">
        <v>322</v>
      </c>
      <c r="C82" s="40" t="s">
        <v>323</v>
      </c>
    </row>
    <row r="83" spans="1:3" ht="68.25" thickBot="1" x14ac:dyDescent="0.35">
      <c r="A83" s="41" t="s">
        <v>324</v>
      </c>
      <c r="B83" s="42" t="s">
        <v>325</v>
      </c>
      <c r="C83" s="43" t="s">
        <v>326</v>
      </c>
    </row>
    <row r="84" spans="1:3" ht="54.75" thickBot="1" x14ac:dyDescent="0.35">
      <c r="A84" s="41" t="s">
        <v>327</v>
      </c>
      <c r="B84" s="39" t="s">
        <v>328</v>
      </c>
      <c r="C84" s="40" t="s">
        <v>329</v>
      </c>
    </row>
    <row r="85" spans="1:3" ht="68.25" thickBot="1" x14ac:dyDescent="0.35">
      <c r="A85" s="41" t="s">
        <v>330</v>
      </c>
      <c r="B85" s="42" t="s">
        <v>331</v>
      </c>
      <c r="C85" s="43" t="s">
        <v>332</v>
      </c>
    </row>
    <row r="86" spans="1:3" ht="81.75" thickBot="1" x14ac:dyDescent="0.35">
      <c r="A86" s="41" t="s">
        <v>333</v>
      </c>
      <c r="B86" s="39" t="s">
        <v>334</v>
      </c>
      <c r="C86" s="40" t="s">
        <v>335</v>
      </c>
    </row>
    <row r="87" spans="1:3" ht="81.75" thickBot="1" x14ac:dyDescent="0.35">
      <c r="A87" s="41" t="s">
        <v>336</v>
      </c>
      <c r="B87" s="42" t="s">
        <v>337</v>
      </c>
      <c r="C87" s="43" t="s">
        <v>338</v>
      </c>
    </row>
    <row r="88" spans="1:3" ht="68.25" thickBot="1" x14ac:dyDescent="0.35">
      <c r="A88" s="41" t="s">
        <v>339</v>
      </c>
      <c r="B88" s="39" t="s">
        <v>340</v>
      </c>
      <c r="C88" s="40" t="s">
        <v>341</v>
      </c>
    </row>
    <row r="89" spans="1:3" ht="68.25" thickBot="1" x14ac:dyDescent="0.35">
      <c r="A89" s="41" t="s">
        <v>342</v>
      </c>
      <c r="B89" s="42" t="s">
        <v>343</v>
      </c>
      <c r="C89" s="43" t="s">
        <v>344</v>
      </c>
    </row>
    <row r="90" spans="1:3" ht="68.25" thickBot="1" x14ac:dyDescent="0.35">
      <c r="A90" s="41" t="s">
        <v>345</v>
      </c>
      <c r="B90" s="39" t="s">
        <v>346</v>
      </c>
      <c r="C90" s="40" t="s">
        <v>347</v>
      </c>
    </row>
    <row r="91" spans="1:3" ht="68.25" thickBot="1" x14ac:dyDescent="0.35">
      <c r="A91" s="41" t="s">
        <v>348</v>
      </c>
      <c r="B91" s="42" t="s">
        <v>349</v>
      </c>
      <c r="C91" s="43" t="s">
        <v>350</v>
      </c>
    </row>
    <row r="92" spans="1:3" ht="54.75" thickBot="1" x14ac:dyDescent="0.35">
      <c r="A92" s="41" t="s">
        <v>351</v>
      </c>
      <c r="B92" s="39" t="s">
        <v>352</v>
      </c>
      <c r="C92" s="40" t="s">
        <v>353</v>
      </c>
    </row>
    <row r="93" spans="1:3" ht="68.25" thickBot="1" x14ac:dyDescent="0.35">
      <c r="A93" s="41" t="s">
        <v>354</v>
      </c>
      <c r="B93" s="42" t="s">
        <v>355</v>
      </c>
      <c r="C93" s="43" t="s">
        <v>356</v>
      </c>
    </row>
    <row r="94" spans="1:3" ht="41.25" thickBot="1" x14ac:dyDescent="0.35">
      <c r="A94" s="41" t="s">
        <v>357</v>
      </c>
      <c r="B94" s="39" t="s">
        <v>358</v>
      </c>
      <c r="C94" s="40" t="s">
        <v>359</v>
      </c>
    </row>
    <row r="95" spans="1:3" ht="68.25" thickBot="1" x14ac:dyDescent="0.35">
      <c r="A95" s="41" t="s">
        <v>321</v>
      </c>
      <c r="B95" s="42" t="s">
        <v>360</v>
      </c>
      <c r="C95" s="43" t="s">
        <v>323</v>
      </c>
    </row>
    <row r="96" spans="1:3" ht="68.25" thickBot="1" x14ac:dyDescent="0.35">
      <c r="A96" s="41" t="s">
        <v>361</v>
      </c>
      <c r="B96" s="39" t="s">
        <v>362</v>
      </c>
      <c r="C96" s="40" t="s">
        <v>363</v>
      </c>
    </row>
    <row r="97" spans="1:3" ht="41.25" thickBot="1" x14ac:dyDescent="0.35">
      <c r="A97" s="42" t="s">
        <v>364</v>
      </c>
      <c r="B97" s="42" t="s">
        <v>365</v>
      </c>
      <c r="C97" s="43" t="s">
        <v>366</v>
      </c>
    </row>
    <row r="98" spans="1:3" ht="41.25" thickBot="1" x14ac:dyDescent="0.35">
      <c r="A98" s="39" t="s">
        <v>367</v>
      </c>
      <c r="B98" s="39" t="s">
        <v>368</v>
      </c>
      <c r="C98" s="40" t="s">
        <v>369</v>
      </c>
    </row>
    <row r="99" spans="1:3" ht="41.25" thickBot="1" x14ac:dyDescent="0.35">
      <c r="A99" s="41" t="s">
        <v>370</v>
      </c>
      <c r="B99" s="42" t="s">
        <v>371</v>
      </c>
      <c r="C99" s="43" t="s">
        <v>372</v>
      </c>
    </row>
    <row r="100" spans="1:3" ht="54.75" thickBot="1" x14ac:dyDescent="0.35">
      <c r="A100" s="41" t="s">
        <v>373</v>
      </c>
      <c r="B100" s="39" t="s">
        <v>374</v>
      </c>
      <c r="C100" s="40" t="s">
        <v>375</v>
      </c>
    </row>
    <row r="101" spans="1:3" ht="41.25" thickBot="1" x14ac:dyDescent="0.35">
      <c r="A101" s="41" t="s">
        <v>376</v>
      </c>
      <c r="B101" s="42" t="s">
        <v>377</v>
      </c>
      <c r="C101" s="43" t="s">
        <v>378</v>
      </c>
    </row>
    <row r="102" spans="1:3" ht="54.75" thickBot="1" x14ac:dyDescent="0.35">
      <c r="A102" s="41" t="s">
        <v>379</v>
      </c>
      <c r="B102" s="39" t="s">
        <v>380</v>
      </c>
      <c r="C102" s="40" t="s">
        <v>381</v>
      </c>
    </row>
    <row r="103" spans="1:3" ht="54.75" thickBot="1" x14ac:dyDescent="0.35">
      <c r="A103" s="41" t="s">
        <v>382</v>
      </c>
      <c r="B103" s="42" t="s">
        <v>383</v>
      </c>
      <c r="C103" s="43" t="s">
        <v>384</v>
      </c>
    </row>
    <row r="104" spans="1:3" ht="54.75" thickBot="1" x14ac:dyDescent="0.35">
      <c r="A104" s="41" t="s">
        <v>385</v>
      </c>
      <c r="B104" s="39" t="s">
        <v>386</v>
      </c>
      <c r="C104" s="40" t="s">
        <v>387</v>
      </c>
    </row>
    <row r="105" spans="1:3" ht="54.75" thickBot="1" x14ac:dyDescent="0.35">
      <c r="A105" s="41" t="s">
        <v>388</v>
      </c>
      <c r="B105" s="42" t="s">
        <v>389</v>
      </c>
      <c r="C105" s="43" t="s">
        <v>390</v>
      </c>
    </row>
    <row r="106" spans="1:3" ht="54.75" thickBot="1" x14ac:dyDescent="0.35">
      <c r="A106" s="39" t="s">
        <v>391</v>
      </c>
      <c r="B106" s="39" t="s">
        <v>392</v>
      </c>
      <c r="C106" s="40" t="s">
        <v>393</v>
      </c>
    </row>
    <row r="107" spans="1:3" ht="54.75" thickBot="1" x14ac:dyDescent="0.35">
      <c r="A107" s="41" t="s">
        <v>394</v>
      </c>
      <c r="B107" s="42" t="s">
        <v>395</v>
      </c>
      <c r="C107" s="43" t="s">
        <v>396</v>
      </c>
    </row>
    <row r="108" spans="1:3" ht="54.75" thickBot="1" x14ac:dyDescent="0.35">
      <c r="A108" s="41" t="s">
        <v>397</v>
      </c>
      <c r="B108" s="39" t="s">
        <v>398</v>
      </c>
      <c r="C108" s="40" t="s">
        <v>399</v>
      </c>
    </row>
    <row r="109" spans="1:3" ht="54.75" thickBot="1" x14ac:dyDescent="0.35">
      <c r="A109" s="41" t="s">
        <v>400</v>
      </c>
      <c r="B109" s="42" t="s">
        <v>398</v>
      </c>
      <c r="C109" s="43" t="s">
        <v>401</v>
      </c>
    </row>
    <row r="110" spans="1:3" ht="54.75" thickBot="1" x14ac:dyDescent="0.35">
      <c r="A110" s="41" t="s">
        <v>402</v>
      </c>
      <c r="B110" s="39" t="s">
        <v>403</v>
      </c>
      <c r="C110" s="40" t="s">
        <v>399</v>
      </c>
    </row>
    <row r="111" spans="1:3" ht="54.75" thickBot="1" x14ac:dyDescent="0.35">
      <c r="A111" s="41" t="s">
        <v>404</v>
      </c>
      <c r="B111" s="42" t="s">
        <v>403</v>
      </c>
      <c r="C111" s="43" t="s">
        <v>405</v>
      </c>
    </row>
    <row r="112" spans="1:3" ht="54.75" thickBot="1" x14ac:dyDescent="0.35">
      <c r="A112" s="41" t="s">
        <v>406</v>
      </c>
      <c r="B112" s="39" t="s">
        <v>403</v>
      </c>
      <c r="C112" s="40" t="s">
        <v>393</v>
      </c>
    </row>
    <row r="113" spans="1:3" ht="54.75" thickBot="1" x14ac:dyDescent="0.35">
      <c r="A113" s="41" t="s">
        <v>407</v>
      </c>
      <c r="B113" s="42" t="s">
        <v>403</v>
      </c>
      <c r="C113" s="43" t="s">
        <v>399</v>
      </c>
    </row>
    <row r="114" spans="1:3" ht="54.75" thickBot="1" x14ac:dyDescent="0.35">
      <c r="A114" s="41" t="s">
        <v>408</v>
      </c>
      <c r="B114" s="39" t="s">
        <v>409</v>
      </c>
      <c r="C114" s="40" t="s">
        <v>410</v>
      </c>
    </row>
    <row r="115" spans="1:3" ht="68.25" thickBot="1" x14ac:dyDescent="0.35">
      <c r="A115" s="41" t="s">
        <v>411</v>
      </c>
      <c r="B115" s="42" t="s">
        <v>412</v>
      </c>
      <c r="C115" s="43" t="s">
        <v>413</v>
      </c>
    </row>
    <row r="116" spans="1:3" ht="54.75" thickBot="1" x14ac:dyDescent="0.35">
      <c r="A116" s="41" t="s">
        <v>391</v>
      </c>
      <c r="B116" s="39" t="s">
        <v>392</v>
      </c>
      <c r="C116" s="40" t="s">
        <v>393</v>
      </c>
    </row>
    <row r="117" spans="1:3" ht="54.75" thickBot="1" x14ac:dyDescent="0.35">
      <c r="A117" s="41" t="s">
        <v>394</v>
      </c>
      <c r="B117" s="42" t="s">
        <v>395</v>
      </c>
      <c r="C117" s="43" t="s">
        <v>396</v>
      </c>
    </row>
    <row r="118" spans="1:3" ht="54.75" thickBot="1" x14ac:dyDescent="0.35">
      <c r="A118" s="39" t="s">
        <v>414</v>
      </c>
      <c r="B118" s="39" t="s">
        <v>415</v>
      </c>
      <c r="C118" s="40" t="s">
        <v>416</v>
      </c>
    </row>
    <row r="119" spans="1:3" ht="54.75" thickBot="1" x14ac:dyDescent="0.35">
      <c r="A119" s="41" t="s">
        <v>417</v>
      </c>
      <c r="B119" s="42" t="s">
        <v>418</v>
      </c>
      <c r="C119" s="43" t="s">
        <v>419</v>
      </c>
    </row>
    <row r="120" spans="1:3" ht="54.75" thickBot="1" x14ac:dyDescent="0.35">
      <c r="A120" s="41" t="s">
        <v>420</v>
      </c>
      <c r="B120" s="39" t="s">
        <v>421</v>
      </c>
      <c r="C120" s="40" t="s">
        <v>422</v>
      </c>
    </row>
    <row r="121" spans="1:3" ht="68.25" thickBot="1" x14ac:dyDescent="0.35">
      <c r="A121" s="41" t="s">
        <v>423</v>
      </c>
      <c r="B121" s="42" t="s">
        <v>424</v>
      </c>
      <c r="C121" s="43" t="s">
        <v>425</v>
      </c>
    </row>
    <row r="122" spans="1:3" ht="54.75" thickBot="1" x14ac:dyDescent="0.35">
      <c r="A122" s="41" t="s">
        <v>426</v>
      </c>
      <c r="B122" s="39" t="s">
        <v>427</v>
      </c>
      <c r="C122" s="40" t="s">
        <v>428</v>
      </c>
    </row>
    <row r="123" spans="1:3" ht="68.25" thickBot="1" x14ac:dyDescent="0.35">
      <c r="A123" s="41" t="s">
        <v>429</v>
      </c>
      <c r="B123" s="42" t="s">
        <v>430</v>
      </c>
      <c r="C123" s="43" t="s">
        <v>431</v>
      </c>
    </row>
    <row r="124" spans="1:3" ht="54.75" thickBot="1" x14ac:dyDescent="0.35">
      <c r="A124" s="39" t="s">
        <v>432</v>
      </c>
      <c r="B124" s="39" t="s">
        <v>433</v>
      </c>
      <c r="C124" s="40" t="s">
        <v>434</v>
      </c>
    </row>
    <row r="125" spans="1:3" ht="41.25" thickBot="1" x14ac:dyDescent="0.35">
      <c r="A125" s="41" t="s">
        <v>435</v>
      </c>
      <c r="B125" s="42" t="s">
        <v>436</v>
      </c>
      <c r="C125" s="43" t="s">
        <v>437</v>
      </c>
    </row>
    <row r="126" spans="1:3" ht="41.25" thickBot="1" x14ac:dyDescent="0.35">
      <c r="A126" s="41" t="s">
        <v>438</v>
      </c>
      <c r="B126" s="39" t="s">
        <v>439</v>
      </c>
      <c r="C126" s="40" t="s">
        <v>440</v>
      </c>
    </row>
    <row r="127" spans="1:3" ht="54.75" thickBot="1" x14ac:dyDescent="0.35">
      <c r="A127" s="41" t="s">
        <v>441</v>
      </c>
      <c r="B127" s="42" t="s">
        <v>442</v>
      </c>
      <c r="C127" s="43" t="s">
        <v>443</v>
      </c>
    </row>
    <row r="128" spans="1:3" ht="68.25" thickBot="1" x14ac:dyDescent="0.35">
      <c r="A128" s="41" t="s">
        <v>444</v>
      </c>
      <c r="B128" s="39" t="s">
        <v>445</v>
      </c>
      <c r="C128" s="40" t="s">
        <v>446</v>
      </c>
    </row>
    <row r="129" spans="1:3" ht="41.25" thickBot="1" x14ac:dyDescent="0.35">
      <c r="A129" s="41" t="s">
        <v>447</v>
      </c>
      <c r="B129" s="42" t="s">
        <v>448</v>
      </c>
      <c r="C129" s="43" t="s">
        <v>449</v>
      </c>
    </row>
    <row r="130" spans="1:3" ht="68.25" thickBot="1" x14ac:dyDescent="0.35">
      <c r="A130" s="41" t="s">
        <v>450</v>
      </c>
      <c r="B130" s="39" t="s">
        <v>451</v>
      </c>
      <c r="C130" s="40" t="s">
        <v>452</v>
      </c>
    </row>
    <row r="131" spans="1:3" ht="41.25" thickBot="1" x14ac:dyDescent="0.35">
      <c r="A131" s="41" t="s">
        <v>453</v>
      </c>
      <c r="B131" s="42" t="s">
        <v>454</v>
      </c>
      <c r="C131" s="43" t="s">
        <v>455</v>
      </c>
    </row>
    <row r="132" spans="1:3" ht="68.25" thickBot="1" x14ac:dyDescent="0.35">
      <c r="A132" s="41" t="s">
        <v>456</v>
      </c>
      <c r="B132" s="39" t="s">
        <v>457</v>
      </c>
      <c r="C132" s="40" t="s">
        <v>458</v>
      </c>
    </row>
    <row r="133" spans="1:3" ht="54.75" thickBot="1" x14ac:dyDescent="0.35">
      <c r="A133" s="41" t="s">
        <v>459</v>
      </c>
      <c r="B133" s="42" t="s">
        <v>460</v>
      </c>
      <c r="C133" s="43" t="s">
        <v>461</v>
      </c>
    </row>
    <row r="134" spans="1:3" ht="54.75" thickBot="1" x14ac:dyDescent="0.35">
      <c r="A134" s="41" t="s">
        <v>462</v>
      </c>
      <c r="B134" s="39" t="s">
        <v>463</v>
      </c>
      <c r="C134" s="40" t="s">
        <v>464</v>
      </c>
    </row>
    <row r="135" spans="1:3" ht="68.25" thickBot="1" x14ac:dyDescent="0.35">
      <c r="A135" s="41" t="s">
        <v>465</v>
      </c>
      <c r="B135" s="42" t="s">
        <v>466</v>
      </c>
      <c r="C135" s="43" t="s">
        <v>467</v>
      </c>
    </row>
    <row r="136" spans="1:3" ht="54.75" thickBot="1" x14ac:dyDescent="0.35">
      <c r="A136" s="41" t="s">
        <v>468</v>
      </c>
      <c r="B136" s="39" t="s">
        <v>469</v>
      </c>
      <c r="C136" s="40" t="s">
        <v>470</v>
      </c>
    </row>
    <row r="137" spans="1:3" ht="68.25" thickBot="1" x14ac:dyDescent="0.35">
      <c r="A137" s="41" t="s">
        <v>471</v>
      </c>
      <c r="B137" s="42" t="s">
        <v>472</v>
      </c>
      <c r="C137" s="43" t="s">
        <v>473</v>
      </c>
    </row>
    <row r="138" spans="1:3" ht="54.75" thickBot="1" x14ac:dyDescent="0.35">
      <c r="A138" s="39" t="s">
        <v>474</v>
      </c>
      <c r="B138" s="39" t="s">
        <v>475</v>
      </c>
      <c r="C138" s="40" t="s">
        <v>476</v>
      </c>
    </row>
    <row r="139" spans="1:3" ht="54.75" thickBot="1" x14ac:dyDescent="0.35">
      <c r="A139" s="41" t="s">
        <v>477</v>
      </c>
      <c r="B139" s="42" t="s">
        <v>478</v>
      </c>
      <c r="C139" s="43" t="s">
        <v>479</v>
      </c>
    </row>
    <row r="140" spans="1:3" ht="54.75" thickBot="1" x14ac:dyDescent="0.35">
      <c r="A140" s="41" t="s">
        <v>480</v>
      </c>
      <c r="B140" s="39" t="s">
        <v>481</v>
      </c>
      <c r="C140" s="40" t="s">
        <v>482</v>
      </c>
    </row>
    <row r="141" spans="1:3" ht="81.75" thickBot="1" x14ac:dyDescent="0.35">
      <c r="A141" s="41" t="s">
        <v>483</v>
      </c>
      <c r="B141" s="42" t="s">
        <v>484</v>
      </c>
      <c r="C141" s="43" t="s">
        <v>485</v>
      </c>
    </row>
    <row r="142" spans="1:3" ht="54.75" thickBot="1" x14ac:dyDescent="0.35">
      <c r="A142" s="41" t="s">
        <v>486</v>
      </c>
      <c r="B142" s="39" t="s">
        <v>487</v>
      </c>
      <c r="C142" s="40" t="s">
        <v>488</v>
      </c>
    </row>
    <row r="143" spans="1:3" ht="81.75" thickBot="1" x14ac:dyDescent="0.35">
      <c r="A143" s="41" t="s">
        <v>489</v>
      </c>
      <c r="B143" s="42" t="s">
        <v>490</v>
      </c>
      <c r="C143" s="43" t="s">
        <v>491</v>
      </c>
    </row>
    <row r="144" spans="1:3" ht="68.25" thickBot="1" x14ac:dyDescent="0.35">
      <c r="A144" s="41" t="s">
        <v>492</v>
      </c>
      <c r="B144" s="39" t="s">
        <v>493</v>
      </c>
      <c r="C144" s="40" t="s">
        <v>494</v>
      </c>
    </row>
    <row r="145" spans="1:3" ht="68.25" thickBot="1" x14ac:dyDescent="0.35">
      <c r="A145" s="41" t="s">
        <v>495</v>
      </c>
      <c r="B145" s="42" t="s">
        <v>493</v>
      </c>
      <c r="C145" s="43" t="s">
        <v>494</v>
      </c>
    </row>
    <row r="146" spans="1:3" ht="81.75" thickBot="1" x14ac:dyDescent="0.35">
      <c r="A146" s="41" t="s">
        <v>496</v>
      </c>
      <c r="B146" s="39" t="s">
        <v>497</v>
      </c>
      <c r="C146" s="40" t="s">
        <v>498</v>
      </c>
    </row>
    <row r="147" spans="1:3" ht="68.25" thickBot="1" x14ac:dyDescent="0.35">
      <c r="A147" s="41" t="s">
        <v>499</v>
      </c>
      <c r="B147" s="42" t="s">
        <v>500</v>
      </c>
      <c r="C147" s="43" t="s">
        <v>501</v>
      </c>
    </row>
    <row r="148" spans="1:3" ht="68.25" thickBot="1" x14ac:dyDescent="0.35">
      <c r="A148" s="41" t="s">
        <v>502</v>
      </c>
      <c r="B148" s="39" t="s">
        <v>503</v>
      </c>
      <c r="C148" s="40" t="s">
        <v>504</v>
      </c>
    </row>
    <row r="149" spans="1:3" ht="81.75" thickBot="1" x14ac:dyDescent="0.35">
      <c r="A149" s="41" t="s">
        <v>474</v>
      </c>
      <c r="B149" s="42" t="s">
        <v>505</v>
      </c>
      <c r="C149" s="43" t="s">
        <v>476</v>
      </c>
    </row>
    <row r="150" spans="1:3" ht="95.25" thickBot="1" x14ac:dyDescent="0.35">
      <c r="A150" s="41" t="s">
        <v>506</v>
      </c>
      <c r="B150" s="39" t="s">
        <v>507</v>
      </c>
      <c r="C150" s="40" t="s">
        <v>508</v>
      </c>
    </row>
    <row r="151" spans="1:3" ht="108.75" thickBot="1" x14ac:dyDescent="0.35">
      <c r="A151" s="41" t="s">
        <v>509</v>
      </c>
      <c r="B151" s="42" t="s">
        <v>510</v>
      </c>
      <c r="C151" s="43" t="s">
        <v>511</v>
      </c>
    </row>
    <row r="152" spans="1:3" ht="54.75" thickBot="1" x14ac:dyDescent="0.35">
      <c r="A152" s="41" t="s">
        <v>512</v>
      </c>
      <c r="B152" s="39" t="s">
        <v>513</v>
      </c>
      <c r="C152" s="40" t="s">
        <v>514</v>
      </c>
    </row>
    <row r="153" spans="1:3" ht="54.75" thickBot="1" x14ac:dyDescent="0.35">
      <c r="A153" s="41" t="s">
        <v>515</v>
      </c>
      <c r="B153" s="42" t="s">
        <v>516</v>
      </c>
      <c r="C153" s="43" t="s">
        <v>517</v>
      </c>
    </row>
    <row r="154" spans="1:3" ht="54.75" thickBot="1" x14ac:dyDescent="0.35">
      <c r="A154" s="41" t="s">
        <v>518</v>
      </c>
      <c r="B154" s="39" t="s">
        <v>519</v>
      </c>
      <c r="C154" s="40" t="s">
        <v>520</v>
      </c>
    </row>
    <row r="155" spans="1:3" ht="54.75" thickBot="1" x14ac:dyDescent="0.35">
      <c r="A155" s="41" t="s">
        <v>521</v>
      </c>
      <c r="B155" s="42" t="s">
        <v>522</v>
      </c>
      <c r="C155" s="43" t="s">
        <v>523</v>
      </c>
    </row>
    <row r="156" spans="1:3" ht="68.25" thickBot="1" x14ac:dyDescent="0.35">
      <c r="A156" s="39" t="s">
        <v>524</v>
      </c>
      <c r="B156" s="39" t="s">
        <v>525</v>
      </c>
      <c r="C156" s="40" t="s">
        <v>526</v>
      </c>
    </row>
    <row r="157" spans="1:3" ht="54.75" thickBot="1" x14ac:dyDescent="0.35">
      <c r="A157" s="41" t="s">
        <v>527</v>
      </c>
      <c r="B157" s="42" t="s">
        <v>528</v>
      </c>
      <c r="C157" s="43" t="s">
        <v>529</v>
      </c>
    </row>
    <row r="158" spans="1:3" ht="54.75" thickBot="1" x14ac:dyDescent="0.35">
      <c r="A158" s="41" t="s">
        <v>518</v>
      </c>
      <c r="B158" s="39" t="s">
        <v>519</v>
      </c>
      <c r="C158" s="40" t="s">
        <v>520</v>
      </c>
    </row>
    <row r="159" spans="1:3" ht="68.25" thickBot="1" x14ac:dyDescent="0.35">
      <c r="A159" s="41" t="s">
        <v>530</v>
      </c>
      <c r="B159" s="42" t="s">
        <v>531</v>
      </c>
      <c r="C159" s="43" t="s">
        <v>532</v>
      </c>
    </row>
    <row r="160" spans="1:3" ht="54.75" thickBot="1" x14ac:dyDescent="0.35">
      <c r="A160" s="41" t="s">
        <v>533</v>
      </c>
      <c r="B160" s="39" t="s">
        <v>534</v>
      </c>
      <c r="C160" s="40" t="s">
        <v>535</v>
      </c>
    </row>
    <row r="161" spans="1:3" ht="54.75" thickBot="1" x14ac:dyDescent="0.35">
      <c r="A161" s="41" t="s">
        <v>536</v>
      </c>
      <c r="B161" s="42" t="s">
        <v>537</v>
      </c>
      <c r="C161" s="43" t="s">
        <v>538</v>
      </c>
    </row>
    <row r="162" spans="1:3" ht="54.75" thickBot="1" x14ac:dyDescent="0.35">
      <c r="A162" s="41" t="s">
        <v>539</v>
      </c>
      <c r="B162" s="39" t="s">
        <v>540</v>
      </c>
      <c r="C162" s="40" t="s">
        <v>541</v>
      </c>
    </row>
    <row r="163" spans="1:3" ht="54.75" thickBot="1" x14ac:dyDescent="0.35">
      <c r="A163" s="41" t="s">
        <v>542</v>
      </c>
      <c r="B163" s="42" t="s">
        <v>543</v>
      </c>
      <c r="C163" s="43" t="s">
        <v>544</v>
      </c>
    </row>
    <row r="164" spans="1:3" ht="54.75" thickBot="1" x14ac:dyDescent="0.35">
      <c r="A164" s="41" t="s">
        <v>521</v>
      </c>
      <c r="B164" s="39" t="s">
        <v>522</v>
      </c>
      <c r="C164" s="40" t="s">
        <v>523</v>
      </c>
    </row>
    <row r="165" spans="1:3" ht="41.25" thickBot="1" x14ac:dyDescent="0.35">
      <c r="A165" s="41" t="s">
        <v>545</v>
      </c>
      <c r="B165" s="42" t="s">
        <v>546</v>
      </c>
      <c r="C165" s="43" t="s">
        <v>547</v>
      </c>
    </row>
    <row r="166" spans="1:3" ht="54.75" thickBot="1" x14ac:dyDescent="0.35">
      <c r="A166" s="39" t="s">
        <v>548</v>
      </c>
      <c r="B166" s="39" t="s">
        <v>549</v>
      </c>
      <c r="C166" s="40" t="s">
        <v>550</v>
      </c>
    </row>
    <row r="167" spans="1:3" ht="68.25" thickBot="1" x14ac:dyDescent="0.35">
      <c r="A167" s="41" t="s">
        <v>551</v>
      </c>
      <c r="B167" s="42" t="s">
        <v>552</v>
      </c>
      <c r="C167" s="43" t="s">
        <v>553</v>
      </c>
    </row>
    <row r="168" spans="1:3" ht="68.25" thickBot="1" x14ac:dyDescent="0.35">
      <c r="A168" s="41" t="s">
        <v>554</v>
      </c>
      <c r="B168" s="39" t="s">
        <v>555</v>
      </c>
      <c r="C168" s="40" t="s">
        <v>556</v>
      </c>
    </row>
    <row r="169" spans="1:3" ht="54.75" thickBot="1" x14ac:dyDescent="0.35">
      <c r="A169" s="41" t="s">
        <v>557</v>
      </c>
      <c r="B169" s="42" t="s">
        <v>558</v>
      </c>
      <c r="C169" s="43" t="s">
        <v>559</v>
      </c>
    </row>
    <row r="170" spans="1:3" ht="54.75" thickBot="1" x14ac:dyDescent="0.35">
      <c r="A170" s="41" t="s">
        <v>560</v>
      </c>
      <c r="B170" s="39" t="s">
        <v>561</v>
      </c>
      <c r="C170" s="40" t="s">
        <v>562</v>
      </c>
    </row>
    <row r="171" spans="1:3" ht="54.75" thickBot="1" x14ac:dyDescent="0.35">
      <c r="A171" s="42" t="s">
        <v>563</v>
      </c>
      <c r="B171" s="42" t="s">
        <v>564</v>
      </c>
      <c r="C171" s="43" t="s">
        <v>565</v>
      </c>
    </row>
    <row r="172" spans="1:3" ht="81.75" thickBot="1" x14ac:dyDescent="0.35">
      <c r="A172" s="41" t="s">
        <v>566</v>
      </c>
      <c r="B172" s="39" t="s">
        <v>567</v>
      </c>
      <c r="C172" s="40" t="s">
        <v>568</v>
      </c>
    </row>
    <row r="173" spans="1:3" ht="54.75" thickBot="1" x14ac:dyDescent="0.35">
      <c r="A173" s="41" t="s">
        <v>569</v>
      </c>
      <c r="B173" s="42" t="s">
        <v>570</v>
      </c>
      <c r="C173" s="43" t="s">
        <v>571</v>
      </c>
    </row>
    <row r="174" spans="1:3" ht="54.75" thickBot="1" x14ac:dyDescent="0.35">
      <c r="A174" s="41" t="s">
        <v>572</v>
      </c>
      <c r="B174" s="39" t="s">
        <v>573</v>
      </c>
      <c r="C174" s="40" t="s">
        <v>574</v>
      </c>
    </row>
    <row r="175" spans="1:3" ht="54.75" thickBot="1" x14ac:dyDescent="0.35">
      <c r="A175" s="41" t="s">
        <v>575</v>
      </c>
      <c r="B175" s="42" t="s">
        <v>576</v>
      </c>
      <c r="C175" s="43" t="s">
        <v>577</v>
      </c>
    </row>
    <row r="176" spans="1:3" ht="54.75" thickBot="1" x14ac:dyDescent="0.35">
      <c r="A176" s="41" t="s">
        <v>578</v>
      </c>
      <c r="B176" s="39" t="s">
        <v>579</v>
      </c>
      <c r="C176" s="40" t="s">
        <v>580</v>
      </c>
    </row>
    <row r="177" spans="1:3" ht="41.25" thickBot="1" x14ac:dyDescent="0.35">
      <c r="A177" s="41" t="s">
        <v>581</v>
      </c>
      <c r="B177" s="42" t="s">
        <v>582</v>
      </c>
      <c r="C177" s="43" t="s">
        <v>583</v>
      </c>
    </row>
    <row r="178" spans="1:3" ht="54.75" thickBot="1" x14ac:dyDescent="0.35">
      <c r="A178" s="41" t="s">
        <v>584</v>
      </c>
      <c r="B178" s="39" t="s">
        <v>585</v>
      </c>
      <c r="C178" s="40" t="s">
        <v>586</v>
      </c>
    </row>
    <row r="179" spans="1:3" ht="54.75" thickBot="1" x14ac:dyDescent="0.35">
      <c r="A179" s="41" t="s">
        <v>587</v>
      </c>
      <c r="B179" s="42" t="s">
        <v>588</v>
      </c>
      <c r="C179" s="43" t="s">
        <v>589</v>
      </c>
    </row>
    <row r="180" spans="1:3" ht="54.75" thickBot="1" x14ac:dyDescent="0.35">
      <c r="A180" s="41" t="s">
        <v>590</v>
      </c>
      <c r="B180" s="39" t="s">
        <v>591</v>
      </c>
      <c r="C180" s="40" t="s">
        <v>592</v>
      </c>
    </row>
    <row r="181" spans="1:3" ht="41.25" thickBot="1" x14ac:dyDescent="0.35">
      <c r="A181" s="41" t="s">
        <v>581</v>
      </c>
      <c r="B181" s="42" t="s">
        <v>593</v>
      </c>
      <c r="C181" s="43" t="s">
        <v>583</v>
      </c>
    </row>
    <row r="182" spans="1:3" ht="54.75" thickBot="1" x14ac:dyDescent="0.35">
      <c r="A182" s="39" t="s">
        <v>594</v>
      </c>
      <c r="B182" s="39" t="s">
        <v>595</v>
      </c>
      <c r="C182" s="40" t="s">
        <v>596</v>
      </c>
    </row>
    <row r="183" spans="1:3" ht="54.75" thickBot="1" x14ac:dyDescent="0.35">
      <c r="A183" s="41" t="s">
        <v>597</v>
      </c>
      <c r="B183" s="42" t="s">
        <v>598</v>
      </c>
      <c r="C183" s="43" t="s">
        <v>599</v>
      </c>
    </row>
    <row r="184" spans="1:3" ht="41.25" thickBot="1" x14ac:dyDescent="0.35">
      <c r="A184" s="39" t="s">
        <v>600</v>
      </c>
      <c r="B184" s="39" t="s">
        <v>601</v>
      </c>
      <c r="C184" s="40" t="s">
        <v>602</v>
      </c>
    </row>
    <row r="185" spans="1:3" ht="54.75" thickBot="1" x14ac:dyDescent="0.35">
      <c r="A185" s="41" t="s">
        <v>603</v>
      </c>
      <c r="B185" s="42" t="s">
        <v>604</v>
      </c>
      <c r="C185" s="43" t="s">
        <v>605</v>
      </c>
    </row>
    <row r="186" spans="1:3" ht="54.75" thickBot="1" x14ac:dyDescent="0.35">
      <c r="A186" s="41" t="s">
        <v>606</v>
      </c>
      <c r="B186" s="39" t="s">
        <v>607</v>
      </c>
      <c r="C186" s="40" t="s">
        <v>608</v>
      </c>
    </row>
    <row r="187" spans="1:3" ht="54.75" thickBot="1" x14ac:dyDescent="0.35">
      <c r="A187" s="42" t="s">
        <v>609</v>
      </c>
      <c r="B187" s="42" t="s">
        <v>610</v>
      </c>
      <c r="C187" s="43" t="s">
        <v>611</v>
      </c>
    </row>
    <row r="188" spans="1:3" ht="54.75" thickBot="1" x14ac:dyDescent="0.35">
      <c r="A188" s="39" t="s">
        <v>612</v>
      </c>
      <c r="B188" s="39" t="s">
        <v>613</v>
      </c>
      <c r="C188" s="40" t="s">
        <v>614</v>
      </c>
    </row>
    <row r="189" spans="1:3" ht="41.25" thickBot="1" x14ac:dyDescent="0.35">
      <c r="A189" s="41" t="s">
        <v>615</v>
      </c>
      <c r="B189" s="42" t="s">
        <v>616</v>
      </c>
      <c r="C189" s="43" t="s">
        <v>617</v>
      </c>
    </row>
    <row r="190" spans="1:3" ht="54.75" thickBot="1" x14ac:dyDescent="0.35">
      <c r="A190" s="39" t="s">
        <v>618</v>
      </c>
      <c r="B190" s="39" t="s">
        <v>619</v>
      </c>
      <c r="C190" s="40" t="s">
        <v>620</v>
      </c>
    </row>
    <row r="191" spans="1:3" ht="54.75" thickBot="1" x14ac:dyDescent="0.35">
      <c r="A191" s="41" t="s">
        <v>621</v>
      </c>
      <c r="B191" s="42" t="s">
        <v>622</v>
      </c>
      <c r="C191" s="43" t="s">
        <v>623</v>
      </c>
    </row>
    <row r="192" spans="1:3" ht="68.25" thickBot="1" x14ac:dyDescent="0.35">
      <c r="A192" s="41" t="s">
        <v>624</v>
      </c>
      <c r="B192" s="39" t="s">
        <v>625</v>
      </c>
      <c r="C192" s="40" t="s">
        <v>626</v>
      </c>
    </row>
    <row r="193" spans="1:3" ht="68.25" thickBot="1" x14ac:dyDescent="0.35">
      <c r="A193" s="41" t="s">
        <v>627</v>
      </c>
      <c r="B193" s="42" t="s">
        <v>628</v>
      </c>
      <c r="C193" s="43" t="s">
        <v>629</v>
      </c>
    </row>
    <row r="194" spans="1:3" ht="68.25" thickBot="1" x14ac:dyDescent="0.35">
      <c r="A194" s="41" t="s">
        <v>630</v>
      </c>
      <c r="B194" s="39" t="s">
        <v>631</v>
      </c>
      <c r="C194" s="40" t="s">
        <v>632</v>
      </c>
    </row>
    <row r="195" spans="1:3" ht="54.75" thickBot="1" x14ac:dyDescent="0.35">
      <c r="A195" s="41" t="s">
        <v>633</v>
      </c>
      <c r="B195" s="42" t="s">
        <v>634</v>
      </c>
      <c r="C195" s="43" t="s">
        <v>635</v>
      </c>
    </row>
    <row r="196" spans="1:3" ht="54.75" thickBot="1" x14ac:dyDescent="0.35">
      <c r="A196" s="41" t="s">
        <v>636</v>
      </c>
      <c r="B196" s="39" t="s">
        <v>637</v>
      </c>
      <c r="C196" s="40" t="s">
        <v>638</v>
      </c>
    </row>
    <row r="197" spans="1:3" ht="68.25" thickBot="1" x14ac:dyDescent="0.35">
      <c r="A197" s="41" t="s">
        <v>639</v>
      </c>
      <c r="B197" s="42" t="s">
        <v>640</v>
      </c>
      <c r="C197" s="43" t="s">
        <v>641</v>
      </c>
    </row>
    <row r="198" spans="1:3" ht="68.25" thickBot="1" x14ac:dyDescent="0.35">
      <c r="A198" s="41" t="s">
        <v>642</v>
      </c>
      <c r="B198" s="39" t="s">
        <v>643</v>
      </c>
      <c r="C198" s="40" t="s">
        <v>644</v>
      </c>
    </row>
    <row r="199" spans="1:3" ht="68.25" thickBot="1" x14ac:dyDescent="0.35">
      <c r="A199" s="41" t="s">
        <v>645</v>
      </c>
      <c r="B199" s="42" t="s">
        <v>646</v>
      </c>
      <c r="C199" s="43" t="s">
        <v>647</v>
      </c>
    </row>
    <row r="200" spans="1:3" ht="68.25" thickBot="1" x14ac:dyDescent="0.35">
      <c r="A200" s="41" t="s">
        <v>648</v>
      </c>
      <c r="B200" s="39" t="s">
        <v>649</v>
      </c>
      <c r="C200" s="40" t="s">
        <v>650</v>
      </c>
    </row>
    <row r="201" spans="1:3" ht="41.25" thickBot="1" x14ac:dyDescent="0.35">
      <c r="A201" s="42" t="s">
        <v>651</v>
      </c>
      <c r="B201" s="42" t="s">
        <v>652</v>
      </c>
      <c r="C201" s="43" t="s">
        <v>653</v>
      </c>
    </row>
    <row r="202" spans="1:3" ht="41.25" thickBot="1" x14ac:dyDescent="0.35">
      <c r="A202" s="41" t="s">
        <v>654</v>
      </c>
      <c r="B202" s="39" t="s">
        <v>655</v>
      </c>
      <c r="C202" s="40" t="s">
        <v>656</v>
      </c>
    </row>
    <row r="203" spans="1:3" ht="54.75" thickBot="1" x14ac:dyDescent="0.35">
      <c r="A203" s="42" t="s">
        <v>657</v>
      </c>
      <c r="B203" s="42" t="s">
        <v>658</v>
      </c>
      <c r="C203" s="43" t="s">
        <v>659</v>
      </c>
    </row>
    <row r="204" spans="1:3" ht="54.75" thickBot="1" x14ac:dyDescent="0.35">
      <c r="A204" s="41" t="s">
        <v>660</v>
      </c>
      <c r="B204" s="39" t="s">
        <v>661</v>
      </c>
      <c r="C204" s="40" t="s">
        <v>662</v>
      </c>
    </row>
    <row r="205" spans="1:3" ht="41.25" thickBot="1" x14ac:dyDescent="0.35">
      <c r="A205" s="41" t="s">
        <v>663</v>
      </c>
      <c r="B205" s="42" t="s">
        <v>664</v>
      </c>
      <c r="C205" s="43" t="s">
        <v>665</v>
      </c>
    </row>
    <row r="206" spans="1:3" ht="41.25" thickBot="1" x14ac:dyDescent="0.35">
      <c r="A206" s="41" t="s">
        <v>666</v>
      </c>
      <c r="B206" s="39" t="s">
        <v>667</v>
      </c>
      <c r="C206" s="40" t="s">
        <v>668</v>
      </c>
    </row>
    <row r="207" spans="1:3" ht="54.75" thickBot="1" x14ac:dyDescent="0.35">
      <c r="A207" s="42" t="s">
        <v>669</v>
      </c>
      <c r="B207" s="42" t="s">
        <v>670</v>
      </c>
      <c r="C207" s="43" t="s">
        <v>671</v>
      </c>
    </row>
    <row r="208" spans="1:3" ht="54.75" thickBot="1" x14ac:dyDescent="0.35">
      <c r="A208" s="41" t="s">
        <v>672</v>
      </c>
      <c r="B208" s="39" t="s">
        <v>673</v>
      </c>
      <c r="C208" s="40" t="s">
        <v>674</v>
      </c>
    </row>
    <row r="209" spans="1:3" ht="54.75" thickBot="1" x14ac:dyDescent="0.35">
      <c r="A209" s="41" t="s">
        <v>675</v>
      </c>
      <c r="B209" s="42" t="s">
        <v>676</v>
      </c>
      <c r="C209" s="43" t="s">
        <v>677</v>
      </c>
    </row>
    <row r="210" spans="1:3" ht="68.25" thickBot="1" x14ac:dyDescent="0.35">
      <c r="A210" s="41" t="s">
        <v>678</v>
      </c>
      <c r="B210" s="39" t="s">
        <v>679</v>
      </c>
      <c r="C210" s="40" t="s">
        <v>680</v>
      </c>
    </row>
    <row r="211" spans="1:3" ht="54.75" thickBot="1" x14ac:dyDescent="0.35">
      <c r="A211" s="42" t="s">
        <v>681</v>
      </c>
      <c r="B211" s="42" t="s">
        <v>682</v>
      </c>
      <c r="C211" s="43" t="s">
        <v>683</v>
      </c>
    </row>
    <row r="212" spans="1:3" ht="54.75" thickBot="1" x14ac:dyDescent="0.35">
      <c r="A212" s="41" t="s">
        <v>684</v>
      </c>
      <c r="B212" s="39" t="s">
        <v>685</v>
      </c>
      <c r="C212" s="40" t="s">
        <v>686</v>
      </c>
    </row>
    <row r="213" spans="1:3" ht="54.75" thickBot="1" x14ac:dyDescent="0.35">
      <c r="A213" s="41" t="s">
        <v>681</v>
      </c>
      <c r="B213" s="42" t="s">
        <v>687</v>
      </c>
      <c r="C213" s="43" t="s">
        <v>683</v>
      </c>
    </row>
    <row r="214" spans="1:3" ht="54.75" thickBot="1" x14ac:dyDescent="0.35">
      <c r="A214" s="41" t="s">
        <v>688</v>
      </c>
      <c r="B214" s="39" t="s">
        <v>689</v>
      </c>
      <c r="C214" s="40" t="s">
        <v>690</v>
      </c>
    </row>
    <row r="215" spans="1:3" ht="41.25" thickBot="1" x14ac:dyDescent="0.35">
      <c r="A215" s="41" t="s">
        <v>691</v>
      </c>
      <c r="B215" s="42" t="s">
        <v>692</v>
      </c>
      <c r="C215" s="43" t="s">
        <v>693</v>
      </c>
    </row>
    <row r="216" spans="1:3" ht="54.75" thickBot="1" x14ac:dyDescent="0.35">
      <c r="A216" s="41" t="s">
        <v>694</v>
      </c>
      <c r="B216" s="39" t="s">
        <v>695</v>
      </c>
      <c r="C216" s="40" t="s">
        <v>696</v>
      </c>
    </row>
    <row r="217" spans="1:3" ht="54.75" thickBot="1" x14ac:dyDescent="0.35">
      <c r="A217" s="41" t="s">
        <v>697</v>
      </c>
      <c r="B217" s="42" t="s">
        <v>698</v>
      </c>
      <c r="C217" s="43" t="s">
        <v>699</v>
      </c>
    </row>
    <row r="218" spans="1:3" ht="54.75" thickBot="1" x14ac:dyDescent="0.35">
      <c r="A218" s="41" t="s">
        <v>700</v>
      </c>
      <c r="B218" s="39" t="s">
        <v>701</v>
      </c>
      <c r="C218" s="40" t="s">
        <v>702</v>
      </c>
    </row>
    <row r="219" spans="1:3" ht="41.25" thickBot="1" x14ac:dyDescent="0.35">
      <c r="A219" s="41" t="s">
        <v>703</v>
      </c>
      <c r="B219" s="42" t="s">
        <v>704</v>
      </c>
      <c r="C219" s="43" t="s">
        <v>705</v>
      </c>
    </row>
    <row r="220" spans="1:3" ht="41.25" thickBot="1" x14ac:dyDescent="0.35">
      <c r="A220" s="41" t="s">
        <v>706</v>
      </c>
      <c r="B220" s="39" t="s">
        <v>707</v>
      </c>
      <c r="C220" s="40" t="s">
        <v>708</v>
      </c>
    </row>
    <row r="221" spans="1:3" ht="54.75" thickBot="1" x14ac:dyDescent="0.35">
      <c r="A221" s="41" t="s">
        <v>709</v>
      </c>
      <c r="B221" s="42" t="s">
        <v>710</v>
      </c>
      <c r="C221" s="43" t="s">
        <v>711</v>
      </c>
    </row>
    <row r="222" spans="1:3" ht="54.75" thickBot="1" x14ac:dyDescent="0.35">
      <c r="A222" s="41" t="s">
        <v>712</v>
      </c>
      <c r="B222" s="39" t="s">
        <v>713</v>
      </c>
      <c r="C222" s="40" t="s">
        <v>714</v>
      </c>
    </row>
    <row r="223" spans="1:3" ht="54.75" thickBot="1" x14ac:dyDescent="0.35">
      <c r="A223" s="41" t="s">
        <v>715</v>
      </c>
      <c r="B223" s="42" t="s">
        <v>716</v>
      </c>
      <c r="C223" s="43" t="s">
        <v>717</v>
      </c>
    </row>
    <row r="224" spans="1:3" ht="54.75" thickBot="1" x14ac:dyDescent="0.35">
      <c r="A224" s="41" t="s">
        <v>718</v>
      </c>
      <c r="B224" s="39" t="s">
        <v>719</v>
      </c>
      <c r="C224" s="40" t="s">
        <v>720</v>
      </c>
    </row>
    <row r="225" spans="1:3" ht="54.75" thickBot="1" x14ac:dyDescent="0.35">
      <c r="A225" s="41" t="s">
        <v>721</v>
      </c>
      <c r="B225" s="42" t="s">
        <v>722</v>
      </c>
      <c r="C225" s="43" t="s">
        <v>723</v>
      </c>
    </row>
    <row r="226" spans="1:3" ht="54.75" thickBot="1" x14ac:dyDescent="0.35">
      <c r="A226" s="41" t="s">
        <v>724</v>
      </c>
      <c r="B226" s="39" t="s">
        <v>725</v>
      </c>
      <c r="C226" s="40" t="s">
        <v>726</v>
      </c>
    </row>
    <row r="227" spans="1:3" ht="54.75" thickBot="1" x14ac:dyDescent="0.35">
      <c r="A227" s="41" t="s">
        <v>727</v>
      </c>
      <c r="B227" s="42" t="s">
        <v>728</v>
      </c>
      <c r="C227" s="43" t="s">
        <v>729</v>
      </c>
    </row>
    <row r="228" spans="1:3" ht="54.75" thickBot="1" x14ac:dyDescent="0.35">
      <c r="A228" s="41" t="s">
        <v>730</v>
      </c>
      <c r="B228" s="39" t="s">
        <v>731</v>
      </c>
      <c r="C228" s="40" t="s">
        <v>732</v>
      </c>
    </row>
    <row r="229" spans="1:3" ht="41.25" thickBot="1" x14ac:dyDescent="0.35">
      <c r="A229" s="42" t="s">
        <v>733</v>
      </c>
      <c r="B229" s="42" t="s">
        <v>734</v>
      </c>
      <c r="C229" s="43" t="s">
        <v>735</v>
      </c>
    </row>
    <row r="230" spans="1:3" ht="41.25" thickBot="1" x14ac:dyDescent="0.35">
      <c r="A230" s="41" t="s">
        <v>736</v>
      </c>
      <c r="B230" s="39" t="s">
        <v>737</v>
      </c>
      <c r="C230" s="40" t="s">
        <v>738</v>
      </c>
    </row>
    <row r="231" spans="1:3" ht="54.75" thickBot="1" x14ac:dyDescent="0.35">
      <c r="A231" s="41" t="s">
        <v>739</v>
      </c>
      <c r="B231" s="42" t="s">
        <v>740</v>
      </c>
      <c r="C231" s="43" t="s">
        <v>741</v>
      </c>
    </row>
    <row r="232" spans="1:3" ht="54.75" thickBot="1" x14ac:dyDescent="0.35">
      <c r="A232" s="41" t="s">
        <v>742</v>
      </c>
      <c r="B232" s="39" t="s">
        <v>743</v>
      </c>
      <c r="C232" s="40" t="s">
        <v>744</v>
      </c>
    </row>
    <row r="233" spans="1:3" ht="54.75" thickBot="1" x14ac:dyDescent="0.35">
      <c r="A233" s="41" t="s">
        <v>745</v>
      </c>
      <c r="B233" s="42" t="s">
        <v>746</v>
      </c>
      <c r="C233" s="43" t="s">
        <v>747</v>
      </c>
    </row>
    <row r="234" spans="1:3" ht="54.75" thickBot="1" x14ac:dyDescent="0.35">
      <c r="A234" s="41" t="s">
        <v>748</v>
      </c>
      <c r="B234" s="39" t="s">
        <v>749</v>
      </c>
      <c r="C234" s="40" t="s">
        <v>750</v>
      </c>
    </row>
    <row r="235" spans="1:3" ht="41.25" thickBot="1" x14ac:dyDescent="0.35">
      <c r="A235" s="41" t="s">
        <v>751</v>
      </c>
      <c r="B235" s="42" t="s">
        <v>752</v>
      </c>
      <c r="C235" s="43" t="s">
        <v>753</v>
      </c>
    </row>
    <row r="236" spans="1:3" ht="54.75" thickBot="1" x14ac:dyDescent="0.35">
      <c r="A236" s="41" t="s">
        <v>754</v>
      </c>
      <c r="B236" s="39" t="s">
        <v>755</v>
      </c>
      <c r="C236" s="40" t="s">
        <v>756</v>
      </c>
    </row>
    <row r="237" spans="1:3" ht="54.75" thickBot="1" x14ac:dyDescent="0.35">
      <c r="A237" s="41" t="s">
        <v>757</v>
      </c>
      <c r="B237" s="42" t="s">
        <v>758</v>
      </c>
      <c r="C237" s="43" t="s">
        <v>759</v>
      </c>
    </row>
    <row r="238" spans="1:3" ht="54.75" thickBot="1" x14ac:dyDescent="0.35">
      <c r="A238" s="41" t="s">
        <v>760</v>
      </c>
      <c r="B238" s="39" t="s">
        <v>761</v>
      </c>
      <c r="C238" s="40" t="s">
        <v>762</v>
      </c>
    </row>
    <row r="239" spans="1:3" ht="41.25" thickBot="1" x14ac:dyDescent="0.35">
      <c r="A239" s="41" t="s">
        <v>736</v>
      </c>
      <c r="B239" s="42" t="s">
        <v>763</v>
      </c>
      <c r="C239" s="43" t="s">
        <v>738</v>
      </c>
    </row>
    <row r="240" spans="1:3" ht="54.75" thickBot="1" x14ac:dyDescent="0.35">
      <c r="A240" s="41" t="s">
        <v>764</v>
      </c>
      <c r="B240" s="39" t="s">
        <v>765</v>
      </c>
      <c r="C240" s="40" t="s">
        <v>766</v>
      </c>
    </row>
    <row r="241" spans="1:3" ht="54.75" thickBot="1" x14ac:dyDescent="0.35">
      <c r="A241" s="41" t="s">
        <v>767</v>
      </c>
      <c r="B241" s="42" t="s">
        <v>768</v>
      </c>
      <c r="C241" s="43" t="s">
        <v>769</v>
      </c>
    </row>
    <row r="242" spans="1:3" ht="54.75" thickBot="1" x14ac:dyDescent="0.35">
      <c r="A242" s="41" t="s">
        <v>770</v>
      </c>
      <c r="B242" s="39" t="s">
        <v>771</v>
      </c>
      <c r="C242" s="40" t="s">
        <v>772</v>
      </c>
    </row>
    <row r="243" spans="1:3" ht="54.75" thickBot="1" x14ac:dyDescent="0.35">
      <c r="A243" s="41" t="s">
        <v>773</v>
      </c>
      <c r="B243" s="42" t="s">
        <v>774</v>
      </c>
      <c r="C243" s="43" t="s">
        <v>775</v>
      </c>
    </row>
    <row r="244" spans="1:3" ht="54.75" thickBot="1" x14ac:dyDescent="0.35">
      <c r="A244" s="41" t="s">
        <v>776</v>
      </c>
      <c r="B244" s="39" t="s">
        <v>777</v>
      </c>
      <c r="C244" s="40" t="s">
        <v>778</v>
      </c>
    </row>
    <row r="245" spans="1:3" ht="54.75" thickBot="1" x14ac:dyDescent="0.35">
      <c r="A245" s="41" t="s">
        <v>739</v>
      </c>
      <c r="B245" s="42" t="s">
        <v>740</v>
      </c>
      <c r="C245" s="43" t="s">
        <v>741</v>
      </c>
    </row>
    <row r="246" spans="1:3" ht="54.75" thickBot="1" x14ac:dyDescent="0.35">
      <c r="A246" s="41" t="s">
        <v>742</v>
      </c>
      <c r="B246" s="39" t="s">
        <v>743</v>
      </c>
      <c r="C246" s="40" t="s">
        <v>744</v>
      </c>
    </row>
    <row r="247" spans="1:3" ht="54.75" thickBot="1" x14ac:dyDescent="0.35">
      <c r="A247" s="42" t="s">
        <v>779</v>
      </c>
      <c r="B247" s="42" t="s">
        <v>780</v>
      </c>
      <c r="C247" s="43" t="s">
        <v>659</v>
      </c>
    </row>
    <row r="248" spans="1:3" ht="54.75" thickBot="1" x14ac:dyDescent="0.35">
      <c r="A248" s="41" t="s">
        <v>781</v>
      </c>
      <c r="B248" s="39" t="s">
        <v>782</v>
      </c>
      <c r="C248" s="40" t="s">
        <v>783</v>
      </c>
    </row>
    <row r="249" spans="1:3" ht="54.75" thickBot="1" x14ac:dyDescent="0.35">
      <c r="A249" s="41" t="s">
        <v>784</v>
      </c>
      <c r="B249" s="42" t="s">
        <v>785</v>
      </c>
      <c r="C249" s="43" t="s">
        <v>786</v>
      </c>
    </row>
    <row r="250" spans="1:3" ht="68.25" thickBot="1" x14ac:dyDescent="0.35">
      <c r="A250" s="41" t="s">
        <v>787</v>
      </c>
      <c r="B250" s="39" t="s">
        <v>788</v>
      </c>
      <c r="C250" s="40" t="s">
        <v>789</v>
      </c>
    </row>
    <row r="251" spans="1:3" ht="54.75" thickBot="1" x14ac:dyDescent="0.35">
      <c r="A251" s="41" t="s">
        <v>790</v>
      </c>
      <c r="B251" s="42" t="s">
        <v>791</v>
      </c>
      <c r="C251" s="43" t="s">
        <v>792</v>
      </c>
    </row>
    <row r="252" spans="1:3" ht="54.75" thickBot="1" x14ac:dyDescent="0.35">
      <c r="A252" s="41" t="s">
        <v>793</v>
      </c>
      <c r="B252" s="39" t="s">
        <v>794</v>
      </c>
      <c r="C252" s="40" t="s">
        <v>795</v>
      </c>
    </row>
    <row r="253" spans="1:3" ht="54.75" thickBot="1" x14ac:dyDescent="0.35">
      <c r="A253" s="41" t="s">
        <v>796</v>
      </c>
      <c r="B253" s="42" t="s">
        <v>797</v>
      </c>
      <c r="C253" s="43" t="s">
        <v>798</v>
      </c>
    </row>
    <row r="254" spans="1:3" ht="54.75" thickBot="1" x14ac:dyDescent="0.35">
      <c r="A254" s="41" t="s">
        <v>799</v>
      </c>
      <c r="B254" s="39" t="s">
        <v>800</v>
      </c>
      <c r="C254" s="40" t="s">
        <v>801</v>
      </c>
    </row>
    <row r="255" spans="1:3" ht="54.75" thickBot="1" x14ac:dyDescent="0.35">
      <c r="A255" s="41" t="s">
        <v>802</v>
      </c>
      <c r="B255" s="42" t="s">
        <v>803</v>
      </c>
      <c r="C255" s="43" t="s">
        <v>804</v>
      </c>
    </row>
    <row r="256" spans="1:3" ht="41.25" thickBot="1" x14ac:dyDescent="0.35">
      <c r="A256" s="41" t="s">
        <v>805</v>
      </c>
      <c r="B256" s="39" t="s">
        <v>806</v>
      </c>
      <c r="C256" s="40" t="s">
        <v>807</v>
      </c>
    </row>
    <row r="257" spans="1:3" ht="54.75" thickBot="1" x14ac:dyDescent="0.35">
      <c r="A257" s="41" t="s">
        <v>808</v>
      </c>
      <c r="B257" s="42" t="s">
        <v>809</v>
      </c>
      <c r="C257" s="43" t="s">
        <v>810</v>
      </c>
    </row>
    <row r="258" spans="1:3" ht="41.25" thickBot="1" x14ac:dyDescent="0.35">
      <c r="A258" s="39" t="s">
        <v>811</v>
      </c>
      <c r="B258" s="39" t="s">
        <v>812</v>
      </c>
      <c r="C258" s="40" t="s">
        <v>813</v>
      </c>
    </row>
    <row r="259" spans="1:3" ht="41.25" thickBot="1" x14ac:dyDescent="0.35">
      <c r="A259" s="41" t="s">
        <v>814</v>
      </c>
      <c r="B259" s="42" t="s">
        <v>815</v>
      </c>
      <c r="C259" s="43" t="s">
        <v>816</v>
      </c>
    </row>
    <row r="260" spans="1:3" ht="54.75" thickBot="1" x14ac:dyDescent="0.35">
      <c r="A260" s="41" t="s">
        <v>817</v>
      </c>
      <c r="B260" s="39" t="s">
        <v>818</v>
      </c>
      <c r="C260" s="40" t="s">
        <v>819</v>
      </c>
    </row>
    <row r="261" spans="1:3" ht="41.25" thickBot="1" x14ac:dyDescent="0.35">
      <c r="A261" s="41" t="s">
        <v>820</v>
      </c>
      <c r="B261" s="42" t="s">
        <v>821</v>
      </c>
      <c r="C261" s="43" t="s">
        <v>822</v>
      </c>
    </row>
    <row r="262" spans="1:3" ht="41.25" thickBot="1" x14ac:dyDescent="0.35">
      <c r="A262" s="41" t="s">
        <v>823</v>
      </c>
      <c r="B262" s="39" t="s">
        <v>824</v>
      </c>
      <c r="C262" s="40" t="s">
        <v>825</v>
      </c>
    </row>
    <row r="263" spans="1:3" ht="41.25" thickBot="1" x14ac:dyDescent="0.35">
      <c r="A263" s="41" t="s">
        <v>826</v>
      </c>
      <c r="B263" s="42" t="s">
        <v>827</v>
      </c>
      <c r="C263" s="43" t="s">
        <v>828</v>
      </c>
    </row>
    <row r="264" spans="1:3" ht="41.25" thickBot="1" x14ac:dyDescent="0.35">
      <c r="A264" s="39" t="s">
        <v>829</v>
      </c>
      <c r="B264" s="39" t="s">
        <v>830</v>
      </c>
      <c r="C264" s="40" t="s">
        <v>831</v>
      </c>
    </row>
    <row r="265" spans="1:3" ht="54.75" thickBot="1" x14ac:dyDescent="0.35">
      <c r="A265" s="41" t="s">
        <v>832</v>
      </c>
      <c r="B265" s="42" t="s">
        <v>833</v>
      </c>
      <c r="C265" s="43" t="s">
        <v>834</v>
      </c>
    </row>
    <row r="266" spans="1:3" ht="41.25" thickBot="1" x14ac:dyDescent="0.35">
      <c r="A266" s="41" t="s">
        <v>835</v>
      </c>
      <c r="B266" s="39" t="s">
        <v>836</v>
      </c>
      <c r="C266" s="40" t="s">
        <v>837</v>
      </c>
    </row>
    <row r="267" spans="1:3" ht="54.75" thickBot="1" x14ac:dyDescent="0.35">
      <c r="A267" s="41" t="s">
        <v>838</v>
      </c>
      <c r="B267" s="42" t="s">
        <v>839</v>
      </c>
      <c r="C267" s="43" t="s">
        <v>840</v>
      </c>
    </row>
    <row r="268" spans="1:3" ht="54.75" thickBot="1" x14ac:dyDescent="0.35">
      <c r="A268" s="41" t="s">
        <v>841</v>
      </c>
      <c r="B268" s="39" t="s">
        <v>842</v>
      </c>
      <c r="C268" s="40" t="s">
        <v>843</v>
      </c>
    </row>
    <row r="269" spans="1:3" ht="54.75" thickBot="1" x14ac:dyDescent="0.35">
      <c r="A269" s="41" t="s">
        <v>844</v>
      </c>
      <c r="B269" s="42" t="s">
        <v>845</v>
      </c>
      <c r="C269" s="43" t="s">
        <v>846</v>
      </c>
    </row>
    <row r="270" spans="1:3" ht="68.25" thickBot="1" x14ac:dyDescent="0.35">
      <c r="A270" s="41" t="s">
        <v>847</v>
      </c>
      <c r="B270" s="39" t="s">
        <v>848</v>
      </c>
      <c r="C270" s="40" t="s">
        <v>849</v>
      </c>
    </row>
    <row r="271" spans="1:3" ht="54.75" thickBot="1" x14ac:dyDescent="0.35">
      <c r="A271" s="41" t="s">
        <v>850</v>
      </c>
      <c r="B271" s="42" t="s">
        <v>851</v>
      </c>
      <c r="C271" s="43" t="s">
        <v>852</v>
      </c>
    </row>
    <row r="272" spans="1:3" ht="54.75" thickBot="1" x14ac:dyDescent="0.35">
      <c r="A272" s="41" t="s">
        <v>853</v>
      </c>
      <c r="B272" s="39" t="s">
        <v>854</v>
      </c>
      <c r="C272" s="40" t="s">
        <v>855</v>
      </c>
    </row>
    <row r="273" spans="1:3" ht="54.75" thickBot="1" x14ac:dyDescent="0.35">
      <c r="A273" s="41" t="s">
        <v>856</v>
      </c>
      <c r="B273" s="42" t="s">
        <v>857</v>
      </c>
      <c r="C273" s="43" t="s">
        <v>858</v>
      </c>
    </row>
    <row r="274" spans="1:3" ht="54.75" thickBot="1" x14ac:dyDescent="0.35">
      <c r="A274" s="41" t="s">
        <v>859</v>
      </c>
      <c r="B274" s="39" t="s">
        <v>860</v>
      </c>
      <c r="C274" s="40" t="s">
        <v>861</v>
      </c>
    </row>
    <row r="275" spans="1:3" ht="54.75" thickBot="1" x14ac:dyDescent="0.35">
      <c r="A275" s="41" t="s">
        <v>862</v>
      </c>
      <c r="B275" s="42" t="s">
        <v>863</v>
      </c>
      <c r="C275" s="43" t="s">
        <v>864</v>
      </c>
    </row>
    <row r="276" spans="1:3" ht="54.75" thickBot="1" x14ac:dyDescent="0.35">
      <c r="A276" s="41" t="s">
        <v>865</v>
      </c>
      <c r="B276" s="39" t="s">
        <v>866</v>
      </c>
      <c r="C276" s="40" t="s">
        <v>867</v>
      </c>
    </row>
    <row r="277" spans="1:3" ht="54.75" thickBot="1" x14ac:dyDescent="0.35">
      <c r="A277" s="41" t="s">
        <v>832</v>
      </c>
      <c r="B277" s="42" t="s">
        <v>868</v>
      </c>
      <c r="C277" s="43" t="s">
        <v>834</v>
      </c>
    </row>
    <row r="278" spans="1:3" ht="41.25" thickBot="1" x14ac:dyDescent="0.35">
      <c r="A278" s="41" t="s">
        <v>869</v>
      </c>
      <c r="B278" s="39" t="s">
        <v>870</v>
      </c>
      <c r="C278" s="40" t="s">
        <v>871</v>
      </c>
    </row>
    <row r="279" spans="1:3" ht="54.75" thickBot="1" x14ac:dyDescent="0.35">
      <c r="A279" s="41" t="s">
        <v>872</v>
      </c>
      <c r="B279" s="42" t="s">
        <v>873</v>
      </c>
      <c r="C279" s="43" t="s">
        <v>874</v>
      </c>
    </row>
    <row r="280" spans="1:3" ht="54.75" thickBot="1" x14ac:dyDescent="0.35">
      <c r="A280" s="41" t="s">
        <v>875</v>
      </c>
      <c r="B280" s="39" t="s">
        <v>876</v>
      </c>
      <c r="C280" s="40" t="s">
        <v>877</v>
      </c>
    </row>
    <row r="281" spans="1:3" ht="68.25" thickBot="1" x14ac:dyDescent="0.35">
      <c r="A281" s="41" t="s">
        <v>878</v>
      </c>
      <c r="B281" s="42" t="s">
        <v>879</v>
      </c>
      <c r="C281" s="43" t="s">
        <v>880</v>
      </c>
    </row>
    <row r="282" spans="1:3" ht="54.75" thickBot="1" x14ac:dyDescent="0.35">
      <c r="A282" s="41" t="s">
        <v>881</v>
      </c>
      <c r="B282" s="39" t="s">
        <v>882</v>
      </c>
      <c r="C282" s="40" t="s">
        <v>883</v>
      </c>
    </row>
    <row r="283" spans="1:3" ht="68.25" thickBot="1" x14ac:dyDescent="0.35">
      <c r="A283" s="41" t="s">
        <v>884</v>
      </c>
      <c r="B283" s="42" t="s">
        <v>885</v>
      </c>
      <c r="C283" s="43" t="s">
        <v>886</v>
      </c>
    </row>
    <row r="284" spans="1:3" ht="41.25" thickBot="1" x14ac:dyDescent="0.35">
      <c r="A284" s="41" t="s">
        <v>887</v>
      </c>
      <c r="B284" s="39" t="s">
        <v>888</v>
      </c>
      <c r="C284" s="40" t="s">
        <v>889</v>
      </c>
    </row>
    <row r="285" spans="1:3" ht="54.75" thickBot="1" x14ac:dyDescent="0.35">
      <c r="A285" s="41" t="s">
        <v>890</v>
      </c>
      <c r="B285" s="42" t="s">
        <v>891</v>
      </c>
      <c r="C285" s="43" t="s">
        <v>892</v>
      </c>
    </row>
    <row r="286" spans="1:3" ht="54.75" thickBot="1" x14ac:dyDescent="0.35">
      <c r="A286" s="41" t="s">
        <v>893</v>
      </c>
      <c r="B286" s="39" t="s">
        <v>894</v>
      </c>
      <c r="C286" s="40" t="s">
        <v>895</v>
      </c>
    </row>
    <row r="287" spans="1:3" ht="54.75" thickBot="1" x14ac:dyDescent="0.35">
      <c r="A287" s="41" t="s">
        <v>896</v>
      </c>
      <c r="B287" s="42" t="s">
        <v>897</v>
      </c>
      <c r="C287" s="43" t="s">
        <v>898</v>
      </c>
    </row>
    <row r="288" spans="1:3" ht="54.75" thickBot="1" x14ac:dyDescent="0.35">
      <c r="A288" s="41" t="s">
        <v>899</v>
      </c>
      <c r="B288" s="39" t="s">
        <v>900</v>
      </c>
      <c r="C288" s="40" t="s">
        <v>901</v>
      </c>
    </row>
    <row r="289" spans="1:3" ht="54.75" thickBot="1" x14ac:dyDescent="0.35">
      <c r="A289" s="41" t="s">
        <v>902</v>
      </c>
      <c r="B289" s="42" t="s">
        <v>903</v>
      </c>
      <c r="C289" s="43" t="s">
        <v>904</v>
      </c>
    </row>
    <row r="290" spans="1:3" ht="54.75" thickBot="1" x14ac:dyDescent="0.35">
      <c r="A290" s="41" t="s">
        <v>905</v>
      </c>
      <c r="B290" s="39" t="s">
        <v>906</v>
      </c>
      <c r="C290" s="40" t="s">
        <v>907</v>
      </c>
    </row>
    <row r="291" spans="1:3" ht="54.75" thickBot="1" x14ac:dyDescent="0.35">
      <c r="A291" s="41" t="s">
        <v>908</v>
      </c>
      <c r="B291" s="42" t="s">
        <v>909</v>
      </c>
      <c r="C291" s="43" t="s">
        <v>910</v>
      </c>
    </row>
    <row r="292" spans="1:3" ht="54.75" thickBot="1" x14ac:dyDescent="0.35">
      <c r="A292" s="41" t="s">
        <v>911</v>
      </c>
      <c r="B292" s="39" t="s">
        <v>912</v>
      </c>
      <c r="C292" s="40" t="s">
        <v>913</v>
      </c>
    </row>
    <row r="293" spans="1:3" ht="54.75" thickBot="1" x14ac:dyDescent="0.35">
      <c r="A293" s="41" t="s">
        <v>914</v>
      </c>
      <c r="B293" s="42" t="s">
        <v>915</v>
      </c>
      <c r="C293" s="43" t="s">
        <v>916</v>
      </c>
    </row>
    <row r="294" spans="1:3" ht="54.75" thickBot="1" x14ac:dyDescent="0.35">
      <c r="A294" s="41" t="s">
        <v>917</v>
      </c>
      <c r="B294" s="39" t="s">
        <v>918</v>
      </c>
      <c r="C294" s="40" t="s">
        <v>919</v>
      </c>
    </row>
    <row r="295" spans="1:3" ht="54.75" thickBot="1" x14ac:dyDescent="0.35">
      <c r="A295" s="41" t="s">
        <v>920</v>
      </c>
      <c r="B295" s="42" t="s">
        <v>921</v>
      </c>
      <c r="C295" s="43" t="s">
        <v>922</v>
      </c>
    </row>
    <row r="296" spans="1:3" ht="54.75" thickBot="1" x14ac:dyDescent="0.35">
      <c r="A296" s="41" t="s">
        <v>923</v>
      </c>
      <c r="B296" s="39" t="s">
        <v>924</v>
      </c>
      <c r="C296" s="40" t="s">
        <v>925</v>
      </c>
    </row>
    <row r="297" spans="1:3" ht="68.25" thickBot="1" x14ac:dyDescent="0.35">
      <c r="A297" s="41" t="s">
        <v>926</v>
      </c>
      <c r="B297" s="42" t="s">
        <v>927</v>
      </c>
      <c r="C297" s="43" t="s">
        <v>928</v>
      </c>
    </row>
    <row r="298" spans="1:3" ht="54.75" thickBot="1" x14ac:dyDescent="0.35">
      <c r="A298" s="41" t="s">
        <v>929</v>
      </c>
      <c r="B298" s="39" t="s">
        <v>930</v>
      </c>
      <c r="C298" s="40" t="s">
        <v>931</v>
      </c>
    </row>
    <row r="299" spans="1:3" ht="54.75" thickBot="1" x14ac:dyDescent="0.35">
      <c r="A299" s="41" t="s">
        <v>932</v>
      </c>
      <c r="B299" s="42" t="s">
        <v>933</v>
      </c>
      <c r="C299" s="43" t="s">
        <v>934</v>
      </c>
    </row>
    <row r="300" spans="1:3" ht="68.25" thickBot="1" x14ac:dyDescent="0.35">
      <c r="A300" s="41" t="s">
        <v>935</v>
      </c>
      <c r="B300" s="39" t="s">
        <v>936</v>
      </c>
      <c r="C300" s="40" t="s">
        <v>937</v>
      </c>
    </row>
    <row r="301" spans="1:3" ht="68.25" thickBot="1" x14ac:dyDescent="0.35">
      <c r="A301" s="41" t="s">
        <v>938</v>
      </c>
      <c r="B301" s="42" t="s">
        <v>939</v>
      </c>
      <c r="C301" s="43" t="s">
        <v>940</v>
      </c>
    </row>
    <row r="302" spans="1:3" ht="68.25" thickBot="1" x14ac:dyDescent="0.35">
      <c r="A302" s="41" t="s">
        <v>941</v>
      </c>
      <c r="B302" s="39" t="s">
        <v>942</v>
      </c>
      <c r="C302" s="40" t="s">
        <v>943</v>
      </c>
    </row>
    <row r="303" spans="1:3" ht="54.75" thickBot="1" x14ac:dyDescent="0.35">
      <c r="A303" s="41" t="s">
        <v>944</v>
      </c>
      <c r="B303" s="42" t="s">
        <v>945</v>
      </c>
      <c r="C303" s="43" t="s">
        <v>946</v>
      </c>
    </row>
    <row r="304" spans="1:3" ht="68.25" thickBot="1" x14ac:dyDescent="0.35">
      <c r="A304" s="41" t="s">
        <v>947</v>
      </c>
      <c r="B304" s="39" t="s">
        <v>948</v>
      </c>
      <c r="C304" s="40" t="s">
        <v>949</v>
      </c>
    </row>
    <row r="305" spans="1:3" ht="54.75" thickBot="1" x14ac:dyDescent="0.35">
      <c r="A305" s="41" t="s">
        <v>950</v>
      </c>
      <c r="B305" s="42" t="s">
        <v>951</v>
      </c>
      <c r="C305" s="43" t="s">
        <v>952</v>
      </c>
    </row>
    <row r="306" spans="1:3" ht="54.75" thickBot="1" x14ac:dyDescent="0.35">
      <c r="A306" s="44" t="s">
        <v>953</v>
      </c>
      <c r="B306" s="45" t="s">
        <v>954</v>
      </c>
      <c r="C306" s="46" t="s">
        <v>955</v>
      </c>
    </row>
  </sheetData>
  <phoneticPr fontId="2" type="noConversion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3CE9D1-F9A4-4661-AA6B-CBED19281987}">
  <sheetPr codeName="shtHistory"/>
  <dimension ref="A1:B6"/>
  <sheetViews>
    <sheetView workbookViewId="0">
      <selection activeCell="E13" sqref="E13"/>
    </sheetView>
  </sheetViews>
  <sheetFormatPr defaultRowHeight="16.5" x14ac:dyDescent="0.3"/>
  <cols>
    <col min="1" max="1" width="16.625" bestFit="1" customWidth="1"/>
  </cols>
  <sheetData>
    <row r="1" spans="1:2" x14ac:dyDescent="0.3">
      <c r="A1" t="s">
        <v>1109</v>
      </c>
      <c r="B1" t="s">
        <v>1110</v>
      </c>
    </row>
    <row r="2" spans="1:2" x14ac:dyDescent="0.3">
      <c r="A2" s="48">
        <v>45722.801747685182</v>
      </c>
      <c r="B2" t="s">
        <v>1107</v>
      </c>
    </row>
    <row r="3" spans="1:2" x14ac:dyDescent="0.3">
      <c r="A3" s="48">
        <v>45723.400613425925</v>
      </c>
      <c r="B3" t="s">
        <v>1107</v>
      </c>
    </row>
    <row r="4" spans="1:2" x14ac:dyDescent="0.3">
      <c r="A4" s="48">
        <v>45723.658148148148</v>
      </c>
      <c r="B4" t="s">
        <v>1115</v>
      </c>
    </row>
    <row r="5" spans="1:2" x14ac:dyDescent="0.3">
      <c r="A5" s="48">
        <v>45723.662939814814</v>
      </c>
      <c r="B5" t="s">
        <v>1116</v>
      </c>
    </row>
    <row r="6" spans="1:2" x14ac:dyDescent="0.3">
      <c r="A6" s="48">
        <v>45723.943518518521</v>
      </c>
      <c r="B6" t="s">
        <v>1117</v>
      </c>
    </row>
  </sheetData>
  <phoneticPr fontId="2" type="noConversion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0EE6CD-27FB-4351-BACA-EE8CC1EBC950}">
  <sheetPr codeName="shtMain"/>
  <dimension ref="A1:T128"/>
  <sheetViews>
    <sheetView showGridLines="0" zoomScaleNormal="100" workbookViewId="0">
      <pane xSplit="7" ySplit="4" topLeftCell="H5" activePane="bottomRight" state="frozen"/>
      <selection activeCell="E13" sqref="E13"/>
      <selection pane="topRight" activeCell="E13" sqref="E13"/>
      <selection pane="bottomLeft" activeCell="E13" sqref="E13"/>
      <selection pane="bottomRight" activeCell="K9" sqref="K9"/>
    </sheetView>
  </sheetViews>
  <sheetFormatPr defaultColWidth="8.75" defaultRowHeight="18" customHeight="1" x14ac:dyDescent="0.3"/>
  <cols>
    <col min="1" max="1" width="3.25" style="1" customWidth="1"/>
    <col min="2" max="2" width="12.125" style="4" customWidth="1"/>
    <col min="3" max="3" width="18.375" style="3" customWidth="1"/>
    <col min="4" max="4" width="3.125" style="2" customWidth="1"/>
    <col min="5" max="7" width="9.875" style="17" customWidth="1"/>
    <col min="8" max="8" width="6.125" style="22" customWidth="1"/>
    <col min="9" max="9" width="11.375" style="17" customWidth="1"/>
    <col min="10" max="10" width="17.375" style="53" customWidth="1"/>
    <col min="11" max="11" width="13.375" style="17" customWidth="1"/>
    <col min="12" max="12" width="10.875" style="17" customWidth="1"/>
    <col min="13" max="17" width="9.75" style="25" customWidth="1"/>
    <col min="18" max="18" width="20.625" style="19" customWidth="1"/>
    <col min="19" max="19" width="8.75" style="1" customWidth="1"/>
    <col min="20" max="20" width="8.75" style="1" hidden="1" customWidth="1"/>
    <col min="21" max="21" width="8.75" style="1" customWidth="1"/>
    <col min="22" max="16384" width="8.75" style="1"/>
  </cols>
  <sheetData>
    <row r="1" spans="1:19" ht="18" customHeight="1" x14ac:dyDescent="0.3">
      <c r="A1" s="9"/>
      <c r="B1" s="10"/>
      <c r="C1" s="11"/>
      <c r="E1" s="16"/>
      <c r="F1" s="16"/>
      <c r="G1" s="16"/>
      <c r="H1" s="20"/>
      <c r="I1" s="16"/>
      <c r="J1" s="56"/>
      <c r="K1" s="16"/>
      <c r="L1" s="16"/>
      <c r="M1" s="23"/>
      <c r="N1" s="23"/>
      <c r="O1" s="23"/>
      <c r="P1" s="23"/>
      <c r="Q1" s="23"/>
      <c r="R1" s="16"/>
      <c r="S1" s="2"/>
    </row>
    <row r="2" spans="1:19" ht="25.5" customHeight="1" x14ac:dyDescent="0.3">
      <c r="E2" s="16"/>
      <c r="F2" s="16"/>
      <c r="G2" s="16"/>
      <c r="H2" s="20"/>
      <c r="I2" s="16"/>
      <c r="J2" s="56"/>
      <c r="K2" s="16"/>
      <c r="L2" s="16"/>
      <c r="M2" s="23"/>
      <c r="N2" s="23"/>
      <c r="O2" s="23"/>
      <c r="P2" s="23"/>
      <c r="Q2" s="23"/>
      <c r="R2" s="16"/>
      <c r="S2" s="2"/>
    </row>
    <row r="3" spans="1:19" ht="30.6" customHeight="1" x14ac:dyDescent="0.3">
      <c r="E3" s="16"/>
      <c r="F3" s="16"/>
      <c r="G3" s="16"/>
      <c r="H3" s="20"/>
      <c r="I3" s="16"/>
      <c r="J3" s="56"/>
      <c r="K3" s="16"/>
      <c r="L3" s="16"/>
      <c r="M3" s="23"/>
      <c r="N3" s="23"/>
      <c r="O3" s="23"/>
      <c r="P3" s="23"/>
      <c r="Q3" s="23"/>
      <c r="R3" s="16"/>
      <c r="S3" s="2"/>
    </row>
    <row r="4" spans="1:19" ht="18" customHeight="1" x14ac:dyDescent="0.3">
      <c r="B4" s="526" t="s">
        <v>12</v>
      </c>
      <c r="C4" s="527"/>
      <c r="E4" s="5" t="s">
        <v>15</v>
      </c>
      <c r="F4" s="5" t="s">
        <v>11</v>
      </c>
      <c r="G4" s="5" t="s">
        <v>51</v>
      </c>
      <c r="H4" s="21" t="s">
        <v>13</v>
      </c>
      <c r="I4" s="5" t="s">
        <v>14</v>
      </c>
      <c r="J4" s="57" t="s">
        <v>1</v>
      </c>
      <c r="K4" s="5" t="s">
        <v>0</v>
      </c>
      <c r="L4" s="5" t="s">
        <v>44</v>
      </c>
      <c r="M4" s="24" t="s">
        <v>43</v>
      </c>
      <c r="N4" s="24" t="s">
        <v>42</v>
      </c>
      <c r="O4" s="24" t="s">
        <v>16</v>
      </c>
      <c r="P4" s="24" t="s">
        <v>46</v>
      </c>
      <c r="Q4" s="24" t="s">
        <v>52</v>
      </c>
      <c r="R4" s="5" t="s">
        <v>4</v>
      </c>
      <c r="S4" s="2"/>
    </row>
    <row r="5" spans="1:19" ht="18" customHeight="1" x14ac:dyDescent="0.3">
      <c r="A5" s="26"/>
      <c r="B5" s="32" t="s">
        <v>14</v>
      </c>
      <c r="C5" s="225">
        <v>45771</v>
      </c>
      <c r="F5" s="17">
        <v>53</v>
      </c>
      <c r="G5" s="19"/>
      <c r="H5" s="19"/>
      <c r="I5" s="61"/>
      <c r="J5" s="62" t="s">
        <v>1535</v>
      </c>
      <c r="K5" s="19"/>
      <c r="L5" s="19">
        <v>450000</v>
      </c>
      <c r="M5" s="19"/>
      <c r="N5" s="19"/>
      <c r="O5" s="19"/>
      <c r="P5" s="19"/>
      <c r="Q5" s="19"/>
    </row>
    <row r="6" spans="1:19" ht="18" customHeight="1" x14ac:dyDescent="0.3">
      <c r="A6" s="26"/>
      <c r="B6" s="32" t="s">
        <v>1</v>
      </c>
      <c r="C6" s="33" t="s">
        <v>1119</v>
      </c>
      <c r="F6" s="17">
        <v>52</v>
      </c>
      <c r="G6" s="19"/>
      <c r="H6" s="19"/>
      <c r="I6" s="61"/>
      <c r="J6" s="62">
        <v>2703900</v>
      </c>
      <c r="K6" s="19"/>
      <c r="L6" s="19">
        <v>1600000</v>
      </c>
      <c r="M6" s="19"/>
      <c r="N6" s="19"/>
      <c r="O6" s="19"/>
      <c r="P6" s="19"/>
      <c r="Q6" s="19"/>
    </row>
    <row r="7" spans="1:19" ht="18" customHeight="1" x14ac:dyDescent="0.3">
      <c r="A7" s="26">
        <v>39</v>
      </c>
      <c r="B7" s="32" t="s">
        <v>0</v>
      </c>
      <c r="C7" s="55" t="s">
        <v>1120</v>
      </c>
      <c r="F7" s="17">
        <v>51</v>
      </c>
      <c r="G7" s="19"/>
      <c r="H7" s="19"/>
      <c r="I7" s="61"/>
      <c r="J7" s="62">
        <v>2703900</v>
      </c>
      <c r="K7" s="19"/>
      <c r="L7" s="19">
        <v>1600000</v>
      </c>
      <c r="M7" s="19"/>
      <c r="N7" s="19"/>
      <c r="O7" s="19"/>
      <c r="P7" s="19"/>
      <c r="Q7" s="19"/>
    </row>
    <row r="8" spans="1:19" ht="18" customHeight="1" x14ac:dyDescent="0.3">
      <c r="A8" s="26"/>
      <c r="B8" s="32" t="s">
        <v>45</v>
      </c>
      <c r="C8" s="34" t="s">
        <v>1121</v>
      </c>
      <c r="F8" s="17">
        <v>50</v>
      </c>
      <c r="G8" s="19"/>
      <c r="H8" s="19"/>
      <c r="I8" s="61"/>
      <c r="J8" s="62" t="s">
        <v>1524</v>
      </c>
      <c r="K8" s="19"/>
      <c r="L8" s="19">
        <v>250000</v>
      </c>
      <c r="M8" s="19"/>
      <c r="N8" s="19"/>
      <c r="O8" s="19"/>
      <c r="P8" s="19"/>
      <c r="Q8" s="19"/>
    </row>
    <row r="9" spans="1:19" ht="18" customHeight="1" x14ac:dyDescent="0.3">
      <c r="A9" s="26"/>
      <c r="B9" s="32"/>
      <c r="C9" s="34"/>
      <c r="F9" s="17">
        <v>49</v>
      </c>
      <c r="G9" s="19"/>
      <c r="H9" s="19"/>
      <c r="I9" s="19"/>
      <c r="J9" s="62" t="s">
        <v>1519</v>
      </c>
      <c r="K9" s="19"/>
      <c r="L9" s="19">
        <v>20000</v>
      </c>
      <c r="M9" s="19"/>
      <c r="N9" s="19"/>
      <c r="O9" s="19"/>
      <c r="P9" s="19"/>
      <c r="Q9" s="19"/>
    </row>
    <row r="10" spans="1:19" ht="18" customHeight="1" x14ac:dyDescent="0.3">
      <c r="A10" s="26"/>
      <c r="B10" s="32"/>
      <c r="C10" s="35"/>
      <c r="F10" s="17">
        <v>92</v>
      </c>
      <c r="G10" s="19"/>
      <c r="H10" s="19"/>
      <c r="I10" s="19"/>
      <c r="J10" s="62" t="s">
        <v>1730</v>
      </c>
      <c r="K10" s="19"/>
      <c r="L10" s="19">
        <v>200000</v>
      </c>
      <c r="M10" s="19"/>
      <c r="N10" s="19"/>
      <c r="O10" s="19"/>
      <c r="P10" s="19"/>
      <c r="Q10" s="19"/>
    </row>
    <row r="11" spans="1:19" ht="18" customHeight="1" x14ac:dyDescent="0.3">
      <c r="A11" s="26"/>
      <c r="B11" s="32"/>
      <c r="C11" s="36"/>
      <c r="F11" s="17">
        <v>48</v>
      </c>
      <c r="G11" s="19"/>
      <c r="H11" s="19"/>
      <c r="I11" s="19"/>
      <c r="J11" s="62" t="s">
        <v>1506</v>
      </c>
      <c r="K11" s="19"/>
      <c r="L11" s="19">
        <v>200000</v>
      </c>
      <c r="M11" s="19"/>
      <c r="N11" s="19"/>
      <c r="O11" s="19"/>
      <c r="P11" s="19"/>
      <c r="Q11" s="19"/>
    </row>
    <row r="12" spans="1:19" ht="18" customHeight="1" x14ac:dyDescent="0.3">
      <c r="B12" s="32"/>
      <c r="C12" s="36"/>
      <c r="F12" s="17">
        <v>82</v>
      </c>
      <c r="G12" s="19"/>
      <c r="H12" s="19"/>
      <c r="I12" s="19"/>
      <c r="J12" s="62" t="s">
        <v>1691</v>
      </c>
      <c r="K12" s="19"/>
      <c r="L12" s="19">
        <v>280000</v>
      </c>
      <c r="M12" s="19"/>
      <c r="N12" s="19"/>
      <c r="O12" s="19"/>
      <c r="P12" s="19"/>
      <c r="Q12" s="19"/>
    </row>
    <row r="13" spans="1:19" ht="18" customHeight="1" x14ac:dyDescent="0.3">
      <c r="B13" s="32"/>
      <c r="C13" s="36"/>
      <c r="F13" s="17">
        <v>81</v>
      </c>
      <c r="G13" s="19"/>
      <c r="H13" s="19"/>
      <c r="I13" s="19"/>
      <c r="J13" s="62" t="s">
        <v>3039</v>
      </c>
      <c r="K13" s="19"/>
      <c r="L13" s="19">
        <v>130000</v>
      </c>
      <c r="M13" s="19"/>
      <c r="N13" s="19"/>
      <c r="O13" s="19"/>
      <c r="P13" s="19"/>
      <c r="Q13" s="19"/>
    </row>
    <row r="14" spans="1:19" s="12" customFormat="1" ht="18" customHeight="1" x14ac:dyDescent="0.3">
      <c r="A14" s="14"/>
      <c r="D14" s="15"/>
      <c r="E14" s="17"/>
      <c r="F14" s="17">
        <v>80</v>
      </c>
      <c r="G14" s="19"/>
      <c r="H14" s="19"/>
      <c r="I14" s="19"/>
      <c r="J14" s="62" t="s">
        <v>2200</v>
      </c>
      <c r="K14" s="19"/>
      <c r="L14" s="19">
        <v>10000</v>
      </c>
      <c r="M14" s="19"/>
      <c r="N14" s="19"/>
      <c r="O14" s="19"/>
      <c r="P14" s="19"/>
      <c r="Q14" s="19"/>
      <c r="R14" s="19"/>
    </row>
    <row r="15" spans="1:19" s="12" customFormat="1" ht="18" customHeight="1" x14ac:dyDescent="0.3">
      <c r="A15" s="14"/>
      <c r="D15" s="15"/>
      <c r="E15" s="17"/>
      <c r="F15" s="17">
        <v>78</v>
      </c>
      <c r="G15" s="19"/>
      <c r="H15" s="19"/>
      <c r="I15" s="19"/>
      <c r="J15" s="62" t="s">
        <v>3040</v>
      </c>
      <c r="K15" s="19"/>
      <c r="L15" s="19">
        <v>20000</v>
      </c>
      <c r="M15" s="19"/>
      <c r="N15" s="19"/>
      <c r="O15" s="19"/>
      <c r="P15" s="19"/>
      <c r="Q15" s="19"/>
      <c r="R15" s="19"/>
    </row>
    <row r="16" spans="1:19" s="12" customFormat="1" ht="18" customHeight="1" x14ac:dyDescent="0.3">
      <c r="A16" s="14"/>
      <c r="D16" s="15"/>
      <c r="E16" s="17"/>
      <c r="F16" s="17">
        <v>76</v>
      </c>
      <c r="G16" s="17"/>
      <c r="H16" s="22"/>
      <c r="I16" s="18"/>
      <c r="J16" s="53" t="s">
        <v>2199</v>
      </c>
      <c r="K16" s="17"/>
      <c r="L16" s="17">
        <v>130000</v>
      </c>
      <c r="M16" s="25"/>
      <c r="N16" s="25"/>
      <c r="O16" s="25"/>
      <c r="P16" s="25"/>
      <c r="Q16" s="25"/>
      <c r="R16" s="19"/>
    </row>
    <row r="17" spans="1:18" s="12" customFormat="1" ht="18" customHeight="1" x14ac:dyDescent="0.3">
      <c r="A17" s="14"/>
      <c r="D17" s="15"/>
      <c r="E17" s="17"/>
      <c r="F17" s="17">
        <v>75</v>
      </c>
      <c r="G17" s="17"/>
      <c r="H17" s="22"/>
      <c r="I17" s="18"/>
      <c r="J17" s="53" t="s">
        <v>3041</v>
      </c>
      <c r="K17" s="17"/>
      <c r="L17" s="17">
        <v>200000</v>
      </c>
      <c r="M17" s="25"/>
      <c r="N17" s="25"/>
      <c r="O17" s="25"/>
      <c r="P17" s="25"/>
      <c r="Q17" s="25"/>
      <c r="R17" s="19"/>
    </row>
    <row r="18" spans="1:18" s="12" customFormat="1" ht="18" customHeight="1" x14ac:dyDescent="0.3">
      <c r="A18" s="14"/>
      <c r="D18" s="15"/>
      <c r="E18" s="17"/>
      <c r="F18" s="17">
        <v>47</v>
      </c>
      <c r="G18" s="17"/>
      <c r="H18" s="22"/>
      <c r="I18" s="18"/>
      <c r="J18" s="53" t="s">
        <v>2205</v>
      </c>
      <c r="K18" s="17"/>
      <c r="L18" s="17">
        <v>1600000</v>
      </c>
      <c r="M18" s="25"/>
      <c r="N18" s="25"/>
      <c r="O18" s="25"/>
      <c r="P18" s="25"/>
      <c r="Q18" s="25"/>
      <c r="R18" s="19"/>
    </row>
    <row r="19" spans="1:18" s="12" customFormat="1" ht="18" customHeight="1" x14ac:dyDescent="0.3">
      <c r="A19" s="14"/>
      <c r="D19" s="15"/>
      <c r="E19" s="17"/>
      <c r="F19" s="17">
        <v>71</v>
      </c>
      <c r="G19" s="17"/>
      <c r="H19" s="22"/>
      <c r="I19" s="18"/>
      <c r="J19" s="53" t="s">
        <v>1668</v>
      </c>
      <c r="K19" s="17"/>
      <c r="L19" s="17">
        <v>1850000</v>
      </c>
      <c r="M19" s="25"/>
      <c r="N19" s="25"/>
      <c r="O19" s="25"/>
      <c r="P19" s="25"/>
      <c r="Q19" s="25"/>
      <c r="R19" s="19"/>
    </row>
    <row r="20" spans="1:18" s="12" customFormat="1" ht="18" hidden="1" customHeight="1" x14ac:dyDescent="0.3">
      <c r="A20" s="14"/>
      <c r="D20" s="15"/>
      <c r="E20" s="17"/>
      <c r="F20" s="17">
        <v>40</v>
      </c>
      <c r="G20" s="17"/>
      <c r="H20" s="22"/>
      <c r="I20" s="18"/>
      <c r="J20" s="53" t="s">
        <v>1505</v>
      </c>
      <c r="K20" s="17"/>
      <c r="L20" s="17">
        <v>1000000</v>
      </c>
      <c r="M20" s="25"/>
      <c r="N20" s="25"/>
      <c r="O20" s="25"/>
      <c r="P20" s="25"/>
      <c r="Q20" s="25"/>
      <c r="R20" s="19"/>
    </row>
    <row r="21" spans="1:18" ht="18" hidden="1" customHeight="1" x14ac:dyDescent="0.3">
      <c r="B21" s="29"/>
      <c r="C21" s="30"/>
      <c r="D21" s="6"/>
      <c r="F21" s="17">
        <v>41</v>
      </c>
      <c r="I21" s="18"/>
      <c r="J21" s="53" t="s">
        <v>1470</v>
      </c>
      <c r="L21" s="17">
        <v>10000</v>
      </c>
    </row>
    <row r="22" spans="1:18" ht="18" hidden="1" customHeight="1" x14ac:dyDescent="0.3">
      <c r="B22" s="27"/>
      <c r="C22" s="28"/>
      <c r="D22" s="6"/>
      <c r="F22" s="17">
        <v>42</v>
      </c>
      <c r="I22" s="18"/>
      <c r="J22" s="53" t="s">
        <v>1480</v>
      </c>
      <c r="L22" s="17">
        <v>140000</v>
      </c>
    </row>
    <row r="23" spans="1:18" ht="18" hidden="1" customHeight="1" x14ac:dyDescent="0.3">
      <c r="B23" s="27"/>
      <c r="C23" s="28"/>
      <c r="D23" s="6"/>
      <c r="F23" s="17">
        <v>43</v>
      </c>
      <c r="J23" s="53" t="s">
        <v>1486</v>
      </c>
      <c r="L23" s="17">
        <v>1600000</v>
      </c>
    </row>
    <row r="24" spans="1:18" ht="18" hidden="1" customHeight="1" x14ac:dyDescent="0.3">
      <c r="B24" s="27"/>
      <c r="C24" s="28"/>
      <c r="D24" s="6"/>
      <c r="F24" s="17">
        <v>44</v>
      </c>
      <c r="J24" s="53" t="s">
        <v>2204</v>
      </c>
      <c r="L24" s="17">
        <v>1600000</v>
      </c>
    </row>
    <row r="25" spans="1:18" ht="18" hidden="1" customHeight="1" x14ac:dyDescent="0.3">
      <c r="B25" s="27"/>
      <c r="C25" s="28"/>
      <c r="F25" s="17">
        <v>45</v>
      </c>
      <c r="J25" s="53" t="s">
        <v>2189</v>
      </c>
      <c r="L25" s="17">
        <v>100000</v>
      </c>
    </row>
    <row r="26" spans="1:18" ht="18" hidden="1" customHeight="1" x14ac:dyDescent="0.3">
      <c r="B26" s="27"/>
      <c r="C26" s="28"/>
      <c r="F26" s="17">
        <v>70</v>
      </c>
      <c r="J26" s="53" t="s">
        <v>1661</v>
      </c>
      <c r="L26" s="17">
        <v>250000</v>
      </c>
    </row>
    <row r="27" spans="1:18" ht="18" hidden="1" customHeight="1" x14ac:dyDescent="0.3">
      <c r="F27" s="17">
        <v>69</v>
      </c>
      <c r="J27" s="53" t="s">
        <v>1653</v>
      </c>
      <c r="L27" s="17">
        <v>200000</v>
      </c>
    </row>
    <row r="28" spans="1:18" ht="18" hidden="1" customHeight="1" x14ac:dyDescent="0.3">
      <c r="F28" s="17">
        <v>64</v>
      </c>
      <c r="J28" s="53" t="s">
        <v>1629</v>
      </c>
      <c r="L28" s="17">
        <v>27000</v>
      </c>
    </row>
    <row r="29" spans="1:18" ht="18" customHeight="1" x14ac:dyDescent="0.3">
      <c r="F29" s="17">
        <v>2</v>
      </c>
      <c r="J29" s="53" t="s">
        <v>2195</v>
      </c>
      <c r="L29" s="17">
        <v>300000</v>
      </c>
    </row>
    <row r="30" spans="1:18" ht="18" customHeight="1" x14ac:dyDescent="0.3">
      <c r="F30" s="17">
        <v>3</v>
      </c>
      <c r="J30" s="53" t="s">
        <v>1154</v>
      </c>
      <c r="L30" s="17">
        <v>700000</v>
      </c>
    </row>
    <row r="31" spans="1:18" ht="18" customHeight="1" x14ac:dyDescent="0.3">
      <c r="F31" s="17">
        <v>124</v>
      </c>
      <c r="G31" s="18">
        <v>45771</v>
      </c>
      <c r="J31" s="53" t="s">
        <v>1919</v>
      </c>
      <c r="L31" s="17">
        <v>2000000</v>
      </c>
    </row>
    <row r="32" spans="1:18" ht="18" customHeight="1" x14ac:dyDescent="0.3">
      <c r="F32" s="17">
        <v>5</v>
      </c>
      <c r="J32" s="53" t="s">
        <v>1639</v>
      </c>
      <c r="L32" s="17">
        <v>198000</v>
      </c>
    </row>
    <row r="33" spans="6:12" ht="18" customHeight="1" x14ac:dyDescent="0.3">
      <c r="F33" s="17">
        <v>6</v>
      </c>
      <c r="J33" s="53" t="s">
        <v>1138</v>
      </c>
      <c r="L33" s="17">
        <v>12000</v>
      </c>
    </row>
    <row r="34" spans="6:12" ht="18" customHeight="1" x14ac:dyDescent="0.3">
      <c r="F34" s="17">
        <v>7</v>
      </c>
      <c r="J34" s="53" t="s">
        <v>1743</v>
      </c>
      <c r="L34" s="17">
        <v>650000</v>
      </c>
    </row>
    <row r="35" spans="6:12" ht="18" customHeight="1" x14ac:dyDescent="0.3">
      <c r="F35" s="17">
        <v>8</v>
      </c>
      <c r="J35" s="53" t="s">
        <v>1140</v>
      </c>
      <c r="L35" s="17">
        <v>1000000</v>
      </c>
    </row>
    <row r="36" spans="6:12" ht="18" customHeight="1" x14ac:dyDescent="0.3">
      <c r="F36" s="17">
        <v>120</v>
      </c>
      <c r="J36" s="53" t="s">
        <v>1893</v>
      </c>
      <c r="L36" s="17">
        <v>250000</v>
      </c>
    </row>
    <row r="37" spans="6:12" ht="18" customHeight="1" x14ac:dyDescent="0.3">
      <c r="F37" s="17">
        <v>10</v>
      </c>
      <c r="J37" s="53" t="s">
        <v>1143</v>
      </c>
      <c r="L37" s="17">
        <v>600000</v>
      </c>
    </row>
    <row r="38" spans="6:12" ht="18" customHeight="1" x14ac:dyDescent="0.3">
      <c r="F38" s="17">
        <v>11</v>
      </c>
      <c r="J38" s="53" t="s">
        <v>1144</v>
      </c>
      <c r="L38" s="17">
        <v>25000</v>
      </c>
    </row>
    <row r="39" spans="6:12" ht="18" customHeight="1" x14ac:dyDescent="0.3">
      <c r="F39" s="17">
        <v>12</v>
      </c>
      <c r="J39" s="53" t="s">
        <v>1145</v>
      </c>
      <c r="L39" s="17">
        <v>800000</v>
      </c>
    </row>
    <row r="40" spans="6:12" ht="18" customHeight="1" x14ac:dyDescent="0.3">
      <c r="F40" s="17">
        <v>65</v>
      </c>
      <c r="J40" s="53" t="s">
        <v>1636</v>
      </c>
      <c r="L40" s="17">
        <v>850000</v>
      </c>
    </row>
    <row r="41" spans="6:12" ht="18" customHeight="1" x14ac:dyDescent="0.3">
      <c r="F41" s="17">
        <v>68</v>
      </c>
      <c r="J41" s="53" t="s">
        <v>1653</v>
      </c>
      <c r="L41" s="17">
        <v>150000</v>
      </c>
    </row>
    <row r="42" spans="6:12" ht="18" customHeight="1" x14ac:dyDescent="0.3">
      <c r="F42" s="17">
        <v>17</v>
      </c>
      <c r="J42" s="53" t="s">
        <v>1108</v>
      </c>
      <c r="L42" s="17">
        <v>198000</v>
      </c>
    </row>
    <row r="43" spans="6:12" ht="18" customHeight="1" x14ac:dyDescent="0.3">
      <c r="F43" s="17">
        <v>18</v>
      </c>
      <c r="J43" s="53" t="s">
        <v>2203</v>
      </c>
      <c r="L43" s="17">
        <v>150000</v>
      </c>
    </row>
    <row r="44" spans="6:12" ht="18" customHeight="1" x14ac:dyDescent="0.3">
      <c r="F44" s="17">
        <v>19</v>
      </c>
      <c r="J44" s="53" t="s">
        <v>2201</v>
      </c>
      <c r="L44" s="17">
        <v>100000</v>
      </c>
    </row>
    <row r="45" spans="6:12" ht="18" customHeight="1" x14ac:dyDescent="0.3">
      <c r="F45" s="17">
        <v>20</v>
      </c>
      <c r="J45" s="53" t="s">
        <v>1165</v>
      </c>
      <c r="L45" s="17">
        <v>230000</v>
      </c>
    </row>
    <row r="46" spans="6:12" ht="18" customHeight="1" x14ac:dyDescent="0.3">
      <c r="F46" s="17">
        <v>21</v>
      </c>
      <c r="J46" s="53" t="s">
        <v>2185</v>
      </c>
      <c r="L46" s="17">
        <v>600000</v>
      </c>
    </row>
    <row r="47" spans="6:12" ht="18" customHeight="1" x14ac:dyDescent="0.3">
      <c r="F47" s="17">
        <v>55</v>
      </c>
      <c r="J47" s="53" t="s">
        <v>1555</v>
      </c>
      <c r="L47" s="17">
        <v>350000</v>
      </c>
    </row>
    <row r="48" spans="6:12" ht="18" customHeight="1" x14ac:dyDescent="0.3">
      <c r="F48" s="17">
        <v>66</v>
      </c>
      <c r="I48" s="17">
        <v>50228</v>
      </c>
      <c r="J48" s="53" t="s">
        <v>2190</v>
      </c>
      <c r="K48" s="17">
        <v>50228</v>
      </c>
      <c r="L48" s="17">
        <v>110000</v>
      </c>
    </row>
    <row r="49" spans="6:12" ht="18" customHeight="1" x14ac:dyDescent="0.3">
      <c r="F49" s="17">
        <v>67</v>
      </c>
      <c r="I49" s="17">
        <v>50229</v>
      </c>
      <c r="J49" s="53" t="s">
        <v>2190</v>
      </c>
      <c r="K49" s="17">
        <v>50229</v>
      </c>
      <c r="L49" s="17">
        <v>75000</v>
      </c>
    </row>
    <row r="50" spans="6:12" ht="18" customHeight="1" x14ac:dyDescent="0.3">
      <c r="F50" s="17">
        <v>89</v>
      </c>
      <c r="I50" s="17">
        <v>2800801</v>
      </c>
      <c r="J50" s="53" t="s">
        <v>1855</v>
      </c>
      <c r="K50" s="17">
        <v>2800801</v>
      </c>
      <c r="L50" s="17">
        <v>150000</v>
      </c>
    </row>
    <row r="51" spans="6:12" ht="18" customHeight="1" x14ac:dyDescent="0.3">
      <c r="F51" s="17">
        <v>88</v>
      </c>
      <c r="I51" s="17">
        <v>2800802</v>
      </c>
      <c r="J51" s="53" t="s">
        <v>1717</v>
      </c>
      <c r="K51" s="17">
        <v>2800802</v>
      </c>
      <c r="L51" s="17">
        <v>150000</v>
      </c>
    </row>
    <row r="52" spans="6:12" ht="18" customHeight="1" x14ac:dyDescent="0.3">
      <c r="F52" s="17">
        <v>101</v>
      </c>
      <c r="I52" s="17">
        <v>2801701</v>
      </c>
      <c r="J52" s="53" t="s">
        <v>1740</v>
      </c>
      <c r="K52" s="17">
        <v>2801701</v>
      </c>
      <c r="L52" s="17">
        <v>15000</v>
      </c>
    </row>
    <row r="53" spans="6:12" ht="18" customHeight="1" x14ac:dyDescent="0.3">
      <c r="F53" s="17">
        <v>102</v>
      </c>
      <c r="I53" s="17">
        <v>2801702</v>
      </c>
      <c r="J53" s="53" t="s">
        <v>1740</v>
      </c>
      <c r="K53" s="17">
        <v>2801702</v>
      </c>
      <c r="L53" s="17">
        <v>15000</v>
      </c>
    </row>
    <row r="54" spans="6:12" ht="18" customHeight="1" x14ac:dyDescent="0.3">
      <c r="F54" s="17">
        <v>16</v>
      </c>
      <c r="I54" s="17">
        <v>2820403</v>
      </c>
      <c r="J54" s="53" t="s">
        <v>2196</v>
      </c>
      <c r="K54" s="17">
        <v>2820403</v>
      </c>
      <c r="L54" s="17">
        <v>1500000</v>
      </c>
    </row>
    <row r="55" spans="6:12" ht="18" customHeight="1" x14ac:dyDescent="0.3">
      <c r="F55" s="17">
        <v>61</v>
      </c>
      <c r="I55" s="17">
        <v>2820403</v>
      </c>
      <c r="J55" s="53" t="s">
        <v>3042</v>
      </c>
      <c r="K55" s="17">
        <v>2820403</v>
      </c>
      <c r="L55" s="17">
        <v>800000</v>
      </c>
    </row>
    <row r="56" spans="6:12" ht="18" customHeight="1" x14ac:dyDescent="0.3">
      <c r="F56" s="17">
        <v>14</v>
      </c>
      <c r="I56" s="17">
        <v>2830402</v>
      </c>
      <c r="J56" s="53" t="s">
        <v>1859</v>
      </c>
      <c r="K56" s="17">
        <v>2830402</v>
      </c>
      <c r="L56" s="17">
        <v>1100000</v>
      </c>
    </row>
    <row r="57" spans="6:12" ht="18" customHeight="1" x14ac:dyDescent="0.3">
      <c r="F57" s="17">
        <v>104</v>
      </c>
      <c r="I57" s="17">
        <v>2830501</v>
      </c>
      <c r="J57" s="53" t="s">
        <v>1744</v>
      </c>
      <c r="K57" s="17">
        <v>2830501</v>
      </c>
      <c r="L57" s="17">
        <v>1550000</v>
      </c>
    </row>
    <row r="58" spans="6:12" ht="18" customHeight="1" x14ac:dyDescent="0.3">
      <c r="F58" s="17">
        <v>15</v>
      </c>
      <c r="I58" s="17">
        <v>2830506</v>
      </c>
      <c r="J58" s="53" t="s">
        <v>1151</v>
      </c>
      <c r="K58" s="17">
        <v>2830506</v>
      </c>
      <c r="L58" s="17">
        <v>1650000</v>
      </c>
    </row>
    <row r="59" spans="6:12" ht="18" customHeight="1" x14ac:dyDescent="0.3">
      <c r="F59" s="17">
        <v>99</v>
      </c>
      <c r="I59" s="17">
        <v>2830701</v>
      </c>
      <c r="J59" s="53" t="s">
        <v>1738</v>
      </c>
      <c r="K59" s="17">
        <v>2830701</v>
      </c>
      <c r="L59" s="17">
        <v>160000</v>
      </c>
    </row>
    <row r="60" spans="6:12" ht="18" customHeight="1" x14ac:dyDescent="0.3">
      <c r="F60" s="17">
        <v>100</v>
      </c>
      <c r="I60" s="17">
        <v>2830701</v>
      </c>
      <c r="J60" s="53" t="s">
        <v>1738</v>
      </c>
      <c r="K60" s="17">
        <v>2830701</v>
      </c>
      <c r="L60" s="17">
        <v>360000</v>
      </c>
    </row>
    <row r="61" spans="6:12" ht="18" customHeight="1" x14ac:dyDescent="0.3">
      <c r="F61" s="17">
        <v>97</v>
      </c>
      <c r="I61" s="17">
        <v>2850701</v>
      </c>
      <c r="J61" s="53" t="s">
        <v>1736</v>
      </c>
      <c r="K61" s="17">
        <v>2850701</v>
      </c>
      <c r="L61" s="17">
        <v>400000</v>
      </c>
    </row>
    <row r="62" spans="6:12" ht="18" customHeight="1" x14ac:dyDescent="0.3">
      <c r="F62" s="17">
        <v>74</v>
      </c>
      <c r="I62" s="17">
        <v>28111601</v>
      </c>
      <c r="J62" s="53" t="s">
        <v>3043</v>
      </c>
      <c r="K62" s="17">
        <v>28111601</v>
      </c>
      <c r="L62" s="17">
        <v>220000</v>
      </c>
    </row>
    <row r="63" spans="6:12" ht="18" customHeight="1" x14ac:dyDescent="0.3">
      <c r="F63" s="17">
        <v>1</v>
      </c>
      <c r="G63" s="18">
        <v>45778</v>
      </c>
      <c r="I63" s="17">
        <v>28120504</v>
      </c>
      <c r="J63" s="53" t="s">
        <v>2814</v>
      </c>
      <c r="K63" s="17">
        <v>28120504</v>
      </c>
      <c r="L63" s="17">
        <v>1000000</v>
      </c>
    </row>
    <row r="64" spans="6:12" ht="18" customHeight="1" x14ac:dyDescent="0.3">
      <c r="F64" s="17">
        <v>13</v>
      </c>
      <c r="I64" s="17">
        <v>415054509</v>
      </c>
      <c r="J64" s="53" t="s">
        <v>2919</v>
      </c>
      <c r="K64" s="17">
        <v>415054509</v>
      </c>
      <c r="L64" s="17">
        <v>330000</v>
      </c>
    </row>
    <row r="65" spans="6:12" ht="18" customHeight="1" x14ac:dyDescent="0.3">
      <c r="F65" s="17">
        <v>117</v>
      </c>
      <c r="I65" s="17">
        <v>415062109</v>
      </c>
      <c r="J65" s="53" t="s">
        <v>2919</v>
      </c>
      <c r="K65" s="17">
        <v>415062109</v>
      </c>
      <c r="L65" s="17">
        <v>680000</v>
      </c>
    </row>
    <row r="66" spans="6:12" ht="18" customHeight="1" x14ac:dyDescent="0.3">
      <c r="F66" s="17">
        <v>62</v>
      </c>
      <c r="I66" s="17">
        <v>415090409</v>
      </c>
      <c r="J66" s="53" t="s">
        <v>2919</v>
      </c>
      <c r="K66" s="17">
        <v>415090409</v>
      </c>
      <c r="L66" s="17">
        <v>510000</v>
      </c>
    </row>
    <row r="67" spans="6:12" ht="18" customHeight="1" x14ac:dyDescent="0.3">
      <c r="F67" s="17">
        <v>121</v>
      </c>
      <c r="I67" s="17">
        <v>501215718</v>
      </c>
      <c r="J67" s="53" t="s">
        <v>3044</v>
      </c>
      <c r="K67" s="17">
        <v>501215718</v>
      </c>
      <c r="L67" s="17">
        <v>15000</v>
      </c>
    </row>
    <row r="68" spans="6:12" ht="18" customHeight="1" x14ac:dyDescent="0.3">
      <c r="F68" s="17">
        <v>122</v>
      </c>
      <c r="I68" s="17">
        <v>501215783</v>
      </c>
      <c r="J68" s="53" t="s">
        <v>3044</v>
      </c>
      <c r="K68" s="17">
        <v>501215783</v>
      </c>
      <c r="L68" s="17">
        <v>15000</v>
      </c>
    </row>
    <row r="69" spans="6:12" ht="18" customHeight="1" x14ac:dyDescent="0.3">
      <c r="F69" s="17">
        <v>118</v>
      </c>
      <c r="I69" s="17">
        <v>501218962</v>
      </c>
      <c r="J69" s="53" t="s">
        <v>1862</v>
      </c>
      <c r="K69" s="17">
        <v>501218962</v>
      </c>
      <c r="L69" s="17">
        <v>3500000</v>
      </c>
    </row>
    <row r="70" spans="6:12" ht="18" customHeight="1" x14ac:dyDescent="0.3">
      <c r="F70" s="17">
        <v>107</v>
      </c>
      <c r="I70" s="17">
        <v>501220641</v>
      </c>
      <c r="J70" s="53" t="s">
        <v>1759</v>
      </c>
      <c r="K70" s="17">
        <v>501220641</v>
      </c>
      <c r="L70" s="17">
        <v>250000</v>
      </c>
    </row>
    <row r="71" spans="6:12" ht="18" customHeight="1" x14ac:dyDescent="0.3">
      <c r="F71" s="17">
        <v>9</v>
      </c>
      <c r="I71" s="17">
        <v>602000700</v>
      </c>
      <c r="J71" s="53" t="s">
        <v>2920</v>
      </c>
      <c r="K71" s="17">
        <v>602000700</v>
      </c>
      <c r="L71" s="17">
        <v>350000</v>
      </c>
    </row>
    <row r="72" spans="6:12" ht="18" customHeight="1" x14ac:dyDescent="0.3">
      <c r="F72" s="17">
        <v>113</v>
      </c>
      <c r="I72" s="17">
        <v>1068298044</v>
      </c>
      <c r="J72" s="53" t="s">
        <v>2091</v>
      </c>
      <c r="K72" s="17">
        <v>1068298044</v>
      </c>
      <c r="L72" s="17">
        <v>400000</v>
      </c>
    </row>
    <row r="73" spans="6:12" ht="18" customHeight="1" x14ac:dyDescent="0.3">
      <c r="F73" s="17">
        <v>111</v>
      </c>
      <c r="I73" s="17">
        <v>1068298046</v>
      </c>
      <c r="J73" s="53" t="s">
        <v>2091</v>
      </c>
      <c r="K73" s="17">
        <v>1068298046</v>
      </c>
      <c r="L73" s="17">
        <v>450000</v>
      </c>
    </row>
    <row r="74" spans="6:12" ht="18" customHeight="1" x14ac:dyDescent="0.3">
      <c r="F74" s="17">
        <v>112</v>
      </c>
      <c r="I74" s="17">
        <v>1087298388</v>
      </c>
      <c r="J74" s="53" t="s">
        <v>2833</v>
      </c>
      <c r="K74" s="17">
        <v>1087298388</v>
      </c>
      <c r="L74" s="17">
        <v>550000</v>
      </c>
    </row>
    <row r="75" spans="6:12" ht="18" customHeight="1" x14ac:dyDescent="0.3">
      <c r="F75" s="17">
        <v>79</v>
      </c>
      <c r="I75" s="17">
        <v>1087298441</v>
      </c>
      <c r="J75" s="53" t="s">
        <v>2413</v>
      </c>
      <c r="K75" s="17">
        <v>1087298441</v>
      </c>
      <c r="L75" s="17">
        <v>35000</v>
      </c>
    </row>
    <row r="76" spans="6:12" ht="18" customHeight="1" x14ac:dyDescent="0.3">
      <c r="F76" s="17">
        <v>115</v>
      </c>
      <c r="I76" s="17">
        <v>6058008122</v>
      </c>
      <c r="J76" s="53" t="s">
        <v>1829</v>
      </c>
      <c r="K76" s="17">
        <v>6058008122</v>
      </c>
      <c r="L76" s="17">
        <v>2500000</v>
      </c>
    </row>
    <row r="77" spans="6:12" ht="18" customHeight="1" x14ac:dyDescent="0.3">
      <c r="F77" s="17">
        <v>84</v>
      </c>
      <c r="I77" s="17">
        <v>24137519344</v>
      </c>
      <c r="J77" s="53" t="s">
        <v>3045</v>
      </c>
      <c r="K77" s="17">
        <v>24137519344</v>
      </c>
    </row>
    <row r="78" spans="6:12" ht="18" customHeight="1" x14ac:dyDescent="0.3">
      <c r="F78" s="17">
        <v>83</v>
      </c>
      <c r="I78" s="17">
        <v>24137542885</v>
      </c>
      <c r="J78" s="53" t="s">
        <v>3046</v>
      </c>
      <c r="K78" s="17">
        <v>24137542885</v>
      </c>
    </row>
    <row r="79" spans="6:12" ht="18" customHeight="1" x14ac:dyDescent="0.3">
      <c r="F79" s="17">
        <v>54</v>
      </c>
      <c r="I79" s="17">
        <v>24152333903</v>
      </c>
      <c r="J79" s="53" t="s">
        <v>1549</v>
      </c>
      <c r="K79" s="17">
        <v>24152333903</v>
      </c>
      <c r="L79" s="17">
        <v>50000</v>
      </c>
    </row>
    <row r="80" spans="6:12" ht="18" customHeight="1" x14ac:dyDescent="0.3">
      <c r="F80" s="17">
        <v>114</v>
      </c>
      <c r="I80" s="17">
        <v>24152333907</v>
      </c>
      <c r="J80" s="53" t="s">
        <v>1549</v>
      </c>
      <c r="K80" s="17">
        <v>24152333907</v>
      </c>
      <c r="L80" s="17">
        <v>50000</v>
      </c>
    </row>
    <row r="81" spans="6:12" ht="18" customHeight="1" x14ac:dyDescent="0.3">
      <c r="F81" s="17">
        <v>106</v>
      </c>
      <c r="I81" s="17">
        <v>24347544930</v>
      </c>
      <c r="J81" s="53" t="s">
        <v>3047</v>
      </c>
      <c r="K81" s="17">
        <v>24347544930</v>
      </c>
      <c r="L81" s="17">
        <v>250000</v>
      </c>
    </row>
    <row r="82" spans="6:12" ht="18" customHeight="1" x14ac:dyDescent="0.3">
      <c r="F82" s="17">
        <v>77</v>
      </c>
      <c r="I82" s="17" t="s">
        <v>2414</v>
      </c>
      <c r="J82" s="53" t="s">
        <v>1874</v>
      </c>
      <c r="K82" s="17" t="s">
        <v>2414</v>
      </c>
      <c r="L82" s="17">
        <v>20000</v>
      </c>
    </row>
    <row r="83" spans="6:12" ht="18" customHeight="1" x14ac:dyDescent="0.3">
      <c r="F83" s="17">
        <v>119</v>
      </c>
      <c r="I83" s="17" t="s">
        <v>1873</v>
      </c>
      <c r="J83" s="53" t="s">
        <v>1874</v>
      </c>
      <c r="K83" s="17" t="s">
        <v>1873</v>
      </c>
      <c r="L83" s="17">
        <v>10000</v>
      </c>
    </row>
    <row r="84" spans="6:12" ht="18" customHeight="1" x14ac:dyDescent="0.3">
      <c r="F84" s="17">
        <v>32</v>
      </c>
      <c r="I84" s="17" t="s">
        <v>1464</v>
      </c>
      <c r="J84" s="53" t="s">
        <v>2178</v>
      </c>
      <c r="K84" s="17" t="s">
        <v>1464</v>
      </c>
      <c r="L84" s="17">
        <v>1500000</v>
      </c>
    </row>
    <row r="85" spans="6:12" ht="18" customHeight="1" x14ac:dyDescent="0.3">
      <c r="F85" s="17">
        <v>33</v>
      </c>
      <c r="I85" s="17" t="s">
        <v>1213</v>
      </c>
      <c r="J85" s="53" t="s">
        <v>2775</v>
      </c>
      <c r="K85" s="17" t="s">
        <v>1213</v>
      </c>
      <c r="L85" s="17">
        <v>1600000</v>
      </c>
    </row>
    <row r="86" spans="6:12" ht="18" customHeight="1" x14ac:dyDescent="0.3">
      <c r="F86" s="17">
        <v>34</v>
      </c>
      <c r="I86" s="17" t="s">
        <v>3035</v>
      </c>
      <c r="J86" s="53" t="s">
        <v>2179</v>
      </c>
      <c r="K86" s="17" t="s">
        <v>3035</v>
      </c>
      <c r="L86" s="17">
        <v>2200000</v>
      </c>
    </row>
    <row r="87" spans="6:12" ht="18" customHeight="1" x14ac:dyDescent="0.3">
      <c r="F87" s="17">
        <v>72</v>
      </c>
      <c r="I87" s="17" t="s">
        <v>3036</v>
      </c>
      <c r="J87" s="53" t="s">
        <v>3048</v>
      </c>
      <c r="K87" s="17" t="s">
        <v>3036</v>
      </c>
      <c r="L87" s="17">
        <v>1500000</v>
      </c>
    </row>
    <row r="88" spans="6:12" ht="18" customHeight="1" x14ac:dyDescent="0.3">
      <c r="F88" s="17">
        <v>73</v>
      </c>
      <c r="I88" s="17" t="s">
        <v>3037</v>
      </c>
      <c r="J88" s="53" t="s">
        <v>2198</v>
      </c>
      <c r="K88" s="17" t="s">
        <v>3037</v>
      </c>
      <c r="L88" s="17">
        <v>50000</v>
      </c>
    </row>
    <row r="89" spans="6:12" ht="18" customHeight="1" x14ac:dyDescent="0.3">
      <c r="F89" s="17">
        <v>58</v>
      </c>
      <c r="I89" s="17" t="s">
        <v>2748</v>
      </c>
      <c r="J89" s="53" t="s">
        <v>2418</v>
      </c>
      <c r="K89" s="17" t="s">
        <v>2748</v>
      </c>
      <c r="L89" s="17">
        <v>1100000</v>
      </c>
    </row>
    <row r="90" spans="6:12" ht="18" customHeight="1" x14ac:dyDescent="0.3">
      <c r="F90" s="17">
        <v>95</v>
      </c>
      <c r="I90" s="17" t="s">
        <v>2012</v>
      </c>
      <c r="J90" s="53" t="s">
        <v>2193</v>
      </c>
      <c r="K90" s="17" t="s">
        <v>2012</v>
      </c>
      <c r="L90" s="17">
        <v>10000</v>
      </c>
    </row>
    <row r="91" spans="6:12" ht="18" customHeight="1" x14ac:dyDescent="0.3">
      <c r="F91" s="17">
        <v>93</v>
      </c>
      <c r="I91" s="17" t="s">
        <v>1795</v>
      </c>
      <c r="J91" s="53" t="s">
        <v>2191</v>
      </c>
      <c r="K91" s="17" t="s">
        <v>1795</v>
      </c>
      <c r="L91" s="17">
        <v>30000</v>
      </c>
    </row>
    <row r="92" spans="6:12" ht="18" customHeight="1" x14ac:dyDescent="0.3">
      <c r="F92" s="17">
        <v>30</v>
      </c>
      <c r="I92" s="17" t="s">
        <v>1207</v>
      </c>
      <c r="J92" s="53" t="s">
        <v>2187</v>
      </c>
      <c r="K92" s="17" t="s">
        <v>1207</v>
      </c>
      <c r="L92" s="17">
        <v>569000</v>
      </c>
    </row>
    <row r="93" spans="6:12" ht="18" customHeight="1" x14ac:dyDescent="0.3">
      <c r="F93" s="17">
        <v>35</v>
      </c>
      <c r="I93" s="17" t="s">
        <v>1216</v>
      </c>
      <c r="J93" s="53" t="s">
        <v>2027</v>
      </c>
      <c r="K93" s="17" t="s">
        <v>1216</v>
      </c>
      <c r="L93" s="17">
        <v>1500000</v>
      </c>
    </row>
    <row r="94" spans="6:12" ht="18" customHeight="1" x14ac:dyDescent="0.3">
      <c r="F94" s="17">
        <v>26</v>
      </c>
      <c r="I94" s="17" t="s">
        <v>1994</v>
      </c>
      <c r="J94" s="53" t="s">
        <v>1802</v>
      </c>
      <c r="K94" s="17" t="s">
        <v>1994</v>
      </c>
      <c r="L94" s="17">
        <v>1500000</v>
      </c>
    </row>
    <row r="95" spans="6:12" ht="18" customHeight="1" x14ac:dyDescent="0.3">
      <c r="F95" s="17">
        <v>90</v>
      </c>
      <c r="I95" s="17" t="s">
        <v>2217</v>
      </c>
      <c r="J95" s="53" t="s">
        <v>2182</v>
      </c>
      <c r="K95" s="17" t="s">
        <v>2217</v>
      </c>
      <c r="L95" s="17">
        <v>250000</v>
      </c>
    </row>
    <row r="96" spans="6:12" ht="18" customHeight="1" x14ac:dyDescent="0.3">
      <c r="F96" s="17">
        <v>91</v>
      </c>
      <c r="I96" s="17" t="s">
        <v>1720</v>
      </c>
      <c r="J96" s="53" t="s">
        <v>2183</v>
      </c>
      <c r="K96" s="17" t="s">
        <v>1720</v>
      </c>
      <c r="L96" s="17">
        <v>60000</v>
      </c>
    </row>
    <row r="97" spans="6:12" ht="18" customHeight="1" x14ac:dyDescent="0.3">
      <c r="F97" s="17">
        <v>103</v>
      </c>
      <c r="I97" s="17" t="s">
        <v>1803</v>
      </c>
      <c r="J97" s="53" t="s">
        <v>2181</v>
      </c>
      <c r="K97" s="17" t="s">
        <v>1803</v>
      </c>
      <c r="L97" s="17">
        <v>50000</v>
      </c>
    </row>
    <row r="98" spans="6:12" ht="18" customHeight="1" x14ac:dyDescent="0.3">
      <c r="F98" s="17">
        <v>123</v>
      </c>
      <c r="G98" s="18">
        <v>45762</v>
      </c>
      <c r="I98" s="17" t="s">
        <v>2054</v>
      </c>
      <c r="J98" s="53" t="s">
        <v>1916</v>
      </c>
      <c r="K98" s="17" t="s">
        <v>2054</v>
      </c>
      <c r="L98" s="17">
        <v>1000000</v>
      </c>
    </row>
    <row r="99" spans="6:12" ht="18" customHeight="1" x14ac:dyDescent="0.3">
      <c r="F99" s="17">
        <v>56</v>
      </c>
      <c r="I99" s="17" t="s">
        <v>1956</v>
      </c>
      <c r="J99" s="53" t="s">
        <v>2202</v>
      </c>
      <c r="K99" s="17" t="s">
        <v>1956</v>
      </c>
      <c r="L99" s="17">
        <v>1800000</v>
      </c>
    </row>
    <row r="100" spans="6:12" ht="18" customHeight="1" x14ac:dyDescent="0.3">
      <c r="F100" s="17">
        <v>94</v>
      </c>
      <c r="I100" s="17" t="s">
        <v>1822</v>
      </c>
      <c r="J100" s="53" t="s">
        <v>2192</v>
      </c>
      <c r="K100" s="17" t="s">
        <v>1822</v>
      </c>
      <c r="L100" s="17">
        <v>10000</v>
      </c>
    </row>
    <row r="101" spans="6:12" ht="18" customHeight="1" x14ac:dyDescent="0.3">
      <c r="F101" s="17">
        <v>96</v>
      </c>
      <c r="I101" s="17" t="s">
        <v>1901</v>
      </c>
      <c r="J101" s="53" t="s">
        <v>1902</v>
      </c>
      <c r="K101" s="17" t="s">
        <v>1901</v>
      </c>
      <c r="L101" s="17">
        <v>20000</v>
      </c>
    </row>
    <row r="102" spans="6:12" ht="18" customHeight="1" x14ac:dyDescent="0.3">
      <c r="F102" s="17">
        <v>38</v>
      </c>
      <c r="I102" s="17" t="s">
        <v>1259</v>
      </c>
      <c r="J102" s="53" t="s">
        <v>2188</v>
      </c>
      <c r="K102" s="17" t="s">
        <v>1259</v>
      </c>
      <c r="L102" s="17">
        <v>130000</v>
      </c>
    </row>
    <row r="103" spans="6:12" ht="18" customHeight="1" x14ac:dyDescent="0.3">
      <c r="F103" s="17">
        <v>85</v>
      </c>
      <c r="I103" s="17" t="s">
        <v>2750</v>
      </c>
      <c r="J103" s="53" t="s">
        <v>2840</v>
      </c>
      <c r="K103" s="17" t="s">
        <v>2750</v>
      </c>
      <c r="L103" s="17">
        <v>129000</v>
      </c>
    </row>
    <row r="104" spans="6:12" ht="18" customHeight="1" x14ac:dyDescent="0.3">
      <c r="F104" s="17">
        <v>25</v>
      </c>
      <c r="I104" s="17" t="s">
        <v>1201</v>
      </c>
      <c r="J104" s="53" t="s">
        <v>2180</v>
      </c>
      <c r="K104" s="17" t="s">
        <v>1201</v>
      </c>
      <c r="L104" s="17">
        <v>1500000</v>
      </c>
    </row>
    <row r="105" spans="6:12" ht="18" customHeight="1" x14ac:dyDescent="0.3">
      <c r="F105" s="17">
        <v>24</v>
      </c>
      <c r="I105" s="17" t="s">
        <v>1200</v>
      </c>
      <c r="J105" s="53" t="s">
        <v>2186</v>
      </c>
      <c r="K105" s="17" t="s">
        <v>1200</v>
      </c>
      <c r="L105" s="17">
        <v>1400000</v>
      </c>
    </row>
    <row r="106" spans="6:12" ht="18" customHeight="1" x14ac:dyDescent="0.3">
      <c r="F106" s="17">
        <v>22</v>
      </c>
      <c r="I106" s="17" t="s">
        <v>1198</v>
      </c>
      <c r="J106" s="53" t="s">
        <v>2197</v>
      </c>
      <c r="K106" s="17" t="s">
        <v>1198</v>
      </c>
      <c r="L106" s="17">
        <v>1000000</v>
      </c>
    </row>
    <row r="107" spans="6:12" ht="18" customHeight="1" x14ac:dyDescent="0.3">
      <c r="F107" s="17">
        <v>23</v>
      </c>
      <c r="I107" s="17" t="s">
        <v>1199</v>
      </c>
      <c r="J107" s="53" t="s">
        <v>2197</v>
      </c>
      <c r="K107" s="17" t="s">
        <v>1199</v>
      </c>
      <c r="L107" s="17">
        <v>1000000</v>
      </c>
    </row>
    <row r="108" spans="6:12" ht="18" customHeight="1" x14ac:dyDescent="0.3">
      <c r="F108" s="17">
        <v>108</v>
      </c>
      <c r="I108" s="17" t="s">
        <v>1763</v>
      </c>
      <c r="J108" s="53" t="s">
        <v>1764</v>
      </c>
      <c r="K108" s="17" t="s">
        <v>1763</v>
      </c>
      <c r="L108" s="17">
        <v>25000</v>
      </c>
    </row>
    <row r="109" spans="6:12" ht="18" customHeight="1" x14ac:dyDescent="0.3">
      <c r="F109" s="17">
        <v>109</v>
      </c>
      <c r="I109" s="17" t="s">
        <v>1766</v>
      </c>
      <c r="J109" s="53" t="s">
        <v>1764</v>
      </c>
      <c r="K109" s="17" t="s">
        <v>1766</v>
      </c>
      <c r="L109" s="17">
        <v>65000</v>
      </c>
    </row>
    <row r="110" spans="6:12" ht="18" customHeight="1" x14ac:dyDescent="0.3">
      <c r="F110" s="17">
        <v>37</v>
      </c>
      <c r="I110" s="17" t="s">
        <v>2876</v>
      </c>
      <c r="J110" s="53" t="s">
        <v>2384</v>
      </c>
      <c r="K110" s="17" t="s">
        <v>2876</v>
      </c>
      <c r="L110" s="17">
        <v>770000</v>
      </c>
    </row>
    <row r="111" spans="6:12" ht="18" customHeight="1" x14ac:dyDescent="0.3">
      <c r="F111" s="17">
        <v>28</v>
      </c>
      <c r="I111" s="17" t="s">
        <v>1204</v>
      </c>
      <c r="J111" s="53" t="s">
        <v>1205</v>
      </c>
      <c r="K111" s="17" t="s">
        <v>1204</v>
      </c>
      <c r="L111" s="17">
        <v>1200000</v>
      </c>
    </row>
    <row r="112" spans="6:12" ht="18" customHeight="1" x14ac:dyDescent="0.3">
      <c r="F112" s="17">
        <v>57</v>
      </c>
      <c r="I112" s="17" t="s">
        <v>1563</v>
      </c>
      <c r="J112" s="53" t="s">
        <v>1205</v>
      </c>
      <c r="K112" s="17" t="s">
        <v>1563</v>
      </c>
      <c r="L112" s="17">
        <v>1000000</v>
      </c>
    </row>
    <row r="113" spans="6:12" ht="18" customHeight="1" x14ac:dyDescent="0.3">
      <c r="F113" s="17">
        <v>31</v>
      </c>
      <c r="I113" s="17" t="s">
        <v>1563</v>
      </c>
      <c r="J113" s="53" t="s">
        <v>3049</v>
      </c>
      <c r="K113" s="17" t="s">
        <v>1563</v>
      </c>
      <c r="L113" s="17">
        <v>1300000</v>
      </c>
    </row>
    <row r="114" spans="6:12" ht="18" customHeight="1" x14ac:dyDescent="0.3">
      <c r="F114" s="17">
        <v>29</v>
      </c>
      <c r="I114" s="17" t="s">
        <v>1206</v>
      </c>
      <c r="J114" s="53" t="s">
        <v>1205</v>
      </c>
      <c r="K114" s="17" t="s">
        <v>1206</v>
      </c>
      <c r="L114" s="17">
        <v>1200000</v>
      </c>
    </row>
    <row r="115" spans="6:12" ht="18" customHeight="1" x14ac:dyDescent="0.3">
      <c r="F115" s="17">
        <v>59</v>
      </c>
      <c r="I115" s="17" t="s">
        <v>2697</v>
      </c>
      <c r="J115" s="53" t="s">
        <v>1561</v>
      </c>
      <c r="K115" s="17" t="s">
        <v>2697</v>
      </c>
      <c r="L115" s="17">
        <v>1100000</v>
      </c>
    </row>
    <row r="116" spans="6:12" ht="18" customHeight="1" x14ac:dyDescent="0.3">
      <c r="F116" s="17">
        <v>36</v>
      </c>
      <c r="I116" s="17" t="s">
        <v>1223</v>
      </c>
      <c r="J116" s="53" t="s">
        <v>1561</v>
      </c>
      <c r="K116" s="17" t="s">
        <v>1223</v>
      </c>
      <c r="L116" s="17">
        <v>1600000</v>
      </c>
    </row>
    <row r="117" spans="6:12" ht="18" customHeight="1" x14ac:dyDescent="0.3">
      <c r="F117" s="17">
        <v>110</v>
      </c>
      <c r="I117" s="17" t="s">
        <v>1768</v>
      </c>
      <c r="J117" s="53" t="s">
        <v>1561</v>
      </c>
      <c r="K117" s="17" t="s">
        <v>1768</v>
      </c>
      <c r="L117" s="17">
        <v>1400000</v>
      </c>
    </row>
    <row r="118" spans="6:12" ht="18" customHeight="1" x14ac:dyDescent="0.3">
      <c r="F118" s="17">
        <v>60</v>
      </c>
      <c r="I118" s="17" t="s">
        <v>3038</v>
      </c>
      <c r="J118" s="53" t="s">
        <v>3050</v>
      </c>
      <c r="K118" s="17" t="s">
        <v>3038</v>
      </c>
      <c r="L118" s="17">
        <v>3500000</v>
      </c>
    </row>
    <row r="119" spans="6:12" ht="18" customHeight="1" x14ac:dyDescent="0.3">
      <c r="F119" s="17">
        <v>116</v>
      </c>
      <c r="I119" s="17" t="s">
        <v>1849</v>
      </c>
      <c r="J119" s="53" t="s">
        <v>1850</v>
      </c>
      <c r="K119" s="17" t="s">
        <v>1849</v>
      </c>
      <c r="L119" s="17">
        <v>210000</v>
      </c>
    </row>
    <row r="120" spans="6:12" ht="18" customHeight="1" x14ac:dyDescent="0.3">
      <c r="F120" s="17">
        <v>27</v>
      </c>
      <c r="I120" s="17" t="s">
        <v>1361</v>
      </c>
      <c r="J120" s="53" t="s">
        <v>1203</v>
      </c>
      <c r="K120" s="17" t="s">
        <v>1361</v>
      </c>
      <c r="L120" s="17">
        <v>1400000</v>
      </c>
    </row>
    <row r="121" spans="6:12" ht="18" customHeight="1" x14ac:dyDescent="0.3">
      <c r="F121" s="17">
        <v>105</v>
      </c>
      <c r="I121" s="17" t="s">
        <v>1752</v>
      </c>
      <c r="J121" s="53" t="s">
        <v>1203</v>
      </c>
      <c r="K121" s="17" t="s">
        <v>1752</v>
      </c>
      <c r="L121" s="17">
        <v>1200000</v>
      </c>
    </row>
    <row r="122" spans="6:12" ht="18" customHeight="1" x14ac:dyDescent="0.3">
      <c r="F122" s="17">
        <v>46</v>
      </c>
      <c r="I122" s="17" t="s">
        <v>2679</v>
      </c>
      <c r="J122" s="53" t="s">
        <v>1496</v>
      </c>
      <c r="K122" s="17" t="s">
        <v>2679</v>
      </c>
      <c r="L122" s="17">
        <v>350000</v>
      </c>
    </row>
    <row r="123" spans="6:12" ht="18" customHeight="1" x14ac:dyDescent="0.3">
      <c r="F123" s="17">
        <v>87</v>
      </c>
      <c r="I123" s="17" t="s">
        <v>1715</v>
      </c>
      <c r="J123" s="53" t="s">
        <v>1716</v>
      </c>
      <c r="K123" s="17" t="s">
        <v>1715</v>
      </c>
      <c r="L123" s="17">
        <v>20000</v>
      </c>
    </row>
    <row r="124" spans="6:12" ht="18" customHeight="1" x14ac:dyDescent="0.3">
      <c r="F124" s="17">
        <v>39</v>
      </c>
      <c r="I124" s="17" t="s">
        <v>1265</v>
      </c>
      <c r="J124" s="53" t="s">
        <v>1266</v>
      </c>
      <c r="K124" s="17" t="s">
        <v>1265</v>
      </c>
      <c r="L124" s="17">
        <v>50000</v>
      </c>
    </row>
    <row r="125" spans="6:12" ht="18" customHeight="1" x14ac:dyDescent="0.3">
      <c r="F125" s="17">
        <v>86</v>
      </c>
      <c r="I125" s="17" t="s">
        <v>1704</v>
      </c>
      <c r="J125" s="53" t="s">
        <v>1705</v>
      </c>
      <c r="K125" s="17" t="s">
        <v>1704</v>
      </c>
      <c r="L125" s="17">
        <v>50000</v>
      </c>
    </row>
    <row r="126" spans="6:12" ht="18" customHeight="1" x14ac:dyDescent="0.3">
      <c r="F126" s="17">
        <v>4</v>
      </c>
      <c r="I126" s="17" t="s">
        <v>1952</v>
      </c>
      <c r="J126" s="53" t="s">
        <v>3051</v>
      </c>
      <c r="K126" s="17" t="s">
        <v>1952</v>
      </c>
      <c r="L126" s="17">
        <v>1000000</v>
      </c>
    </row>
    <row r="127" spans="6:12" ht="18" customHeight="1" x14ac:dyDescent="0.3">
      <c r="F127" s="17">
        <v>63</v>
      </c>
      <c r="I127" s="17" t="s">
        <v>1626</v>
      </c>
      <c r="J127" s="53" t="s">
        <v>1627</v>
      </c>
      <c r="K127" s="17" t="s">
        <v>1626</v>
      </c>
      <c r="L127" s="17">
        <v>12000</v>
      </c>
    </row>
    <row r="128" spans="6:12" ht="18" customHeight="1" x14ac:dyDescent="0.3">
      <c r="F128" s="17">
        <v>98</v>
      </c>
      <c r="I128" s="17" t="s">
        <v>2834</v>
      </c>
      <c r="J128" s="53" t="s">
        <v>1737</v>
      </c>
      <c r="K128" s="17" t="s">
        <v>2834</v>
      </c>
      <c r="L128" s="17">
        <v>450000</v>
      </c>
    </row>
  </sheetData>
  <mergeCells count="1">
    <mergeCell ref="B4:C4"/>
  </mergeCells>
  <phoneticPr fontId="2" type="noConversion"/>
  <pageMargins left="0.7" right="0.7" top="0.75" bottom="0.75" header="0.3" footer="0.3"/>
  <pageSetup paperSize="9" orientation="portrait" horizontalDpi="4294967293" verticalDpi="0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CCF176-0C35-4B90-8F0C-241819F59EE4}">
  <sheetPr codeName="Sheet11"/>
  <dimension ref="A1:R23"/>
  <sheetViews>
    <sheetView workbookViewId="0">
      <selection activeCell="S18" sqref="S18"/>
    </sheetView>
  </sheetViews>
  <sheetFormatPr defaultRowHeight="16.5" x14ac:dyDescent="0.3"/>
  <cols>
    <col min="1" max="1" width="4" bestFit="1" customWidth="1"/>
    <col min="2" max="2" width="11.875" bestFit="1" customWidth="1"/>
    <col min="3" max="3" width="4" bestFit="1" customWidth="1"/>
    <col min="4" max="4" width="13.125" bestFit="1" customWidth="1"/>
    <col min="5" max="5" width="3.5" bestFit="1" customWidth="1"/>
    <col min="7" max="7" width="3.5" bestFit="1" customWidth="1"/>
    <col min="8" max="8" width="11.5" bestFit="1" customWidth="1"/>
    <col min="9" max="9" width="3.5" bestFit="1" customWidth="1"/>
    <col min="10" max="10" width="9.5" bestFit="1" customWidth="1"/>
    <col min="11" max="11" width="3.25" customWidth="1"/>
    <col min="12" max="12" width="10.5" bestFit="1" customWidth="1"/>
    <col min="13" max="13" width="3.5" bestFit="1" customWidth="1"/>
    <col min="14" max="14" width="9.5" bestFit="1" customWidth="1"/>
    <col min="15" max="15" width="3.75" customWidth="1"/>
    <col min="17" max="17" width="3.25" customWidth="1"/>
    <col min="18" max="19" width="9.5" bestFit="1" customWidth="1"/>
  </cols>
  <sheetData>
    <row r="1" spans="1:18" x14ac:dyDescent="0.3">
      <c r="A1" t="s">
        <v>1435</v>
      </c>
      <c r="B1" t="s">
        <v>43</v>
      </c>
      <c r="C1" t="s">
        <v>1435</v>
      </c>
      <c r="D1" t="s">
        <v>1400</v>
      </c>
      <c r="F1" t="s">
        <v>1402</v>
      </c>
      <c r="H1" t="s">
        <v>1403</v>
      </c>
      <c r="L1" t="s">
        <v>1410</v>
      </c>
      <c r="N1" t="s">
        <v>1414</v>
      </c>
      <c r="P1" t="s">
        <v>1699</v>
      </c>
      <c r="R1" t="s">
        <v>1698</v>
      </c>
    </row>
    <row r="2" spans="1:18" x14ac:dyDescent="0.3">
      <c r="A2">
        <v>1</v>
      </c>
      <c r="B2" t="s">
        <v>28</v>
      </c>
      <c r="C2">
        <v>1</v>
      </c>
      <c r="D2" t="s">
        <v>1402</v>
      </c>
      <c r="E2">
        <v>1</v>
      </c>
      <c r="F2" t="s">
        <v>1417</v>
      </c>
      <c r="G2">
        <v>1</v>
      </c>
      <c r="H2" t="s">
        <v>1426</v>
      </c>
      <c r="I2">
        <v>1</v>
      </c>
      <c r="J2" t="s">
        <v>1182</v>
      </c>
      <c r="K2">
        <v>1</v>
      </c>
      <c r="L2" t="s">
        <v>1430</v>
      </c>
      <c r="M2">
        <v>1</v>
      </c>
      <c r="N2" t="s">
        <v>1433</v>
      </c>
      <c r="O2">
        <v>1</v>
      </c>
      <c r="Q2">
        <v>1</v>
      </c>
    </row>
    <row r="3" spans="1:18" x14ac:dyDescent="0.3">
      <c r="A3">
        <v>2</v>
      </c>
      <c r="B3" t="s">
        <v>1112</v>
      </c>
      <c r="C3">
        <v>2</v>
      </c>
      <c r="D3" t="s">
        <v>1403</v>
      </c>
      <c r="E3">
        <v>2</v>
      </c>
      <c r="F3" t="s">
        <v>1418</v>
      </c>
      <c r="G3">
        <v>2</v>
      </c>
      <c r="H3" t="s">
        <v>1219</v>
      </c>
      <c r="I3">
        <v>2</v>
      </c>
      <c r="J3" t="s">
        <v>1183</v>
      </c>
      <c r="K3">
        <v>2</v>
      </c>
      <c r="L3" t="s">
        <v>1431</v>
      </c>
      <c r="M3">
        <v>2</v>
      </c>
      <c r="N3" t="s">
        <v>1434</v>
      </c>
      <c r="O3">
        <v>2</v>
      </c>
      <c r="Q3">
        <v>2</v>
      </c>
    </row>
    <row r="4" spans="1:18" x14ac:dyDescent="0.3">
      <c r="A4">
        <v>3</v>
      </c>
      <c r="B4" t="s">
        <v>1111</v>
      </c>
      <c r="C4">
        <v>3</v>
      </c>
      <c r="D4" t="s">
        <v>1404</v>
      </c>
      <c r="E4">
        <v>3</v>
      </c>
      <c r="F4" t="s">
        <v>1419</v>
      </c>
      <c r="G4">
        <v>3</v>
      </c>
      <c r="H4" t="s">
        <v>1366</v>
      </c>
      <c r="I4">
        <v>3</v>
      </c>
      <c r="J4" t="s">
        <v>1427</v>
      </c>
      <c r="M4">
        <v>3</v>
      </c>
      <c r="N4" t="s">
        <v>1432</v>
      </c>
      <c r="O4">
        <v>3</v>
      </c>
      <c r="Q4">
        <v>3</v>
      </c>
    </row>
    <row r="5" spans="1:18" x14ac:dyDescent="0.3">
      <c r="A5">
        <v>4</v>
      </c>
      <c r="B5" t="s">
        <v>1731</v>
      </c>
      <c r="C5">
        <v>4</v>
      </c>
      <c r="D5" t="s">
        <v>1405</v>
      </c>
      <c r="E5">
        <v>4</v>
      </c>
      <c r="F5" t="s">
        <v>1420</v>
      </c>
      <c r="I5">
        <v>4</v>
      </c>
      <c r="J5" t="s">
        <v>1429</v>
      </c>
    </row>
    <row r="6" spans="1:18" x14ac:dyDescent="0.3">
      <c r="A6">
        <v>5</v>
      </c>
      <c r="B6" t="s">
        <v>1401</v>
      </c>
      <c r="C6">
        <v>5</v>
      </c>
      <c r="D6" t="s">
        <v>1406</v>
      </c>
      <c r="E6">
        <v>5</v>
      </c>
      <c r="F6" t="s">
        <v>1421</v>
      </c>
      <c r="I6">
        <v>5</v>
      </c>
      <c r="J6" t="s">
        <v>1184</v>
      </c>
    </row>
    <row r="7" spans="1:18" x14ac:dyDescent="0.3">
      <c r="A7">
        <v>6</v>
      </c>
      <c r="B7" t="s">
        <v>1775</v>
      </c>
      <c r="C7">
        <v>6</v>
      </c>
      <c r="D7" t="s">
        <v>1407</v>
      </c>
      <c r="E7">
        <v>6</v>
      </c>
      <c r="F7" t="s">
        <v>1422</v>
      </c>
      <c r="I7">
        <v>6</v>
      </c>
      <c r="J7" t="s">
        <v>1185</v>
      </c>
    </row>
    <row r="8" spans="1:18" x14ac:dyDescent="0.3">
      <c r="A8">
        <v>7</v>
      </c>
      <c r="B8" t="s">
        <v>1776</v>
      </c>
      <c r="C8">
        <v>7</v>
      </c>
      <c r="D8" t="s">
        <v>1409</v>
      </c>
      <c r="E8">
        <v>7</v>
      </c>
      <c r="F8" t="s">
        <v>1423</v>
      </c>
      <c r="I8">
        <v>7</v>
      </c>
      <c r="J8" t="s">
        <v>1186</v>
      </c>
      <c r="L8">
        <v>2830405</v>
      </c>
    </row>
    <row r="9" spans="1:18" x14ac:dyDescent="0.3">
      <c r="A9">
        <v>8</v>
      </c>
      <c r="B9" t="s">
        <v>1777</v>
      </c>
      <c r="C9">
        <v>8</v>
      </c>
      <c r="D9" t="s">
        <v>1410</v>
      </c>
      <c r="E9">
        <v>8</v>
      </c>
      <c r="F9" t="s">
        <v>1390</v>
      </c>
      <c r="I9">
        <v>8</v>
      </c>
      <c r="J9" t="s">
        <v>1187</v>
      </c>
    </row>
    <row r="10" spans="1:18" x14ac:dyDescent="0.3">
      <c r="A10">
        <v>9</v>
      </c>
      <c r="B10" t="s">
        <v>1778</v>
      </c>
      <c r="C10">
        <v>9</v>
      </c>
      <c r="D10" t="s">
        <v>1411</v>
      </c>
      <c r="E10">
        <v>9</v>
      </c>
      <c r="F10" t="s">
        <v>1424</v>
      </c>
      <c r="I10">
        <v>9</v>
      </c>
      <c r="J10" t="s">
        <v>1428</v>
      </c>
    </row>
    <row r="11" spans="1:18" x14ac:dyDescent="0.3">
      <c r="A11">
        <v>10</v>
      </c>
      <c r="B11" t="s">
        <v>1779</v>
      </c>
      <c r="C11">
        <v>10</v>
      </c>
      <c r="D11" t="s">
        <v>1412</v>
      </c>
      <c r="E11">
        <v>10</v>
      </c>
      <c r="F11" t="s">
        <v>1425</v>
      </c>
      <c r="I11">
        <v>10</v>
      </c>
      <c r="J11" t="s">
        <v>1915</v>
      </c>
    </row>
    <row r="12" spans="1:18" x14ac:dyDescent="0.3">
      <c r="A12">
        <v>11</v>
      </c>
      <c r="B12" t="s">
        <v>1780</v>
      </c>
      <c r="C12">
        <v>11</v>
      </c>
      <c r="D12" t="s">
        <v>1413</v>
      </c>
      <c r="I12">
        <v>11</v>
      </c>
      <c r="J12" t="s">
        <v>2329</v>
      </c>
    </row>
    <row r="13" spans="1:18" x14ac:dyDescent="0.3">
      <c r="A13">
        <v>12</v>
      </c>
      <c r="B13" t="s">
        <v>1914</v>
      </c>
      <c r="C13">
        <v>12</v>
      </c>
      <c r="D13" t="s">
        <v>1414</v>
      </c>
      <c r="I13">
        <v>12</v>
      </c>
      <c r="J13" t="s">
        <v>2450</v>
      </c>
    </row>
    <row r="14" spans="1:18" x14ac:dyDescent="0.3">
      <c r="B14" t="s">
        <v>2153</v>
      </c>
      <c r="C14">
        <v>13</v>
      </c>
      <c r="D14" t="s">
        <v>1415</v>
      </c>
      <c r="I14">
        <v>13</v>
      </c>
      <c r="J14" t="s">
        <v>2642</v>
      </c>
    </row>
    <row r="15" spans="1:18" x14ac:dyDescent="0.3">
      <c r="C15">
        <v>14</v>
      </c>
      <c r="D15" t="s">
        <v>1416</v>
      </c>
    </row>
    <row r="16" spans="1:18" x14ac:dyDescent="0.3">
      <c r="C16">
        <v>15</v>
      </c>
      <c r="D16" t="s">
        <v>1698</v>
      </c>
    </row>
    <row r="17" spans="3:16" x14ac:dyDescent="0.3">
      <c r="C17">
        <v>16</v>
      </c>
      <c r="D17" t="s">
        <v>1700</v>
      </c>
      <c r="J17">
        <v>28</v>
      </c>
    </row>
    <row r="18" spans="3:16" x14ac:dyDescent="0.3">
      <c r="C18">
        <v>17</v>
      </c>
      <c r="D18" t="s">
        <v>1739</v>
      </c>
      <c r="P18">
        <v>2830502</v>
      </c>
    </row>
    <row r="19" spans="3:16" x14ac:dyDescent="0.3">
      <c r="C19">
        <v>18</v>
      </c>
      <c r="D19" t="s">
        <v>1754</v>
      </c>
      <c r="H19">
        <v>2830513</v>
      </c>
      <c r="L19">
        <v>2830506</v>
      </c>
    </row>
    <row r="20" spans="3:16" x14ac:dyDescent="0.3">
      <c r="C20">
        <v>19</v>
      </c>
      <c r="D20" t="s">
        <v>1924</v>
      </c>
    </row>
    <row r="23" spans="3:16" x14ac:dyDescent="0.3">
      <c r="K23">
        <v>28120411</v>
      </c>
    </row>
  </sheetData>
  <phoneticPr fontId="2" type="noConversion"/>
  <pageMargins left="0.7" right="0.7" top="0.75" bottom="0.75" header="0.3" footer="0.3"/>
  <pageSetup paperSize="258" orientation="landscape" horizontalDpi="203" verticalDpi="203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FA871F-2798-4BFA-9EE6-B1323EB8DBF2}">
  <sheetPr codeName="Sheet4"/>
  <dimension ref="A1:I27"/>
  <sheetViews>
    <sheetView zoomScaleNormal="100" workbookViewId="0">
      <selection activeCell="N26" sqref="N26"/>
    </sheetView>
  </sheetViews>
  <sheetFormatPr defaultRowHeight="16.5" x14ac:dyDescent="0.3"/>
  <cols>
    <col min="5" max="5" width="9" customWidth="1"/>
    <col min="6" max="6" width="13.25" customWidth="1"/>
  </cols>
  <sheetData>
    <row r="1" spans="1:9" ht="28.35" customHeight="1" x14ac:dyDescent="0.3">
      <c r="A1" s="229"/>
      <c r="B1" s="230"/>
      <c r="C1" s="230"/>
      <c r="D1" s="230"/>
      <c r="E1" s="230"/>
      <c r="F1" s="229"/>
      <c r="G1" s="229"/>
      <c r="H1" s="229"/>
      <c r="I1" s="229"/>
    </row>
    <row r="2" spans="1:9" ht="28.35" customHeight="1" x14ac:dyDescent="0.3">
      <c r="A2" s="231" t="s">
        <v>2401</v>
      </c>
      <c r="B2" s="230"/>
      <c r="C2" s="230"/>
      <c r="D2" s="230"/>
      <c r="E2" s="230"/>
      <c r="F2" s="229"/>
      <c r="G2" s="229"/>
      <c r="H2" s="229"/>
      <c r="I2" s="229"/>
    </row>
    <row r="3" spans="1:9" ht="28.35" customHeight="1" x14ac:dyDescent="0.3">
      <c r="A3" s="232" t="s">
        <v>2402</v>
      </c>
      <c r="B3" s="230"/>
      <c r="C3" s="230"/>
      <c r="D3" s="230"/>
      <c r="E3" s="230"/>
      <c r="F3" s="229"/>
      <c r="G3" s="229"/>
      <c r="H3" s="229"/>
      <c r="I3" s="229"/>
    </row>
    <row r="4" spans="1:9" ht="28.35" customHeight="1" x14ac:dyDescent="0.3">
      <c r="A4" s="232" t="s">
        <v>2403</v>
      </c>
      <c r="B4" s="230"/>
      <c r="C4" s="230"/>
      <c r="D4" s="230"/>
      <c r="E4" s="230"/>
      <c r="F4" s="229"/>
      <c r="G4" s="229"/>
      <c r="H4" s="229"/>
      <c r="I4" s="229"/>
    </row>
    <row r="5" spans="1:9" ht="28.35" customHeight="1" x14ac:dyDescent="0.3">
      <c r="A5" s="229"/>
      <c r="B5" s="229"/>
      <c r="C5" s="229"/>
      <c r="D5" s="229"/>
      <c r="E5" s="229"/>
      <c r="F5" s="229"/>
      <c r="G5" s="229"/>
      <c r="H5" s="229"/>
      <c r="I5" s="229"/>
    </row>
    <row r="6" spans="1:9" ht="28.35" customHeight="1" x14ac:dyDescent="0.3">
      <c r="A6" s="229"/>
      <c r="B6" s="229"/>
      <c r="C6" s="229"/>
      <c r="D6" s="229"/>
      <c r="E6" s="229"/>
      <c r="F6" s="229"/>
      <c r="G6" s="229"/>
      <c r="H6" s="229"/>
      <c r="I6" s="229"/>
    </row>
    <row r="7" spans="1:9" ht="28.35" customHeight="1" x14ac:dyDescent="0.3">
      <c r="A7" s="229"/>
      <c r="B7" s="229"/>
      <c r="C7" s="229"/>
      <c r="D7" s="229"/>
      <c r="E7" s="229"/>
      <c r="F7" s="229"/>
      <c r="G7" s="229"/>
      <c r="H7" s="229"/>
      <c r="I7" s="229"/>
    </row>
    <row r="8" spans="1:9" ht="28.35" customHeight="1" x14ac:dyDescent="0.3">
      <c r="A8" s="229"/>
      <c r="B8" s="229"/>
      <c r="C8" s="229"/>
      <c r="D8" s="229"/>
      <c r="E8" s="229"/>
      <c r="F8" s="229"/>
      <c r="G8" s="229"/>
      <c r="H8" s="229"/>
      <c r="I8" s="229"/>
    </row>
    <row r="9" spans="1:9" ht="28.35" customHeight="1" x14ac:dyDescent="0.3">
      <c r="B9" s="230"/>
      <c r="C9" s="230"/>
      <c r="D9" s="230"/>
      <c r="E9" s="230"/>
      <c r="F9" s="230"/>
      <c r="G9" s="230"/>
    </row>
    <row r="10" spans="1:9" ht="28.35" customHeight="1" x14ac:dyDescent="0.3"/>
    <row r="11" spans="1:9" ht="28.35" customHeight="1" x14ac:dyDescent="0.3"/>
    <row r="12" spans="1:9" ht="28.35" customHeight="1" x14ac:dyDescent="0.3"/>
    <row r="13" spans="1:9" ht="28.35" customHeight="1" x14ac:dyDescent="0.3"/>
    <row r="14" spans="1:9" ht="28.35" customHeight="1" x14ac:dyDescent="0.3"/>
    <row r="15" spans="1:9" ht="28.35" customHeight="1" x14ac:dyDescent="0.3"/>
    <row r="16" spans="1:9" ht="28.35" customHeight="1" x14ac:dyDescent="0.3"/>
    <row r="17" ht="28.35" customHeight="1" x14ac:dyDescent="0.3"/>
    <row r="18" ht="28.35" customHeight="1" x14ac:dyDescent="0.3"/>
    <row r="19" ht="28.35" customHeight="1" x14ac:dyDescent="0.3"/>
    <row r="20" ht="28.35" customHeight="1" x14ac:dyDescent="0.3"/>
    <row r="21" ht="28.35" customHeight="1" x14ac:dyDescent="0.3"/>
    <row r="22" ht="28.35" customHeight="1" x14ac:dyDescent="0.3"/>
    <row r="23" ht="28.35" customHeight="1" x14ac:dyDescent="0.3"/>
    <row r="24" ht="28.35" customHeight="1" x14ac:dyDescent="0.3"/>
    <row r="25" ht="28.35" customHeight="1" x14ac:dyDescent="0.3"/>
    <row r="26" ht="28.35" customHeight="1" x14ac:dyDescent="0.3"/>
    <row r="27" ht="28.35" customHeight="1" x14ac:dyDescent="0.3"/>
  </sheetData>
  <phoneticPr fontId="2" type="noConversion"/>
  <pageMargins left="0" right="0" top="0" bottom="0" header="0" footer="0"/>
  <pageSetup paperSize="257" orientation="landscape" horizontalDpi="203" verticalDpi="203" r:id="rId1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E756CE-429A-48C1-A850-C77CA7AF2DAC}">
  <sheetPr codeName="shtDiary"/>
  <dimension ref="A1:F16"/>
  <sheetViews>
    <sheetView workbookViewId="0">
      <selection activeCell="D16" sqref="D16"/>
    </sheetView>
  </sheetViews>
  <sheetFormatPr defaultRowHeight="16.5" x14ac:dyDescent="0.3"/>
  <cols>
    <col min="1" max="1" width="3.375" style="104" bestFit="1" customWidth="1"/>
    <col min="2" max="2" width="18" style="100" customWidth="1"/>
    <col min="3" max="3" width="13.25" style="100" customWidth="1"/>
    <col min="4" max="4" width="104.125" style="100" customWidth="1"/>
    <col min="5" max="5" width="46.5" style="105" customWidth="1"/>
  </cols>
  <sheetData>
    <row r="1" spans="1:6" s="47" customFormat="1" ht="17.25" thickBot="1" x14ac:dyDescent="0.35">
      <c r="A1" s="106" t="s">
        <v>2</v>
      </c>
      <c r="B1" s="107" t="s">
        <v>14</v>
      </c>
      <c r="C1" s="107" t="s">
        <v>1245</v>
      </c>
      <c r="D1" s="107" t="s">
        <v>1246</v>
      </c>
      <c r="E1" s="108" t="s">
        <v>4</v>
      </c>
      <c r="F1" s="47">
        <v>1</v>
      </c>
    </row>
    <row r="2" spans="1:6" ht="33" x14ac:dyDescent="0.3">
      <c r="A2" s="102"/>
      <c r="B2" s="101">
        <v>45737</v>
      </c>
      <c r="C2" s="100" t="s">
        <v>1255</v>
      </c>
      <c r="D2" s="110" t="s">
        <v>1254</v>
      </c>
      <c r="E2" s="103"/>
    </row>
    <row r="3" spans="1:6" ht="49.5" x14ac:dyDescent="0.3">
      <c r="B3" s="99">
        <v>45737</v>
      </c>
      <c r="C3" s="100" t="s">
        <v>1247</v>
      </c>
      <c r="D3" s="109" t="s">
        <v>1261</v>
      </c>
    </row>
    <row r="4" spans="1:6" ht="33" x14ac:dyDescent="0.3">
      <c r="B4" s="99">
        <v>45737</v>
      </c>
      <c r="C4" s="100" t="s">
        <v>1248</v>
      </c>
      <c r="D4" s="109" t="s">
        <v>1251</v>
      </c>
    </row>
    <row r="5" spans="1:6" x14ac:dyDescent="0.3">
      <c r="B5" s="99">
        <v>45737</v>
      </c>
      <c r="C5" s="100" t="s">
        <v>1249</v>
      </c>
      <c r="D5" s="100" t="s">
        <v>1250</v>
      </c>
    </row>
    <row r="6" spans="1:6" x14ac:dyDescent="0.3">
      <c r="B6" s="99">
        <v>45737</v>
      </c>
      <c r="C6" s="100" t="s">
        <v>1249</v>
      </c>
      <c r="D6" s="100" t="s">
        <v>1253</v>
      </c>
    </row>
    <row r="7" spans="1:6" x14ac:dyDescent="0.3">
      <c r="B7" s="99">
        <v>45737</v>
      </c>
      <c r="C7" s="100" t="s">
        <v>1249</v>
      </c>
      <c r="D7" s="100" t="s">
        <v>1252</v>
      </c>
    </row>
    <row r="8" spans="1:6" x14ac:dyDescent="0.3">
      <c r="B8" s="99"/>
      <c r="D8" s="100" t="s">
        <v>1256</v>
      </c>
    </row>
    <row r="9" spans="1:6" x14ac:dyDescent="0.3">
      <c r="D9" s="100" t="s">
        <v>1262</v>
      </c>
    </row>
    <row r="10" spans="1:6" x14ac:dyDescent="0.3">
      <c r="D10" s="100" t="s">
        <v>1263</v>
      </c>
    </row>
    <row r="11" spans="1:6" ht="33" x14ac:dyDescent="0.3">
      <c r="B11" s="99">
        <v>45740</v>
      </c>
      <c r="C11" s="100" t="s">
        <v>1267</v>
      </c>
      <c r="D11" s="109" t="s">
        <v>1371</v>
      </c>
    </row>
    <row r="12" spans="1:6" x14ac:dyDescent="0.3">
      <c r="B12" s="99">
        <v>45740</v>
      </c>
      <c r="C12" s="100" t="s">
        <v>1372</v>
      </c>
      <c r="D12" s="100" t="s">
        <v>1370</v>
      </c>
    </row>
    <row r="13" spans="1:6" x14ac:dyDescent="0.3">
      <c r="C13" s="100" t="s">
        <v>1381</v>
      </c>
      <c r="D13" s="100" t="s">
        <v>1382</v>
      </c>
    </row>
    <row r="14" spans="1:6" x14ac:dyDescent="0.3">
      <c r="C14" s="100" t="s">
        <v>1384</v>
      </c>
      <c r="D14" s="100" t="s">
        <v>1385</v>
      </c>
    </row>
    <row r="15" spans="1:6" x14ac:dyDescent="0.3">
      <c r="B15" s="99">
        <v>45742</v>
      </c>
      <c r="C15" s="100" t="s">
        <v>1386</v>
      </c>
      <c r="D15" s="100" t="s">
        <v>1387</v>
      </c>
    </row>
    <row r="16" spans="1:6" x14ac:dyDescent="0.3">
      <c r="B16" s="99">
        <v>45742</v>
      </c>
      <c r="C16" s="100" t="s">
        <v>1388</v>
      </c>
      <c r="D16" s="100" t="s">
        <v>1389</v>
      </c>
    </row>
  </sheetData>
  <phoneticPr fontId="2" type="noConversion"/>
  <pageMargins left="0.7" right="0.7" top="0.75" bottom="0.75" header="0.3" footer="0.3"/>
  <pageSetup paperSize="256" orientation="portrait" horizontalDpi="203" verticalDpi="203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23</vt:i4>
      </vt:variant>
      <vt:variant>
        <vt:lpstr>이름 지정된 범위</vt:lpstr>
      </vt:variant>
      <vt:variant>
        <vt:i4>2</vt:i4>
      </vt:variant>
    </vt:vector>
  </HeadingPairs>
  <TitlesOfParts>
    <vt:vector size="25" baseType="lpstr">
      <vt:lpstr>Home</vt:lpstr>
      <vt:lpstr>경비처리</vt:lpstr>
      <vt:lpstr>거래명세서</vt:lpstr>
      <vt:lpstr>주문data</vt:lpstr>
      <vt:lpstr>주문</vt:lpstr>
      <vt:lpstr>Login</vt:lpstr>
      <vt:lpstr>주문_리스트</vt:lpstr>
      <vt:lpstr>BTS_매출관리</vt:lpstr>
      <vt:lpstr>temp2</vt:lpstr>
      <vt:lpstr>FastGarage</vt:lpstr>
      <vt:lpstr>FastGarage_매출관리</vt:lpstr>
      <vt:lpstr>식비구분</vt:lpstr>
      <vt:lpstr>거래명세서_NEW</vt:lpstr>
      <vt:lpstr>거래내역서</vt:lpstr>
      <vt:lpstr>거래처</vt:lpstr>
      <vt:lpstr>제품</vt:lpstr>
      <vt:lpstr>재고</vt:lpstr>
      <vt:lpstr>구분</vt:lpstr>
      <vt:lpstr>제품구분</vt:lpstr>
      <vt:lpstr>재고관리</vt:lpstr>
      <vt:lpstr>Sheet6</vt:lpstr>
      <vt:lpstr>Sheet7</vt:lpstr>
      <vt:lpstr>업무일지</vt:lpstr>
      <vt:lpstr>거래명세서!Print_Area</vt:lpstr>
      <vt:lpstr>거래명세서_NEW!Print_Area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Oppadu</dc:creator>
  <cp:lastModifiedBy>BTS 메인</cp:lastModifiedBy>
  <cp:lastPrinted>2025-10-16T07:19:57Z</cp:lastPrinted>
  <dcterms:created xsi:type="dcterms:W3CDTF">2020-10-02T11:51:16Z</dcterms:created>
  <dcterms:modified xsi:type="dcterms:W3CDTF">2025-10-18T02:18:13Z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13cf3b48-d4b1-493e-abd4-ff8e1a1a2402</vt:lpwstr>
  </property>
</Properties>
</file>