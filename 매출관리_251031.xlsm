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AB6A760-C81D-4F72-8299-639E5FA70E6E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<sst xmlns="http://schemas.openxmlformats.org/spreadsheetml/2006/main" count="12973" uniqueCount="4193">
  <si>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</si>
  <si>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</si>
  <si>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</si>
  <si>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</si>
  <si>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</si>
  <si>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</si>
  <si>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</si>
  <si>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</si>
  <si>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</si>
  <si>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</si>
  <si>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</si>
  <si>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</si>
  <si>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</si>
  <si>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</si>
  <si>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</si>
  <si>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</si>
  <si>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</si>
  <si>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</si>
  <si>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</si>
  <si>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</si>
  <si>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</si>
  <si>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</si>
  <si>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</si>
  <si>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</si>
  <si>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</si>
  <si>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</si>
  <si>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</si>
  <si>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</si>
  <si>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</si>
  <si>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</si>
  <si>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</si>
  <si>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</si>
  <si>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</si>
  <si>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</si>
  <si>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</si>
  <si>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</si>
  <si>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</si>
  <si>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</si>
  <si>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</si>
  <si>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</si>
  <si>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</si>
  <si>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</si>
  <si>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</si>
  <si>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</si>
  <si>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</si>
  <si>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</si>
  <si>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</si>
  <si>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</si>
  <si>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</si>
  <si>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</si>
  <si>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</si>
  <si>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</si>
  <si>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</si>
  <si>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</si>
  <si>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</si>
  <si>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</si>
  <si>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</si>
  <si>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</si>
  <si>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</si>
  <si>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</si>
  <si>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</si>
  <si>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</si>
  <si>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</si>
  <si>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</si>
  <si>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</si>
  <si>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</si>
  <si>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</si>
  <si>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</si>
  <si>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</si>
  <si>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</si>
  <si>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</si>
  <si>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</si>
  <si>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</si>
  <si>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</si>
  <si>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</si>
  <si>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</si>
  <si>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</si>
  <si>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</si>
  <si>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</si>
  <si>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</si>
  <si>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</si>
  <si>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</si>
  <si>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</si>
  <si>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</si>
  <si>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</si>
  <si>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</si>
  <si>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</si>
  <si>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</si>
  <si>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</si>
  <si>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</si>
  <si>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</si>
  <si>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</si>
  <si>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</si>
  <si>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</si>
  <si>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</si>
  <si>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</si>
  <si>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</si>
  <si>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</si>
  <si>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</si>
  <si>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</si>
  <si>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</si>
  <si>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</si>
  <si>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</si>
  <si>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</si>
  <si>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</si>
  <si>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</si>
  <si>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</si>
  <si>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</si>
  <si>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</si>
  <si>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</si>
  <si>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</si>
  <si>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</si>
  <si>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</si>
  <si>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</si>
  <si>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</si>
  <si>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</si>
  <si>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</si>
  <si>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</si>
  <si>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</si>
  <si>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</si>
  <si>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</si>
  <si>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</si>
  <si>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</si>
  <si>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</si>
  <si>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</si>
  <si>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</si>
  <si>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</si>
  <si>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</si>
  <si>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</si>
  <si>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</si>
  <si>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</si>
  <si>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</si>
  <si>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</si>
  <si>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</si>
  <si>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</si>
  <si>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</si>
  <si>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</si>
  <si>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</si>
  <si>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</si>
  <si>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</si>
  <si>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</si>
  <si>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</si>
  <si>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</si>
  <si>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</si>
  <si>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</si>
  <si>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</si>
  <si>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</si>
  <si>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</si>
  <si>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</si>
  <si>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</si>
  <si>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</si>
  <si>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</si>
  <si>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</si>
  <si>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</si>
  <si>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</si>
  <si>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</si>
  <si>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</si>
  <si>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</si>
  <si>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</si>
  <si>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</si>
  <si>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</si>
  <si>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</si>
  <si>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</si>
  <si>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</si>
  <si>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</si>
  <si>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</si>
  <si>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</si>
  <si>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</si>
  <si>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</si>
  <si>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</si>
  <si>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</si>
  <si>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</si>
  <si>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</si>
  <si>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</si>
  <si>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</si>
  <si>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</si>
  <si>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</si>
  <si>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</si>
  <si>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</si>
  <si>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</si>
  <si>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</si>
  <si>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</si>
  <si>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</si>
  <si>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</si>
  <si>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</si>
  <si>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</si>
  <si>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</si>
  <si>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</si>
  <si>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</si>
  <si>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</si>
  <si>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</si>
  <si>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</si>
  <si>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</si>
  <si>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</si>
  <si>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</si>
  <si>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</si>
  <si>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</si>
  <si>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</si>
  <si>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</si>
  <si>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</si>
  <si>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</si>
  <si>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</si>
  <si>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</si>
  <si>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</si>
  <si>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</si>
  <si>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</si>
  <si>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</si>
  <si>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</si>
  <si>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</si>
  <si>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</si>
  <si>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</si>
  <si>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</si>
  <si>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</si>
  <si>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</si>
  <si>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</si>
  <si>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</si>
  <si>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</si>
  <si>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</si>
  <si>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</si>
  <si>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</si>
  <si>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</si>
  <si>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</si>
  <si>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</si>
  <si>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</si>
  <si>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</si>
  <si>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</si>
  <si>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</si>
  <si>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</si>
  <si>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</si>
  <si>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</si>
  <si>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</si>
  <si>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</si>
  <si>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</si>
  <si>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</si>
  <si>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</si>
  <si>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</si>
  <si>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</si>
  <si>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</si>
  <si>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</si>
  <si>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</si>
  <si>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</si>
  <si>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</si>
  <si>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</si>
  <si>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</si>
  <si>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</si>
  <si>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</si>
  <si>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</si>
  <si>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</si>
  <si>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</si>
  <si>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</si>
  <si>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</si>
  <si>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</si>
  <si>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</si>
  <si>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</si>
  <si>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</si>
  <si>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</si>
  <si>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</si>
  <si>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</si>
  <si>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</si>
  <si>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</si>
  <si>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</si>
  <si>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</si>
  <si>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</si>
  <si>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</si>
  <si>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</si>
  <si>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</si>
  <si>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</si>
  <si>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</si>
  <si>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</si>
  <si>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</si>
  <si>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</si>
  <si>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</si>
  <si>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</si>
  <si>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</si>
  <si>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</si>
  <si>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</si>
  <si>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</si>
  <si>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</si>
  <si>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</si>
  <si>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</si>
  <si>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</si>
  <si>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</si>
  <si>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</si>
  <si>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</si>
  <si>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</si>
  <si>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</si>
  <si>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</si>
  <si>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</si>
  <si>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</si>
  <si>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</si>
  <si>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</si>
  <si>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</si>
  <si>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</si>
  <si>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</si>
  <si>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</si>
  <si>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</si>
  <si>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</si>
  <si>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</si>
  <si>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</si>
  <si>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</si>
  <si>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</si>
  <si>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</si>
  <si>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</si>
  <si>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</si>
  <si>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</si>
  <si>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</si>
  <si>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</si>
  <si>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</si>
  <si>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</si>
  <si>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</si>
  <si>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</si>
  <si>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</si>
  <si>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</si>
  <si>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</si>
  <si>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</si>
  <si>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</si>
  <si>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</si>
  <si>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</si>
  <si>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</si>
  <si>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</si>
  <si>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</si>
  <si>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</si>
  <si>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</si>
  <si>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</si>
  <si>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</si>
  <si>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</si>
  <si>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</si>
  <si>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</si>
  <si>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</si>
  <si>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</si>
  <si>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</si>
  <si>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</si>
  <si>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</si>
  <si>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</si>
  <si>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</si>
  <si>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</si>
  <si>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</si>
  <si>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</si>
  <si>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</si>
  <si>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</si>
  <si>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</si>
  <si>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</si>
  <si>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</si>
  <si>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</si>
  <si>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</si>
  <si>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</si>
  <si>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</si>
  <si>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</si>
  <si>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</si>
  <si>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</si>
  <si>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</si>
  <si>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</si>
  <si>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</si>
  <si>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</si>
  <si>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</si>
  <si>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</si>
  <si>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</si>
  <si>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</si>
  <si>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</si>
  <si>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</si>
  <si>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</si>
  <si>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</si>
  <si>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</si>
  <si>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</si>
  <si>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</si>
  <si>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</si>
  <si>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</si>
  <si>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</si>
  <si>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</si>
  <si>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</si>
  <si>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</si>
  <si>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</si>
  <si>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</si>
  <si>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</si>
  <si>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</si>
  <si>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</si>
  <si>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</si>
  <si>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</si>
  <si>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</si>
  <si>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</si>
  <si>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</si>
  <si>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</si>
  <si>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</si>
  <si>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</si>
  <si>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</si>
  <si>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</si>
  <si>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</si>
  <si>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</si>
  <si>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</si>
  <si>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</si>
  <si>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</si>
  <si>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</si>
  <si>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</si>
  <si>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</si>
  <si>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</si>
  <si>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</si>
  <si>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</si>
  <si>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</si>
  <si>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</si>
  <si>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</si>
  <si>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</si>
  <si>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</si>
  <si>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</si>
  <si>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</si>
  <si>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</si>
  <si>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</si>
  <si>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</si>
  <si>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</si>
  <si>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</si>
  <si>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</si>
  <si>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</si>
  <si>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</si>
  <si>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</si>
  <si>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</si>
  <si>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</si>
  <si>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</si>
  <si>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</si>
  <si>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</si>
  <si>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</si>
  <si>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</si>
  <si>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</si>
  <si>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</si>
  <si>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</si>
  <si>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</si>
  <si>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</si>
  <si>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</si>
  <si>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</si>
  <si>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</si>
  <si>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</si>
  <si>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</si>
  <si>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</si>
  <si>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</si>
  <si>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</si>
  <si>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</si>
  <si>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</si>
  <si>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</si>
  <si>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</si>
  <si>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</si>
  <si>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</si>
  <si>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</si>
  <si>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</si>
  <si>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</si>
  <si>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</si>
  <si>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</si>
  <si>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</si>
  <si>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</si>
  <si>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</si>
  <si>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</si>
  <si>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</si>
  <si>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</si>
  <si>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</si>
  <si>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</si>
  <si>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</si>
  <si>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</si>
  <si>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</si>
  <si>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</si>
  <si>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</si>
  <si>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</si>
  <si>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</si>
  <si>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</si>
  <si>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</si>
  <si>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</si>
  <si>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</si>
  <si>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</si>
  <si>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</si>
  <si>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</si>
  <si>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</si>
  <si>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</si>
  <si>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</si>
  <si>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</si>
  <si>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</si>
  <si>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</si>
  <si>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</si>
  <si>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</si>
  <si>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</si>
  <si>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</si>
  <si>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</si>
  <si>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</si>
  <si>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</si>
  <si>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</si>
  <si>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</si>
  <si>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</si>
  <si>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</si>
  <si>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</si>
  <si>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</si>
  <si>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</si>
  <si>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</si>
  <si>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</si>
  <si>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</si>
  <si>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</si>
  <si>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</si>
  <si>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</si>
  <si>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</si>
  <si>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</si>
  <si>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</si>
  <si>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</si>
  <si>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</si>
  <si>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</si>
  <si>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</si>
  <si>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</si>
  <si>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</si>
  <si>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</si>
  <si>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</si>
  <si>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</si>
  <si>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</si>
  <si>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</si>
  <si>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</si>
  <si>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</si>
  <si>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</si>
  <si>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</si>
  <si>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</si>
  <si>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</si>
  <si>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</si>
  <si>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</si>
  <si>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</si>
  <si>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</si>
  <si>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</si>
  <si>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</si>
  <si>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</si>
  <si>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</si>
  <si>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</si>
  <si>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</si>
  <si>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</si>
  <si>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</si>
  <si>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</si>
  <si>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</si>
  <si>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</si>
  <si>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</si>
  <si>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</si>
  <si>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</si>
  <si>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</si>
  <si>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</si>
  <si>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</si>
  <si>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</si>
  <si>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</si>
  <si>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</si>
  <si>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</si>
  <si>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</si>
  <si>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</si>
  <si>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</si>
  <si>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</si>
  <si>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</si>
  <si>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</si>
  <si>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</si>
  <si>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</si>
  <si>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</si>
  <si>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</si>
  <si>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</si>
  <si>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</si>
  <si>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</si>
  <si>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</si>
  <si>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</si>
  <si>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</si>
  <si>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</si>
  <si>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</si>
  <si>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</si>
  <si>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</si>
  <si>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</si>
  <si>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</si>
  <si>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</si>
  <si>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</si>
  <si>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</si>
  <si>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</si>
  <si>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</si>
  <si>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</si>
  <si>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</si>
  <si>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</si>
  <si>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</si>
  <si>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</si>
  <si>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</si>
  <si>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</si>
  <si>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</si>
  <si>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</si>
  <si>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</si>
  <si>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</si>
  <si>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</si>
  <si>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</si>
  <si>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</si>
  <si>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</si>
  <si>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</si>
  <si>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</si>
  <si>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</si>
  <si>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</si>
  <si>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</si>
  <si>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</si>
  <si>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</si>
  <si>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</si>
  <si>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</si>
  <si>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</si>
  <si>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</si>
  <si>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</si>
  <si>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</si>
  <si>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</si>
  <si>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</si>
  <si>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</si>
  <si>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</si>
  <si>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</si>
  <si>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</si>
  <si>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</si>
  <si>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</si>
  <si>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</si>
  <si>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</si>
  <si>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</si>
  <si>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</si>
  <si>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</si>
  <si>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</si>
  <si>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</si>
  <si>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</si>
  <si>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</si>
  <si>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</si>
  <si>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</si>
  <si>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</si>
  <si>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</si>
  <si>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</si>
  <si>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</si>
  <si>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</si>
  <si>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</si>
  <si>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</si>
  <si>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</si>
  <si>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</si>
  <si>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</si>
  <si>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</si>
  <si>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</si>
  <si>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</si>
  <si>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</si>
  <si>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</si>
  <si>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</si>
  <si>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</si>
  <si>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</si>
  <si>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</si>
  <si>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</si>
  <si>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</si>
  <si>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</si>
  <si>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</si>
  <si>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</si>
  <si>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</si>
  <si>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</si>
  <si>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</si>
  <si>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</si>
  <si>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</si>
  <si>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</si>
  <si>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</si>
  <si>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</si>
  <si>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</si>
  <si>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</si>
  <si>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</si>
  <si>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</si>
  <si>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</si>
  <si>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</si>
  <si>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</si>
  <si>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</si>
  <si>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</si>
  <si>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</si>
  <si>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</si>
  <si>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</si>
  <si>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</si>
  <si>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</si>
  <si>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</si>
  <si>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</si>
  <si>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</si>
  <si>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</si>
  <si>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</si>
  <si>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</si>
  <si>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</si>
  <si>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</si>
  <si>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</si>
  <si>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</si>
  <si>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</si>
  <si>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</si>
  <si>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</si>
  <si>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</si>
  <si>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</si>
  <si>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</si>
  <si>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</si>
  <si>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</si>
  <si>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</si>
  <si>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</si>
  <si>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</si>
  <si>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</si>
  <si>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</si>
  <si>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</si>
  <si>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</si>
  <si>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</si>
  <si>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</si>
  <si>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</si>
  <si>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</si>
  <si>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</si>
  <si>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</si>
  <si>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</si>
  <si>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</si>
  <si>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</si>
  <si>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</si>
  <si>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</si>
  <si>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</si>
  <si>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</si>
  <si>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</si>
  <si>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</si>
  <si>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</si>
  <si>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</si>
  <si>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</si>
  <si>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</si>
  <si>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</si>
  <si>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</si>
  <si>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</si>
  <si>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</si>
  <si>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</si>
  <si>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</si>
  <si>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</si>
  <si>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</si>
  <si>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</si>
  <si>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</si>
  <si>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</si>
  <si>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</si>
  <si>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</si>
  <si>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</si>
  <si>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</si>
  <si>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</si>
  <si>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</si>
  <si>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</si>
  <si>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</si>
  <si>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</si>
  <si>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</si>
  <si>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</si>
  <si>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</si>
  <si>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</si>
  <si>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</si>
  <si>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</si>
  <si>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</si>
  <si>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</si>
  <si>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</si>
  <si>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</si>
  <si>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</si>
  <si>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</si>
  <si>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</si>
  <si>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</si>
  <si>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</si>
  <si>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</si>
  <si>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</si>
  <si>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</si>
  <si>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</si>
  <si>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</si>
  <si>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</si>
  <si>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</si>
  <si>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</si>
  <si>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</si>
  <si>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</si>
  <si>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</si>
  <si>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</si>
  <si>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</si>
  <si>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</si>
  <si>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</si>
  <si>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</si>
  <si>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</si>
  <si>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</si>
  <si>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</si>
  <si>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</si>
  <si>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</si>
  <si>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</si>
  <si>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</si>
  <si>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</si>
  <si>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</si>
  <si>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</si>
  <si>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</si>
  <si>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</si>
  <si>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</si>
  <si>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</si>
  <si>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</si>
  <si>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</si>
  <si>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</si>
  <si>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</si>
  <si>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</si>
  <si>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</si>
  <si>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</si>
  <si>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</si>
  <si>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</si>
  <si>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</si>
  <si>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</si>
  <si>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</si>
  <si>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</si>
  <si>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</si>
  <si>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</si>
  <si>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</si>
  <si>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</si>
  <si>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</si>
  <si>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</si>
  <si>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</si>
  <si>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</si>
  <si>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</si>
  <si>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</si>
  <si>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</si>
  <si>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</si>
  <si>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</si>
  <si>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</si>
  <si>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</si>
  <si>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</si>
  <si>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</si>
  <si>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</si>
  <si>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</si>
  <si>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</si>
  <si>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</si>
  <si>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</si>
  <si>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</si>
  <si>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</si>
  <si>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</si>
  <si>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</si>
  <si>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</si>
  <si>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</si>
  <si>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</si>
  <si>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</si>
  <si>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</si>
  <si>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</si>
  <si>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</si>
  <si>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</si>
  <si>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</si>
  <si>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</si>
  <si>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</si>
  <si>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</si>
  <si>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</si>
  <si>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</si>
  <si>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</si>
  <si>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</si>
  <si>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</si>
  <si>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</si>
  <si>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</si>
  <si>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</si>
  <si>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</si>
  <si>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</si>
  <si>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</si>
  <si>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</si>
  <si>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</si>
  <si>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</si>
  <si>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</si>
  <si>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</si>
  <si>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</si>
  <si>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</si>
  <si>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</si>
  <si>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</si>
  <si>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</si>
  <si>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</si>
  <si>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</si>
  <si>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</si>
  <si>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</si>
  <si>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</si>
  <si>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</si>
  <si>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</si>
  <si>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</si>
  <si>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</si>
  <si>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</si>
  <si>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</si>
  <si>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</si>
  <si>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</si>
  <si>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</si>
  <si>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</si>
  <si>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</si>
  <si>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</si>
  <si>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</si>
  <si>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</si>
  <si>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</si>
  <si>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</si>
  <si>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</si>
  <si>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</si>
  <si>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</si>
  <si>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</si>
  <si>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</si>
  <si>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</si>
  <si>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</si>
  <si>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</si>
  <si>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</si>
  <si>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</si>
  <si>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</si>
  <si>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</si>
  <si>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</si>
  <si>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</si>
  <si>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</si>
  <si>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</si>
  <si>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</si>
  <si>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</si>
  <si>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</si>
  <si>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</si>
  <si>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</si>
  <si>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</si>
  <si>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</si>
  <si>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</si>
  <si>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</si>
  <si>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</si>
  <si>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</si>
  <si>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</si>
  <si>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</si>
  <si>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</si>
  <si>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</si>
  <si>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</si>
  <si>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</si>
  <si>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</si>
  <si>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</si>
  <si>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</si>
  <si>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</si>
  <si>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</si>
  <si>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</si>
  <si>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</si>
  <si>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</si>
  <si>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</si>
  <si>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</si>
  <si>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</si>
  <si>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</si>
  <si>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</si>
  <si>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</si>
  <si>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</si>
  <si>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</si>
  <si>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</si>
  <si>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</si>
  <si>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</si>
  <si>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</si>
  <si>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</si>
  <si>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</si>
  <si>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</si>
  <si>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</si>
  <si>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</si>
  <si>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</si>
  <si>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</si>
  <si>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</si>
  <si>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</si>
  <si>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</si>
  <si>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</si>
  <si>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</si>
  <si>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</si>
  <si>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</si>
  <si>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</si>
  <si>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</si>
  <si>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</si>
  <si>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</si>
  <si>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</si>
  <si>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</si>
  <si>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</si>
  <si>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</si>
  <si>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</si>
  <si>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</si>
  <si>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</si>
  <si>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</si>
  <si>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</si>
  <si>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</si>
  <si>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</si>
  <si>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</si>
  <si>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</si>
  <si>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</si>
  <si>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</si>
  <si>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</si>
  <si>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</si>
  <si>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</si>
  <si>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</si>
  <si>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</si>
  <si>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</si>
  <si>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</si>
  <si>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</si>
  <si>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</si>
  <si>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</si>
  <si>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</si>
  <si>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</si>
  <si>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</si>
  <si>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</si>
  <si>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</si>
  <si>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</si>
  <si>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</si>
  <si>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</si>
  <si>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</si>
  <si>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</si>
  <si>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</si>
  <si>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</si>
  <si>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</si>
  <si>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</si>
  <si>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</si>
  <si>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</si>
  <si>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</si>
  <si>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</si>
  <si>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</si>
  <si>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</si>
  <si>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</si>
  <si>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</si>
  <si>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</si>
  <si>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</si>
  <si>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</si>
  <si>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</si>
  <si>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</si>
  <si>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</si>
  <si>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</si>
  <si>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</si>
  <si>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</si>
  <si>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</si>
  <si>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</si>
  <si>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</si>
  <si>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</si>
  <si>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</si>
  <si>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</si>
  <si>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</si>
  <si>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</si>
  <si>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</si>
  <si>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</si>
  <si>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</si>
  <si>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</si>
  <si>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</si>
  <si>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</si>
  <si>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</si>
  <si>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</si>
  <si>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</si>
  <si>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</si>
  <si>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</si>
  <si>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</si>
  <si>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</si>
  <si>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</si>
  <si>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</si>
  <si>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</si>
  <si>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</si>
  <si>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</si>
  <si>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</si>
  <si>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</si>
  <si>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</si>
  <si>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</si>
  <si>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</si>
  <si>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</si>
  <si>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</si>
  <si>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</si>
  <si>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</si>
  <si>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</si>
  <si>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</si>
  <si>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</si>
  <si>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</si>
  <si>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</si>
  <si>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</si>
  <si>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</si>
  <si>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</si>
  <si>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</si>
  <si>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</si>
  <si>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</si>
  <si>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</si>
  <si>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</si>
  <si>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</si>
  <si>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</si>
  <si>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</si>
  <si>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</si>
  <si>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</si>
  <si>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</si>
  <si>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</si>
  <si>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</si>
  <si>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</si>
  <si>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</si>
  <si>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</si>
  <si>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</si>
  <si>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</si>
  <si>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</si>
  <si>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</si>
  <si>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</si>
  <si>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</si>
  <si>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</si>
  <si>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</si>
  <si>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</si>
  <si>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</si>
  <si>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</si>
  <si>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</si>
  <si>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</si>
  <si>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</si>
  <si>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</si>
  <si>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</si>
  <si>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</si>
  <si>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</si>
  <si>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</si>
  <si>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</si>
  <si>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</si>
  <si>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</si>
  <si>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</si>
  <si>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</si>
  <si>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</si>
  <si>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</si>
  <si>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</si>
  <si>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</si>
  <si>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</si>
  <si>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</si>
  <si>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</si>
  <si>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</si>
  <si>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</si>
  <si>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</si>
  <si>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</si>
  <si>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</si>
  <si>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</si>
  <si>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</si>
  <si>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</si>
  <si>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</si>
  <si>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</si>
  <si>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</si>
  <si>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</si>
  <si>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</si>
  <si>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</si>
  <si>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</si>
  <si>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</si>
  <si>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</si>
  <si>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</si>
  <si>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</si>
  <si>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</si>
  <si>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</si>
  <si>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</si>
  <si>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</si>
  <si>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</si>
  <si>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</si>
  <si>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</si>
  <si>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</si>
  <si>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</si>
  <si>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</si>
  <si>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</si>
  <si>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</si>
  <si>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</si>
  <si>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</si>
  <si>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</si>
  <si>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</si>
  <si>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</si>
  <si>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</si>
  <si>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</si>
  <si>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</si>
  <si>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</si>
  <si>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</si>
  <si>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</si>
  <si>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</si>
  <si>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</si>
  <si>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</si>
  <si>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</si>
  <si>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</si>
  <si>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</si>
  <si>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</si>
  <si>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</si>
  <si>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</si>
  <si>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</si>
  <si>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</si>
  <si>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</si>
  <si>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</si>
  <si>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</si>
  <si>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</si>
  <si>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</si>
  <si>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</si>
  <si>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</si>
  <si>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</si>
  <si>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</si>
  <si>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</si>
  <si>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</si>
  <si>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</si>
  <si>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</si>
  <si>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</si>
  <si>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</si>
  <si>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</si>
  <si>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</si>
  <si>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</si>
  <si>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</si>
  <si>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</si>
  <si>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</si>
  <si>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</si>
  <si>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</si>
  <si>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</si>
  <si>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</si>
  <si>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</si>
  <si>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</si>
  <si>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</si>
  <si>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</si>
  <si>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</si>
  <si>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</si>
  <si>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</si>
  <si>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</si>
  <si>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</si>
  <si>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</si>
  <si>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</si>
  <si>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</si>
  <si>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</si>
  <si>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</si>
  <si>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</si>
  <si>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</si>
  <si>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</si>
  <si>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</si>
  <si>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</si>
  <si>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</si>
  <si>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</si>
  <si>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</si>
  <si>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</si>
  <si>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</si>
  <si>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</si>
  <si>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</si>
  <si>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</si>
  <si>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</si>
  <si>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</si>
  <si>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</si>
  <si>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</si>
  <si>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</si>
  <si>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</si>
  <si>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</si>
  <si>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</si>
  <si>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</si>
  <si>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</si>
  <si>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</si>
  <si>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</si>
  <si>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</si>
  <si>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</si>
  <si>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</si>
  <si>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</si>
  <si>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</si>
  <si>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</si>
  <si>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</si>
  <si>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</si>
  <si>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</si>
  <si>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</si>
  <si>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</si>
  <si>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</si>
  <si>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</si>
  <si>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</si>
  <si>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</si>
  <si>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</si>
  <si>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</si>
  <si>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</si>
  <si>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</si>
  <si>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</si>
  <si>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</si>
  <si>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</si>
  <si>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</si>
  <si>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</si>
  <si>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</si>
  <si>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</si>
  <si>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</si>
  <si>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</si>
  <si>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</si>
  <si>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</si>
  <si>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</si>
  <si>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</si>
  <si>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</si>
  <si>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</si>
  <si>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</si>
  <si>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</si>
  <si>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</si>
  <si>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</si>
  <si>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</si>
  <si>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</si>
  <si>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</si>
  <si>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</si>
  <si>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</si>
  <si>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</si>
  <si>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</si>
  <si>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</si>
  <si>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</si>
  <si>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</si>
  <si>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</si>
  <si>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</si>
  <si>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</si>
  <si>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</si>
  <si>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</si>
  <si>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</si>
  <si>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</si>
  <si>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</si>
  <si>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</si>
  <si>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</si>
  <si>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</si>
  <si>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</si>
  <si>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</si>
  <si>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</si>
  <si>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</si>
  <si>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</si>
  <si>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</si>
  <si>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</si>
  <si>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</si>
  <si>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</si>
  <si>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</si>
  <si>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</si>
  <si>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</si>
  <si>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</si>
  <si>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</si>
  <si>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</si>
  <si>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</si>
  <si>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</si>
  <si>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</si>
  <si>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</si>
  <si>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</si>
  <si>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</si>
  <si>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</si>
  <si>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</si>
  <si>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</si>
  <si>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</si>
  <si>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</si>
  <si>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</si>
  <si>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</si>
  <si>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</si>
  <si>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</si>
  <si>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</si>
  <si>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</si>
  <si>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</si>
  <si>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</si>
  <si>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</si>
  <si>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</si>
  <si>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</si>
  <si>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</si>
  <si>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</si>
  <si>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</si>
  <si>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</si>
  <si>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</si>
  <si>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</si>
  <si>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</si>
  <si>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</si>
  <si>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</si>
  <si>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</si>
  <si>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</si>
  <si>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</si>
  <si>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</si>
  <si>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</si>
  <si>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</si>
  <si>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</si>
  <si>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</si>
  <si>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</si>
  <si>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</si>
  <si>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</si>
  <si>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</si>
  <si>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</si>
  <si>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</si>
  <si>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</si>
  <si>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</si>
  <si>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</si>
  <si>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</si>
  <si>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</si>
  <si>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</si>
  <si>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</si>
  <si>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</si>
  <si>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</si>
  <si>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</si>
  <si>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</si>
  <si>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</si>
  <si>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</si>
  <si>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</si>
  <si>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</si>
  <si>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</si>
  <si>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</si>
  <si>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</si>
  <si>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</si>
  <si>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</si>
  <si>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</si>
  <si>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</si>
  <si>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</si>
  <si>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</si>
  <si>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</si>
  <si>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</si>
  <si>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</si>
  <si>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</si>
  <si>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</si>
  <si>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</si>
  <si>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</si>
  <si>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</si>
  <si>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</si>
  <si>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</si>
  <si>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</si>
  <si>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</si>
  <si>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</si>
  <si>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</si>
  <si>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</si>
  <si>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</si>
  <si>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</si>
  <si>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</si>
  <si>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</si>
  <si>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</si>
  <si>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</si>
  <si>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</si>
  <si>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</si>
  <si>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</si>
  <si>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</si>
  <si>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</si>
  <si>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</si>
  <si>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</si>
  <si>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</si>
  <si>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</si>
  <si>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</si>
  <si>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</si>
  <si>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</si>
  <si>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</si>
  <si>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</si>
  <si>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</si>
  <si>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</si>
  <si>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</si>
  <si>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</si>
  <si>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</si>
  <si>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</si>
  <si>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</si>
  <si>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</si>
  <si>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</si>
  <si>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</si>
  <si>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</si>
  <si>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</si>
  <si>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</si>
  <si>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</si>
  <si>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</si>
  <si>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</si>
  <si>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</si>
  <si>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</si>
  <si>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</si>
  <si>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</si>
  <si>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</si>
  <si>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</si>
  <si>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</si>
  <si>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</si>
  <si>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</si>
  <si>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</si>
  <si>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</si>
  <si>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</si>
  <si>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</si>
  <si>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</si>
  <si>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</si>
  <si>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</si>
  <si>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</si>
  <si>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</si>
  <si>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</si>
  <si>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</si>
  <si>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</si>
  <si>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</si>
  <si>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</si>
  <si>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</si>
  <si>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</si>
  <si>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</si>
  <si>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</si>
  <si>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</si>
  <si>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</si>
  <si>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</si>
  <si>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</si>
  <si>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</si>
  <si>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</si>
  <si>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</si>
  <si>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</si>
  <si>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</si>
  <si>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</si>
  <si>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</si>
  <si>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</si>
  <si>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</si>
  <si>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</si>
  <si>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</si>
  <si>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</si>
  <si>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</si>
  <si>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</si>
  <si>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</si>
  <si>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</si>
  <si>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</si>
  <si>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</si>
  <si>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</si>
  <si>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</si>
  <si>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</si>
  <si>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</si>
  <si>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</si>
  <si>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</si>
  <si>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</si>
  <si>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</si>
  <si>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</si>
  <si>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</si>
  <si>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</si>
  <si>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</si>
  <si>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</si>
  <si>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</si>
  <si>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</si>
  <si>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</si>
  <si>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</si>
  <si>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</si>
  <si>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</si>
  <si>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</si>
  <si>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</si>
  <si>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</si>
  <si>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</si>
  <si>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</si>
  <si>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</si>
  <si>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</si>
  <si>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</si>
  <si>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</si>
  <si>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</si>
  <si>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</si>
  <si>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</si>
  <si>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</si>
  <si>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</si>
  <si>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</si>
  <si>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</si>
  <si>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</si>
  <si>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</si>
  <si>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</si>
  <si>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</si>
  <si>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</si>
  <si>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</si>
  <si>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</si>
  <si>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</si>
  <si>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</si>
  <si>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</si>
  <si>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</si>
  <si>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</si>
  <si>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</si>
  <si>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</si>
  <si>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</si>
  <si>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</si>
  <si>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</si>
  <si>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</si>
  <si>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</si>
  <si>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</si>
  <si>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</si>
  <si>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</si>
  <si>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</si>
  <si>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</si>
  <si>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</si>
  <si>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</si>
  <si>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</si>
  <si>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</si>
  <si>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</si>
  <si>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</si>
  <si>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</si>
  <si>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</si>
  <si>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</si>
  <si>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</si>
  <si>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</si>
  <si>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</si>
  <si>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</si>
  <si>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</si>
  <si>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</si>
  <si>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</si>
  <si>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</si>
  <si>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</si>
  <si>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</si>
  <si>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</si>
  <si>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</si>
  <si>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</si>
  <si>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</si>
  <si>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</si>
  <si>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</si>
  <si>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</si>
  <si>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</si>
  <si>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</si>
  <si>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</si>
  <si>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</si>
  <si>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</si>
  <si>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</si>
  <si>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</si>
  <si>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</si>
  <si>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</si>
  <si>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</si>
  <si>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</si>
  <si>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</si>
  <si>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</si>
  <si>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</si>
  <si>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</si>
  <si>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</si>
  <si>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</si>
  <si>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</si>
  <si>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</si>
  <si>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</si>
  <si>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</si>
  <si>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</si>
  <si>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</si>
  <si>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</si>
  <si>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</si>
  <si>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</si>
  <si>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</si>
  <si>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</si>
  <si>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</si>
  <si>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</si>
  <si>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</si>
  <si>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</si>
  <si>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</si>
  <si>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</si>
  <si>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</si>
  <si>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</si>
  <si>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</si>
  <si>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</si>
  <si>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</si>
  <si>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</si>
  <si>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</si>
  <si>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</si>
  <si>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</si>
  <si>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</si>
  <si>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</si>
  <si>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</si>
  <si>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</si>
  <si>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</si>
  <si>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</si>
  <si>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</si>
  <si>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</si>
  <si>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</si>
  <si>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</si>
  <si>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</si>
  <si>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</si>
  <si>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</si>
  <si>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</si>
  <si>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</si>
  <si>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</si>
  <si>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</si>
  <si>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</si>
  <si>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</si>
  <si>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</si>
  <si>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</si>
  <si>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</si>
  <si>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</si>
  <si>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</si>
  <si>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</si>
  <si>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</si>
  <si>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</si>
  <si>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</si>
  <si>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</si>
  <si>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</si>
  <si>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</si>
  <si>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</si>
  <si>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</si>
  <si>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</si>
  <si>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</si>
  <si>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</si>
  <si>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</si>
  <si>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</si>
  <si>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</si>
  <si>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</si>
  <si>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</si>
  <si>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</si>
  <si>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</si>
  <si>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</si>
  <si>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</si>
  <si>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</si>
  <si>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</si>
  <si>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</si>
  <si>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</si>
  <si>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</si>
  <si>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</si>
  <si>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</si>
  <si>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</si>
  <si>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</si>
  <si>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</si>
  <si>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</si>
  <si>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</si>
  <si>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</si>
  <si>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</si>
  <si>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</si>
  <si>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</si>
  <si>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</si>
  <si>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</si>
  <si>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</si>
  <si>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</si>
  <si>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</si>
  <si>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</si>
  <si>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</si>
  <si>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</si>
  <si>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</si>
  <si>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</si>
  <si>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</si>
  <si>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</si>
  <si>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</si>
  <si>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</si>
  <si>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</si>
  <si>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</si>
  <si>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</si>
  <si>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</si>
  <si>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</si>
  <si>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</si>
  <si>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</si>
  <si>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</si>
  <si>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</si>
  <si>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</si>
  <si>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</si>
  <si>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</si>
  <si>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</si>
  <si>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</si>
  <si>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</si>
  <si>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</si>
  <si>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</si>
  <si>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</si>
  <si>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</si>
  <si>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</si>
  <si>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</si>
  <si>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</si>
  <si>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</si>
  <si>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</si>
  <si>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</si>
  <si>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</si>
  <si>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</si>
  <si>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</si>
  <si>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</si>
  <si>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</si>
  <si>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</si>
  <si>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</si>
  <si>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</si>
  <si>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</si>
  <si>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</si>
  <si>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</si>
  <si>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</si>
  <si>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</si>
  <si>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</si>
  <si>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</si>
  <si>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</si>
  <si>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</si>
  <si>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</si>
  <si>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</si>
  <si>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</si>
  <si>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</si>
  <si>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</si>
  <si>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</si>
  <si>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</si>
  <si>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</si>
  <si>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</si>
  <si>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</si>
  <si>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</si>
  <si>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</si>
  <si>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</si>
  <si>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</si>
  <si>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</si>
  <si>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</si>
  <si>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</si>
  <si>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</si>
  <si>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</si>
  <si>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</si>
  <si>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</si>
  <si>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</si>
  <si>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</si>
  <si>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</si>
  <si>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</si>
  <si>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</si>
  <si>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</si>
  <si>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</si>
  <si>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</si>
  <si>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</si>
  <si>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</si>
  <si>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</si>
  <si>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</si>
  <si>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</si>
  <si>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</si>
  <si>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</si>
  <si>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</si>
  <si>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</si>
  <si>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</si>
  <si>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</si>
  <si>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</si>
  <si>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</si>
  <si>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</si>
  <si>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</si>
  <si>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</si>
  <si>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</si>
  <si>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</si>
  <si>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</si>
  <si>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</si>
  <si>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</si>
  <si>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</si>
  <si>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</si>
  <si>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</si>
  <si>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</si>
  <si>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</si>
  <si>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</si>
  <si>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</si>
  <si>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</si>
  <si>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</si>
  <si>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</si>
  <si>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</si>
  <si>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</si>
  <si>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</si>
  <si>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</si>
  <si>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</si>
  <si>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</si>
  <si>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</si>
  <si>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</si>
  <si>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</si>
  <si>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</si>
  <si>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</si>
  <si>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</si>
  <si>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</si>
  <si>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</si>
  <si>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</si>
  <si>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</si>
  <si>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</si>
  <si>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</si>
  <si>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</si>
  <si>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</si>
  <si>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</si>
  <si>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</si>
  <si>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</si>
  <si>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</si>
  <si>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</si>
  <si>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</si>
  <si>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</si>
  <si>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</si>
  <si>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</si>
  <si>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</si>
  <si>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</si>
  <si>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</si>
  <si>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</si>
  <si>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</si>
  <si>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</si>
  <si>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</si>
  <si>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</si>
  <si>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</si>
  <si>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</si>
  <si>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</si>
  <si>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</si>
  <si>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</si>
  <si>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</si>
  <si>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</si>
  <si>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</si>
  <si>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</si>
  <si>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</si>
  <si>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</si>
  <si>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</si>
  <si>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</si>
  <si>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</si>
  <si>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</si>
  <si>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</si>
  <si>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</si>
  <si>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</si>
  <si>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</si>
  <si>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</si>
  <si>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</si>
  <si>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</si>
  <si>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</si>
  <si>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</si>
  <si>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</si>
  <si>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</si>
  <si>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</si>
  <si>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</si>
  <si>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</si>
  <si>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</si>
  <si>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</si>
  <si>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</si>
  <si>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</si>
  <si>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</si>
  <si>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</si>
  <si>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</si>
  <si>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</si>
  <si>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</si>
  <si>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</si>
  <si>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</si>
  <si>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</si>
  <si>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</si>
  <si>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</si>
  <si>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</si>
  <si>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</si>
  <si>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</si>
  <si>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</si>
  <si>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</si>
  <si>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</si>
  <si>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</si>
  <si>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</si>
  <si>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</si>
  <si>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</si>
  <si>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</si>
  <si>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</si>
  <si>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</si>
  <si>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</si>
  <si>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</si>
  <si>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</si>
  <si>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</si>
  <si>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</si>
  <si>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</si>
  <si>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</si>
  <si>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</si>
  <si>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</si>
  <si>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</si>
  <si>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</si>
  <si>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</si>
  <si>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</si>
  <si>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</si>
  <si>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</si>
  <si>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</si>
  <si>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</si>
  <si>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</si>
  <si>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</si>
  <si>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</si>
  <si>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</si>
  <si>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</si>
  <si>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</si>
  <si>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</si>
  <si>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</si>
  <si>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</si>
  <si>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</si>
  <si>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</si>
  <si>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</si>
  <si>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</si>
  <si>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</si>
  <si>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</si>
  <si>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</si>
  <si>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</si>
  <si>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</si>
  <si>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</si>
  <si>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</si>
  <si>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</si>
  <si>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</si>
  <si>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</si>
  <si>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</si>
  <si>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</si>
  <si>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</si>
  <si>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</si>
  <si>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</si>
  <si>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</si>
  <si>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</si>
  <si>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</si>
  <si>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</si>
  <si>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</si>
  <si>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</si>
  <si>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</si>
  <si>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</si>
  <si>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</si>
  <si>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</si>
  <si>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</si>
  <si>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</si>
  <si>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</si>
  <si>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</si>
  <si>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</si>
  <si>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</si>
  <si>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</si>
  <si>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</si>
  <si>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</si>
  <si>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</si>
  <si>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</si>
  <si>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</si>
  <si>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</si>
  <si>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</si>
  <si>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</si>
  <si>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</si>
  <si>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</si>
  <si>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</si>
  <si>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</si>
  <si>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</si>
  <si>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</si>
  <si>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</si>
  <si>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</si>
  <si>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</si>
  <si>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</si>
  <si>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</si>
  <si>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</si>
  <si>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</si>
  <si>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</si>
  <si>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</si>
  <si>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</si>
  <si>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</si>
  <si>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</si>
  <si>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</si>
  <si>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</si>
  <si>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</si>
  <si>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</si>
  <si>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</si>
  <si>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</si>
  <si>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</si>
  <si>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</si>
  <si>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</si>
  <si>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</si>
  <si>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</si>
  <si>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</si>
  <si>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</si>
  <si>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</si>
  <si>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</si>
  <si>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</si>
  <si>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</si>
  <si>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</si>
  <si>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</si>
  <si>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</si>
  <si>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</si>
  <si>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</si>
  <si>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</si>
  <si>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</si>
  <si>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</si>
  <si>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</si>
  <si>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</si>
  <si>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</si>
  <si>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</si>
  <si>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</si>
  <si>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</si>
  <si>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</si>
  <si>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</si>
  <si>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</si>
  <si>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</si>
  <si>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</si>
  <si>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</si>
  <si>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</si>
  <si>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</si>
  <si>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</si>
  <si>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</si>
  <si>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</si>
  <si>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</si>
  <si>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</si>
  <si>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</si>
  <si>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</si>
  <si>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</si>
  <si>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</si>
  <si>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</si>
  <si>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</si>
  <si>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</si>
  <si>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</si>
  <si>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</si>
  <si>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</si>
  <si>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</si>
  <si>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</si>
  <si>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</si>
  <si>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</si>
  <si>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</si>
  <si>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</si>
  <si>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</si>
  <si>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</si>
  <si>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</si>
  <si>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</si>
  <si>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</si>
  <si>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</si>
  <si>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</si>
  <si>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</si>
  <si>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</si>
  <si>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</si>
  <si>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</si>
  <si>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</si>
  <si>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</si>
  <si>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</si>
  <si>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</si>
  <si>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</si>
  <si>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</si>
  <si>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</si>
  <si>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</si>
  <si>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</si>
  <si>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</si>
  <si>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</si>
  <si>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</si>
  <si>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</si>
  <si>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</si>
  <si>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</si>
  <si>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</si>
  <si>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</si>
  <si>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</si>
  <si>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</si>
  <si>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</si>
  <si>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</si>
  <si>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</si>
  <si>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</si>
  <si>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</si>
  <si>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</si>
  <si>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</si>
  <si>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</si>
  <si>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</si>
  <si>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</si>
  <si>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</si>
  <si>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</si>
  <si>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</si>
  <si>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</si>
  <si>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</si>
  <si>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</si>
  <si>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</si>
  <si>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</si>
  <si>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</si>
  <si>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</si>
  <si>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</si>
  <si>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</si>
  <si>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</si>
  <si>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</si>
  <si>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</si>
  <si>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</si>
  <si>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</si>
  <si>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</si>
  <si>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</si>
  <si>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</si>
  <si>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</si>
  <si>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</si>
  <si>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</si>
  <si>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</si>
  <si>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</si>
  <si>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</si>
  <si>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</si>
  <si>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</si>
  <si>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</si>
  <si>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</si>
  <si>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</si>
  <si>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</si>
  <si>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</si>
  <si>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</si>
  <si>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</si>
  <si>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</si>
  <si>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</si>
  <si>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</si>
  <si>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</si>
  <si>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</si>
  <si>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</si>
  <si>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</si>
  <si>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</si>
  <si>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</si>
  <si>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</si>
  <si>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</si>
  <si>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</si>
  <si>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</si>
  <si>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</si>
  <si>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</si>
  <si>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</si>
  <si>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</si>
  <si>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</si>
  <si>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</si>
  <si>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</si>
  <si>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</si>
  <si>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</si>
  <si>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</si>
  <si>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</si>
  <si>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</si>
  <si>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</si>
  <si>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</si>
  <si>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</si>
  <si>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</si>
  <si>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</si>
  <si>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</si>
  <si>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</si>
  <si>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</si>
  <si>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</si>
  <si>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</si>
  <si>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</si>
  <si>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</si>
  <si>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</si>
  <si>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</si>
  <si>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</si>
  <si>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</si>
  <si>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</si>
  <si>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</si>
  <si>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</si>
  <si>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</si>
  <si>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</si>
  <si>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</si>
  <si>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</si>
  <si>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</si>
  <si>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</si>
  <si>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</si>
  <si>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</si>
  <si>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</si>
  <si>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</si>
  <si>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</si>
  <si>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</si>
  <si>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</si>
  <si>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</si>
  <si>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</si>
  <si>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</si>
  <si>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</si>
  <si>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</si>
  <si>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</si>
  <si>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</si>
  <si>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</si>
  <si>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</si>
  <si>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</si>
  <si>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</si>
  <si>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</si>
  <si>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</si>
  <si>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</si>
  <si>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</si>
  <si>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</si>
  <si>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</si>
  <si>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</si>
  <si>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</si>
  <si>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</si>
  <si>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</si>
  <si>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</si>
  <si>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</si>
  <si>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</si>
  <si>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</si>
  <si>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</si>
  <si>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</si>
  <si>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</si>
  <si>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</si>
  <si>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</si>
  <si>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</si>
  <si>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</si>
  <si>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</si>
  <si>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</si>
  <si>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</si>
  <si>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</si>
  <si>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</si>
  <si>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</si>
  <si>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</si>
  <si>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</si>
  <si>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</si>
  <si>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</si>
  <si>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</si>
  <si>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</si>
  <si>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</si>
  <si>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</si>
  <si>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</si>
  <si>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</si>
  <si>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</si>
  <si>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</si>
  <si>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</si>
  <si>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</si>
  <si>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</si>
  <si>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</si>
  <si>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</si>
  <si>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</si>
  <si>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</si>
  <si>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</si>
  <si>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</si>
  <si>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</si>
  <si>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</si>
  <si>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</si>
  <si>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</si>
  <si>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</si>
  <si>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</si>
  <si>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</si>
  <si>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</si>
  <si>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</si>
  <si>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</si>
  <si>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</si>
  <si>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</si>
  <si>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</si>
  <si>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</si>
  <si>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</si>
  <si>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</si>
  <si>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</si>
  <si>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</si>
  <si>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</si>
  <si>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</si>
  <si>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</si>
  <si>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</si>
  <si>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</si>
  <si>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</si>
  <si>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</si>
  <si>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</si>
  <si>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</si>
  <si>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</si>
  <si>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</si>
  <si>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</si>
  <si>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</si>
  <si>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</si>
  <si>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</si>
  <si>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</si>
  <si>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</si>
  <si>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</si>
  <si>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</si>
  <si>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</si>
  <si>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</si>
  <si>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</si>
  <si>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</si>
  <si>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</si>
  <si>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</si>
  <si>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</si>
  <si>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</si>
  <si>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</si>
  <si>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</si>
  <si>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</si>
  <si>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</si>
  <si>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</si>
  <si>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</si>
  <si>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</si>
  <si>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</si>
  <si>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</si>
  <si>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</si>
  <si>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</si>
  <si>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</si>
  <si>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</si>
  <si>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</si>
  <si>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</si>
  <si>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</si>
  <si>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</si>
  <si>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</si>
  <si>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</si>
  <si>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</si>
  <si>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</si>
  <si>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</si>
  <si>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</si>
  <si>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</si>
  <si>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</si>
  <si>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</si>
  <si>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</si>
  <si>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</si>
  <si>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</si>
  <si>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</si>
  <si>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</si>
  <si>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</si>
  <si>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</si>
  <si>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</si>
  <si>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</si>
  <si>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</si>
  <si>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</si>
  <si>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</si>
  <si>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</si>
  <si>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</si>
  <si>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</si>
  <si>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</si>
  <si>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</si>
  <si>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</si>
  <si>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</si>
  <si>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</si>
  <si>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</si>
  <si>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</si>
  <si>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</si>
  <si>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</si>
  <si>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</si>
  <si>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</si>
  <si>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</si>
  <si>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</si>
  <si>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</si>
  <si>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</si>
  <si>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</si>
  <si>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</si>
  <si>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</si>
  <si>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</si>
  <si>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</si>
  <si>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</si>
  <si>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</si>
  <si>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</si>
  <si>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</si>
  <si>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</si>
  <si>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</si>
  <si>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</si>
  <si>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</si>
  <si>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</si>
  <si>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</si>
  <si>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</si>
  <si>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</si>
  <si>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</si>
  <si>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</si>
  <si>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</si>
  <si>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</si>
  <si>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</si>
  <si>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</si>
  <si>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</si>
  <si>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</si>
  <si>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</si>
  <si>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</si>
  <si>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</si>
  <si>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</si>
  <si>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</si>
  <si>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</si>
  <si>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</si>
  <si>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</si>
  <si>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</si>
  <si>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</si>
  <si>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</si>
  <si>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</si>
  <si>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</si>
  <si>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</si>
  <si>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</si>
  <si>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</si>
  <si>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</si>
  <si>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</si>
  <si>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</si>
  <si>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</si>
  <si>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</si>
  <si>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</si>
  <si>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</si>
  <si>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</si>
  <si>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</si>
  <si>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</si>
  <si>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</si>
  <si>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</si>
  <si>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</si>
  <si>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</si>
  <si>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</si>
  <si>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</si>
  <si>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</si>
  <si>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</si>
  <si>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</si>
  <si>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</si>
  <si>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</si>
  <si>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</si>
  <si>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</si>
  <si>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</si>
  <si>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</si>
  <si>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</si>
  <si>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</si>
  <si>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</si>
  <si>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</si>
  <si>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</si>
  <si>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</si>
  <si>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</si>
  <si>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</si>
  <si>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</si>
  <si>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</si>
  <si>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</si>
  <si>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</si>
  <si>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</si>
  <si>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</si>
  <si>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</si>
  <si>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</si>
  <si>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</si>
  <si>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</si>
  <si>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</si>
  <si>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</si>
  <si>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</si>
  <si>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</si>
  <si>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</si>
  <si>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</si>
  <si>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</si>
  <si>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</si>
  <si>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</si>
  <si>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</si>
  <si>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</si>
  <si>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</si>
  <si>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</si>
  <si>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</si>
  <si>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</si>
  <si>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</si>
  <si>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</si>
  <si>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</si>
  <si>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</si>
  <si>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</si>
  <si>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</si>
  <si>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</si>
  <si>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</si>
  <si>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</si>
  <si>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</si>
  <si>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</si>
  <si>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</si>
  <si>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</si>
  <si>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</si>
  <si>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</si>
  <si>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</si>
  <si>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</si>
  <si>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</si>
  <si>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</si>
  <si>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</si>
  <si>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</si>
  <si>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</si>
  <si>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</si>
  <si>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</si>
  <si>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</si>
  <si>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</si>
  <si>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</si>
  <si>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</si>
  <si>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</si>
  <si>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</si>
  <si>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</si>
  <si>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</si>
  <si>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</si>
  <si>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</si>
  <si>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</si>
  <si>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</si>
  <si>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</si>
  <si>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</si>
  <si>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</si>
  <si>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</si>
  <si>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</si>
  <si>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</si>
  <si>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</si>
  <si>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</si>
  <si>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</si>
  <si>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</si>
  <si>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</si>
  <si>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</si>
  <si>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</si>
  <si>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</si>
  <si>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</si>
  <si>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</si>
  <si>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</si>
  <si>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</si>
  <si>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</si>
  <si>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</si>
  <si>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</si>
  <si>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</si>
  <si>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</si>
  <si>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</si>
  <si>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</si>
  <si>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</si>
  <si>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</si>
  <si>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</si>
  <si>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</si>
  <si>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</si>
  <si>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</si>
  <si>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</si>
  <si>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</si>
  <si>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</si>
  <si>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</si>
  <si>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</si>
  <si>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</si>
  <si>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</si>
  <si>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</si>
  <si>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</si>
  <si>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</si>
  <si>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</si>
  <si>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</si>
  <si>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</si>
  <si>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</si>
  <si>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</si>
  <si>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</si>
  <si>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</si>
  <si>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</si>
  <si>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</si>
  <si>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</si>
  <si>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</si>
  <si>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</si>
  <si>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</si>
  <si>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</si>
  <si>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</si>
  <si>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</si>
  <si>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</si>
  <si>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</si>
  <si>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</si>
  <si>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</si>
  <si>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</si>
  <si>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</si>
  <si>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</si>
  <si>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</si>
  <si>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</si>
  <si>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</si>
  <si>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</si>
  <si>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</si>
  <si>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</si>
  <si>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</si>
  <si>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</si>
  <si>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</si>
  <si>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</si>
  <si>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</si>
  <si>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</si>
  <si>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</si>
  <si>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</si>
  <si>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</si>
  <si>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</si>
  <si>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</si>
  <si>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</si>
  <si>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</si>
  <si>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</si>
  <si>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</si>
  <si>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</si>
  <si>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</si>
  <si>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</si>
  <si>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</si>
  <si>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</si>
  <si>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</si>
  <si>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</si>
  <si>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</si>
  <si>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</si>
  <si>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</si>
  <si>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</si>
  <si>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</si>
  <si>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</si>
  <si>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</si>
  <si>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</si>
  <si>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</si>
  <si>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</si>
  <si>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</si>
  <si>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</si>
  <si>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</si>
  <si>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</si>
  <si>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</si>
  <si>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</si>
  <si>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</si>
  <si>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</si>
  <si>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</si>
  <si>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</si>
  <si>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</si>
  <si>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</si>
  <si>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</si>
  <si>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</si>
  <si>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</si>
  <si>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</si>
  <si>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</si>
  <si>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</si>
  <si>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</si>
  <si>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</si>
  <si>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</si>
  <si>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</si>
  <si>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</si>
  <si>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</si>
  <si>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</si>
  <si>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</si>
  <si>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</si>
  <si>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</si>
  <si>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</si>
  <si>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</si>
  <si>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</si>
  <si>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</si>
  <si>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</si>
  <si>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</si>
  <si>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</si>
  <si>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</si>
  <si>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</si>
  <si>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</si>
  <si>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</si>
  <si>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</si>
  <si>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</si>
  <si>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</si>
  <si>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</si>
  <si>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</si>
  <si>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</si>
  <si>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</si>
  <si>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</si>
  <si>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</si>
  <si>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</si>
  <si>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</si>
  <si>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</si>
  <si>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</si>
  <si>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</si>
  <si>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</si>
  <si>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</si>
  <si>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</si>
  <si>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</si>
  <si>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</si>
  <si>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</si>
  <si>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</si>
  <si>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</si>
  <si>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</si>
  <si>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</si>
  <si>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</si>
  <si>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</si>
  <si>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</si>
  <si>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</si>
  <si>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</si>
  <si>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</si>
  <si>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</si>
  <si>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</si>
  <si>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</si>
  <si>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</si>
  <si>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</si>
  <si>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</si>
  <si>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</si>
  <si>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</si>
  <si>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</si>
  <si>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</si>
  <si>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</si>
  <si>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</si>
  <si>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</si>
  <si>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</si>
  <si>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</si>
  <si>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</si>
  <si>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</si>
  <si>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</si>
  <si>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</si>
  <si>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</si>
  <si>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</si>
  <si>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</si>
  <si>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</si>
  <si>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</si>
  <si>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</si>
  <si>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</si>
  <si>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</si>
  <si>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</si>
  <si>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</si>
  <si>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</si>
  <si>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</si>
  <si>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</si>
  <si>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</si>
  <si>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</si>
  <si>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</si>
  <si>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</si>
  <si>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</si>
  <si>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</si>
  <si>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</si>
  <si>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</si>
  <si>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</si>
  <si>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</si>
  <si>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</si>
  <si>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</si>
  <si>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</si>
  <si>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</si>
  <si>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</si>
  <si>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</si>
  <si>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</si>
  <si>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</si>
  <si>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</si>
  <si>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</si>
  <si>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</si>
  <si>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</si>
  <si>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</si>
  <si>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</si>
  <si>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</si>
  <si>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</si>
  <si>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</si>
  <si>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</si>
  <si>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</si>
  <si>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</si>
  <si>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</si>
  <si>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</si>
  <si>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</si>
  <si>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</si>
  <si>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</si>
  <si>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</si>
  <si>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</si>
  <si>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</si>
  <si>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</si>
  <si>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</si>
  <si>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</si>
  <si>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</si>
  <si>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</si>
  <si>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</si>
  <si>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</si>
  <si>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</si>
  <si>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</si>
  <si>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</si>
  <si>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</si>
  <si>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</si>
  <si>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</si>
  <si>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</si>
  <si>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</si>
  <si>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</si>
  <si>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</si>
  <si>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</si>
  <si>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</si>
  <si>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</si>
  <si>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</si>
  <si>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</si>
  <si>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</si>
  <si>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</si>
  <si>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</si>
  <si>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</si>
  <si>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</si>
  <si>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</si>
  <si>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</si>
  <si>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</si>
  <si>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</si>
  <si>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</si>
  <si>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</si>
  <si>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</si>
  <si>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</si>
  <si>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</si>
  <si>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</si>
  <si>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</si>
  <si>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</si>
  <si>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</si>
  <si>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</si>
  <si>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</si>
  <si>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</si>
  <si>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</si>
  <si>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</si>
  <si>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</si>
  <si>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</si>
  <si>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</si>
  <si>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</si>
  <si>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</si>
  <si>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</si>
  <si>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</si>
  <si>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</si>
  <si>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</si>
  <si>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</si>
  <si>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</si>
  <si>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</si>
  <si>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</si>
  <si>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</si>
  <si>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</si>
  <si>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</si>
  <si>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</si>
  <si>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</si>
  <si>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</si>
  <si>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</si>
  <si>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</si>
  <si>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</si>
  <si>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</si>
  <si>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</si>
  <si>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</si>
  <si>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</si>
  <si>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</si>
  <si>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</si>
  <si>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</si>
  <si>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</si>
  <si>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</si>
  <si>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</si>
  <si>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</si>
  <si>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</si>
  <si>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</si>
  <si>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</si>
  <si>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</si>
  <si>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</si>
  <si>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</si>
  <si>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</si>
  <si>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</si>
  <si>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</si>
  <si>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</si>
  <si>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</si>
  <si>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</si>
  <si>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</si>
  <si>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</si>
  <si>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</si>
  <si>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</si>
  <si>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</si>
  <si>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</si>
  <si>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</si>
  <si>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</si>
  <si>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</si>
  <si>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</si>
  <si>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</si>
  <si>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</si>
  <si>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</si>
  <si>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</si>
  <si>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</si>
  <si>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</si>
  <si>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</si>
  <si>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</si>
  <si>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</si>
  <si>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</si>
  <si>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</si>
  <si>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</si>
  <si>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</si>
  <si>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</si>
  <si>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</si>
  <si>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</si>
  <si>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</si>
  <si>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</si>
  <si>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</si>
  <si>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</si>
  <si>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</si>
  <si>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</si>
  <si>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</si>
  <si>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</si>
  <si>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</si>
  <si>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</si>
  <si>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</si>
  <si>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</si>
  <si>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</si>
  <si>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</si>
  <si>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</si>
  <si>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</si>
  <si>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</si>
  <si>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</si>
  <si>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</si>
  <si>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</si>
  <si>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</si>
  <si>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</si>
  <si>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</si>
  <si>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</si>
  <si>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</si>
  <si>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</si>
  <si>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</si>
  <si>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</si>
  <si>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</si>
  <si>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</si>
  <si>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</si>
  <si>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</si>
  <si>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</si>
  <si>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</si>
  <si>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</si>
  <si>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</si>
  <si>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</si>
  <si>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</si>
  <si>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</si>
  <si>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</si>
  <si>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</si>
  <si>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</si>
  <si>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</si>
  <si>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</si>
  <si>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</si>
  <si>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</si>
  <si>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</si>
  <si>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</si>
  <si>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</si>
  <si>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</si>
  <si>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</si>
  <si>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</si>
  <si>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</si>
  <si>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</si>
  <si>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</si>
  <si>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</si>
  <si>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</si>
  <si>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</si>
  <si>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</si>
  <si>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</si>
  <si>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</si>
  <si>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</si>
  <si>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</si>
  <si>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</si>
  <si>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</si>
  <si>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</si>
  <si>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</si>
  <si>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</si>
  <si>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</si>
  <si>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</si>
  <si>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</si>
  <si>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</si>
  <si>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</si>
  <si>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</si>
  <si>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</si>
  <si>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</si>
  <si>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</si>
  <si>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</si>
  <si>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</si>
  <si>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</si>
  <si>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</si>
  <si>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</si>
  <si>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</si>
  <si>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</si>
  <si>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</si>
  <si>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</si>
  <si>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</si>
  <si>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</si>
  <si>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</si>
  <si>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</si>
  <si>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</si>
  <si>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</si>
  <si>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</si>
  <si>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</si>
  <si>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</si>
  <si>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</si>
  <si>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</si>
  <si>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</si>
  <si>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</si>
  <si>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</si>
  <si>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</si>
  <si>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</si>
  <si>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</si>
  <si>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</si>
  <si>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</si>
  <si>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</si>
  <si>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</si>
  <si>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</si>
  <si>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</si>
  <si>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</si>
  <si>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</si>
  <si>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</si>
  <si>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</si>
  <si>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</si>
  <si>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</si>
  <si>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</si>
  <si>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</si>
  <si>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</si>
  <si>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</si>
  <si>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</si>
  <si>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</si>
  <si>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</si>
  <si>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</si>
  <si>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</si>
  <si>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</si>
  <si>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</si>
  <si>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</si>
  <si>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</si>
  <si>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</si>
  <si>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</si>
  <si>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</si>
  <si>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</si>
  <si>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</si>
  <si>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</si>
  <si>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</si>
  <si>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</si>
  <si>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</si>
  <si>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</si>
  <si>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</si>
  <si>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</si>
  <si>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</si>
  <si>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</si>
  <si>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</si>
  <si>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</si>
  <si>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</si>
  <si>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</si>
  <si>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</si>
  <si>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</si>
  <si>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</si>
  <si>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</si>
  <si>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</si>
  <si>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</si>
  <si>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</si>
  <si>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</si>
  <si>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</si>
  <si>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</si>
  <si>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</si>
  <si>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</si>
  <si>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</si>
  <si>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</si>
  <si>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</si>
  <si>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</si>
  <si>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</si>
  <si>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</si>
  <si>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</si>
  <si>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</si>
  <si>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</si>
  <si>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</si>
  <si>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</si>
  <si>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</si>
  <si>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</si>
  <si>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</si>
  <si>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</si>
  <si>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</si>
  <si>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</si>
  <si>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</si>
  <si>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</si>
  <si>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</si>
  <si>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</si>
  <si>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</si>
  <si>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</si>
  <si>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</si>
  <si>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</si>
  <si>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</si>
  <si>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</si>
  <si>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</si>
  <si>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</si>
  <si>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</si>
  <si>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</si>
  <si>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</si>
  <si>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</si>
  <si>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</si>
  <si>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</si>
  <si>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</si>
  <si>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</si>
  <si>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</si>
  <si>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</si>
  <si>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</si>
  <si>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</si>
  <si>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</si>
  <si>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</si>
  <si>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</si>
  <si>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</si>
  <si>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</si>
  <si>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</si>
  <si>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</si>
  <si>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</si>
  <si>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</si>
  <si>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</si>
  <si>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</si>
  <si>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</si>
  <si>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</si>
  <si>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</si>
  <si>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</si>
  <si>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</si>
  <si>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</si>
  <si>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</si>
  <si>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</si>
  <si>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</si>
  <si>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</si>
  <si>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</si>
  <si>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</si>
  <si>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</si>
  <si>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</si>
  <si>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</si>
  <si>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</si>
  <si>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</si>
  <si>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</si>
  <si>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</si>
  <si>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</si>
  <si>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</si>
  <si>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</si>
  <si>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</si>
  <si>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</si>
  <si>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</si>
  <si>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</si>
  <si>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</si>
  <si>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</si>
  <si>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</si>
  <si>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</si>
  <si>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</si>
  <si>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</si>
  <si>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</si>
  <si>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</si>
  <si>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</si>
  <si>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</si>
  <si>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</si>
  <si>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</si>
  <si>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</si>
  <si>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</si>
  <si>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</si>
  <si>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</si>
  <si>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</si>
  <si>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</si>
  <si>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</si>
  <si>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</si>
  <si>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</si>
  <si>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</si>
  <si>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</si>
  <si>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</si>
  <si>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</si>
  <si>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</si>
  <si>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</si>
  <si>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</si>
  <si>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</si>
  <si>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</si>
  <si>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</si>
  <si>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</si>
  <si>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</si>
  <si>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</si>
  <si>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</si>
  <si>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</si>
  <si>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</si>
  <si>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</si>
  <si>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</si>
  <si>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</si>
  <si>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</si>
  <si>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</si>
  <si>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</si>
  <si>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</si>
  <si>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</si>
  <si>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</si>
  <si>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</si>
  <si>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</si>
  <si>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</si>
  <si>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</si>
  <si>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</si>
  <si>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</si>
  <si>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</si>
  <si>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</si>
  <si>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</si>
  <si>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</si>
  <si>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</si>
  <si>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</si>
  <si>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</si>
  <si>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</si>
  <si>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</si>
  <si>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</si>
  <si>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</si>
  <si>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</si>
  <si>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</si>
  <si>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</si>
  <si>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</si>
  <si>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</si>
  <si>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</si>
  <si>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</si>
  <si>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</si>
  <si>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</si>
  <si>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</si>
  <si>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</si>
  <si>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</si>
  <si>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</si>
  <si>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</si>
  <si>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</si>
  <si>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</si>
  <si>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</si>
  <si>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</si>
  <si>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</si>
  <si>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</si>
  <si>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</si>
  <si>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</si>
  <si>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</si>
  <si>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</si>
  <si>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</si>
  <si>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</si>
  <si>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</si>
  <si>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</si>
  <si>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</si>
  <si>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</si>
  <si>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</si>
  <si>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</si>
  <si>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</si>
  <si>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</si>
  <si>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</si>
  <si>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</si>
  <si>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</si>
  <si>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</si>
  <si>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</si>
  <si>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</si>
  <si>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</si>
  <si>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</si>
  <si>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</si>
  <si>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</si>
  <si>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</si>
  <si>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</si>
  <si>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</si>
  <si>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</si>
  <si>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</si>
  <si>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</si>
  <si>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</si>
  <si>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</si>
  <si>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</si>
  <si>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</si>
  <si>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</si>
  <si>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</si>
  <si>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</si>
  <si>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</si>
  <si>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</si>
  <si>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</si>
  <si>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</si>
  <si>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</si>
  <si>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</si>
  <si>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</si>
  <si>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</si>
  <si>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</si>
  <si>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</si>
  <si>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</si>
  <si>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</si>
  <si>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</si>
  <si>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</si>
  <si>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</si>
  <si>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</si>
  <si>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</si>
  <si>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</si>
  <si>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</si>
  <si>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</si>
  <si>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</si>
  <si>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</si>
  <si>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</si>
  <si>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</si>
  <si>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</si>
  <si>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</si>
  <si>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</si>
  <si>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</si>
  <si>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</si>
  <si>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</si>
  <si>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</si>
  <si>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</si>
  <si>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</si>
  <si>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</si>
  <si>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</si>
  <si>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</si>
  <si>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</si>
  <si>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</si>
  <si>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</si>
  <si>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</si>
  <si>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</si>
  <si>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</si>
  <si>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</si>
  <si>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</si>
  <si>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</si>
  <si>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</si>
  <si>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</si>
  <si>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</si>
  <si>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</si>
  <si>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</si>
  <si>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</si>
  <si>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</si>
  <si>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</si>
  <si>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</si>
  <si>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</si>
  <si>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</si>
  <si>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</si>
  <si>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</si>
  <si>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</si>
  <si>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</si>
  <si>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</si>
  <si>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</si>
  <si>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</si>
  <si>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</si>
  <si>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</si>
  <si>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</si>
  <si>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</si>
  <si>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</si>
  <si>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</si>
  <si>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</si>
  <si>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</si>
  <si>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</si>
  <si>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</si>
  <si>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</si>
  <si>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</si>
  <si>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</si>
  <si>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</si>
  <si>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</si>
  <si>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</si>
  <si>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</si>
  <si>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</si>
  <si>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</si>
  <si>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</si>
  <si>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</si>
  <si>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</si>
  <si>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</si>
  <si>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</si>
  <si>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</si>
  <si>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</si>
  <si>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</si>
  <si>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</si>
  <si>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</si>
  <si>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</si>
  <si>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</si>
  <si>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</si>
  <si>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</si>
  <si>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</si>
  <si>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</si>
  <si>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</si>
  <si>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</si>
  <si>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</si>
  <si>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</si>
  <si>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</si>
  <si>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</si>
  <si>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</si>
  <si>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</si>
  <si>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</si>
  <si>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</si>
  <si>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</si>
  <si>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</si>
  <si>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</si>
  <si>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</si>
  <si>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</si>
  <si>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</si>
  <si>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</si>
  <si>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</si>
  <si>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</si>
  <si>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</si>
  <si>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</si>
  <si>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</si>
  <si>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</si>
  <si>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</si>
  <si>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</si>
  <si>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</si>
  <si>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</si>
  <si>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</si>
  <si>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</si>
  <si>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</si>
  <si>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</si>
  <si>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</si>
  <si>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</si>
  <si>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</si>
  <si>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</si>
  <si>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</si>
  <si>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</si>
  <si>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</si>
  <si>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</si>
  <si>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</si>
  <si>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</si>
  <si>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</si>
  <si>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</si>
  <si>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</si>
  <si>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</si>
  <si>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</si>
  <si>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</si>
  <si>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</si>
  <si>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</si>
  <si>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</si>
  <si>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</si>
  <si>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</si>
  <si>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</si>
  <si>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</si>
  <si>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</si>
  <si>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</si>
  <si>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</si>
  <si>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</si>
  <si>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</si>
  <si>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</si>
  <si>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</si>
  <si>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</si>
  <si>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</si>
  <si>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</si>
  <si>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</si>
  <si>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</si>
  <si>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</si>
  <si>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</si>
  <si>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</si>
  <si>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</si>
  <si>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</si>
  <si>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</si>
  <si>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</si>
  <si>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</si>
  <si>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</si>
  <si>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</si>
  <si>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</si>
  <si>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</si>
  <si>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</si>
  <si>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</si>
  <si>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</si>
  <si>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</si>
  <si>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</si>
  <si>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</si>
  <si>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</si>
  <si>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</si>
  <si>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</si>
  <si>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</si>
  <si>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</si>
  <si>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</si>
  <si>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</si>
  <si>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</si>
  <si>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</si>
  <si>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</si>
  <si>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</si>
  <si>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</si>
  <si>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</si>
  <si>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</si>
  <si>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</si>
  <si>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</si>
  <si>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</si>
  <si>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</si>
  <si>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</si>
  <si>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</si>
  <si>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</si>
  <si>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</si>
  <si>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</si>
  <si>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</si>
  <si>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</si>
  <si>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</si>
  <si>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</si>
  <si>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</si>
  <si>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</si>
  <si>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</si>
  <si>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</si>
  <si>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</si>
  <si>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</si>
  <si>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</si>
  <si>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</si>
  <si>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</si>
  <si>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</si>
  <si>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</si>
  <si>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</si>
  <si>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</si>
  <si>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</si>
  <si>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</si>
  <si>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</si>
  <si>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</si>
  <si>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</si>
  <si>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</si>
  <si>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</si>
  <si>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</si>
  <si>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</si>
  <si>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</si>
  <si>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</si>
  <si>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</si>
  <si>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</si>
  <si>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</si>
  <si>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</si>
  <si>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</si>
  <si>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</si>
  <si>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</si>
  <si>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</si>
  <si>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</si>
  <si>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</si>
  <si>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</si>
  <si>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</si>
  <si>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</si>
  <si>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</si>
  <si>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</si>
  <si>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</si>
  <si>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</si>
  <si>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</si>
  <si>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</si>
  <si>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</si>
  <si>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</si>
  <si>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</si>
  <si>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</si>
  <si>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</si>
  <si>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</si>
  <si>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</si>
  <si>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</si>
  <si>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</si>
  <si>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</si>
  <si>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</si>
  <si>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</si>
  <si>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</si>
  <si>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</si>
  <si>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</si>
  <si>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</si>
  <si>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</si>
  <si>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</si>
  <si>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</si>
  <si>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</si>
  <si>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</si>
  <si>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</si>
  <si>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</si>
  <si>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</si>
  <si>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</si>
  <si>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</si>
  <si>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</si>
  <si>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</si>
  <si>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</si>
  <si>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</si>
  <si>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</si>
  <si>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</si>
  <si>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</si>
  <si>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</si>
  <si>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</si>
  <si>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</si>
  <si>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</si>
  <si>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</si>
  <si>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</si>
  <si>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</si>
  <si>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</si>
  <si>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</si>
  <si>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</si>
  <si>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</si>
  <si>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</si>
  <si>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</si>
  <si>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</si>
  <si>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</si>
  <si>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</si>
  <si>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</si>
  <si>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</si>
  <si>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</si>
  <si>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</si>
  <si>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</si>
  <si>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</si>
  <si>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</si>
  <si>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</si>
  <si>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</si>
  <si>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</si>
  <si>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</si>
  <si>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</si>
  <si>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</si>
  <si>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</si>
  <si>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</si>
  <si>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</si>
  <si>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</si>
  <si>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</si>
  <si>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</si>
  <si>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</si>
  <si>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</si>
  <si>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</si>
  <si>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</si>
  <si>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</si>
  <si>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</si>
  <si>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</si>
  <si>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</si>
  <si>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</si>
  <si>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</si>
  <si>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</si>
  <si>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</si>
  <si>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</si>
  <si>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</si>
  <si>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</si>
  <si>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</si>
  <si>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</si>
  <si>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</si>
  <si>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</si>
  <si>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</si>
  <si>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</si>
  <si>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</si>
  <si>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</si>
  <si>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</si>
  <si>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</si>
  <si>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</si>
  <si>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</si>
  <si>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</si>
  <si>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</si>
  <si>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</si>
  <si>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</si>
  <si>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</si>
  <si>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</si>
  <si>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</si>
  <si>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</si>
  <si>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</si>
  <si>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</si>
  <si>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</si>
  <si>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</si>
  <si>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</si>
  <si>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</si>
  <si>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</si>
  <si>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</si>
  <si>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</si>
  <si>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</si>
  <si>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</si>
  <si>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</si>
  <si>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</si>
  <si>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</si>
  <si>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</si>
  <si>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</si>
  <si>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</si>
  <si>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</si>
  <si>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</si>
  <si>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</si>
  <si>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</si>
  <si>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</si>
  <si>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</si>
  <si>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</si>
  <si>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</si>
  <si>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</si>
  <si>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</si>
  <si>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</si>
  <si>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</si>
  <si>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</si>
  <si>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</si>
  <si>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</si>
  <si>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</si>
  <si>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</si>
  <si>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</si>
  <si>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</si>
  <si>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</si>
  <si>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</si>
  <si>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</si>
  <si>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</si>
  <si>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</si>
  <si>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</si>
  <si>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</si>
  <si>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</si>
  <si>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</si>
  <si>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</si>
  <si>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</si>
  <si>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</si>
  <si>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</si>
  <si>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</si>
  <si>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</si>
  <si>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</si>
  <si>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</si>
  <si>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</si>
  <si>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</si>
  <si>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</si>
  <si>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</si>
  <si>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</si>
  <si>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</si>
  <si>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</si>
  <si>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</si>
  <si>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</si>
  <si>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</si>
  <si>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</si>
  <si>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</si>
  <si>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</si>
  <si>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</si>
  <si>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</si>
  <si>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</si>
  <si>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</si>
  <si>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</si>
  <si>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</si>
  <si>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</si>
  <si>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</si>
  <si>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</si>
  <si>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</si>
  <si>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</si>
  <si>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</si>
  <si>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</si>
  <si>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</si>
  <si>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</si>
  <si>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</si>
  <si>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</si>
  <si>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</si>
  <si>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</si>
  <si>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</si>
  <si>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</si>
  <si>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</si>
  <si>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</si>
  <si>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</si>
  <si>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</si>
  <si>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</si>
  <si>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</si>
  <si>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</si>
  <si>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</si>
  <si>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</si>
  <si>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</si>
  <si>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</si>
  <si>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</si>
  <si>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</si>
  <si>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</si>
  <si>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</si>
  <si>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</si>
  <si>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</si>
  <si>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</si>
  <si>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</si>
  <si>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</si>
  <si>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</si>
  <si>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</si>
  <si>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</si>
  <si>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</si>
  <si>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</si>
  <si>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</si>
  <si>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</si>
  <si>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</si>
  <si>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</si>
  <si>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</si>
  <si>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</si>
  <si>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</si>
  <si>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</si>
  <si>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</si>
  <si>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</si>
  <si>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</si>
  <si>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</si>
  <si>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</si>
  <si>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</si>
  <si>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</si>
  <si>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</si>
  <si>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</si>
  <si>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</si>
  <si>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</si>
  <si>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</si>
  <si>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</si>
  <si>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</si>
  <si>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</si>
  <si>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</si>
  <si>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</si>
  <si>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</si>
  <si>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</si>
  <si>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</si>
  <si>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</si>
  <si>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</si>
  <si>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</si>
  <si>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</si>
  <si>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</si>
  <si>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</si>
  <si>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</si>
  <si>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</si>
  <si>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</si>
  <si>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</si>
  <si>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</si>
  <si>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</si>
  <si>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</si>
  <si>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</si>
  <si>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</si>
  <si>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</si>
  <si>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</si>
  <si>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</si>
  <si>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</si>
  <si>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</si>
  <si>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</si>
  <si>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</si>
  <si>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</si>
  <si>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</si>
  <si>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</si>
  <si>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</si>
  <si>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</si>
  <si>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</si>
  <si>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</si>
  <si>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</si>
  <si>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</si>
  <si>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</si>
  <si>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</si>
  <si>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</si>
  <si>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</si>
  <si>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</si>
  <si>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</si>
  <si>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</si>
  <si>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</si>
  <si>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</si>
  <si>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</si>
  <si>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</si>
  <si>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</si>
  <si>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</si>
  <si>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</si>
  <si>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</si>
  <si>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</si>
  <si>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</si>
  <si>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</si>
  <si>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</si>
  <si>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</si>
  <si>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</si>
  <si>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</si>
  <si>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</si>
  <si>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</si>
  <si>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</si>
  <si>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</si>
  <si>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</si>
  <si>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</si>
  <si>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</si>
  <si>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</si>
  <si>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</si>
  <si>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</si>
  <si>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</si>
  <si>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</si>
  <si>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</si>
  <si>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</si>
  <si>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</si>
  <si>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</si>
  <si>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</si>
  <si>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</si>
  <si>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</si>
  <si>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</si>
  <si>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</si>
  <si>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</si>
  <si>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</si>
  <si>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</si>
  <si>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</si>
  <si>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</si>
  <si>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</si>
  <si>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</si>
  <si>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</si>
  <si>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</si>
  <si>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</si>
  <si>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</si>
  <si>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</si>
  <si>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</si>
  <si>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</si>
  <si>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</si>
  <si>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</si>
  <si>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</si>
  <si>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</si>
  <si>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</si>
  <si>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</si>
  <si>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</si>
  <si>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</si>
  <si>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</si>
  <si>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</si>
  <si>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</si>
  <si>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</si>
  <si>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</si>
  <si>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</si>
  <si>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</si>
  <si>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</si>
  <si>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</si>
  <si>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</si>
  <si>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</si>
  <si>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</si>
  <si>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</si>
  <si>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</si>
  <si>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</si>
  <si>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</si>
  <si>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</si>
  <si>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</si>
  <si>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</si>
  <si>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</si>
  <si>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</si>
  <si>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</si>
  <si>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</si>
  <si>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</si>
  <si>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</si>
  <si>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</si>
  <si>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</si>
  <si>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</si>
  <si>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</si>
  <si>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</si>
  <si>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</si>
  <si>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</si>
  <si>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</si>
  <si>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</si>
  <si>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</si>
  <si>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</si>
  <si>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</si>
  <si>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</si>
  <si>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</si>
  <si>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</si>
  <si>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</si>
  <si>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</si>
  <si>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</si>
  <si>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</si>
  <si>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</si>
  <si>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</si>
  <si>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</si>
  <si>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</si>
  <si>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</si>
  <si>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</si>
  <si>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</si>
  <si>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</si>
  <si>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</si>
  <si>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</si>
  <si>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</si>
  <si>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</si>
  <si>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</si>
  <si>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</si>
  <si>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</si>
  <si>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</si>
  <si>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</si>
  <si>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</si>
  <si>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</si>
  <si>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</si>
  <si>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</si>
  <si>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</si>
  <si>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</si>
  <si>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</si>
  <si>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</si>
  <si>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</si>
  <si>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</si>
  <si>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</si>
  <si>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</si>
  <si>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</si>
  <si>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</si>
  <si>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</si>
  <si>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</si>
  <si>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</si>
  <si>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</si>
  <si>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</si>
  <si>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</si>
  <si>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</si>
  <si>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</si>
  <si>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</si>
  <si>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</si>
  <si>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</si>
  <si>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</si>
  <si>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</si>
  <si>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</si>
  <si>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</si>
  <si>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</si>
  <si>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</si>
  <si>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</si>
  <si>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</si>
  <si>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</si>
  <si>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</si>
  <si>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</si>
  <si>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</si>
  <si>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</si>
  <si>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</si>
  <si>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</si>
  <si>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</si>
  <si>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</si>
  <si>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</si>
  <si>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</si>
  <si>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</si>
  <si>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</si>
  <si>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</si>
  <si>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</si>
  <si>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</si>
  <si>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</si>
  <si>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</si>
  <si>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</si>
  <si>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</si>
  <si>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</si>
  <si>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</si>
  <si>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</si>
  <si>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</si>
  <si>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</si>
  <si>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</si>
  <si>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</si>
  <si>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</si>
  <si>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</si>
  <si>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</si>
  <si>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</si>
  <si>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</si>
  <si>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</si>
  <si>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</si>
  <si>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</si>
  <si>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</si>
  <si>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</si>
  <si>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</si>
  <si>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</si>
  <si>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</si>
  <si>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</si>
  <si>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</si>
  <si>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</si>
  <si>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</si>
  <si>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</si>
  <si>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</si>
  <si>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</si>
  <si>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</si>
  <si>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</si>
  <si>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</si>
  <si>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</si>
  <si>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</si>
  <si>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</si>
  <si>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</si>
  <si>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</si>
  <si>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</si>
  <si>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</si>
  <si>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</si>
  <si>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</si>
  <si>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</si>
  <si>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</si>
  <si>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</si>
  <si>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</si>
  <si>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</si>
  <si>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</si>
  <si>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</si>
  <si>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</si>
  <si>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</si>
  <si>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</si>
  <si>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</si>
  <si>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</si>
  <si>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</si>
  <si>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</si>
  <si>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</si>
  <si>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</si>
  <si>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</si>
  <si>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</si>
  <si>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</si>
  <si>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</si>
  <si>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</si>
  <si>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</si>
  <si>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</si>
  <si>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</si>
  <si>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</si>
  <si>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</si>
  <si>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</si>
  <si>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</si>
  <si>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</si>
  <si>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</si>
  <si>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</si>
  <si>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</si>
  <si>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</si>
  <si>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</si>
  <si>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</si>
  <si>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</si>
  <si>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</si>
  <si>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</si>
  <si>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</si>
  <si>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</si>
  <si>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</si>
  <si>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</si>
  <si>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</si>
  <si>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</si>
  <si>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</si>
  <si>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</si>
  <si>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</si>
  <si>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</si>
  <si>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</si>
  <si>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</si>
  <si>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</si>
  <si>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</si>
  <si>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</si>
  <si>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</si>
  <si>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</si>
  <si>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</si>
  <si>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</si>
  <si>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</si>
  <si>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</si>
  <si>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</si>
  <si>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</si>
  <si>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</si>
  <si>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</si>
  <si>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</si>
  <si>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</si>
  <si>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</si>
  <si>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</si>
  <si>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</si>
  <si>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</si>
  <si>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</si>
  <si>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</si>
  <si>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</si>
  <si>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</si>
  <si>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</si>
  <si>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</si>
  <si>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</si>
  <si>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</si>
  <si>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</si>
  <si>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</si>
  <si>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</si>
  <si>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</si>
  <si>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</si>
  <si>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</si>
  <si>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</si>
  <si>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</si>
  <si>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</si>
  <si>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</si>
  <si>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</si>
  <si>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</si>
  <si>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</si>
  <si>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</si>
  <si>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</si>
  <si>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</si>
  <si>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</si>
  <si>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</si>
  <si>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</si>
  <si>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</si>
  <si>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</si>
  <si>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</si>
  <si>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</si>
  <si>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</si>
  <si>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</si>
  <si>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</si>
  <si>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</si>
  <si>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</si>
  <si>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</si>
  <si>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</si>
  <si>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</si>
  <si>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</si>
  <si>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</si>
  <si>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</si>
  <si>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</si>
  <si>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</si>
  <si>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</si>
  <si>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</si>
  <si>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</si>
  <si>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</si>
  <si>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</si>
  <si>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</si>
  <si>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</si>
  <si>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</si>
  <si>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</si>
  <si>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</si>
  <si>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</si>
  <si>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</si>
  <si>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</si>
  <si>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</si>
  <si>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</si>
  <si>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</si>
  <si>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</si>
  <si>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</si>
  <si>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</si>
  <si>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</si>
  <si>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</si>
  <si>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</si>
  <si>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</si>
  <si>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</si>
  <si>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</si>
  <si>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</si>
  <si>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</si>
  <si>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</si>
  <si>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</si>
  <si>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</si>
  <si>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</si>
  <si>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</si>
  <si>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</si>
  <si>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</si>
  <si>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</si>
  <si>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</si>
  <si>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</si>
  <si>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</si>
  <si>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</si>
  <si>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</si>
  <si>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</si>
  <si>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</si>
  <si>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</si>
  <si>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</si>
  <si>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</si>
  <si>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</si>
  <si>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</si>
  <si>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</si>
  <si>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</si>
  <si>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</si>
  <si>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</si>
  <si>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</si>
  <si>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</si>
  <si>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</si>
  <si>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</si>
  <si>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</si>
  <si>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</si>
  <si>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</si>
  <si>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</si>
  <si>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</si>
  <si>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</si>
  <si>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</si>
  <si>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</si>
  <si>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</si>
  <si>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</si>
  <si>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</si>
  <si>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</si>
  <si>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</si>
  <si>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</si>
  <si>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</si>
  <si>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</si>
  <si>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</si>
  <si>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</si>
  <si>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</si>
  <si>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</si>
  <si>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</si>
  <si>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</si>
  <si>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</si>
  <si>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</si>
  <si>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</si>
  <si>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</si>
  <si>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</si>
  <si>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</si>
  <si>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</si>
  <si>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</si>
  <si>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</si>
  <si>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</si>
  <si>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</si>
  <si>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</si>
  <si>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</si>
  <si>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</si>
  <si>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</si>
  <si>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</si>
  <si>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</si>
  <si>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</si>
  <si>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</si>
  <si>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</si>
  <si>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</si>
  <si>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</si>
  <si>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</si>
  <si>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</si>
  <si>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</si>
  <si>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</si>
  <si>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</si>
  <si>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</si>
  <si>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</si>
  <si>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정인호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</si>
  <si>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</si>
  <si>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</si>
  <si>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</si>
  <si>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</si>
  <si>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</si>
  <si>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</si>
  <si>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</si>
  <si>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</si>
  <si>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</si>
  <si>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</si>
  <si>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</si>
  <si>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</si>
  <si>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농협 3520106511413</t>
    <phoneticPr fontId="2" type="noConversion"/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</si>
  <si>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</si>
  <si>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</si>
  <si>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</si>
  <si>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</si>
  <si>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</si>
  <si>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</si>
  <si>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</si>
  <si>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</si>
  <si>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</si>
  <si>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</si>
  <si>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</si>
  <si>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</si>
  <si>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</si>
  <si>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</si>
  <si>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</si>
  <si>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</si>
  <si>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</si>
  <si>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</si>
  <si>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</si>
  <si>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</si>
  <si>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</si>
  <si>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오시현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</si>
  <si>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</si>
  <si>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</si>
  <si>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</si>
  <si>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</si>
  <si>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</si>
  <si>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</si>
  <si>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</si>
  <si>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</si>
  <si>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</si>
  <si>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</si>
  <si>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</si>
  <si>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</si>
  <si>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</si>
  <si>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</si>
  <si>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</si>
  <si>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</si>
  <si>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</si>
  <si>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</si>
  <si>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</si>
  <si>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</si>
  <si>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</si>
  <si>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</si>
  <si>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윤일상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</si>
  <si>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</si>
  <si>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</si>
  <si>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</si>
  <si>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</si>
  <si>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</si>
  <si>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</si>
  <si>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</si>
  <si>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</si>
  <si>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</si>
  <si>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</si>
  <si>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</si>
  <si>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김성조</t>
    <phoneticPr fontId="2" type="noConversion"/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</si>
  <si>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</si>
  <si>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</si>
  <si>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</si>
  <si>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</si>
  <si>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</si>
  <si>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</si>
  <si>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</si>
  <si>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</si>
  <si>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</si>
  <si>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</si>
  <si>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</si>
  <si>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</si>
  <si>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</si>
  <si>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</si>
  <si>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2025-10-31</t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</si>
  <si>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</si>
  <si>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</si>
  <si>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</si>
  <si>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</si>
  <si>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</si>
  <si>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</si>
  <si>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</si>
  <si>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</si>
  <si>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</si>
  <si>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</si>
  <si>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0CK_TCU_CLONE</t>
  </si>
  <si>
    <t>대구광역시 달서구 장기로65번길 7</t>
    <phoneticPr fontId="2" type="noConversion"/>
  </si>
  <si>
    <t>010-3542-4069</t>
    <phoneticPr fontId="2" type="noConversion"/>
  </si>
  <si>
    <t>0CK_TCU_CLONE</t>
    <phoneticPr fontId="2" type="noConversion"/>
  </si>
  <si>
    <t>대구오토(대구)_251031_172001.xlsx</t>
  </si>
  <si>
    <t>대구오토(대구)_251031_172001.xlsx</t>
    <phoneticPr fontId="2" type="noConversion"/>
  </si>
  <si>
    <t>O</t>
    <phoneticPr fontId="2" type="noConversion"/>
  </si>
  <si>
    <t>마성민</t>
  </si>
  <si>
    <t>제일미션</t>
  </si>
  <si>
    <t>조영훈</t>
  </si>
  <si>
    <t>진원</t>
  </si>
  <si>
    <t>김용호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</si>
</sst>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13579000</c:v>
                </c:pt>
                <c:pt idx="1">
                  <c:v>6290000</c:v>
                </c:pt>
                <c:pt idx="2">
                  <c:v>5400000</c:v>
                </c:pt>
                <c:pt idx="3">
                  <c:v>5705000</c:v>
                </c:pt>
                <c:pt idx="4">
                  <c:v>7378000</c:v>
                </c:pt>
                <c:pt idx="5">
                  <c:v>3685000</c:v>
                </c:pt>
                <c:pt idx="6">
                  <c:v>3872000</c:v>
                </c:pt>
                <c:pt idx="7">
                  <c:v>2970000</c:v>
                </c:pt>
                <c:pt idx="8">
                  <c:v>2895000</c:v>
                </c:pt>
                <c:pt idx="9">
                  <c:v>3300000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6</c:v>
                      </c:pt>
                      <c:pt idx="3">
                        <c:v>5</c:v>
                      </c:pt>
                      <c:pt idx="4">
                        <c:v>2</c:v>
                      </c:pt>
                      <c:pt idx="5">
                        <c:v>9</c:v>
                      </c:pt>
                      <c:pt idx="6">
                        <c:v>8</c:v>
                      </c:pt>
                      <c:pt idx="7">
                        <c:v>12</c:v>
                      </c:pt>
                      <c:pt idx="8">
                        <c:v>13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3589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2" sqref="T2:U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4098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45961</v>
      </c>
      <c r="U2" s="318"/>
    </row>
    <row r="3" spans="1:21" ht="24.95" customHeight="1" x14ac:dyDescent="0.3">
      <c r="A3" s="328" t="s">
        <v>1166</v>
      </c>
      <c r="B3" s="37" t="s">
        <v>59</v>
      </c>
      <c r="C3" s="331" t="s">
        <v>1286</v>
      </c>
      <c r="D3" s="332"/>
      <c r="E3" s="332"/>
      <c r="F3" s="332"/>
      <c r="G3" s="332"/>
      <c r="H3" s="332"/>
      <c r="I3" s="332"/>
      <c r="J3" s="333"/>
      <c r="K3" s="334" t="s">
        <v>1167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4182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4183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25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4184</v>
      </c>
      <c r="B8" s="353"/>
      <c r="C8" s="353"/>
      <c r="D8" s="353"/>
      <c r="E8" s="354"/>
      <c r="F8" s="355" t="s">
        <v>2253</v>
      </c>
      <c r="G8" s="356"/>
      <c r="H8" s="356"/>
      <c r="I8" s="357"/>
      <c r="J8" s="363">
        <v>200000</v>
      </c>
      <c r="K8" s="363"/>
      <c r="L8" s="363"/>
      <c r="M8" s="363"/>
      <c r="N8" s="363"/>
      <c r="O8" s="364">
        <v>1</v>
      </c>
      <c r="P8" s="364"/>
      <c r="Q8" s="358"/>
      <c r="R8" s="359"/>
      <c r="S8" s="360"/>
      <c r="T8" s="361">
        <v>200000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2316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14988000.199999999</v>
      </c>
      <c r="G20" s="402"/>
      <c r="H20" s="402"/>
      <c r="I20" s="403"/>
      <c r="J20" s="398">
        <f>SUM(J8:N19)</f>
        <v>200000</v>
      </c>
      <c r="K20" s="399"/>
      <c r="L20" s="399"/>
      <c r="M20" s="399"/>
      <c r="N20" s="400"/>
      <c r="O20" s="436">
        <f>SUM(O8:P19)</f>
        <v>1</v>
      </c>
      <c r="P20" s="436"/>
      <c r="Q20" s="401">
        <f>SUM(Q8:S19)</f>
        <v>0</v>
      </c>
      <c r="R20" s="402"/>
      <c r="S20" s="403"/>
      <c r="T20" s="402">
        <f>SUM(T8:U15)</f>
        <v>200000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15188000.199999999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대구오토(대구)</v>
      </c>
      <c r="R21" s="396"/>
      <c r="S21" s="396"/>
      <c r="T21" s="396"/>
      <c r="U21" s="397"/>
    </row>
    <row r="22" spans="1:21" ht="20.100000000000001" customHeight="1" x14ac:dyDescent="0.3">
      <c r="A22" s="437" t="s">
        <v>4186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1196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농협 3520106511413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45961</v>
      </c>
      <c r="U25" s="318"/>
    </row>
    <row r="26" spans="1:21" ht="24.95" customHeight="1" x14ac:dyDescent="0.3">
      <c r="A26" s="328" t="s">
        <v>1166</v>
      </c>
      <c r="B26" s="37" t="s">
        <v>59</v>
      </c>
      <c r="C26" s="331" t="str">
        <f>C3</f>
        <v>대구오토(대구)</v>
      </c>
      <c r="D26" s="332"/>
      <c r="E26" s="332"/>
      <c r="F26" s="332"/>
      <c r="G26" s="332"/>
      <c r="H26" s="332"/>
      <c r="I26" s="332"/>
      <c r="J26" s="333"/>
      <c r="K26" s="334" t="s">
        <v>1167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대구광역시 달서구 장기로65번길 7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010-3542-4069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대구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0CK_TCU_CLONE</v>
      </c>
      <c r="B31" s="414"/>
      <c r="C31" s="414"/>
      <c r="D31" s="414"/>
      <c r="E31" s="414"/>
      <c r="F31" s="414" t="str">
        <f>F8</f>
        <v>927156AA</v>
      </c>
      <c r="G31" s="414"/>
      <c r="H31" s="414"/>
      <c r="I31" s="414"/>
      <c r="J31" s="418">
        <f>J8</f>
        <v>200000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200000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2316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14988000.199999999</v>
      </c>
      <c r="G43" s="402"/>
      <c r="H43" s="402"/>
      <c r="I43" s="403"/>
      <c r="J43" s="398">
        <f>J20</f>
        <v>200000</v>
      </c>
      <c r="K43" s="399"/>
      <c r="L43" s="399"/>
      <c r="M43" s="399"/>
      <c r="N43" s="400"/>
      <c r="O43" s="436">
        <f>O20</f>
        <v>1</v>
      </c>
      <c r="P43" s="436"/>
      <c r="Q43" s="401">
        <f>Q20</f>
        <v>0</v>
      </c>
      <c r="R43" s="402"/>
      <c r="S43" s="402"/>
      <c r="T43" s="402">
        <f>T20</f>
        <v>200000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15188000.199999999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대구오토(대구)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200000</v>
      </c>
      <c r="H1" s="107">
        <f>SUM(H2:H2)</f>
        <v>1</v>
      </c>
      <c r="I1" s="107">
        <f>SUM(I2:I2)</f>
        <v>0</v>
      </c>
      <c r="J1" s="107">
        <f>SUM(J2:J2)</f>
        <v>200000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4170</v>
      </c>
      <c r="C2" s="47" t="s">
        <v>1579</v>
      </c>
      <c r="D2" s="290" t="s">
        <v>1200</v>
      </c>
      <c r="E2" t="s">
        <v>4181</v>
      </c>
      <c r="F2" s="290" t="s">
        <v>1200</v>
      </c>
      <c r="G2">
        <v>200000</v>
      </c>
      <c r="H2">
        <v>1</v>
      </c>
      <c r="I2" s="226"/>
      <c r="J2" s="226">
        <v>200000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135"/>
  <sheetViews>
    <sheetView workbookViewId="0">
      <pane xSplit="1" ySplit="1" topLeftCell="B2097" activePane="bottomRight" state="frozen"/>
      <selection activeCell="N26" sqref="N26"/>
      <selection pane="topRight" activeCell="N26" sqref="N26"/>
      <selection pane="bottomLeft" activeCell="N26" sqref="N26"/>
      <selection pane="bottomRight" activeCell="H2122" sqref="H212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2136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3664</v>
      </c>
      <c r="E196" s="292" t="s">
        <v>1858</v>
      </c>
      <c r="F196" s="269" t="s">
        <v>3664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3664</v>
      </c>
      <c r="E236" s="292" t="s">
        <v>1858</v>
      </c>
      <c r="F236" s="269" t="s">
        <v>3664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4035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4035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  <c r="N792" t="s">
        <v>2862</v>
      </c>
    </row>
    <row r="793" spans="1:14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2862</v>
      </c>
    </row>
    <row r="794" spans="1:14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2862</v>
      </c>
    </row>
    <row r="795" spans="1:14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  <c r="N799" t="s">
        <v>2862</v>
      </c>
    </row>
    <row r="800" spans="1:14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2862</v>
      </c>
    </row>
    <row r="801" spans="1:14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2862</v>
      </c>
    </row>
    <row r="802" spans="1:14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2862</v>
      </c>
    </row>
    <row r="805" spans="1:14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  <c r="N805" t="s">
        <v>2862</v>
      </c>
    </row>
    <row r="806" spans="1:14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2862</v>
      </c>
    </row>
    <row r="809" spans="1:14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  <c r="N809" t="s">
        <v>2862</v>
      </c>
    </row>
    <row r="810" spans="1:14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  <c r="N810" t="s">
        <v>2862</v>
      </c>
    </row>
    <row r="811" spans="1:14" x14ac:dyDescent="0.3">
      <c r="A811" s="271">
        <v>810</v>
      </c>
      <c r="B811" s="264">
        <v>45840</v>
      </c>
      <c r="C811" s="292" t="s">
        <v>1960</v>
      </c>
      <c r="E811" s="292" t="s">
        <v>4035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  <c r="N811" t="s">
        <v>2862</v>
      </c>
    </row>
    <row r="812" spans="1:14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  <c r="N812" t="s">
        <v>2862</v>
      </c>
    </row>
    <row r="813" spans="1:14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  <c r="N813" t="s">
        <v>2862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  <c r="N814" t="s">
        <v>2862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  <c r="N815" t="s">
        <v>2862</v>
      </c>
    </row>
    <row r="816" spans="1:14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2862</v>
      </c>
    </row>
    <row r="818" spans="1:14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  <c r="N818" t="s">
        <v>2862</v>
      </c>
    </row>
    <row r="819" spans="1:14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  <c r="N819" t="s">
        <v>2862</v>
      </c>
    </row>
    <row r="820" spans="1:14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2862</v>
      </c>
    </row>
    <row r="821" spans="1:14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2862</v>
      </c>
    </row>
    <row r="825" spans="1:14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2862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  <c r="N829" t="s">
        <v>2862</v>
      </c>
    </row>
    <row r="830" spans="1:14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2862</v>
      </c>
    </row>
    <row r="831" spans="1:14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  <c r="N831" t="s">
        <v>2862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  <c r="N832" t="s">
        <v>2862</v>
      </c>
    </row>
    <row r="833" spans="1:14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  <c r="N838" t="s">
        <v>2862</v>
      </c>
    </row>
    <row r="839" spans="1:14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  <c r="N839" t="s">
        <v>2862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  <c r="N841" t="s">
        <v>2862</v>
      </c>
    </row>
    <row r="842" spans="1:14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  <c r="N842" t="s">
        <v>2862</v>
      </c>
    </row>
    <row r="843" spans="1:14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  <c r="N843" t="s">
        <v>2862</v>
      </c>
    </row>
    <row r="844" spans="1:14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  <c r="N844" t="s">
        <v>2862</v>
      </c>
    </row>
    <row r="845" spans="1:14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  <c r="N845" t="s">
        <v>2862</v>
      </c>
    </row>
    <row r="846" spans="1:14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  <c r="N846" t="s">
        <v>2862</v>
      </c>
    </row>
    <row r="847" spans="1:14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  <c r="N847" t="s">
        <v>2862</v>
      </c>
    </row>
    <row r="848" spans="1:14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  <c r="N848" t="s">
        <v>2862</v>
      </c>
    </row>
    <row r="849" spans="1:14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  <c r="N849" t="s">
        <v>2862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  <c r="N850" t="s">
        <v>2862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  <c r="N851" t="s">
        <v>2862</v>
      </c>
    </row>
    <row r="852" spans="1:14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  <c r="N852" t="s">
        <v>2862</v>
      </c>
    </row>
    <row r="853" spans="1:14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  <c r="N853" t="s">
        <v>2862</v>
      </c>
    </row>
    <row r="854" spans="1:14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2862</v>
      </c>
    </row>
    <row r="855" spans="1:14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  <c r="N861" t="s">
        <v>2862</v>
      </c>
    </row>
    <row r="862" spans="1:14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  <c r="N862" t="s">
        <v>2862</v>
      </c>
    </row>
    <row r="863" spans="1:14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  <c r="N863" t="s">
        <v>2862</v>
      </c>
    </row>
    <row r="864" spans="1:14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  <c r="N864" t="s">
        <v>2862</v>
      </c>
    </row>
    <row r="865" spans="1:14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  <c r="N865" t="s">
        <v>2862</v>
      </c>
    </row>
    <row r="866" spans="1:14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  <c r="N866" t="s">
        <v>2862</v>
      </c>
    </row>
    <row r="867" spans="1:14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  <c r="N867" t="s">
        <v>2862</v>
      </c>
    </row>
    <row r="868" spans="1:14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  <c r="N868" t="s">
        <v>2862</v>
      </c>
    </row>
    <row r="869" spans="1:14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  <c r="N869" t="s">
        <v>2862</v>
      </c>
    </row>
    <row r="870" spans="1:14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  <c r="N870" t="s">
        <v>2862</v>
      </c>
    </row>
    <row r="871" spans="1:14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  <c r="N871" t="s">
        <v>2862</v>
      </c>
    </row>
    <row r="872" spans="1:14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2862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2862</v>
      </c>
    </row>
    <row r="874" spans="1:14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2862</v>
      </c>
    </row>
    <row r="875" spans="1:14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2862</v>
      </c>
    </row>
    <row r="876" spans="1:14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2862</v>
      </c>
    </row>
    <row r="877" spans="1:14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2862</v>
      </c>
    </row>
    <row r="878" spans="1:14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2862</v>
      </c>
    </row>
    <row r="879" spans="1:14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2862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  <c r="N880" t="s">
        <v>2862</v>
      </c>
    </row>
    <row r="881" spans="1:14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  <c r="N883" t="s">
        <v>2862</v>
      </c>
    </row>
    <row r="884" spans="1:14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2862</v>
      </c>
    </row>
    <row r="885" spans="1:14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  <c r="N885" t="s">
        <v>2862</v>
      </c>
    </row>
    <row r="886" spans="1:14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  <c r="N886" t="s">
        <v>2862</v>
      </c>
    </row>
    <row r="887" spans="1:14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  <c r="N887" t="s">
        <v>2862</v>
      </c>
    </row>
    <row r="888" spans="1:14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2862</v>
      </c>
    </row>
    <row r="889" spans="1:14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2862</v>
      </c>
    </row>
    <row r="890" spans="1:14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2862</v>
      </c>
    </row>
    <row r="891" spans="1:14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2862</v>
      </c>
    </row>
    <row r="896" spans="1:14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2862</v>
      </c>
    </row>
    <row r="897" spans="1:14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2862</v>
      </c>
    </row>
    <row r="898" spans="1:14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  <c r="N898" t="s">
        <v>2862</v>
      </c>
    </row>
    <row r="899" spans="1:14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2862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2862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2862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2862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2862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2862</v>
      </c>
    </row>
    <row r="906" spans="1:14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2862</v>
      </c>
    </row>
    <row r="907" spans="1:14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2862</v>
      </c>
    </row>
    <row r="908" spans="1:14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2862</v>
      </c>
    </row>
    <row r="909" spans="1:14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  <c r="N909" t="s">
        <v>2862</v>
      </c>
    </row>
    <row r="910" spans="1:14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2862</v>
      </c>
    </row>
    <row r="911" spans="1:14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  <c r="N911" t="s">
        <v>2862</v>
      </c>
    </row>
    <row r="912" spans="1:14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2862</v>
      </c>
    </row>
    <row r="913" spans="1:14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2862</v>
      </c>
    </row>
    <row r="914" spans="1:14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2862</v>
      </c>
    </row>
    <row r="915" spans="1:14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2862</v>
      </c>
    </row>
    <row r="916" spans="1:14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2862</v>
      </c>
    </row>
    <row r="917" spans="1:14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2862</v>
      </c>
    </row>
    <row r="918" spans="1:14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  <c r="N921" t="s">
        <v>2862</v>
      </c>
    </row>
    <row r="922" spans="1:14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2862</v>
      </c>
    </row>
    <row r="925" spans="1:14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  <c r="N927" t="s">
        <v>2862</v>
      </c>
    </row>
    <row r="928" spans="1:14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  <c r="N928" t="s">
        <v>2862</v>
      </c>
    </row>
    <row r="929" spans="1:14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  <c r="N929" t="s">
        <v>2862</v>
      </c>
    </row>
    <row r="930" spans="1:14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  <c r="N930" t="s">
        <v>2862</v>
      </c>
    </row>
    <row r="931" spans="1:14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  <c r="N931" t="s">
        <v>2862</v>
      </c>
    </row>
    <row r="932" spans="1:14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  <c r="N932" t="s">
        <v>2862</v>
      </c>
    </row>
    <row r="933" spans="1:14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  <c r="N933" t="s">
        <v>2862</v>
      </c>
    </row>
    <row r="934" spans="1:14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  <c r="N934" t="s">
        <v>2862</v>
      </c>
    </row>
    <row r="935" spans="1:14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2862</v>
      </c>
    </row>
    <row r="939" spans="1:14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2862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2862</v>
      </c>
    </row>
    <row r="941" spans="1:14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2862</v>
      </c>
    </row>
    <row r="942" spans="1:14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2862</v>
      </c>
    </row>
    <row r="943" spans="1:14" x14ac:dyDescent="0.3">
      <c r="A943" s="271">
        <v>942</v>
      </c>
      <c r="B943" s="264">
        <v>45853</v>
      </c>
      <c r="C943" s="292" t="s">
        <v>2895</v>
      </c>
      <c r="E943" s="292" t="s">
        <v>4035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2862</v>
      </c>
    </row>
    <row r="944" spans="1:14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2862</v>
      </c>
    </row>
    <row r="945" spans="1:14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  <c r="N945" t="s">
        <v>2862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2862</v>
      </c>
    </row>
    <row r="947" spans="1:14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2862</v>
      </c>
    </row>
    <row r="948" spans="1:14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2862</v>
      </c>
    </row>
    <row r="949" spans="1:14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  <c r="N949" t="s">
        <v>2862</v>
      </c>
    </row>
    <row r="950" spans="1:14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  <c r="N950" t="s">
        <v>2862</v>
      </c>
    </row>
    <row r="951" spans="1:14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2862</v>
      </c>
    </row>
    <row r="955" spans="1:14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2862</v>
      </c>
    </row>
    <row r="956" spans="1:14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2862</v>
      </c>
    </row>
    <row r="957" spans="1:14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2862</v>
      </c>
    </row>
    <row r="958" spans="1:14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2862</v>
      </c>
    </row>
    <row r="959" spans="1:14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  <c r="N959" t="s">
        <v>2862</v>
      </c>
    </row>
    <row r="960" spans="1:14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2862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2862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  <c r="N969" t="s">
        <v>2862</v>
      </c>
    </row>
    <row r="970" spans="1:14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2862</v>
      </c>
    </row>
    <row r="971" spans="1:14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2862</v>
      </c>
    </row>
    <row r="972" spans="1:14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  <c r="N972" t="s">
        <v>2862</v>
      </c>
    </row>
    <row r="973" spans="1:14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  <c r="N973" t="s">
        <v>2862</v>
      </c>
    </row>
    <row r="974" spans="1:14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2862</v>
      </c>
    </row>
    <row r="975" spans="1:14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  <c r="N975" t="s">
        <v>2862</v>
      </c>
    </row>
    <row r="976" spans="1:14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  <c r="N976" t="s">
        <v>2862</v>
      </c>
    </row>
    <row r="977" spans="1:14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  <c r="N977" t="s">
        <v>2862</v>
      </c>
    </row>
    <row r="978" spans="1:14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  <c r="N978" t="s">
        <v>2862</v>
      </c>
    </row>
    <row r="979" spans="1:14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  <c r="N979" t="s">
        <v>2862</v>
      </c>
    </row>
    <row r="980" spans="1:14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  <c r="N980" t="s">
        <v>2862</v>
      </c>
    </row>
    <row r="981" spans="1:14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  <c r="N981" t="s">
        <v>2862</v>
      </c>
    </row>
    <row r="982" spans="1:14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  <c r="N982" t="s">
        <v>2862</v>
      </c>
    </row>
    <row r="983" spans="1:14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  <c r="N985" t="s">
        <v>2862</v>
      </c>
    </row>
    <row r="986" spans="1:14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2862</v>
      </c>
    </row>
    <row r="989" spans="1:14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  <c r="N989" t="s">
        <v>2862</v>
      </c>
    </row>
    <row r="990" spans="1:14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2862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2862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  <c r="N992" t="s">
        <v>2862</v>
      </c>
    </row>
    <row r="993" spans="1:14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  <c r="N995" t="s">
        <v>2862</v>
      </c>
    </row>
    <row r="996" spans="1:14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  <c r="N997" t="s">
        <v>2862</v>
      </c>
    </row>
    <row r="998" spans="1:14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  <c r="N998" t="s">
        <v>2862</v>
      </c>
    </row>
    <row r="999" spans="1:14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  <c r="N999" t="s">
        <v>2862</v>
      </c>
    </row>
    <row r="1000" spans="1:14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  <c r="N1000" t="s">
        <v>2862</v>
      </c>
    </row>
    <row r="1001" spans="1:14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2862</v>
      </c>
    </row>
    <row r="1002" spans="1:14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2862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2862</v>
      </c>
    </row>
    <row r="1004" spans="1:14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  <c r="N1004" t="s">
        <v>2862</v>
      </c>
    </row>
    <row r="1005" spans="1:14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2862</v>
      </c>
    </row>
    <row r="1006" spans="1:14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  <c r="N1006" t="s">
        <v>2862</v>
      </c>
    </row>
    <row r="1007" spans="1:14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2862</v>
      </c>
    </row>
    <row r="1010" spans="1:14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  <c r="N1010" t="s">
        <v>2862</v>
      </c>
    </row>
    <row r="1011" spans="1:14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2862</v>
      </c>
    </row>
    <row r="1012" spans="1:14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  <c r="N1012" t="s">
        <v>2862</v>
      </c>
    </row>
    <row r="1013" spans="1:14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  <c r="N1013" t="s">
        <v>2862</v>
      </c>
    </row>
    <row r="1014" spans="1:14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2862</v>
      </c>
    </row>
    <row r="1015" spans="1:14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2862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  <c r="N1016" t="s">
        <v>2862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  <c r="N1017" t="s">
        <v>2862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  <c r="N1018" t="s">
        <v>2862</v>
      </c>
    </row>
    <row r="1019" spans="1:14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2862</v>
      </c>
    </row>
    <row r="1020" spans="1:14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  <c r="N1020" t="s">
        <v>2862</v>
      </c>
    </row>
    <row r="1021" spans="1:14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  <c r="N1025" t="s">
        <v>2862</v>
      </c>
    </row>
    <row r="1026" spans="1:14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  <c r="N1026" t="s">
        <v>2862</v>
      </c>
    </row>
    <row r="1027" spans="1:14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2862</v>
      </c>
    </row>
    <row r="1028" spans="1:14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  <c r="N1028" t="s">
        <v>2862</v>
      </c>
    </row>
    <row r="1029" spans="1:14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  <c r="N1029" t="s">
        <v>2862</v>
      </c>
    </row>
    <row r="1030" spans="1:14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  <c r="N1030" t="s">
        <v>2862</v>
      </c>
    </row>
    <row r="1031" spans="1:14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2862</v>
      </c>
    </row>
    <row r="1032" spans="1:14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2862</v>
      </c>
    </row>
    <row r="1033" spans="1:14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2862</v>
      </c>
    </row>
    <row r="1034" spans="1:14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  <c r="N1034" t="s">
        <v>2862</v>
      </c>
    </row>
    <row r="1035" spans="1:14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  <c r="N1036" t="s">
        <v>2862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  <c r="N1037" t="s">
        <v>2862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  <c r="N1038" t="s">
        <v>2862</v>
      </c>
    </row>
    <row r="1039" spans="1:14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  <c r="N1039" t="s">
        <v>2862</v>
      </c>
    </row>
    <row r="1040" spans="1:14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  <c r="N1041" t="s">
        <v>2862</v>
      </c>
    </row>
    <row r="1042" spans="1:14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  <c r="N1042" t="s">
        <v>2862</v>
      </c>
    </row>
    <row r="1043" spans="1:14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  <c r="N1043" t="s">
        <v>2862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2862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  <c r="N1045" t="s">
        <v>2862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  <c r="N1046" t="s">
        <v>2862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  <c r="N1050" t="s">
        <v>2862</v>
      </c>
    </row>
    <row r="1051" spans="1:14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  <c r="N1052" t="s">
        <v>2862</v>
      </c>
    </row>
    <row r="1053" spans="1:14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2862</v>
      </c>
    </row>
    <row r="1058" spans="1:14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  <c r="N1058" t="s">
        <v>2862</v>
      </c>
    </row>
    <row r="1059" spans="1:14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2862</v>
      </c>
    </row>
    <row r="1060" spans="1:14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2862</v>
      </c>
    </row>
    <row r="1061" spans="1:14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  <c r="N1061" t="s">
        <v>2862</v>
      </c>
    </row>
    <row r="1062" spans="1:14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2862</v>
      </c>
    </row>
    <row r="1063" spans="1:14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  <c r="N1063" t="s">
        <v>2862</v>
      </c>
    </row>
    <row r="1064" spans="1:14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3664</v>
      </c>
      <c r="G1064" s="265">
        <v>1100000</v>
      </c>
      <c r="H1064" s="269">
        <v>1</v>
      </c>
      <c r="K1064" s="265">
        <v>1100000</v>
      </c>
      <c r="M1064" s="269"/>
      <c r="N1064" t="s">
        <v>2862</v>
      </c>
    </row>
    <row r="1065" spans="1:14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  <c r="N1065" t="s">
        <v>2862</v>
      </c>
    </row>
    <row r="1066" spans="1:14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  <c r="N1066" t="s">
        <v>2862</v>
      </c>
    </row>
    <row r="1067" spans="1:14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  <c r="N1067" t="s">
        <v>2862</v>
      </c>
    </row>
    <row r="1068" spans="1:14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2862</v>
      </c>
    </row>
    <row r="1069" spans="1:14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2862</v>
      </c>
    </row>
    <row r="1070" spans="1:14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2862</v>
      </c>
    </row>
    <row r="1071" spans="1:14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2862</v>
      </c>
    </row>
    <row r="1073" spans="1:14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2862</v>
      </c>
    </row>
    <row r="1074" spans="1:14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  <c r="N1084" t="s">
        <v>2862</v>
      </c>
    </row>
    <row r="1085" spans="1:14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  <c r="N1085" t="s">
        <v>2862</v>
      </c>
    </row>
    <row r="1086" spans="1:14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  <c r="N1086" t="s">
        <v>2862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  <c r="N1087" t="s">
        <v>2862</v>
      </c>
    </row>
    <row r="1088" spans="1:14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  <c r="N1088" t="s">
        <v>2862</v>
      </c>
    </row>
    <row r="1089" spans="1:14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2862</v>
      </c>
    </row>
    <row r="1090" spans="1:14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  <c r="N1090" t="s">
        <v>2862</v>
      </c>
    </row>
    <row r="1091" spans="1:14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2862</v>
      </c>
    </row>
    <row r="1092" spans="1:14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2862</v>
      </c>
    </row>
    <row r="1093" spans="1:14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  <c r="N1093" t="s">
        <v>2862</v>
      </c>
    </row>
    <row r="1094" spans="1:14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  <c r="N1094" t="s">
        <v>2862</v>
      </c>
    </row>
    <row r="1095" spans="1:14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  <c r="N1095" t="s">
        <v>2862</v>
      </c>
    </row>
    <row r="1096" spans="1:14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  <c r="N1096" t="s">
        <v>2862</v>
      </c>
    </row>
    <row r="1097" spans="1:14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2862</v>
      </c>
    </row>
    <row r="1098" spans="1:14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2862</v>
      </c>
    </row>
    <row r="1102" spans="1:14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2862</v>
      </c>
    </row>
    <row r="1103" spans="1:14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  <c r="N1103" t="s">
        <v>2862</v>
      </c>
    </row>
    <row r="1104" spans="1:14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  <c r="N1104" t="s">
        <v>2862</v>
      </c>
    </row>
    <row r="1105" spans="1:14" x14ac:dyDescent="0.3">
      <c r="A1105" s="271">
        <v>1104</v>
      </c>
      <c r="B1105" s="264">
        <v>45868</v>
      </c>
      <c r="C1105" s="292" t="s">
        <v>2788</v>
      </c>
      <c r="E1105" s="292" t="s">
        <v>4035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  <c r="N1105" t="s">
        <v>2862</v>
      </c>
    </row>
    <row r="1106" spans="1:14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2862</v>
      </c>
    </row>
    <row r="1107" spans="1:14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2862</v>
      </c>
    </row>
    <row r="1108" spans="1:14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2862</v>
      </c>
    </row>
    <row r="1109" spans="1:14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2862</v>
      </c>
    </row>
    <row r="1110" spans="1:14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  <c r="N1119" t="s">
        <v>2862</v>
      </c>
    </row>
    <row r="1120" spans="1:14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  <c r="N1120" t="s">
        <v>2862</v>
      </c>
    </row>
    <row r="1121" spans="1:14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  <c r="N1121" t="s">
        <v>2862</v>
      </c>
    </row>
    <row r="1122" spans="1:14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  <c r="N1122" t="s">
        <v>2862</v>
      </c>
    </row>
    <row r="1123" spans="1:14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  <c r="N1123" t="s">
        <v>2862</v>
      </c>
    </row>
    <row r="1124" spans="1:14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2862</v>
      </c>
    </row>
    <row r="1125" spans="1:14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2862</v>
      </c>
    </row>
    <row r="1126" spans="1:14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4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4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4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4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3481</v>
      </c>
    </row>
    <row r="1312" spans="1:14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  <c r="N1312" t="s">
        <v>3481</v>
      </c>
    </row>
    <row r="1313" spans="1:14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  <c r="N1315" t="s">
        <v>3481</v>
      </c>
    </row>
    <row r="1316" spans="1:14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4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4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3481</v>
      </c>
    </row>
    <row r="1321" spans="1:14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3481</v>
      </c>
    </row>
    <row r="1327" spans="1:14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3481</v>
      </c>
    </row>
    <row r="1328" spans="1:14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  <c r="N1328" t="s">
        <v>3481</v>
      </c>
    </row>
    <row r="1329" spans="1:14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  <c r="N1329" t="s">
        <v>3481</v>
      </c>
    </row>
    <row r="1330" spans="1:14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3481</v>
      </c>
    </row>
    <row r="1331" spans="1:14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  <c r="N1331" t="s">
        <v>3481</v>
      </c>
    </row>
    <row r="1332" spans="1:14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3481</v>
      </c>
    </row>
    <row r="1337" spans="1:14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3481</v>
      </c>
    </row>
    <row r="1342" spans="1:14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  <c r="N1342" t="s">
        <v>3481</v>
      </c>
    </row>
    <row r="1343" spans="1:14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  <c r="N1344" t="s">
        <v>3481</v>
      </c>
    </row>
    <row r="1345" spans="1:14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  <c r="N1345" t="s">
        <v>3481</v>
      </c>
    </row>
    <row r="1346" spans="1:14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  <c r="N1346" t="s">
        <v>3481</v>
      </c>
    </row>
    <row r="1347" spans="1:14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  <c r="N1347" t="s">
        <v>3481</v>
      </c>
    </row>
    <row r="1348" spans="1:14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3481</v>
      </c>
    </row>
    <row r="1353" spans="1:14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3481</v>
      </c>
    </row>
    <row r="1354" spans="1:14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3481</v>
      </c>
    </row>
    <row r="1355" spans="1:14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3481</v>
      </c>
    </row>
    <row r="1356" spans="1:14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  <c r="N1356" t="s">
        <v>3481</v>
      </c>
    </row>
    <row r="1357" spans="1:14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3481</v>
      </c>
    </row>
    <row r="1358" spans="1:14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  <c r="N1358" t="s">
        <v>3481</v>
      </c>
    </row>
    <row r="1359" spans="1:14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  <c r="N1359" t="s">
        <v>3481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3481</v>
      </c>
    </row>
    <row r="1361" spans="1:14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  <c r="N1361" t="s">
        <v>3481</v>
      </c>
    </row>
    <row r="1362" spans="1:14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3481</v>
      </c>
    </row>
    <row r="1363" spans="1:14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3481</v>
      </c>
    </row>
    <row r="1364" spans="1:14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3481</v>
      </c>
    </row>
    <row r="1365" spans="1:14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3481</v>
      </c>
    </row>
    <row r="1366" spans="1:14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3481</v>
      </c>
    </row>
    <row r="1367" spans="1:14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3481</v>
      </c>
    </row>
    <row r="1368" spans="1:14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3481</v>
      </c>
    </row>
    <row r="1369" spans="1:14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3481</v>
      </c>
    </row>
    <row r="1370" spans="1:14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3481</v>
      </c>
    </row>
    <row r="1371" spans="1:14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3481</v>
      </c>
    </row>
    <row r="1372" spans="1:14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3481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  <c r="N1383" t="s">
        <v>3481</v>
      </c>
    </row>
    <row r="1384" spans="1:14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  <c r="N1384" t="s">
        <v>3481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  <c r="N1387" t="s">
        <v>3481</v>
      </c>
    </row>
    <row r="1388" spans="1:14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3481</v>
      </c>
    </row>
    <row r="1389" spans="1:14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  <c r="N1389" t="s">
        <v>3481</v>
      </c>
    </row>
    <row r="1390" spans="1:14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3481</v>
      </c>
    </row>
    <row r="1391" spans="1:14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3481</v>
      </c>
    </row>
    <row r="1392" spans="1:14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  <c r="N1392" t="s">
        <v>3481</v>
      </c>
    </row>
    <row r="1393" spans="1:14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  <c r="N1396" t="s">
        <v>3481</v>
      </c>
    </row>
    <row r="1397" spans="1:14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  <c r="N1397" t="s">
        <v>3481</v>
      </c>
    </row>
    <row r="1398" spans="1:14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  <c r="N1398" t="s">
        <v>3481</v>
      </c>
    </row>
    <row r="1399" spans="1:14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  <c r="N1400" t="s">
        <v>3481</v>
      </c>
    </row>
    <row r="1401" spans="1:14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3481</v>
      </c>
    </row>
    <row r="1402" spans="1:14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  <c r="N1409" t="s">
        <v>3481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3481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  <c r="N1411" t="s">
        <v>3481</v>
      </c>
    </row>
    <row r="1412" spans="1:14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  <c r="N1412" t="s">
        <v>3481</v>
      </c>
    </row>
    <row r="1413" spans="1:14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  <c r="N1413" t="s">
        <v>3481</v>
      </c>
    </row>
    <row r="1414" spans="1:14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3481</v>
      </c>
    </row>
    <row r="1415" spans="1:14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  <c r="N1415" t="s">
        <v>3481</v>
      </c>
    </row>
    <row r="1416" spans="1:14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  <c r="N1416" t="s">
        <v>3481</v>
      </c>
    </row>
    <row r="1417" spans="1:14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  <c r="N1424" t="s">
        <v>3481</v>
      </c>
    </row>
    <row r="1425" spans="1:14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3481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  <c r="N1427" t="s">
        <v>3481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  <c r="N1428" t="s">
        <v>3481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  <c r="N1429" t="s">
        <v>3481</v>
      </c>
    </row>
    <row r="1430" spans="1:14" x14ac:dyDescent="0.3">
      <c r="A1430" s="271">
        <v>1429</v>
      </c>
      <c r="B1430" s="264">
        <v>45898</v>
      </c>
      <c r="C1430" s="292" t="s">
        <v>3482</v>
      </c>
      <c r="E1430" s="292" t="s">
        <v>3483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3482</v>
      </c>
      <c r="E1431" s="292" t="s">
        <v>3484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3482</v>
      </c>
      <c r="E1432" s="292" t="s">
        <v>3485</v>
      </c>
      <c r="F1432" s="269" t="s">
        <v>3486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3482</v>
      </c>
      <c r="E1433" s="292" t="s">
        <v>3487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3482</v>
      </c>
      <c r="E1434" s="292" t="s">
        <v>3488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  <c r="N1435" t="s">
        <v>3481</v>
      </c>
    </row>
    <row r="1436" spans="1:14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  <c r="N1436" t="s">
        <v>3481</v>
      </c>
    </row>
    <row r="1437" spans="1:14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  <c r="N1438" t="s">
        <v>3481</v>
      </c>
    </row>
    <row r="1439" spans="1:14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3481</v>
      </c>
    </row>
    <row r="1440" spans="1:14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  <c r="N1447" t="s">
        <v>3906</v>
      </c>
    </row>
    <row r="1448" spans="1:14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  <c r="N1448" t="s">
        <v>3906</v>
      </c>
    </row>
    <row r="1449" spans="1:14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  <c r="N1449" t="s">
        <v>3906</v>
      </c>
    </row>
    <row r="1450" spans="1:14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  <c r="N1450" t="s">
        <v>3906</v>
      </c>
    </row>
    <row r="1451" spans="1:14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  <c r="N1451" t="s">
        <v>3906</v>
      </c>
    </row>
    <row r="1452" spans="1:14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  <c r="N1452" t="s">
        <v>3906</v>
      </c>
    </row>
    <row r="1453" spans="1:14" x14ac:dyDescent="0.3">
      <c r="A1453" s="271">
        <v>1452</v>
      </c>
      <c r="B1453" s="264">
        <v>45901</v>
      </c>
      <c r="C1453" s="292" t="s">
        <v>3482</v>
      </c>
      <c r="E1453" s="292" t="s">
        <v>3489</v>
      </c>
      <c r="F1453" s="269" t="s">
        <v>3490</v>
      </c>
      <c r="G1453" s="265">
        <v>800000</v>
      </c>
      <c r="H1453" s="269">
        <v>1</v>
      </c>
      <c r="K1453" s="265">
        <v>800000</v>
      </c>
      <c r="M1453" s="269" t="s">
        <v>3491</v>
      </c>
      <c r="N1453" t="s">
        <v>3906</v>
      </c>
    </row>
    <row r="1454" spans="1:14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  <c r="N1454" t="s">
        <v>3906</v>
      </c>
    </row>
    <row r="1455" spans="1:14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3906</v>
      </c>
    </row>
    <row r="1456" spans="1:14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3906</v>
      </c>
    </row>
    <row r="1457" spans="1:14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3906</v>
      </c>
    </row>
    <row r="1458" spans="1:14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3906</v>
      </c>
    </row>
    <row r="1459" spans="1:14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3906</v>
      </c>
    </row>
    <row r="1460" spans="1:14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  <c r="N1460" t="s">
        <v>3906</v>
      </c>
    </row>
    <row r="1461" spans="1:14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  <c r="N1461" t="s">
        <v>3906</v>
      </c>
    </row>
    <row r="1462" spans="1:14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  <c r="N1467" t="s">
        <v>3906</v>
      </c>
    </row>
    <row r="1468" spans="1:14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3906</v>
      </c>
    </row>
    <row r="1469" spans="1:14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  <c r="N1469" t="s">
        <v>3906</v>
      </c>
    </row>
    <row r="1470" spans="1:14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  <c r="N1470" t="s">
        <v>3906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  <c r="N1471" t="s">
        <v>3906</v>
      </c>
    </row>
    <row r="1472" spans="1:14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3906</v>
      </c>
    </row>
    <row r="1473" spans="1:14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  <c r="N1473" t="s">
        <v>3906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3906</v>
      </c>
    </row>
    <row r="1475" spans="1:14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  <c r="N1478" t="s">
        <v>3906</v>
      </c>
    </row>
    <row r="1479" spans="1:14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  <c r="N1479" t="s">
        <v>3906</v>
      </c>
    </row>
    <row r="1480" spans="1:14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  <c r="N1481" t="s">
        <v>3906</v>
      </c>
    </row>
    <row r="1482" spans="1:14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3906</v>
      </c>
    </row>
    <row r="1483" spans="1:14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  <c r="N1483" t="s">
        <v>3906</v>
      </c>
    </row>
    <row r="1484" spans="1:14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  <c r="N1484" t="s">
        <v>3906</v>
      </c>
    </row>
    <row r="1485" spans="1:14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  <c r="N1485" t="s">
        <v>3906</v>
      </c>
    </row>
    <row r="1486" spans="1:14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3906</v>
      </c>
    </row>
    <row r="1489" spans="1:14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  <c r="N1489" t="s">
        <v>3906</v>
      </c>
    </row>
    <row r="1490" spans="1:14" x14ac:dyDescent="0.3">
      <c r="A1490" s="271">
        <v>1489</v>
      </c>
      <c r="B1490" s="264">
        <v>45903</v>
      </c>
      <c r="C1490" s="292" t="s">
        <v>3612</v>
      </c>
      <c r="E1490" s="292" t="s">
        <v>3613</v>
      </c>
      <c r="F1490" s="269" t="s">
        <v>3614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3906</v>
      </c>
    </row>
    <row r="1491" spans="1:14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3906</v>
      </c>
    </row>
    <row r="1492" spans="1:14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3906</v>
      </c>
    </row>
    <row r="1493" spans="1:14" x14ac:dyDescent="0.3">
      <c r="A1493" s="271">
        <v>1492</v>
      </c>
      <c r="B1493" s="264">
        <v>45903</v>
      </c>
      <c r="C1493" s="292" t="s">
        <v>3612</v>
      </c>
      <c r="E1493" s="292" t="s">
        <v>3615</v>
      </c>
      <c r="G1493" s="265">
        <v>150000</v>
      </c>
      <c r="H1493" s="269">
        <v>1</v>
      </c>
      <c r="J1493" s="266" t="s">
        <v>3616</v>
      </c>
      <c r="K1493" s="265">
        <v>165000</v>
      </c>
      <c r="M1493" s="269"/>
      <c r="N1493" t="s">
        <v>3906</v>
      </c>
    </row>
    <row r="1494" spans="1:14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  <c r="N1494" t="s">
        <v>3906</v>
      </c>
    </row>
    <row r="1495" spans="1:14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3906</v>
      </c>
    </row>
    <row r="1496" spans="1:14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3481</v>
      </c>
    </row>
    <row r="1497" spans="1:14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  <c r="N1501" t="s">
        <v>3906</v>
      </c>
    </row>
    <row r="1502" spans="1:14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  <c r="N1502" t="s">
        <v>3906</v>
      </c>
    </row>
    <row r="1503" spans="1:14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  <c r="N1503" t="s">
        <v>3906</v>
      </c>
    </row>
    <row r="1504" spans="1:14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  <c r="N1504" t="s">
        <v>3906</v>
      </c>
    </row>
    <row r="1505" spans="1:14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  <c r="N1505" t="s">
        <v>3906</v>
      </c>
    </row>
    <row r="1506" spans="1:14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3906</v>
      </c>
    </row>
    <row r="1507" spans="1:14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  <c r="N1507" t="s">
        <v>3906</v>
      </c>
    </row>
    <row r="1508" spans="1:14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  <c r="N1508" t="s">
        <v>3906</v>
      </c>
    </row>
    <row r="1509" spans="1:14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3906</v>
      </c>
    </row>
    <row r="1510" spans="1:14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  <c r="N1510" t="s">
        <v>3906</v>
      </c>
    </row>
    <row r="1511" spans="1:14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3906</v>
      </c>
    </row>
    <row r="1512" spans="1:14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  <c r="N1519" t="s">
        <v>3481</v>
      </c>
    </row>
    <row r="1520" spans="1:14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  <c r="N1521" t="s">
        <v>3906</v>
      </c>
    </row>
    <row r="1522" spans="1:14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  <c r="N1522" t="s">
        <v>3906</v>
      </c>
    </row>
    <row r="1523" spans="1:14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3906</v>
      </c>
    </row>
    <row r="1524" spans="1:14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3906</v>
      </c>
    </row>
    <row r="1525" spans="1:14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  <c r="N1525" t="s">
        <v>3906</v>
      </c>
    </row>
    <row r="1526" spans="1:14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  <c r="N1526" t="s">
        <v>3906</v>
      </c>
    </row>
    <row r="1527" spans="1:14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3906</v>
      </c>
    </row>
    <row r="1528" spans="1:14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3906</v>
      </c>
    </row>
    <row r="1529" spans="1:14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  <c r="N1529" t="s">
        <v>3906</v>
      </c>
    </row>
    <row r="1530" spans="1:14" x14ac:dyDescent="0.3">
      <c r="A1530" s="271">
        <v>1529</v>
      </c>
      <c r="B1530" s="264">
        <v>45905</v>
      </c>
      <c r="C1530" s="290" t="s">
        <v>3449</v>
      </c>
      <c r="E1530" s="292" t="s">
        <v>4035</v>
      </c>
      <c r="F1530" s="269" t="s">
        <v>2216</v>
      </c>
      <c r="G1530" s="265">
        <v>250000</v>
      </c>
      <c r="H1530" s="269">
        <v>1</v>
      </c>
      <c r="K1530" s="265">
        <v>250000</v>
      </c>
      <c r="N1530" t="s">
        <v>3906</v>
      </c>
    </row>
    <row r="1531" spans="1:14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  <c r="N1531" t="s">
        <v>3906</v>
      </c>
    </row>
    <row r="1532" spans="1:14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  <c r="N1532" t="s">
        <v>3906</v>
      </c>
    </row>
    <row r="1533" spans="1:14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  <c r="N1537" t="s">
        <v>3906</v>
      </c>
    </row>
    <row r="1538" spans="1:14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  <c r="N1539" t="s">
        <v>3906</v>
      </c>
    </row>
    <row r="1540" spans="1:14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3906</v>
      </c>
    </row>
    <row r="1541" spans="1:14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  <c r="N1541" t="s">
        <v>3906</v>
      </c>
    </row>
    <row r="1542" spans="1:14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  <c r="N1542" t="s">
        <v>3906</v>
      </c>
    </row>
    <row r="1543" spans="1:14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  <c r="N1543" t="s">
        <v>3906</v>
      </c>
    </row>
    <row r="1544" spans="1:14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  <c r="N1544" t="s">
        <v>3906</v>
      </c>
    </row>
    <row r="1545" spans="1:14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  <c r="N1549" t="s">
        <v>3906</v>
      </c>
    </row>
    <row r="1550" spans="1:14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3906</v>
      </c>
    </row>
    <row r="1551" spans="1:14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  <c r="N1551" t="s">
        <v>3906</v>
      </c>
    </row>
    <row r="1552" spans="1:14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3906</v>
      </c>
    </row>
    <row r="1553" spans="1:14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  <c r="N1553" t="s">
        <v>3906</v>
      </c>
    </row>
    <row r="1554" spans="1:14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  <c r="N1554" t="s">
        <v>3906</v>
      </c>
    </row>
    <row r="1555" spans="1:14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3906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3906</v>
      </c>
    </row>
    <row r="1558" spans="1:14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  <c r="N1558" t="s">
        <v>3906</v>
      </c>
    </row>
    <row r="1559" spans="1:14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  <c r="N1559" t="s">
        <v>3906</v>
      </c>
    </row>
    <row r="1560" spans="1:14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  <c r="N1560" t="s">
        <v>3906</v>
      </c>
    </row>
    <row r="1561" spans="1:14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  <c r="N1561" t="s">
        <v>3906</v>
      </c>
    </row>
    <row r="1562" spans="1:14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  <c r="N1562" t="s">
        <v>3906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3517</v>
      </c>
      <c r="E1567" s="292" t="s">
        <v>3518</v>
      </c>
      <c r="G1567" s="265">
        <v>1100000</v>
      </c>
      <c r="H1567" s="269">
        <v>1</v>
      </c>
      <c r="J1567" s="266" t="s">
        <v>3519</v>
      </c>
      <c r="K1567" s="265">
        <v>1210000</v>
      </c>
      <c r="N1567" t="s">
        <v>3906</v>
      </c>
    </row>
    <row r="1568" spans="1:14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  <c r="N1568" t="s">
        <v>3906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3906</v>
      </c>
    </row>
    <row r="1570" spans="1:14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3906</v>
      </c>
    </row>
    <row r="1571" spans="1:14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  <c r="N1571" t="s">
        <v>3906</v>
      </c>
    </row>
    <row r="1572" spans="1:14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1448</v>
      </c>
      <c r="E1575" s="292" t="s">
        <v>3505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3906</v>
      </c>
    </row>
    <row r="1576" spans="1:14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3906</v>
      </c>
    </row>
    <row r="1577" spans="1:14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3906</v>
      </c>
    </row>
    <row r="1578" spans="1:14" x14ac:dyDescent="0.3">
      <c r="A1578" s="271">
        <v>1577</v>
      </c>
      <c r="B1578" s="264">
        <v>45910</v>
      </c>
      <c r="C1578" s="292" t="s">
        <v>3658</v>
      </c>
      <c r="E1578" s="292" t="s">
        <v>3660</v>
      </c>
      <c r="F1578" s="269" t="s">
        <v>3661</v>
      </c>
      <c r="G1578" s="265">
        <v>150000</v>
      </c>
      <c r="H1578" s="269">
        <v>1</v>
      </c>
      <c r="K1578" s="265">
        <v>150000</v>
      </c>
      <c r="M1578" s="292" t="s">
        <v>3662</v>
      </c>
    </row>
    <row r="1579" spans="1:14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  <c r="N1579" t="s">
        <v>3906</v>
      </c>
    </row>
    <row r="1580" spans="1:14" x14ac:dyDescent="0.3">
      <c r="A1580" s="271">
        <v>1579</v>
      </c>
      <c r="B1580" s="264">
        <v>45910</v>
      </c>
      <c r="C1580" s="292" t="s">
        <v>1540</v>
      </c>
      <c r="E1580" s="292" t="s">
        <v>3504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3906</v>
      </c>
    </row>
    <row r="1581" spans="1:14" x14ac:dyDescent="0.3">
      <c r="A1581" s="271">
        <v>1580</v>
      </c>
      <c r="B1581" s="264">
        <v>45910</v>
      </c>
      <c r="C1581" s="292" t="s">
        <v>3501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  <c r="N1581" t="s">
        <v>3906</v>
      </c>
    </row>
    <row r="1582" spans="1:14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3906</v>
      </c>
    </row>
    <row r="1583" spans="1:14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3906</v>
      </c>
    </row>
    <row r="1584" spans="1:14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3906</v>
      </c>
    </row>
    <row r="1585" spans="1:14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  <c r="N1585" t="s">
        <v>3906</v>
      </c>
    </row>
    <row r="1586" spans="1:14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  <c r="N1586" t="s">
        <v>3906</v>
      </c>
    </row>
    <row r="1587" spans="1:14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3906</v>
      </c>
    </row>
    <row r="1588" spans="1:14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  <c r="N1588" t="s">
        <v>3906</v>
      </c>
    </row>
    <row r="1589" spans="1:14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  <c r="N1589" t="s">
        <v>3906</v>
      </c>
    </row>
    <row r="1590" spans="1:14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  <c r="N1590" t="s">
        <v>3906</v>
      </c>
    </row>
    <row r="1591" spans="1:14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  <c r="N1591" t="s">
        <v>3906</v>
      </c>
    </row>
    <row r="1592" spans="1:14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  <c r="N1592" t="s">
        <v>3906</v>
      </c>
    </row>
    <row r="1593" spans="1:14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3501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  <c r="N1602" t="s">
        <v>3906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  <c r="N1603" t="s">
        <v>3906</v>
      </c>
    </row>
    <row r="1604" spans="1:14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3906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3906</v>
      </c>
    </row>
    <row r="1606" spans="1:14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3906</v>
      </c>
    </row>
    <row r="1607" spans="1:14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3906</v>
      </c>
    </row>
    <row r="1608" spans="1:14" x14ac:dyDescent="0.3">
      <c r="A1608" s="271">
        <v>1607</v>
      </c>
      <c r="B1608" s="264">
        <v>45911</v>
      </c>
      <c r="C1608" s="292" t="s">
        <v>1448</v>
      </c>
      <c r="E1608" s="292" t="s">
        <v>3528</v>
      </c>
      <c r="F1608" s="269" t="s">
        <v>3527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3906</v>
      </c>
    </row>
    <row r="1609" spans="1:14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3906</v>
      </c>
    </row>
    <row r="1610" spans="1:14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  <c r="N1610" t="s">
        <v>3906</v>
      </c>
    </row>
    <row r="1611" spans="1:14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  <c r="N1611" t="s">
        <v>3906</v>
      </c>
    </row>
    <row r="1612" spans="1:14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  <c r="N1612" t="s">
        <v>3906</v>
      </c>
    </row>
    <row r="1613" spans="1:14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3906</v>
      </c>
    </row>
    <row r="1617" spans="1:14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3906</v>
      </c>
    </row>
    <row r="1618" spans="1:14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  <c r="N1618" t="s">
        <v>3906</v>
      </c>
    </row>
    <row r="1619" spans="1:14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  <c r="N1619" t="s">
        <v>3906</v>
      </c>
    </row>
    <row r="1620" spans="1:14" x14ac:dyDescent="0.3">
      <c r="A1620" s="271">
        <v>1619</v>
      </c>
      <c r="B1620" s="264">
        <v>45912</v>
      </c>
      <c r="C1620" s="292" t="s">
        <v>1721</v>
      </c>
      <c r="E1620" s="292" t="s">
        <v>3539</v>
      </c>
      <c r="F1620" s="269" t="s">
        <v>2326</v>
      </c>
      <c r="G1620" s="265">
        <v>900000</v>
      </c>
      <c r="H1620" s="269">
        <v>1</v>
      </c>
      <c r="K1620" s="265">
        <v>900000</v>
      </c>
      <c r="N1620" t="s">
        <v>3906</v>
      </c>
    </row>
    <row r="1621" spans="1:14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  <c r="N1621" t="s">
        <v>3906</v>
      </c>
    </row>
    <row r="1622" spans="1:14" x14ac:dyDescent="0.3">
      <c r="A1622" s="271">
        <v>1621</v>
      </c>
      <c r="B1622" s="264">
        <v>45912</v>
      </c>
      <c r="C1622" s="292" t="s">
        <v>3542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3906</v>
      </c>
    </row>
    <row r="1623" spans="1:14" x14ac:dyDescent="0.3">
      <c r="A1623" s="271">
        <v>1622</v>
      </c>
      <c r="B1623" s="264">
        <v>45912</v>
      </c>
      <c r="C1623" s="292" t="s">
        <v>3544</v>
      </c>
      <c r="E1623" s="292" t="s">
        <v>3545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3542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3906</v>
      </c>
    </row>
    <row r="1627" spans="1:14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3906</v>
      </c>
    </row>
    <row r="1628" spans="1:14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  <c r="N1628" t="s">
        <v>3906</v>
      </c>
    </row>
    <row r="1629" spans="1:14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3906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  <c r="N1630" t="s">
        <v>3906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  <c r="N1631" t="s">
        <v>3906</v>
      </c>
    </row>
    <row r="1632" spans="1:14" x14ac:dyDescent="0.3">
      <c r="A1632" s="271">
        <v>1631</v>
      </c>
      <c r="B1632" s="264">
        <v>45915</v>
      </c>
      <c r="C1632" s="292" t="s">
        <v>1860</v>
      </c>
      <c r="E1632" s="292" t="s">
        <v>3548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3906</v>
      </c>
    </row>
    <row r="1633" spans="1:14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  <c r="N1633" t="s">
        <v>3906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3906</v>
      </c>
    </row>
    <row r="1635" spans="1:14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  <c r="N1635" t="s">
        <v>3906</v>
      </c>
    </row>
    <row r="1636" spans="1:14" x14ac:dyDescent="0.3">
      <c r="A1636" s="271">
        <v>1635</v>
      </c>
      <c r="B1636" s="264">
        <v>45915</v>
      </c>
      <c r="C1636" s="292" t="s">
        <v>1443</v>
      </c>
      <c r="E1636" s="292" t="s">
        <v>3557</v>
      </c>
      <c r="L1636" s="265">
        <v>-1000000</v>
      </c>
      <c r="N1636" t="s">
        <v>3906</v>
      </c>
    </row>
    <row r="1637" spans="1:14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3906</v>
      </c>
    </row>
    <row r="1643" spans="1:14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3906</v>
      </c>
    </row>
    <row r="1644" spans="1:14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3560</v>
      </c>
      <c r="N1644" t="s">
        <v>3906</v>
      </c>
    </row>
    <row r="1645" spans="1:14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3906</v>
      </c>
    </row>
    <row r="1646" spans="1:14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3906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3906</v>
      </c>
    </row>
    <row r="1648" spans="1:14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3906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3906</v>
      </c>
    </row>
    <row r="1650" spans="1:14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  <c r="N1650" t="s">
        <v>3906</v>
      </c>
    </row>
    <row r="1651" spans="1:14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3572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  <c r="N1658" t="s">
        <v>3906</v>
      </c>
    </row>
    <row r="1659" spans="1:14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3906</v>
      </c>
    </row>
    <row r="1660" spans="1:14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3906</v>
      </c>
    </row>
    <row r="1661" spans="1:14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3906</v>
      </c>
    </row>
    <row r="1662" spans="1:14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3906</v>
      </c>
    </row>
    <row r="1663" spans="1:14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3906</v>
      </c>
    </row>
    <row r="1664" spans="1:14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3906</v>
      </c>
    </row>
    <row r="1665" spans="1:14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3906</v>
      </c>
    </row>
    <row r="1666" spans="1:14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3906</v>
      </c>
    </row>
    <row r="1667" spans="1:14" x14ac:dyDescent="0.3">
      <c r="A1667" s="271">
        <v>1666</v>
      </c>
      <c r="B1667" s="264">
        <v>45917</v>
      </c>
      <c r="C1667" s="292" t="s">
        <v>1721</v>
      </c>
      <c r="E1667" s="292" t="s">
        <v>3582</v>
      </c>
      <c r="G1667" s="265">
        <v>2200000</v>
      </c>
      <c r="H1667" s="269">
        <v>1</v>
      </c>
      <c r="K1667" s="265">
        <v>2200000</v>
      </c>
      <c r="N1667" t="s">
        <v>3906</v>
      </c>
    </row>
    <row r="1668" spans="1:14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  <c r="N1668" t="s">
        <v>3906</v>
      </c>
    </row>
    <row r="1669" spans="1:14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  <c r="N1669" t="s">
        <v>3906</v>
      </c>
    </row>
    <row r="1670" spans="1:14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  <c r="N1670" t="s">
        <v>3906</v>
      </c>
    </row>
    <row r="1671" spans="1:14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  <c r="N1671" t="s">
        <v>3906</v>
      </c>
    </row>
    <row r="1672" spans="1:14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3906</v>
      </c>
    </row>
    <row r="1673" spans="1:14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3906</v>
      </c>
    </row>
    <row r="1674" spans="1:14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1398</v>
      </c>
      <c r="E1675" s="292" t="s">
        <v>3582</v>
      </c>
      <c r="F1675" s="269" t="s">
        <v>3592</v>
      </c>
      <c r="G1675" s="265">
        <v>900000</v>
      </c>
      <c r="H1675" s="269">
        <v>1</v>
      </c>
      <c r="K1675" s="265">
        <v>900000</v>
      </c>
      <c r="N1675" t="s">
        <v>3906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  <c r="N1676" t="s">
        <v>3906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  <c r="N1677" t="s">
        <v>3906</v>
      </c>
    </row>
    <row r="1678" spans="1:14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  <c r="N1679" t="s">
        <v>3906</v>
      </c>
    </row>
    <row r="1680" spans="1:14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3602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3906</v>
      </c>
    </row>
    <row r="1681" spans="1:14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3906</v>
      </c>
    </row>
    <row r="1682" spans="1:14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  <c r="N1682" t="s">
        <v>3906</v>
      </c>
    </row>
    <row r="1683" spans="1:14" x14ac:dyDescent="0.3">
      <c r="A1683" s="271">
        <v>1682</v>
      </c>
      <c r="B1683" s="264">
        <v>45918</v>
      </c>
      <c r="C1683" s="292" t="s">
        <v>3448</v>
      </c>
      <c r="E1683" s="292" t="s">
        <v>3594</v>
      </c>
      <c r="F1683" s="269" t="s">
        <v>3593</v>
      </c>
      <c r="G1683" s="265">
        <v>300000</v>
      </c>
      <c r="H1683" s="269">
        <v>1</v>
      </c>
      <c r="K1683" s="265">
        <v>300000</v>
      </c>
      <c r="N1683" t="s">
        <v>3906</v>
      </c>
    </row>
    <row r="1684" spans="1:14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  <c r="N1684" t="s">
        <v>3906</v>
      </c>
    </row>
    <row r="1685" spans="1:14" x14ac:dyDescent="0.3">
      <c r="A1685" s="271">
        <v>1684</v>
      </c>
      <c r="B1685" s="264">
        <v>45918</v>
      </c>
      <c r="C1685" s="292" t="s">
        <v>1443</v>
      </c>
      <c r="E1685" s="292" t="s">
        <v>3591</v>
      </c>
      <c r="F1685" s="269" t="s">
        <v>3590</v>
      </c>
      <c r="G1685" s="265">
        <v>130000</v>
      </c>
      <c r="H1685" s="269">
        <v>1</v>
      </c>
      <c r="K1685" s="265">
        <v>130000</v>
      </c>
      <c r="N1685" t="s">
        <v>3906</v>
      </c>
    </row>
    <row r="1686" spans="1:14" x14ac:dyDescent="0.3">
      <c r="A1686" s="271">
        <v>1685</v>
      </c>
      <c r="B1686" s="264">
        <v>45918</v>
      </c>
      <c r="C1686" s="292" t="s">
        <v>1443</v>
      </c>
      <c r="E1686" s="292" t="s">
        <v>3582</v>
      </c>
      <c r="F1686" s="269" t="s">
        <v>3592</v>
      </c>
      <c r="G1686" s="265">
        <v>2200000</v>
      </c>
      <c r="H1686" s="269">
        <v>1</v>
      </c>
      <c r="K1686" s="265">
        <v>2200000</v>
      </c>
      <c r="N1686" t="s">
        <v>3906</v>
      </c>
    </row>
    <row r="1687" spans="1:14" x14ac:dyDescent="0.3">
      <c r="A1687" s="271">
        <v>1686</v>
      </c>
      <c r="B1687" s="264">
        <v>45918</v>
      </c>
      <c r="C1687" s="292" t="s">
        <v>1746</v>
      </c>
      <c r="E1687" s="292" t="s">
        <v>3588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3906</v>
      </c>
    </row>
    <row r="1688" spans="1:14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  <c r="N1688" t="s">
        <v>3906</v>
      </c>
    </row>
    <row r="1689" spans="1:14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3906</v>
      </c>
    </row>
    <row r="1690" spans="1:14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3907</v>
      </c>
    </row>
    <row r="1691" spans="1:14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3624</v>
      </c>
      <c r="E1692" s="292" t="s">
        <v>3625</v>
      </c>
      <c r="F1692" s="269" t="s">
        <v>3626</v>
      </c>
      <c r="G1692" s="265">
        <v>350000</v>
      </c>
      <c r="H1692" s="269">
        <v>2</v>
      </c>
      <c r="J1692" s="266" t="s">
        <v>3627</v>
      </c>
      <c r="K1692" s="265">
        <v>770000</v>
      </c>
      <c r="N1692" t="s">
        <v>3906</v>
      </c>
    </row>
    <row r="1693" spans="1:14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3572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  <c r="N1699" t="s">
        <v>3906</v>
      </c>
    </row>
    <row r="1700" spans="1:14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  <c r="N1700" t="s">
        <v>3906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3582</v>
      </c>
      <c r="F1701" s="269" t="s">
        <v>3592</v>
      </c>
      <c r="G1701" s="265">
        <v>2000000</v>
      </c>
      <c r="H1701" s="269">
        <v>1</v>
      </c>
      <c r="K1701" s="265">
        <v>2000000</v>
      </c>
      <c r="N1701" t="s">
        <v>3906</v>
      </c>
    </row>
    <row r="1702" spans="1:14" x14ac:dyDescent="0.3">
      <c r="A1702" s="271">
        <v>1701</v>
      </c>
      <c r="B1702" s="264">
        <v>45919</v>
      </c>
      <c r="C1702" s="292" t="s">
        <v>2741</v>
      </c>
      <c r="E1702" s="292" t="s">
        <v>3621</v>
      </c>
      <c r="G1702" s="265">
        <v>250000</v>
      </c>
      <c r="H1702" s="269">
        <v>1</v>
      </c>
      <c r="K1702" s="265">
        <v>250000</v>
      </c>
      <c r="N1702" t="s">
        <v>3906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3623</v>
      </c>
      <c r="L1703" s="265">
        <v>-2000000</v>
      </c>
      <c r="N1703" t="s">
        <v>3906</v>
      </c>
    </row>
    <row r="1704" spans="1:14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  <c r="N1712" t="s">
        <v>3906</v>
      </c>
    </row>
    <row r="1713" spans="1:14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3710</v>
      </c>
      <c r="E1714" s="292" t="s">
        <v>3711</v>
      </c>
      <c r="F1714" s="269" t="s">
        <v>3712</v>
      </c>
      <c r="G1714" s="265">
        <v>1300000</v>
      </c>
      <c r="H1714" s="269">
        <v>1</v>
      </c>
      <c r="J1714" s="266" t="s">
        <v>3142</v>
      </c>
      <c r="K1714" s="265">
        <v>1430000</v>
      </c>
      <c r="N1714" t="s">
        <v>3906</v>
      </c>
    </row>
    <row r="1715" spans="1:14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3906</v>
      </c>
    </row>
    <row r="1716" spans="1:14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  <c r="N1716" t="s">
        <v>3906</v>
      </c>
    </row>
    <row r="1717" spans="1:14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  <c r="N1719" t="s">
        <v>3906</v>
      </c>
    </row>
    <row r="1720" spans="1:14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3906</v>
      </c>
    </row>
    <row r="1721" spans="1:14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3906</v>
      </c>
    </row>
    <row r="1722" spans="1:14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3906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  <c r="N1723" t="s">
        <v>3906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  <c r="N1724" t="s">
        <v>3906</v>
      </c>
    </row>
    <row r="1725" spans="1:14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3646</v>
      </c>
      <c r="N1730" t="s">
        <v>3906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  <c r="N1731" t="s">
        <v>3906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3582</v>
      </c>
      <c r="F1732" s="269" t="s">
        <v>3592</v>
      </c>
      <c r="G1732" s="265">
        <v>2200000</v>
      </c>
      <c r="H1732" s="269">
        <v>1</v>
      </c>
      <c r="K1732" s="265">
        <v>2200000</v>
      </c>
      <c r="N1732" t="s">
        <v>3906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  <c r="N1733" t="s">
        <v>3906</v>
      </c>
    </row>
    <row r="1734" spans="1:14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3906</v>
      </c>
    </row>
    <row r="1735" spans="1:14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3906</v>
      </c>
    </row>
    <row r="1736" spans="1:14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  <c r="N1736" t="s">
        <v>3906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3906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3906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3906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3906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3906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3653</v>
      </c>
      <c r="G1742" s="265">
        <v>150000</v>
      </c>
      <c r="H1742" s="269">
        <v>1</v>
      </c>
      <c r="K1742" s="265">
        <v>150000</v>
      </c>
      <c r="N1742" t="s">
        <v>3906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3655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  <c r="N1745" t="s">
        <v>3906</v>
      </c>
    </row>
    <row r="1746" spans="1:14" x14ac:dyDescent="0.3">
      <c r="A1746" s="271">
        <v>1745</v>
      </c>
      <c r="B1746" s="264">
        <v>45924</v>
      </c>
      <c r="C1746" s="292" t="s">
        <v>3658</v>
      </c>
      <c r="E1746" s="292" t="s">
        <v>3659</v>
      </c>
      <c r="L1746" s="265">
        <v>-150000</v>
      </c>
      <c r="N1746" t="s">
        <v>3906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3657</v>
      </c>
      <c r="F1747" s="269" t="s">
        <v>1200</v>
      </c>
      <c r="G1747" s="265">
        <v>1500000</v>
      </c>
      <c r="H1747" s="269">
        <v>1</v>
      </c>
      <c r="L1747" s="265">
        <v>-1500000</v>
      </c>
      <c r="N1747" t="s">
        <v>3906</v>
      </c>
    </row>
    <row r="1748" spans="1:14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3664</v>
      </c>
      <c r="G1748" s="265">
        <v>1100000</v>
      </c>
      <c r="H1748" s="269">
        <v>1</v>
      </c>
      <c r="K1748" s="265">
        <v>1100000</v>
      </c>
      <c r="N1748" t="s">
        <v>3906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3582</v>
      </c>
      <c r="F1749" s="269" t="s">
        <v>3592</v>
      </c>
      <c r="G1749" s="265">
        <v>2200000</v>
      </c>
      <c r="H1749" s="269">
        <v>1</v>
      </c>
      <c r="K1749" s="265">
        <v>2200000</v>
      </c>
      <c r="N1749" t="s">
        <v>3906</v>
      </c>
    </row>
    <row r="1750" spans="1:14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  <c r="N1750" t="s">
        <v>3906</v>
      </c>
    </row>
    <row r="1751" spans="1:14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  <c r="N1751" t="s">
        <v>3906</v>
      </c>
    </row>
    <row r="1752" spans="1:14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3906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3906</v>
      </c>
    </row>
    <row r="1762" spans="1:14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3906</v>
      </c>
    </row>
    <row r="1763" spans="1:14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3906</v>
      </c>
    </row>
    <row r="1764" spans="1:14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3906</v>
      </c>
    </row>
    <row r="1765" spans="1:14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  <c r="N1765" t="s">
        <v>3906</v>
      </c>
    </row>
    <row r="1766" spans="1:14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3906</v>
      </c>
    </row>
    <row r="1767" spans="1:14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3906</v>
      </c>
    </row>
    <row r="1768" spans="1:14" x14ac:dyDescent="0.3">
      <c r="A1768" s="271">
        <v>1767</v>
      </c>
      <c r="B1768" s="264">
        <v>45926</v>
      </c>
      <c r="C1768" s="292" t="s">
        <v>3720</v>
      </c>
      <c r="E1768" s="292">
        <v>2703900</v>
      </c>
      <c r="F1768" s="269" t="s">
        <v>3721</v>
      </c>
      <c r="G1768" s="265">
        <v>1000000</v>
      </c>
      <c r="H1768" s="269">
        <v>1</v>
      </c>
      <c r="K1768" s="265">
        <v>1000000</v>
      </c>
      <c r="N1768" t="s">
        <v>3906</v>
      </c>
    </row>
    <row r="1769" spans="1:14" x14ac:dyDescent="0.3">
      <c r="A1769" s="271">
        <v>1768</v>
      </c>
      <c r="B1769" s="264">
        <v>45927</v>
      </c>
      <c r="C1769" s="292" t="s">
        <v>3720</v>
      </c>
      <c r="E1769" s="292" t="s">
        <v>1745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3723</v>
      </c>
      <c r="E1770" s="292" t="s">
        <v>1534</v>
      </c>
      <c r="G1770" s="265">
        <v>450000</v>
      </c>
      <c r="H1770" s="269">
        <v>1</v>
      </c>
      <c r="K1770" s="265">
        <v>450000</v>
      </c>
      <c r="N1770" t="s">
        <v>3906</v>
      </c>
    </row>
    <row r="1771" spans="1:14" x14ac:dyDescent="0.3">
      <c r="A1771" s="271">
        <v>1770</v>
      </c>
      <c r="B1771" s="264">
        <v>45927</v>
      </c>
      <c r="C1771" s="292" t="s">
        <v>3723</v>
      </c>
      <c r="E1771" s="292" t="s">
        <v>1745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2741</v>
      </c>
      <c r="E1773" s="292" t="s">
        <v>3728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3729</v>
      </c>
      <c r="N1774" t="s">
        <v>3906</v>
      </c>
    </row>
    <row r="1775" spans="1:14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3733</v>
      </c>
      <c r="H1775" s="269">
        <v>1</v>
      </c>
      <c r="K1775" s="265">
        <v>0</v>
      </c>
      <c r="M1775" s="292" t="s">
        <v>3734</v>
      </c>
      <c r="N1775" t="s">
        <v>3906</v>
      </c>
    </row>
    <row r="1776" spans="1:14" x14ac:dyDescent="0.3">
      <c r="A1776" s="271">
        <v>1775</v>
      </c>
      <c r="B1776" s="264">
        <v>45929</v>
      </c>
      <c r="C1776" s="292" t="s">
        <v>1804</v>
      </c>
      <c r="E1776" s="292" t="s">
        <v>3740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3742</v>
      </c>
    </row>
    <row r="1779" spans="1:14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3906</v>
      </c>
    </row>
    <row r="1780" spans="1:14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3906</v>
      </c>
    </row>
    <row r="1781" spans="1:14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3906</v>
      </c>
    </row>
    <row r="1782" spans="1:14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3906</v>
      </c>
    </row>
    <row r="1783" spans="1:14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  <c r="N1783" t="s">
        <v>3906</v>
      </c>
    </row>
    <row r="1784" spans="1:14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3747</v>
      </c>
      <c r="N1784" t="s">
        <v>3906</v>
      </c>
    </row>
    <row r="1785" spans="1:14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3749</v>
      </c>
      <c r="N1785" t="s">
        <v>3906</v>
      </c>
    </row>
    <row r="1786" spans="1:14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3751</v>
      </c>
      <c r="N1786" t="s">
        <v>3906</v>
      </c>
    </row>
    <row r="1787" spans="1:14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  <c r="N1787" t="s">
        <v>3906</v>
      </c>
    </row>
    <row r="1788" spans="1:14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  <c r="N1788" t="s">
        <v>3906</v>
      </c>
    </row>
    <row r="1789" spans="1:14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  <c r="N1789" t="s">
        <v>3906</v>
      </c>
    </row>
    <row r="1790" spans="1:14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  <c r="N1790" t="s">
        <v>3906</v>
      </c>
    </row>
    <row r="1791" spans="1:14" x14ac:dyDescent="0.3">
      <c r="A1791" s="271">
        <v>1790</v>
      </c>
      <c r="B1791" s="264">
        <v>45925</v>
      </c>
      <c r="C1791" s="292" t="s">
        <v>1377</v>
      </c>
      <c r="E1791" s="292" t="s">
        <v>2179</v>
      </c>
      <c r="F1791" s="269" t="s">
        <v>1200</v>
      </c>
      <c r="G1791" s="265">
        <v>1500000</v>
      </c>
      <c r="H1791" s="269">
        <v>1</v>
      </c>
      <c r="K1791" s="265">
        <v>1500000</v>
      </c>
      <c r="N1791" t="s">
        <v>3906</v>
      </c>
    </row>
    <row r="1792" spans="1:14" x14ac:dyDescent="0.3">
      <c r="A1792" s="271">
        <v>1791</v>
      </c>
      <c r="B1792" s="264">
        <v>45925</v>
      </c>
      <c r="C1792" s="292" t="s">
        <v>1377</v>
      </c>
      <c r="E1792" s="292" t="s">
        <v>2180</v>
      </c>
      <c r="F1792" s="269" t="s">
        <v>1802</v>
      </c>
      <c r="G1792" s="265">
        <v>50000</v>
      </c>
      <c r="H1792" s="269">
        <v>1</v>
      </c>
      <c r="K1792" s="265">
        <v>50000</v>
      </c>
      <c r="N1792" t="s">
        <v>3906</v>
      </c>
    </row>
    <row r="1793" spans="1:14" x14ac:dyDescent="0.3">
      <c r="A1793" s="271">
        <v>1792</v>
      </c>
      <c r="B1793" s="264">
        <v>45925</v>
      </c>
      <c r="C1793" s="292" t="s">
        <v>1377</v>
      </c>
      <c r="E1793" s="292" t="s">
        <v>4035</v>
      </c>
      <c r="F1793" s="269" t="s">
        <v>2216</v>
      </c>
      <c r="G1793" s="265">
        <v>250000</v>
      </c>
      <c r="H1793" s="269">
        <v>1</v>
      </c>
      <c r="K1793" s="265">
        <v>250000</v>
      </c>
      <c r="N1793" t="s">
        <v>3906</v>
      </c>
    </row>
    <row r="1794" spans="1:14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3906</v>
      </c>
    </row>
    <row r="1795" spans="1:14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  <c r="N1795" t="s">
        <v>3906</v>
      </c>
    </row>
    <row r="1796" spans="1:14" x14ac:dyDescent="0.3">
      <c r="A1796" s="271">
        <v>1795</v>
      </c>
      <c r="B1796" s="264">
        <v>45929</v>
      </c>
      <c r="C1796" s="292" t="s">
        <v>1443</v>
      </c>
      <c r="E1796" s="292" t="s">
        <v>3758</v>
      </c>
      <c r="L1796" s="265">
        <v>-800000</v>
      </c>
      <c r="N1796" t="s">
        <v>3906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3906</v>
      </c>
    </row>
    <row r="1804" spans="1:14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3906</v>
      </c>
    </row>
    <row r="1805" spans="1:14" x14ac:dyDescent="0.3">
      <c r="A1805" s="271">
        <v>1804</v>
      </c>
      <c r="B1805" s="264">
        <v>45930</v>
      </c>
      <c r="C1805" s="292" t="s">
        <v>2622</v>
      </c>
      <c r="E1805" s="292" t="s">
        <v>3769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3906</v>
      </c>
    </row>
    <row r="1806" spans="1:14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  <c r="N1806" t="s">
        <v>3906</v>
      </c>
    </row>
    <row r="1807" spans="1:14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3906</v>
      </c>
    </row>
    <row r="1809" spans="1:14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3778</v>
      </c>
      <c r="E1810" s="292" t="s">
        <v>3779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  <c r="N1810" t="s">
        <v>3906</v>
      </c>
    </row>
    <row r="1811" spans="1:14" x14ac:dyDescent="0.3">
      <c r="A1811" s="271">
        <v>1810</v>
      </c>
      <c r="B1811" s="264">
        <v>45930</v>
      </c>
      <c r="C1811" s="292" t="s">
        <v>3778</v>
      </c>
      <c r="E1811" s="292" t="s">
        <v>3780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1472</v>
      </c>
      <c r="E1815" s="292" t="s">
        <v>3776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1398</v>
      </c>
      <c r="E1816" s="292" t="s">
        <v>3777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1746</v>
      </c>
      <c r="E1817" s="292" t="s">
        <v>3781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1540</v>
      </c>
      <c r="E1818" s="292" t="s">
        <v>3782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3784</v>
      </c>
      <c r="E1819" s="292" t="s">
        <v>3785</v>
      </c>
      <c r="F1819" s="269" t="s">
        <v>3786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3655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3816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3816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3825</v>
      </c>
      <c r="F1834" s="269" t="s">
        <v>3824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3819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3829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3819</v>
      </c>
      <c r="E1838" s="292" t="s">
        <v>3833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3849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3629</v>
      </c>
      <c r="F1855" s="269" t="s">
        <v>3628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4105</v>
      </c>
      <c r="D1856" s="295" t="s">
        <v>4106</v>
      </c>
      <c r="E1856" s="292" t="s">
        <v>4107</v>
      </c>
      <c r="F1856" s="269" t="s">
        <v>4108</v>
      </c>
      <c r="G1856" s="265">
        <v>250000</v>
      </c>
      <c r="H1856" s="269">
        <v>1</v>
      </c>
      <c r="K1856" s="265">
        <v>0</v>
      </c>
      <c r="M1856" s="304" t="s">
        <v>3857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3816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3816</v>
      </c>
      <c r="E1870" s="292" t="s">
        <v>3869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3870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3871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3880</v>
      </c>
    </row>
    <row r="1877" spans="1:13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1377</v>
      </c>
      <c r="E1879" s="292" t="s">
        <v>3878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3882</v>
      </c>
    </row>
    <row r="1880" spans="1:13" x14ac:dyDescent="0.3">
      <c r="A1880" s="271">
        <v>1879</v>
      </c>
      <c r="B1880" s="264">
        <v>45943</v>
      </c>
      <c r="C1880" s="292" t="s">
        <v>3884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3890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3890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2617</v>
      </c>
      <c r="E1887" s="292" t="s">
        <v>3894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3890</v>
      </c>
      <c r="E1888" s="292" t="s">
        <v>3896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3898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3899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3900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3884</v>
      </c>
      <c r="E1892" s="292" t="s">
        <v>3902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4075</v>
      </c>
      <c r="E1894" s="292" t="s">
        <v>4076</v>
      </c>
      <c r="F1894" s="269" t="s">
        <v>4077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4075</v>
      </c>
      <c r="E1895" s="292" t="s">
        <v>4078</v>
      </c>
      <c r="F1895" s="269" t="s">
        <v>4079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3911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3919</v>
      </c>
    </row>
    <row r="1908" spans="1:13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1398</v>
      </c>
      <c r="E1909" s="292" t="s">
        <v>3922</v>
      </c>
      <c r="F1909" s="269" t="s">
        <v>3921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3925</v>
      </c>
    </row>
    <row r="1912" spans="1:13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4025</v>
      </c>
      <c r="E1915" s="292" t="s">
        <v>4026</v>
      </c>
      <c r="G1915" s="265">
        <v>1100000</v>
      </c>
      <c r="H1915" s="269">
        <v>1</v>
      </c>
      <c r="J1915" s="266" t="s">
        <v>3519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4025</v>
      </c>
      <c r="E1916" s="292" t="s">
        <v>4027</v>
      </c>
      <c r="F1916" s="269" t="s">
        <v>4028</v>
      </c>
      <c r="G1916" s="265">
        <v>1000000</v>
      </c>
      <c r="H1916" s="269">
        <v>1</v>
      </c>
      <c r="J1916" s="266" t="s">
        <v>4029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3928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3940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3928</v>
      </c>
      <c r="E1929" s="292" t="s">
        <v>3941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3942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3816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3816</v>
      </c>
      <c r="E1938" s="292" t="s">
        <v>3957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3942</v>
      </c>
      <c r="E1939" s="292" t="s">
        <v>3958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3940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3961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3963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3967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3967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4030</v>
      </c>
      <c r="E1954" s="292" t="s">
        <v>4031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3972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3976</v>
      </c>
      <c r="E1960" s="292" t="s">
        <v>3975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3664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3664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3983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3986</v>
      </c>
      <c r="F1970" s="269" t="s">
        <v>3985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3928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3928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3928</v>
      </c>
      <c r="E1974" s="292" t="s">
        <v>3991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4122</v>
      </c>
      <c r="E1976" s="292" t="s">
        <v>4123</v>
      </c>
      <c r="F1976" s="269" t="s">
        <v>4124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3997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3999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3961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1466</v>
      </c>
      <c r="E1991" s="292" t="s">
        <v>4013</v>
      </c>
      <c r="F1991" s="269" t="s">
        <v>4012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4021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3997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3999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4167</v>
      </c>
      <c r="D2026" s="295" t="s">
        <v>4106</v>
      </c>
      <c r="E2026" s="292" t="s">
        <v>4168</v>
      </c>
      <c r="F2026" s="269" t="s">
        <v>4169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4145</v>
      </c>
      <c r="D2027" s="295" t="s">
        <v>4106</v>
      </c>
      <c r="E2027" s="292" t="s">
        <v>4148</v>
      </c>
      <c r="F2027" s="269" t="s">
        <v>4149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4086</v>
      </c>
      <c r="E2030" s="292" t="s">
        <v>4087</v>
      </c>
      <c r="F2030" s="269" t="s">
        <v>4088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4052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4074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4067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4063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3961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4059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4059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4059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4059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4059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4080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4063</v>
      </c>
      <c r="E2049" s="292" t="s">
        <v>4081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4059</v>
      </c>
      <c r="E2050" s="292" t="s">
        <v>4082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4104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3961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3961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2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2" x14ac:dyDescent="0.3">
      <c r="A2066" s="58">
        <v>2066</v>
      </c>
      <c r="B2066" s="264">
        <v>45958</v>
      </c>
      <c r="C2066" s="292" t="s">
        <v>4089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2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</row>
    <row r="2068" spans="1:12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</row>
    <row r="2069" spans="1:12" x14ac:dyDescent="0.3">
      <c r="A2069" s="58">
        <v>2069</v>
      </c>
      <c r="B2069" s="264">
        <v>45958</v>
      </c>
      <c r="C2069" s="292" t="s">
        <v>1670</v>
      </c>
      <c r="E2069" s="292" t="s">
        <v>3653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2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2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2" x14ac:dyDescent="0.3">
      <c r="A2072" s="58">
        <v>2072</v>
      </c>
      <c r="B2072" s="264">
        <v>45958</v>
      </c>
      <c r="C2072" s="292" t="s">
        <v>4089</v>
      </c>
      <c r="E2072" s="292" t="s">
        <v>4103</v>
      </c>
      <c r="L2072" s="265">
        <v>-1300000</v>
      </c>
    </row>
    <row r="2073" spans="1:12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2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2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2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2" x14ac:dyDescent="0.3">
      <c r="A2077" s="58">
        <v>2077</v>
      </c>
      <c r="B2077" s="264">
        <v>45959</v>
      </c>
      <c r="C2077" s="292" t="s">
        <v>3148</v>
      </c>
      <c r="E2077" s="292" t="s">
        <v>3629</v>
      </c>
      <c r="F2077" s="269" t="s">
        <v>3628</v>
      </c>
      <c r="G2077" s="265">
        <v>30000</v>
      </c>
      <c r="H2077" s="269">
        <v>1</v>
      </c>
      <c r="K2077" s="265">
        <v>30000</v>
      </c>
    </row>
    <row r="2078" spans="1:12" x14ac:dyDescent="0.3">
      <c r="A2078" s="58">
        <v>2078</v>
      </c>
      <c r="B2078" s="264">
        <v>45959</v>
      </c>
      <c r="C2078" s="292" t="s">
        <v>4109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2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2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4145</v>
      </c>
      <c r="E2082" s="292" t="s">
        <v>4146</v>
      </c>
      <c r="F2082" s="269" t="s">
        <v>4147</v>
      </c>
      <c r="G2082" s="265">
        <v>1100000</v>
      </c>
      <c r="H2082" s="269">
        <v>1</v>
      </c>
      <c r="J2082" s="266" t="s">
        <v>3519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4109</v>
      </c>
      <c r="E2087" s="292" t="s">
        <v>4121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4125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4180</v>
      </c>
      <c r="D2090" s="295" t="s">
        <v>4106</v>
      </c>
      <c r="E2090" s="292" t="s">
        <v>4168</v>
      </c>
      <c r="F2090" s="269" t="s">
        <v>4169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4130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3653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4131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2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2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2" x14ac:dyDescent="0.3">
      <c r="A2099" s="58">
        <v>2099</v>
      </c>
      <c r="B2099" s="264">
        <v>45960</v>
      </c>
      <c r="C2099" s="292" t="s">
        <v>1576</v>
      </c>
      <c r="E2099" s="292" t="s">
        <v>4135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2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2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2" x14ac:dyDescent="0.3">
      <c r="A2102" s="58">
        <v>2102</v>
      </c>
      <c r="B2102" s="264">
        <v>45960</v>
      </c>
      <c r="C2102" s="292" t="s">
        <v>4063</v>
      </c>
      <c r="E2102" s="292" t="s">
        <v>3220</v>
      </c>
      <c r="F2102" s="269" t="s">
        <v>3521</v>
      </c>
      <c r="G2102" s="265">
        <v>1200000</v>
      </c>
      <c r="H2102" s="269">
        <v>1</v>
      </c>
      <c r="K2102" s="265">
        <v>1200000</v>
      </c>
    </row>
    <row r="2103" spans="1:12" x14ac:dyDescent="0.3">
      <c r="A2103" s="58">
        <v>2103</v>
      </c>
      <c r="B2103" s="264">
        <v>45960</v>
      </c>
      <c r="C2103" s="292" t="s">
        <v>4063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2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2" x14ac:dyDescent="0.3">
      <c r="A2105" s="58">
        <v>2105</v>
      </c>
      <c r="B2105" s="264">
        <v>45960</v>
      </c>
      <c r="C2105" s="292" t="s">
        <v>2703</v>
      </c>
      <c r="E2105" s="292" t="s">
        <v>4127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</row>
    <row r="2106" spans="1:12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</row>
    <row r="2107" spans="1:12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</row>
    <row r="2108" spans="1:12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2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2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2" x14ac:dyDescent="0.3">
      <c r="A2111" s="58">
        <v>2111</v>
      </c>
      <c r="B2111" s="264">
        <v>45960</v>
      </c>
      <c r="C2111" s="292" t="s">
        <v>1789</v>
      </c>
      <c r="E2111" s="292" t="s">
        <v>4144</v>
      </c>
      <c r="L2111" s="265">
        <v>-3000000</v>
      </c>
    </row>
    <row r="2112" spans="1:12" x14ac:dyDescent="0.3">
      <c r="A2112" s="58">
        <v>2112</v>
      </c>
      <c r="B2112" s="264">
        <v>45960</v>
      </c>
      <c r="C2112" s="292" t="s">
        <v>4042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4150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4154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4151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3740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4162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4156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4158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4063</v>
      </c>
      <c r="E2120" s="292" t="s">
        <v>4160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1472</v>
      </c>
      <c r="E2121" s="292" t="s">
        <v>2179</v>
      </c>
      <c r="F2121" s="269" t="s">
        <v>1200</v>
      </c>
      <c r="G2121" s="265">
        <v>1500000</v>
      </c>
      <c r="H2121" s="269">
        <v>1</v>
      </c>
      <c r="K2121" s="265">
        <v>1500000</v>
      </c>
    </row>
    <row r="2122" spans="1:12" x14ac:dyDescent="0.3">
      <c r="A2122" s="58">
        <v>2122</v>
      </c>
      <c r="B2122" s="264">
        <v>45961</v>
      </c>
      <c r="C2122" s="292" t="s">
        <v>4172</v>
      </c>
      <c r="E2122" s="292" t="s">
        <v>2383</v>
      </c>
      <c r="F2122" s="269" t="s">
        <v>2875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2257</v>
      </c>
      <c r="E2123" s="292" t="s">
        <v>2177</v>
      </c>
      <c r="F2123" s="269" t="s">
        <v>1463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1721</v>
      </c>
      <c r="E2124" s="292" t="s">
        <v>4127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1746</v>
      </c>
      <c r="E2125" s="292" t="s">
        <v>2298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1540</v>
      </c>
      <c r="E2126" s="292" t="s">
        <v>2090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1540</v>
      </c>
      <c r="E2127" s="292" t="s">
        <v>1548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1579</v>
      </c>
      <c r="E2128" s="292" t="s">
        <v>4181</v>
      </c>
      <c r="F2128" s="269" t="s">
        <v>1200</v>
      </c>
      <c r="G2128" s="265">
        <v>200000</v>
      </c>
      <c r="H2128" s="269">
        <v>1</v>
      </c>
      <c r="K2128" s="265">
        <v>200000</v>
      </c>
    </row>
    <row r="2129" spans="1:12" x14ac:dyDescent="0.3">
      <c r="A2129" s="58">
        <v>2129</v>
      </c>
      <c r="B2129" s="264">
        <v>45961</v>
      </c>
      <c r="C2129" s="292" t="s">
        <v>1305</v>
      </c>
      <c r="E2129" s="292" t="s">
        <v>4188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1820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1448</v>
      </c>
      <c r="E2131" s="292" t="s">
        <v>4189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1930</v>
      </c>
      <c r="E2132" s="292" t="s">
        <v>3940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2257</v>
      </c>
      <c r="E2133" s="292" t="s">
        <v>4190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4172</v>
      </c>
      <c r="E2134" s="292" t="s">
        <v>4191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4192</v>
      </c>
      <c r="L2135" s="265">
        <v>-2305000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/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45961</v>
      </c>
      <c r="B3" s="235" t="s">
        <v>1126</v>
      </c>
      <c r="C3" s="286">
        <f>SUMIF($B:$B,A3,I:I)</f>
        <v>7515000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11639002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149042500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1746</v>
      </c>
      <c r="D9" s="112" t="s">
        <v>3781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1540</v>
      </c>
      <c r="D10" s="112" t="s">
        <v>3782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2761</v>
      </c>
      <c r="D11" s="112" t="s">
        <v>3783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1846</v>
      </c>
      <c r="D12" s="112" t="s">
        <v>3463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1846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1746</v>
      </c>
      <c r="D14" s="112" t="s">
        <v>2191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1889</v>
      </c>
      <c r="D15" s="112" t="s">
        <v>1202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1202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1889</v>
      </c>
      <c r="D17" s="112" t="s">
        <v>3655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1869</v>
      </c>
      <c r="D18" s="112" t="s">
        <v>3814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3816</v>
      </c>
      <c r="D19" s="112" t="s">
        <v>3463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3816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3818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1721</v>
      </c>
      <c r="D22" s="112" t="s">
        <v>2187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1721</v>
      </c>
      <c r="D23" s="112" t="s">
        <v>2190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1789</v>
      </c>
      <c r="D24" s="112" t="s">
        <v>1202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1398</v>
      </c>
      <c r="D25" s="112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1398</v>
      </c>
      <c r="D26" s="112" t="s">
        <v>3825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3819</v>
      </c>
      <c r="D27" s="112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2144</v>
      </c>
      <c r="D28" s="112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2144</v>
      </c>
      <c r="D29" s="112" t="s">
        <v>3832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3819</v>
      </c>
      <c r="D30" s="112" t="s">
        <v>3833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1721</v>
      </c>
      <c r="D31" s="112" t="s">
        <v>3834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1478</v>
      </c>
      <c r="D32" s="112" t="s">
        <v>3835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1869</v>
      </c>
      <c r="D33" s="112" t="s">
        <v>3836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2144</v>
      </c>
      <c r="D34" s="113" t="s">
        <v>1548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1930</v>
      </c>
      <c r="D35" s="113" t="s">
        <v>3123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1930</v>
      </c>
      <c r="D36" s="113" t="s">
        <v>2036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2622</v>
      </c>
      <c r="D37" s="113" t="s">
        <v>3842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1579</v>
      </c>
      <c r="D38" s="113" t="s">
        <v>2188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1443</v>
      </c>
      <c r="D39" s="113" t="s">
        <v>1984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1305</v>
      </c>
      <c r="D40" s="113" t="s">
        <v>2177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3850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1746</v>
      </c>
      <c r="D42" s="112" t="s">
        <v>2919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1746</v>
      </c>
      <c r="D43" s="112" t="s">
        <v>2918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1746</v>
      </c>
      <c r="D44" s="112" t="s">
        <v>3852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1576</v>
      </c>
      <c r="D45" s="112" t="s">
        <v>2798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1576</v>
      </c>
      <c r="D46" s="112" t="s">
        <v>1758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1576</v>
      </c>
      <c r="D47" s="113" t="s">
        <v>3629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1377</v>
      </c>
      <c r="D48" s="113" t="s">
        <v>4035</v>
      </c>
      <c r="F48" s="120">
        <v>250000</v>
      </c>
      <c r="G48" s="85">
        <v>1</v>
      </c>
      <c r="I48" s="80">
        <v>0</v>
      </c>
    </row>
    <row r="49" spans="1:10" ht="18" customHeight="1" x14ac:dyDescent="0.3">
      <c r="A49" s="82">
        <v>1856</v>
      </c>
      <c r="B49" s="93">
        <v>45940</v>
      </c>
      <c r="C49" s="83" t="s">
        <v>1372</v>
      </c>
      <c r="D49" s="113" t="s">
        <v>2179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1372</v>
      </c>
      <c r="D50" s="113" t="s">
        <v>2180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2026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3396</v>
      </c>
      <c r="D52" s="113" t="s">
        <v>2179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3396</v>
      </c>
      <c r="D53" s="113" t="s">
        <v>2180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1172</v>
      </c>
      <c r="D54" s="113" t="s">
        <v>1742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2485</v>
      </c>
      <c r="D55" s="113" t="s">
        <v>1716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3816</v>
      </c>
      <c r="D56" s="113" t="s">
        <v>3463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1597</v>
      </c>
      <c r="D57" s="113" t="s">
        <v>1202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1531</v>
      </c>
      <c r="D58" s="113" t="s">
        <v>1202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1531</v>
      </c>
      <c r="D59" s="113" t="s">
        <v>2839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2144</v>
      </c>
      <c r="D60" s="113" t="s">
        <v>3867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1597</v>
      </c>
      <c r="D61" s="113" t="s">
        <v>3868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3816</v>
      </c>
      <c r="D62" s="113" t="s">
        <v>3869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2485</v>
      </c>
      <c r="D63" s="113" t="s">
        <v>3870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3396</v>
      </c>
      <c r="D64" s="113" t="s">
        <v>3871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1789</v>
      </c>
      <c r="D65" s="113" t="s">
        <v>1518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2997</v>
      </c>
      <c r="D66" s="113" t="s">
        <v>1202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1721</v>
      </c>
      <c r="D67" s="113" t="s">
        <v>1743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1377</v>
      </c>
      <c r="D68" s="113" t="s">
        <v>2179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1531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1398</v>
      </c>
      <c r="D70" s="113" t="s">
        <v>1742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1377</v>
      </c>
      <c r="D71" s="113" t="s">
        <v>3878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3884</v>
      </c>
      <c r="D72" s="113" t="s">
        <v>3463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1579</v>
      </c>
      <c r="D73" s="113" t="s">
        <v>2412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2617</v>
      </c>
      <c r="D74" s="113" t="s">
        <v>3463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2617</v>
      </c>
      <c r="D75" s="113" t="s">
        <v>3339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3890</v>
      </c>
      <c r="D76" s="113" t="s">
        <v>2182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3890</v>
      </c>
      <c r="D77" s="113" t="s">
        <v>2180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3267</v>
      </c>
      <c r="D78" s="113" t="s">
        <v>1560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2617</v>
      </c>
      <c r="D79" s="113" t="s">
        <v>3894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3890</v>
      </c>
      <c r="D80" s="113" t="s">
        <v>3896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3898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1172</v>
      </c>
      <c r="D82" s="113" t="s">
        <v>3899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3267</v>
      </c>
      <c r="D83" s="113" t="s">
        <v>3900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3884</v>
      </c>
      <c r="D84" s="113" t="s">
        <v>3902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1866</v>
      </c>
      <c r="D85" s="113" t="s">
        <v>1742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1553</v>
      </c>
      <c r="D86" s="113" t="s">
        <v>1202</v>
      </c>
      <c r="F86" s="80">
        <v>1200000</v>
      </c>
      <c r="G86" s="85">
        <v>1</v>
      </c>
      <c r="I86" s="80">
        <v>1200000</v>
      </c>
    </row>
    <row r="87" spans="1:10" ht="18" customHeight="1" x14ac:dyDescent="0.3">
      <c r="A87" s="82">
        <v>1894</v>
      </c>
      <c r="B87" s="93">
        <v>45943</v>
      </c>
      <c r="C87" s="83" t="s">
        <v>1553</v>
      </c>
      <c r="D87" s="113" t="s">
        <v>1495</v>
      </c>
      <c r="F87" s="120">
        <v>350000</v>
      </c>
      <c r="G87" s="85">
        <v>1</v>
      </c>
      <c r="I87" s="80">
        <v>350000</v>
      </c>
    </row>
    <row r="88" spans="1:10" ht="18" customHeight="1" x14ac:dyDescent="0.3">
      <c r="A88" s="82">
        <v>1895</v>
      </c>
      <c r="B88" s="93">
        <v>45944</v>
      </c>
      <c r="C88" s="83" t="s">
        <v>1466</v>
      </c>
      <c r="D88" s="113" t="s">
        <v>1799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1398</v>
      </c>
      <c r="D89" s="113" t="s">
        <v>1548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1398</v>
      </c>
      <c r="D90" s="113" t="s">
        <v>2090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1398</v>
      </c>
      <c r="D91" s="113" t="s">
        <v>3909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1398</v>
      </c>
      <c r="D92" s="113" t="s">
        <v>3045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3911</v>
      </c>
      <c r="D93" s="113" t="s">
        <v>1202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1585</v>
      </c>
      <c r="D94" s="113" t="s">
        <v>2912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1804</v>
      </c>
      <c r="D95" s="113" t="s">
        <v>3220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1553</v>
      </c>
      <c r="D96" s="113" t="s">
        <v>1265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1579</v>
      </c>
      <c r="D97" s="113" t="s">
        <v>3463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1579</v>
      </c>
      <c r="D98" s="113" t="s">
        <v>2187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3114</v>
      </c>
      <c r="D99" s="113" t="s">
        <v>2196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2997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1398</v>
      </c>
      <c r="D101" s="113" t="s">
        <v>3922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1930</v>
      </c>
      <c r="D102" s="113" t="s">
        <v>2201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1930</v>
      </c>
      <c r="D103" s="113" t="s">
        <v>2180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1466</v>
      </c>
      <c r="D104" s="113" t="s">
        <v>2201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1466</v>
      </c>
      <c r="D105" s="113" t="s">
        <v>2180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1466</v>
      </c>
      <c r="D106" s="113" t="s">
        <v>2679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2112</v>
      </c>
      <c r="D107" s="113" t="s">
        <v>1742</v>
      </c>
      <c r="F107" s="80">
        <v>1100000</v>
      </c>
      <c r="G107" s="120">
        <v>1</v>
      </c>
      <c r="H107" s="126" t="s">
        <v>3519</v>
      </c>
      <c r="I107" s="80">
        <v>1210000</v>
      </c>
    </row>
    <row r="108" spans="1:10" ht="18" customHeight="1" x14ac:dyDescent="0.3">
      <c r="A108" s="82">
        <v>1916</v>
      </c>
      <c r="B108" s="93">
        <v>45945</v>
      </c>
      <c r="C108" s="83" t="s">
        <v>2112</v>
      </c>
      <c r="D108" s="113" t="s">
        <v>3050</v>
      </c>
      <c r="F108" s="80">
        <v>1000000</v>
      </c>
      <c r="G108" s="120">
        <v>1</v>
      </c>
      <c r="H108" s="126" t="s">
        <v>4029</v>
      </c>
      <c r="I108" s="80">
        <v>1100000</v>
      </c>
    </row>
    <row r="109" spans="1:10" ht="18" customHeight="1" x14ac:dyDescent="0.3">
      <c r="A109" s="82">
        <v>1917</v>
      </c>
      <c r="B109" s="93">
        <v>45945</v>
      </c>
      <c r="C109" s="83" t="s">
        <v>3928</v>
      </c>
      <c r="D109" s="113" t="s">
        <v>1742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1789</v>
      </c>
      <c r="D110" s="113" t="s">
        <v>1742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1789</v>
      </c>
      <c r="D111" s="113" t="s">
        <v>1518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1742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1493</v>
      </c>
      <c r="D113" s="113" t="s">
        <v>1495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1448</v>
      </c>
      <c r="D114" s="113" t="s">
        <v>3463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1448</v>
      </c>
      <c r="D115" s="113" t="s">
        <v>3936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1448</v>
      </c>
      <c r="D116" s="113" t="s">
        <v>2189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1448</v>
      </c>
      <c r="D117" s="113" t="s">
        <v>2191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1448</v>
      </c>
      <c r="D118" s="113" t="s">
        <v>2190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1866</v>
      </c>
      <c r="D119" s="113" t="s">
        <v>3939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1930</v>
      </c>
      <c r="D120" s="113" t="s">
        <v>3940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3928</v>
      </c>
      <c r="D121" s="113" t="s">
        <v>3941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1472</v>
      </c>
      <c r="D122" s="113" t="s">
        <v>3463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1484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1597</v>
      </c>
      <c r="D124" s="113" t="s">
        <v>1202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3942</v>
      </c>
      <c r="D125" s="113" t="s">
        <v>2195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3816</v>
      </c>
      <c r="D126" s="113" t="s">
        <v>1742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1789</v>
      </c>
      <c r="D127" s="113" t="s">
        <v>3954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1484</v>
      </c>
      <c r="D128" s="113" t="s">
        <v>3956</v>
      </c>
      <c r="J128" s="80">
        <v>-1750000</v>
      </c>
    </row>
    <row r="129" spans="1:10" ht="18" customHeight="1" x14ac:dyDescent="0.3">
      <c r="A129" s="82">
        <v>1937</v>
      </c>
      <c r="B129" s="93">
        <v>45946</v>
      </c>
      <c r="C129" s="83" t="s">
        <v>1597</v>
      </c>
      <c r="D129" s="113" t="s">
        <v>3868</v>
      </c>
      <c r="J129" s="80">
        <v>-1000000</v>
      </c>
    </row>
    <row r="130" spans="1:10" ht="18" customHeight="1" x14ac:dyDescent="0.3">
      <c r="A130" s="82">
        <v>1938</v>
      </c>
      <c r="B130" s="93">
        <v>45946</v>
      </c>
      <c r="C130" s="83" t="s">
        <v>3816</v>
      </c>
      <c r="D130" s="113" t="s">
        <v>3957</v>
      </c>
      <c r="J130" s="80">
        <v>-715000</v>
      </c>
    </row>
    <row r="131" spans="1:10" ht="18" customHeight="1" x14ac:dyDescent="0.3">
      <c r="A131" s="82">
        <v>1939</v>
      </c>
      <c r="B131" s="93">
        <v>45946</v>
      </c>
      <c r="C131" s="83" t="s">
        <v>3942</v>
      </c>
      <c r="D131" s="113" t="s">
        <v>3958</v>
      </c>
      <c r="J131" s="80">
        <v>-1600000</v>
      </c>
    </row>
    <row r="132" spans="1:10" ht="18" customHeight="1" x14ac:dyDescent="0.3">
      <c r="A132" s="82">
        <v>1940</v>
      </c>
      <c r="B132" s="93">
        <v>45946</v>
      </c>
      <c r="C132" s="83" t="s">
        <v>1930</v>
      </c>
      <c r="D132" s="113" t="s">
        <v>3940</v>
      </c>
      <c r="J132" s="80">
        <v>-1950000</v>
      </c>
    </row>
    <row r="133" spans="1:10" ht="18" customHeight="1" x14ac:dyDescent="0.3">
      <c r="A133" s="82">
        <v>1941</v>
      </c>
      <c r="B133" s="93">
        <v>45947</v>
      </c>
      <c r="C133" s="83" t="s">
        <v>1468</v>
      </c>
      <c r="D133" s="113" t="s">
        <v>1202</v>
      </c>
      <c r="F133" s="120">
        <v>1300000</v>
      </c>
      <c r="G133" s="85">
        <v>1</v>
      </c>
      <c r="I133" s="80">
        <v>1300000</v>
      </c>
    </row>
    <row r="134" spans="1:10" ht="18" customHeight="1" x14ac:dyDescent="0.3">
      <c r="A134" s="82">
        <v>1942</v>
      </c>
      <c r="B134" s="93">
        <v>45947</v>
      </c>
      <c r="C134" s="83" t="s">
        <v>1468</v>
      </c>
      <c r="D134" s="113" t="s">
        <v>3959</v>
      </c>
      <c r="F134" s="120">
        <v>200000</v>
      </c>
      <c r="G134" s="85">
        <v>1</v>
      </c>
      <c r="I134" s="80">
        <v>200000</v>
      </c>
    </row>
    <row r="135" spans="1:10" ht="18" customHeight="1" x14ac:dyDescent="0.3">
      <c r="A135" s="82">
        <v>1943</v>
      </c>
      <c r="B135" s="93">
        <v>45947</v>
      </c>
      <c r="C135" s="83" t="s">
        <v>1147</v>
      </c>
      <c r="D135" s="113" t="s">
        <v>2193</v>
      </c>
      <c r="F135" s="120">
        <v>600000</v>
      </c>
      <c r="G135" s="85">
        <v>1</v>
      </c>
      <c r="I135" s="80">
        <v>600000</v>
      </c>
    </row>
    <row r="136" spans="1:10" ht="18" customHeight="1" x14ac:dyDescent="0.3">
      <c r="A136" s="82">
        <v>1944</v>
      </c>
      <c r="B136" s="93">
        <v>45947</v>
      </c>
      <c r="C136" s="83" t="s">
        <v>1147</v>
      </c>
      <c r="D136" s="113" t="s">
        <v>2191</v>
      </c>
      <c r="F136" s="120">
        <v>10000</v>
      </c>
      <c r="G136" s="85">
        <v>2</v>
      </c>
      <c r="I136" s="80">
        <v>20000</v>
      </c>
    </row>
    <row r="137" spans="1:10" ht="18" customHeight="1" x14ac:dyDescent="0.3">
      <c r="A137" s="82">
        <v>1945</v>
      </c>
      <c r="B137" s="93">
        <v>45947</v>
      </c>
      <c r="C137" s="83" t="s">
        <v>1147</v>
      </c>
      <c r="D137" s="113" t="s">
        <v>3961</v>
      </c>
      <c r="F137" s="120">
        <v>400000</v>
      </c>
      <c r="G137" s="85">
        <v>1</v>
      </c>
      <c r="I137" s="80">
        <v>400000</v>
      </c>
    </row>
    <row r="138" spans="1:10" ht="18" customHeight="1" x14ac:dyDescent="0.3">
      <c r="A138" s="82">
        <v>1946</v>
      </c>
      <c r="B138" s="93">
        <v>45947</v>
      </c>
      <c r="C138" s="83" t="s">
        <v>1147</v>
      </c>
      <c r="D138" s="113" t="s">
        <v>1716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1947</v>
      </c>
      <c r="B139" s="93">
        <v>45948</v>
      </c>
      <c r="C139" s="83" t="s">
        <v>1579</v>
      </c>
      <c r="D139" s="113" t="s">
        <v>3963</v>
      </c>
      <c r="J139" s="80">
        <v>-1000000</v>
      </c>
    </row>
    <row r="140" spans="1:10" ht="18" customHeight="1" x14ac:dyDescent="0.3">
      <c r="A140" s="82">
        <v>1948</v>
      </c>
      <c r="B140" s="93">
        <v>45948</v>
      </c>
      <c r="C140" s="83" t="s">
        <v>1789</v>
      </c>
      <c r="D140" s="113" t="s">
        <v>1828</v>
      </c>
      <c r="F140" s="120">
        <v>2500000</v>
      </c>
      <c r="G140" s="85">
        <v>1</v>
      </c>
      <c r="I140" s="80">
        <v>2500000</v>
      </c>
    </row>
    <row r="141" spans="1:10" ht="18" customHeight="1" x14ac:dyDescent="0.3">
      <c r="A141" s="82">
        <v>1949</v>
      </c>
      <c r="B141" s="93">
        <v>45948</v>
      </c>
      <c r="C141" s="83" t="s">
        <v>1976</v>
      </c>
      <c r="D141" s="113" t="s">
        <v>1202</v>
      </c>
      <c r="F141" s="120">
        <v>1200000</v>
      </c>
      <c r="G141" s="85">
        <v>1</v>
      </c>
      <c r="H141" s="126">
        <v>120000</v>
      </c>
      <c r="I141" s="80">
        <v>1320000</v>
      </c>
    </row>
    <row r="142" spans="1:10" ht="18" customHeight="1" x14ac:dyDescent="0.3">
      <c r="A142" s="82">
        <v>1950</v>
      </c>
      <c r="B142" s="93">
        <v>45948</v>
      </c>
      <c r="C142" s="83" t="s">
        <v>1976</v>
      </c>
      <c r="D142" s="113" t="s">
        <v>1125</v>
      </c>
      <c r="J142" s="80">
        <v>-1320000</v>
      </c>
    </row>
    <row r="143" spans="1:10" ht="18" customHeight="1" x14ac:dyDescent="0.3">
      <c r="A143" s="82">
        <v>1951</v>
      </c>
      <c r="B143" s="93">
        <v>45950</v>
      </c>
      <c r="C143" s="83" t="s">
        <v>1869</v>
      </c>
      <c r="D143" s="113" t="s">
        <v>1915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1952</v>
      </c>
      <c r="B144" s="93">
        <v>45950</v>
      </c>
      <c r="C144" s="83" t="s">
        <v>3967</v>
      </c>
      <c r="D144" s="113" t="s">
        <v>1854</v>
      </c>
      <c r="F144" s="120">
        <v>150000</v>
      </c>
      <c r="G144" s="85">
        <v>1</v>
      </c>
      <c r="I144" s="80">
        <v>150000</v>
      </c>
    </row>
    <row r="145" spans="1:10" ht="18" customHeight="1" x14ac:dyDescent="0.3">
      <c r="A145" s="82">
        <v>1953</v>
      </c>
      <c r="B145" s="93">
        <v>45950</v>
      </c>
      <c r="C145" s="83" t="s">
        <v>3967</v>
      </c>
      <c r="D145" s="113" t="s">
        <v>1716</v>
      </c>
      <c r="F145" s="120">
        <v>150000</v>
      </c>
      <c r="G145" s="85">
        <v>1</v>
      </c>
      <c r="I145" s="80">
        <v>150000</v>
      </c>
    </row>
    <row r="146" spans="1:10" ht="18" customHeight="1" x14ac:dyDescent="0.3">
      <c r="A146" s="82">
        <v>1954</v>
      </c>
      <c r="B146" s="93">
        <v>45950</v>
      </c>
      <c r="C146" s="83" t="s">
        <v>2609</v>
      </c>
      <c r="D146" s="113" t="s">
        <v>1716</v>
      </c>
      <c r="F146" s="120">
        <v>200000</v>
      </c>
      <c r="G146" s="85">
        <v>1</v>
      </c>
      <c r="H146" s="126">
        <v>20000</v>
      </c>
      <c r="I146" s="80">
        <v>220000</v>
      </c>
    </row>
    <row r="147" spans="1:10" ht="18" customHeight="1" x14ac:dyDescent="0.3">
      <c r="A147" s="82">
        <v>1955</v>
      </c>
      <c r="B147" s="93">
        <v>45950</v>
      </c>
      <c r="C147" s="83" t="s">
        <v>1579</v>
      </c>
      <c r="D147" s="113" t="s">
        <v>3972</v>
      </c>
      <c r="F147" s="120">
        <v>100000</v>
      </c>
      <c r="G147" s="85">
        <v>1</v>
      </c>
      <c r="H147" s="126">
        <v>10000</v>
      </c>
      <c r="I147" s="80">
        <v>110000</v>
      </c>
    </row>
    <row r="148" spans="1:10" ht="18" customHeight="1" x14ac:dyDescent="0.3">
      <c r="A148" s="82">
        <v>1956</v>
      </c>
      <c r="B148" s="93">
        <v>45950</v>
      </c>
      <c r="C148" s="83" t="s">
        <v>3967</v>
      </c>
      <c r="D148" s="113" t="s">
        <v>1125</v>
      </c>
      <c r="J148" s="80">
        <v>-300000</v>
      </c>
    </row>
    <row r="149" spans="1:10" ht="18" customHeight="1" x14ac:dyDescent="0.3">
      <c r="A149" s="82">
        <v>1957</v>
      </c>
      <c r="B149" s="93">
        <v>45950</v>
      </c>
      <c r="C149" s="83" t="s">
        <v>1869</v>
      </c>
      <c r="D149" s="113" t="s">
        <v>1125</v>
      </c>
      <c r="J149" s="80">
        <v>-1650000</v>
      </c>
    </row>
    <row r="150" spans="1:10" ht="18" customHeight="1" x14ac:dyDescent="0.3">
      <c r="A150" s="82">
        <v>1958</v>
      </c>
      <c r="B150" s="93">
        <v>45950</v>
      </c>
      <c r="C150" s="83" t="s">
        <v>3911</v>
      </c>
      <c r="D150" s="113" t="s">
        <v>1125</v>
      </c>
      <c r="J150" s="80">
        <v>-1320000</v>
      </c>
    </row>
    <row r="151" spans="1:10" ht="18" customHeight="1" x14ac:dyDescent="0.3">
      <c r="A151" s="82">
        <v>1959</v>
      </c>
      <c r="B151" s="93">
        <v>45950</v>
      </c>
      <c r="C151" s="83" t="s">
        <v>2409</v>
      </c>
      <c r="D151" s="113" t="s">
        <v>2196</v>
      </c>
      <c r="F151" s="120">
        <v>1100000</v>
      </c>
      <c r="G151" s="85">
        <v>1</v>
      </c>
      <c r="H151" s="126">
        <v>110000</v>
      </c>
      <c r="I151" s="80">
        <v>1210000</v>
      </c>
    </row>
    <row r="152" spans="1:10" ht="18" customHeight="1" x14ac:dyDescent="0.3">
      <c r="A152" s="82">
        <v>1960</v>
      </c>
      <c r="B152" s="93">
        <v>45950</v>
      </c>
      <c r="C152" s="83" t="s">
        <v>3976</v>
      </c>
      <c r="D152" s="113" t="s">
        <v>3975</v>
      </c>
      <c r="F152" s="120">
        <v>835000</v>
      </c>
      <c r="G152" s="85">
        <v>1</v>
      </c>
      <c r="I152" s="80">
        <v>835000</v>
      </c>
    </row>
    <row r="153" spans="1:10" ht="18" customHeight="1" x14ac:dyDescent="0.3">
      <c r="A153" s="82">
        <v>1961</v>
      </c>
      <c r="B153" s="93">
        <v>45950</v>
      </c>
      <c r="C153" s="83" t="s">
        <v>1398</v>
      </c>
      <c r="D153" s="113" t="s">
        <v>1742</v>
      </c>
      <c r="F153" s="120">
        <v>450000</v>
      </c>
      <c r="G153" s="85">
        <v>1</v>
      </c>
      <c r="I153" s="80">
        <v>450000</v>
      </c>
    </row>
    <row r="154" spans="1:10" ht="18" customHeight="1" x14ac:dyDescent="0.3">
      <c r="A154" s="82">
        <v>1962</v>
      </c>
      <c r="B154" s="93">
        <v>45950</v>
      </c>
      <c r="C154" s="83" t="s">
        <v>1398</v>
      </c>
      <c r="D154" s="113" t="s">
        <v>1265</v>
      </c>
      <c r="F154" s="120">
        <v>50000</v>
      </c>
      <c r="G154" s="85">
        <v>1</v>
      </c>
      <c r="I154" s="80">
        <v>50000</v>
      </c>
    </row>
    <row r="155" spans="1:10" ht="18" customHeight="1" x14ac:dyDescent="0.3">
      <c r="A155" s="82">
        <v>1963</v>
      </c>
      <c r="B155" s="93">
        <v>45951</v>
      </c>
      <c r="C155" s="83" t="s">
        <v>1579</v>
      </c>
      <c r="D155" s="113" t="s">
        <v>1125</v>
      </c>
      <c r="J155" s="80">
        <v>-500000</v>
      </c>
    </row>
    <row r="156" spans="1:10" ht="18" customHeight="1" x14ac:dyDescent="0.3">
      <c r="A156" s="82">
        <v>1964</v>
      </c>
      <c r="B156" s="93">
        <v>45951</v>
      </c>
      <c r="C156" s="83" t="s">
        <v>1493</v>
      </c>
      <c r="D156" s="113" t="s">
        <v>1125</v>
      </c>
      <c r="J156" s="80">
        <v>-700000</v>
      </c>
    </row>
    <row r="157" spans="1:10" ht="18" customHeight="1" x14ac:dyDescent="0.3">
      <c r="A157" s="82">
        <v>1965</v>
      </c>
      <c r="B157" s="93">
        <v>45951</v>
      </c>
      <c r="C157" s="83" t="s">
        <v>1448</v>
      </c>
      <c r="D157" s="113" t="s">
        <v>3979</v>
      </c>
      <c r="J157" s="80">
        <v>-1376500</v>
      </c>
    </row>
    <row r="158" spans="1:10" ht="18" customHeight="1" x14ac:dyDescent="0.3">
      <c r="A158" s="82">
        <v>1966</v>
      </c>
      <c r="B158" s="93">
        <v>45951</v>
      </c>
      <c r="C158" s="83" t="s">
        <v>1472</v>
      </c>
      <c r="D158" s="113" t="s">
        <v>1858</v>
      </c>
      <c r="F158" s="120">
        <v>1100000</v>
      </c>
      <c r="G158" s="85">
        <v>1</v>
      </c>
      <c r="I158" s="80">
        <v>1100000</v>
      </c>
    </row>
    <row r="159" spans="1:10" ht="18" customHeight="1" x14ac:dyDescent="0.3">
      <c r="A159" s="82">
        <v>1967</v>
      </c>
      <c r="B159" s="93">
        <v>45951</v>
      </c>
      <c r="C159" s="83" t="s">
        <v>3396</v>
      </c>
      <c r="D159" s="113" t="s">
        <v>1858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1968</v>
      </c>
      <c r="B160" s="93">
        <v>45951</v>
      </c>
      <c r="C160" s="83" t="s">
        <v>987</v>
      </c>
      <c r="D160" s="113" t="s">
        <v>2026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1969</v>
      </c>
      <c r="B161" s="93">
        <v>45951</v>
      </c>
      <c r="C161" s="83" t="s">
        <v>3200</v>
      </c>
      <c r="D161" s="113" t="s">
        <v>1580</v>
      </c>
      <c r="F161" s="120">
        <v>1100000</v>
      </c>
      <c r="G161" s="85">
        <v>1</v>
      </c>
      <c r="I161" s="80">
        <v>1100000</v>
      </c>
    </row>
    <row r="162" spans="1:10" ht="18" customHeight="1" x14ac:dyDescent="0.3">
      <c r="A162" s="82">
        <v>1970</v>
      </c>
      <c r="B162" s="93">
        <v>45951</v>
      </c>
      <c r="C162" s="83" t="s">
        <v>1746</v>
      </c>
      <c r="D162" s="113" t="s">
        <v>3986</v>
      </c>
      <c r="F162" s="120">
        <v>1800000</v>
      </c>
      <c r="G162" s="85">
        <v>1</v>
      </c>
      <c r="H162" s="126">
        <v>180000</v>
      </c>
      <c r="I162" s="80">
        <v>1980000</v>
      </c>
    </row>
    <row r="163" spans="1:10" ht="18" customHeight="1" x14ac:dyDescent="0.3">
      <c r="A163" s="82">
        <v>1971</v>
      </c>
      <c r="B163" s="93">
        <v>45951</v>
      </c>
      <c r="C163" s="83" t="s">
        <v>1448</v>
      </c>
      <c r="D163" s="113" t="s">
        <v>1202</v>
      </c>
      <c r="F163" s="120">
        <v>1200000</v>
      </c>
      <c r="G163" s="85">
        <v>1</v>
      </c>
      <c r="H163" s="126">
        <v>120000</v>
      </c>
      <c r="I163" s="80">
        <v>1320000</v>
      </c>
    </row>
    <row r="164" spans="1:10" ht="18" customHeight="1" x14ac:dyDescent="0.3">
      <c r="A164" s="82">
        <v>1972</v>
      </c>
      <c r="B164" s="93">
        <v>45951</v>
      </c>
      <c r="C164" s="83" t="s">
        <v>3928</v>
      </c>
      <c r="D164" s="113" t="s">
        <v>1202</v>
      </c>
      <c r="F164" s="120">
        <v>1200000</v>
      </c>
      <c r="G164" s="85">
        <v>1</v>
      </c>
      <c r="I164" s="80">
        <v>1200000</v>
      </c>
    </row>
    <row r="165" spans="1:10" ht="18" customHeight="1" x14ac:dyDescent="0.3">
      <c r="A165" s="82">
        <v>1973</v>
      </c>
      <c r="B165" s="93">
        <v>45951</v>
      </c>
      <c r="C165" s="83" t="s">
        <v>3928</v>
      </c>
      <c r="D165" s="113" t="s">
        <v>1495</v>
      </c>
      <c r="F165" s="120">
        <v>350000</v>
      </c>
      <c r="G165" s="85">
        <v>1</v>
      </c>
      <c r="I165" s="80">
        <v>350000</v>
      </c>
    </row>
    <row r="166" spans="1:10" ht="18" customHeight="1" x14ac:dyDescent="0.3">
      <c r="A166" s="82">
        <v>1974</v>
      </c>
      <c r="B166" s="93">
        <v>45951</v>
      </c>
      <c r="C166" s="83" t="s">
        <v>3928</v>
      </c>
      <c r="D166" s="113" t="s">
        <v>1518</v>
      </c>
      <c r="F166" s="120">
        <v>20000</v>
      </c>
      <c r="G166" s="85">
        <v>1</v>
      </c>
      <c r="I166" s="80">
        <v>20000</v>
      </c>
    </row>
    <row r="167" spans="1:10" ht="18" customHeight="1" x14ac:dyDescent="0.3">
      <c r="A167" s="82">
        <v>1975</v>
      </c>
      <c r="B167" s="93">
        <v>45951</v>
      </c>
      <c r="C167" s="83" t="s">
        <v>1398</v>
      </c>
      <c r="D167" s="113" t="s">
        <v>1742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1976</v>
      </c>
      <c r="B168" s="93">
        <v>45951</v>
      </c>
      <c r="C168" s="83" t="s">
        <v>1866</v>
      </c>
      <c r="D168" s="113" t="s">
        <v>1202</v>
      </c>
      <c r="F168" s="120">
        <v>1200000</v>
      </c>
      <c r="G168" s="85">
        <v>1</v>
      </c>
      <c r="I168" s="80">
        <v>1200000</v>
      </c>
    </row>
    <row r="169" spans="1:10" ht="18" customHeight="1" x14ac:dyDescent="0.3">
      <c r="A169" s="82">
        <v>1977</v>
      </c>
      <c r="B169" s="93">
        <v>45951</v>
      </c>
      <c r="C169" s="83" t="s">
        <v>3976</v>
      </c>
      <c r="D169" s="113" t="s">
        <v>1125</v>
      </c>
      <c r="J169" s="80">
        <v>-835000</v>
      </c>
    </row>
    <row r="170" spans="1:10" ht="18" customHeight="1" x14ac:dyDescent="0.3">
      <c r="A170" s="82">
        <v>1978</v>
      </c>
      <c r="B170" s="93">
        <v>45951</v>
      </c>
      <c r="C170" s="83" t="s">
        <v>1448</v>
      </c>
      <c r="D170" s="113" t="s">
        <v>1125</v>
      </c>
      <c r="J170" s="80">
        <v>-1320000</v>
      </c>
    </row>
    <row r="171" spans="1:10" ht="18" customHeight="1" x14ac:dyDescent="0.3">
      <c r="A171" s="82">
        <v>1979</v>
      </c>
      <c r="B171" s="93">
        <v>45951</v>
      </c>
      <c r="C171" s="83" t="s">
        <v>3997</v>
      </c>
      <c r="D171" s="113" t="s">
        <v>1742</v>
      </c>
      <c r="F171" s="120">
        <v>650000</v>
      </c>
      <c r="G171" s="85">
        <v>1</v>
      </c>
      <c r="I171" s="80">
        <v>650000</v>
      </c>
    </row>
    <row r="172" spans="1:10" ht="18" customHeight="1" x14ac:dyDescent="0.3">
      <c r="A172" s="82">
        <v>1980</v>
      </c>
      <c r="B172" s="93">
        <v>45952</v>
      </c>
      <c r="C172" s="83" t="s">
        <v>3999</v>
      </c>
      <c r="D172" s="113" t="s">
        <v>2026</v>
      </c>
      <c r="F172" s="120">
        <v>1500000</v>
      </c>
      <c r="G172" s="85">
        <v>1</v>
      </c>
      <c r="I172" s="80">
        <v>1500000</v>
      </c>
    </row>
    <row r="173" spans="1:10" ht="18" customHeight="1" x14ac:dyDescent="0.3">
      <c r="A173" s="82">
        <v>1981</v>
      </c>
      <c r="B173" s="93">
        <v>45952</v>
      </c>
      <c r="C173" s="83" t="s">
        <v>1540</v>
      </c>
      <c r="D173" s="113" t="s">
        <v>1204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1982</v>
      </c>
      <c r="B174" s="93">
        <v>45952</v>
      </c>
      <c r="C174" s="83" t="s">
        <v>2557</v>
      </c>
      <c r="D174" s="113" t="s">
        <v>2177</v>
      </c>
      <c r="F174" s="120">
        <v>1500000</v>
      </c>
      <c r="G174" s="85">
        <v>1</v>
      </c>
      <c r="I174" s="80">
        <v>1500000</v>
      </c>
    </row>
    <row r="175" spans="1:10" ht="18" customHeight="1" x14ac:dyDescent="0.3">
      <c r="A175" s="82">
        <v>1983</v>
      </c>
      <c r="B175" s="93">
        <v>45952</v>
      </c>
      <c r="C175" s="83" t="s">
        <v>3150</v>
      </c>
      <c r="D175" s="113" t="s">
        <v>1202</v>
      </c>
      <c r="F175" s="120">
        <v>800000</v>
      </c>
      <c r="G175" s="85">
        <v>1</v>
      </c>
      <c r="I175" s="80">
        <v>800000</v>
      </c>
    </row>
    <row r="176" spans="1:10" ht="18" customHeight="1" x14ac:dyDescent="0.3">
      <c r="A176" s="82">
        <v>1984</v>
      </c>
      <c r="B176" s="93">
        <v>45952</v>
      </c>
      <c r="C176" s="83" t="s">
        <v>1721</v>
      </c>
      <c r="D176" s="113" t="s">
        <v>2177</v>
      </c>
      <c r="F176" s="120">
        <v>1500000</v>
      </c>
      <c r="G176" s="85">
        <v>1</v>
      </c>
      <c r="I176" s="80">
        <v>1500000</v>
      </c>
    </row>
    <row r="177" spans="1:10" ht="18" customHeight="1" x14ac:dyDescent="0.3">
      <c r="A177" s="82">
        <v>1985</v>
      </c>
      <c r="B177" s="93">
        <v>45952</v>
      </c>
      <c r="C177" s="83" t="s">
        <v>1721</v>
      </c>
      <c r="D177" s="113" t="s">
        <v>2918</v>
      </c>
      <c r="F177" s="120">
        <v>350000</v>
      </c>
      <c r="G177" s="85">
        <v>1</v>
      </c>
      <c r="I177" s="80">
        <v>350000</v>
      </c>
    </row>
    <row r="178" spans="1:10" ht="18" customHeight="1" x14ac:dyDescent="0.3">
      <c r="A178" s="82">
        <v>1986</v>
      </c>
      <c r="B178" s="93">
        <v>45952</v>
      </c>
      <c r="C178" s="83" t="s">
        <v>1147</v>
      </c>
      <c r="D178" s="113" t="s">
        <v>2193</v>
      </c>
      <c r="F178" s="120">
        <v>600000</v>
      </c>
      <c r="G178" s="85">
        <v>1</v>
      </c>
      <c r="I178" s="80">
        <v>600000</v>
      </c>
    </row>
    <row r="179" spans="1:10" ht="18" customHeight="1" x14ac:dyDescent="0.3">
      <c r="A179" s="82">
        <v>1987</v>
      </c>
      <c r="B179" s="93">
        <v>45952</v>
      </c>
      <c r="C179" s="83" t="s">
        <v>1147</v>
      </c>
      <c r="D179" s="113" t="s">
        <v>2191</v>
      </c>
      <c r="F179" s="120">
        <v>10000</v>
      </c>
      <c r="G179" s="85">
        <v>2</v>
      </c>
      <c r="I179" s="80">
        <v>20000</v>
      </c>
    </row>
    <row r="180" spans="1:10" ht="18" customHeight="1" x14ac:dyDescent="0.3">
      <c r="A180" s="82">
        <v>1988</v>
      </c>
      <c r="B180" s="93">
        <v>45952</v>
      </c>
      <c r="C180" s="83" t="s">
        <v>1147</v>
      </c>
      <c r="D180" s="113" t="s">
        <v>3961</v>
      </c>
      <c r="F180" s="120">
        <v>400000</v>
      </c>
      <c r="G180" s="85">
        <v>1</v>
      </c>
      <c r="I180" s="80">
        <v>400000</v>
      </c>
    </row>
    <row r="181" spans="1:10" ht="18" customHeight="1" x14ac:dyDescent="0.3">
      <c r="A181" s="82">
        <v>1989</v>
      </c>
      <c r="B181" s="93">
        <v>45952</v>
      </c>
      <c r="C181" s="83" t="s">
        <v>1147</v>
      </c>
      <c r="D181" s="113" t="s">
        <v>2190</v>
      </c>
      <c r="F181" s="120">
        <v>35000</v>
      </c>
      <c r="G181" s="85">
        <v>1</v>
      </c>
      <c r="I181" s="80">
        <v>35000</v>
      </c>
    </row>
    <row r="182" spans="1:10" ht="18" customHeight="1" x14ac:dyDescent="0.3">
      <c r="A182" s="82">
        <v>1990</v>
      </c>
      <c r="B182" s="93">
        <v>45952</v>
      </c>
      <c r="C182" s="83" t="s">
        <v>1147</v>
      </c>
      <c r="D182" s="113" t="s">
        <v>2189</v>
      </c>
      <c r="F182" s="120">
        <v>80000</v>
      </c>
      <c r="G182" s="85">
        <v>1</v>
      </c>
      <c r="I182" s="80">
        <v>80000</v>
      </c>
    </row>
    <row r="183" spans="1:10" ht="18" customHeight="1" x14ac:dyDescent="0.3">
      <c r="A183" s="82">
        <v>1991</v>
      </c>
      <c r="B183" s="93">
        <v>45952</v>
      </c>
      <c r="C183" s="83" t="s">
        <v>1466</v>
      </c>
      <c r="D183" s="113" t="s">
        <v>4013</v>
      </c>
      <c r="F183" s="120">
        <v>1300000</v>
      </c>
      <c r="G183" s="85">
        <v>1</v>
      </c>
      <c r="H183" s="126">
        <v>130000</v>
      </c>
      <c r="I183" s="80">
        <v>1430000</v>
      </c>
    </row>
    <row r="184" spans="1:10" ht="18" customHeight="1" x14ac:dyDescent="0.3">
      <c r="A184" s="82">
        <v>1992</v>
      </c>
      <c r="B184" s="93">
        <v>45952</v>
      </c>
      <c r="C184" s="83" t="s">
        <v>2409</v>
      </c>
      <c r="D184" s="113" t="s">
        <v>2196</v>
      </c>
      <c r="F184" s="120">
        <v>1100000</v>
      </c>
      <c r="G184" s="85">
        <v>1</v>
      </c>
      <c r="H184" s="126">
        <v>110000</v>
      </c>
      <c r="I184" s="80">
        <v>1210000</v>
      </c>
    </row>
    <row r="185" spans="1:10" ht="18" customHeight="1" x14ac:dyDescent="0.3">
      <c r="A185" s="82">
        <v>1993</v>
      </c>
      <c r="B185" s="93">
        <v>45952</v>
      </c>
      <c r="C185" s="83" t="s">
        <v>1576</v>
      </c>
      <c r="D185" s="113" t="s">
        <v>3041</v>
      </c>
      <c r="F185" s="120">
        <v>700000</v>
      </c>
      <c r="G185" s="85">
        <v>1</v>
      </c>
      <c r="H185" s="126">
        <v>70000</v>
      </c>
      <c r="I185" s="80">
        <v>770000</v>
      </c>
    </row>
    <row r="186" spans="1:10" ht="18" customHeight="1" x14ac:dyDescent="0.3">
      <c r="A186" s="82">
        <v>1994</v>
      </c>
      <c r="B186" s="93">
        <v>45952</v>
      </c>
      <c r="C186" s="83" t="s">
        <v>1869</v>
      </c>
      <c r="D186" s="113" t="s">
        <v>2187</v>
      </c>
      <c r="F186" s="120">
        <v>130000</v>
      </c>
      <c r="G186" s="85">
        <v>1</v>
      </c>
      <c r="H186" s="126">
        <v>13000</v>
      </c>
      <c r="I186" s="80">
        <v>143000</v>
      </c>
    </row>
    <row r="187" spans="1:10" ht="18" customHeight="1" x14ac:dyDescent="0.3">
      <c r="A187" s="82">
        <v>1995</v>
      </c>
      <c r="B187" s="93">
        <v>45953</v>
      </c>
      <c r="C187" s="83" t="s">
        <v>1398</v>
      </c>
      <c r="D187" s="113" t="s">
        <v>3123</v>
      </c>
      <c r="F187" s="120">
        <v>2500000</v>
      </c>
      <c r="G187" s="85">
        <v>1</v>
      </c>
      <c r="I187" s="80">
        <v>2500000</v>
      </c>
    </row>
    <row r="188" spans="1:10" ht="18" customHeight="1" x14ac:dyDescent="0.3">
      <c r="A188" s="82">
        <v>1996</v>
      </c>
      <c r="B188" s="93">
        <v>45953</v>
      </c>
      <c r="C188" s="83" t="s">
        <v>1597</v>
      </c>
      <c r="D188" s="113" t="s">
        <v>1737</v>
      </c>
      <c r="F188" s="120">
        <v>400000</v>
      </c>
      <c r="G188" s="85">
        <v>1</v>
      </c>
      <c r="I188" s="80">
        <v>400000</v>
      </c>
    </row>
    <row r="189" spans="1:10" ht="18" customHeight="1" x14ac:dyDescent="0.3">
      <c r="A189" s="82">
        <v>1997</v>
      </c>
      <c r="B189" s="93">
        <v>45953</v>
      </c>
      <c r="C189" s="83" t="s">
        <v>1443</v>
      </c>
      <c r="D189" s="113" t="s">
        <v>1972</v>
      </c>
      <c r="J189" s="80">
        <v>-300000</v>
      </c>
    </row>
    <row r="190" spans="1:10" ht="18" customHeight="1" x14ac:dyDescent="0.3">
      <c r="A190" s="82">
        <v>1998</v>
      </c>
      <c r="B190" s="93">
        <v>45953</v>
      </c>
      <c r="C190" s="83" t="s">
        <v>1443</v>
      </c>
      <c r="D190" s="113" t="s">
        <v>1972</v>
      </c>
      <c r="J190" s="80">
        <v>-300000</v>
      </c>
    </row>
    <row r="191" spans="1:10" ht="18" customHeight="1" x14ac:dyDescent="0.3">
      <c r="A191" s="82">
        <v>1999</v>
      </c>
      <c r="B191" s="93">
        <v>45953</v>
      </c>
      <c r="C191" s="83" t="s">
        <v>1443</v>
      </c>
      <c r="D191" s="113" t="s">
        <v>2157</v>
      </c>
      <c r="F191" s="120">
        <v>1100000</v>
      </c>
      <c r="G191" s="85">
        <v>1</v>
      </c>
      <c r="I191" s="80">
        <v>1100000</v>
      </c>
    </row>
    <row r="192" spans="1:10" ht="18" customHeight="1" x14ac:dyDescent="0.3">
      <c r="A192" s="82">
        <v>2000</v>
      </c>
      <c r="B192" s="93">
        <v>45953</v>
      </c>
      <c r="C192" s="83" t="s">
        <v>1443</v>
      </c>
      <c r="D192" s="113" t="s">
        <v>1984</v>
      </c>
      <c r="F192" s="120">
        <v>150000</v>
      </c>
      <c r="G192" s="85">
        <v>1</v>
      </c>
      <c r="I192" s="80">
        <v>150000</v>
      </c>
    </row>
    <row r="193" spans="1:10" ht="18" customHeight="1" x14ac:dyDescent="0.3">
      <c r="A193" s="82">
        <v>2001</v>
      </c>
      <c r="B193" s="93">
        <v>45953</v>
      </c>
      <c r="C193" s="83" t="s">
        <v>1007</v>
      </c>
      <c r="D193" s="113" t="s">
        <v>2136</v>
      </c>
      <c r="F193" s="120">
        <v>1150000</v>
      </c>
      <c r="G193" s="85">
        <v>1</v>
      </c>
      <c r="I193" s="80">
        <v>1150000</v>
      </c>
    </row>
    <row r="194" spans="1:10" ht="18" customHeight="1" x14ac:dyDescent="0.3">
      <c r="A194" s="82">
        <v>2002</v>
      </c>
      <c r="B194" s="93">
        <v>45953</v>
      </c>
      <c r="C194" s="83" t="s">
        <v>1576</v>
      </c>
      <c r="D194" s="113" t="s">
        <v>1202</v>
      </c>
      <c r="F194" s="120">
        <v>1200000</v>
      </c>
      <c r="G194" s="85">
        <v>1</v>
      </c>
      <c r="H194" s="126">
        <v>120000</v>
      </c>
      <c r="I194" s="80">
        <v>1320000</v>
      </c>
    </row>
    <row r="195" spans="1:10" ht="18" customHeight="1" x14ac:dyDescent="0.3">
      <c r="A195" s="82">
        <v>2003</v>
      </c>
      <c r="B195" s="93">
        <v>45953</v>
      </c>
      <c r="C195" s="83" t="s">
        <v>1576</v>
      </c>
      <c r="D195" s="113" t="s">
        <v>1518</v>
      </c>
      <c r="F195" s="120">
        <v>20000</v>
      </c>
      <c r="G195" s="85">
        <v>1</v>
      </c>
      <c r="H195" s="126">
        <v>2000</v>
      </c>
      <c r="I195" s="80">
        <v>22000</v>
      </c>
    </row>
    <row r="196" spans="1:10" ht="18" customHeight="1" x14ac:dyDescent="0.3">
      <c r="A196" s="82">
        <v>2004</v>
      </c>
      <c r="B196" s="93">
        <v>45953</v>
      </c>
      <c r="C196" s="83" t="s">
        <v>2112</v>
      </c>
      <c r="D196" s="113" t="s">
        <v>1125</v>
      </c>
      <c r="J196" s="80">
        <v>-2310000</v>
      </c>
    </row>
    <row r="197" spans="1:10" ht="18" customHeight="1" x14ac:dyDescent="0.3">
      <c r="A197" s="82">
        <v>2005</v>
      </c>
      <c r="B197" s="93">
        <v>45953</v>
      </c>
      <c r="C197" s="83" t="s">
        <v>3200</v>
      </c>
      <c r="D197" s="113" t="s">
        <v>1125</v>
      </c>
      <c r="J197" s="80">
        <v>-1100000</v>
      </c>
    </row>
    <row r="198" spans="1:10" ht="18" customHeight="1" x14ac:dyDescent="0.3">
      <c r="A198" s="82">
        <v>2006</v>
      </c>
      <c r="B198" s="93">
        <v>45953</v>
      </c>
      <c r="C198" s="83" t="s">
        <v>2609</v>
      </c>
      <c r="D198" s="113" t="s">
        <v>1125</v>
      </c>
      <c r="J198" s="80">
        <v>-220000</v>
      </c>
    </row>
    <row r="199" spans="1:10" ht="18" customHeight="1" x14ac:dyDescent="0.3">
      <c r="A199" s="82">
        <v>2007</v>
      </c>
      <c r="B199" s="93">
        <v>45953</v>
      </c>
      <c r="C199" s="83" t="s">
        <v>3997</v>
      </c>
      <c r="D199" s="113" t="s">
        <v>1125</v>
      </c>
      <c r="J199" s="80">
        <v>-650000</v>
      </c>
    </row>
    <row r="200" spans="1:10" ht="18" customHeight="1" x14ac:dyDescent="0.3">
      <c r="A200" s="82">
        <v>2008</v>
      </c>
      <c r="B200" s="93">
        <v>45953</v>
      </c>
      <c r="C200" s="83" t="s">
        <v>2409</v>
      </c>
      <c r="D200" s="113" t="s">
        <v>1125</v>
      </c>
      <c r="I200" s="126"/>
      <c r="J200" s="80">
        <v>-2420000</v>
      </c>
    </row>
    <row r="201" spans="1:10" ht="18" customHeight="1" x14ac:dyDescent="0.3">
      <c r="A201" s="82">
        <v>2009</v>
      </c>
      <c r="B201" s="93">
        <v>45953</v>
      </c>
      <c r="C201" s="83" t="s">
        <v>987</v>
      </c>
      <c r="D201" s="113" t="s">
        <v>1125</v>
      </c>
      <c r="I201" s="126"/>
      <c r="J201" s="80">
        <v>-1650000</v>
      </c>
    </row>
    <row r="202" spans="1:10" ht="18" customHeight="1" x14ac:dyDescent="0.3">
      <c r="A202" s="82">
        <v>2010</v>
      </c>
      <c r="B202" s="93">
        <v>45953</v>
      </c>
      <c r="C202" s="83" t="s">
        <v>3150</v>
      </c>
      <c r="D202" s="113" t="s">
        <v>1125</v>
      </c>
      <c r="J202" s="80">
        <v>-800000</v>
      </c>
    </row>
    <row r="203" spans="1:10" ht="18" customHeight="1" x14ac:dyDescent="0.3">
      <c r="A203" s="82">
        <v>2011</v>
      </c>
      <c r="B203" s="93">
        <v>45953</v>
      </c>
      <c r="C203" s="83" t="s">
        <v>2557</v>
      </c>
      <c r="D203" s="113" t="s">
        <v>1125</v>
      </c>
      <c r="J203" s="80">
        <v>-1500000</v>
      </c>
    </row>
    <row r="204" spans="1:10" ht="18" customHeight="1" x14ac:dyDescent="0.3">
      <c r="A204" s="82">
        <v>2012</v>
      </c>
      <c r="B204" s="93">
        <v>45953</v>
      </c>
      <c r="C204" s="83" t="s">
        <v>3396</v>
      </c>
      <c r="D204" s="113" t="s">
        <v>1125</v>
      </c>
      <c r="J204" s="80">
        <v>-1100000</v>
      </c>
    </row>
    <row r="205" spans="1:10" ht="18" customHeight="1" x14ac:dyDescent="0.3">
      <c r="A205" s="82">
        <v>2013</v>
      </c>
      <c r="B205" s="93">
        <v>45953</v>
      </c>
      <c r="C205" s="83" t="s">
        <v>3999</v>
      </c>
      <c r="D205" s="113" t="s">
        <v>1125</v>
      </c>
      <c r="J205" s="80">
        <v>-1500000</v>
      </c>
    </row>
    <row r="206" spans="1:10" ht="18" customHeight="1" x14ac:dyDescent="0.3">
      <c r="A206" s="82">
        <v>2014</v>
      </c>
      <c r="B206" s="93">
        <v>45953</v>
      </c>
      <c r="C206" s="83" t="s">
        <v>1398</v>
      </c>
      <c r="D206" s="113" t="s">
        <v>1202</v>
      </c>
      <c r="F206" s="120">
        <v>1200000</v>
      </c>
      <c r="G206" s="85">
        <v>1</v>
      </c>
      <c r="I206" s="80">
        <v>1200000</v>
      </c>
    </row>
    <row r="207" spans="1:10" ht="18" customHeight="1" x14ac:dyDescent="0.3">
      <c r="A207" s="82">
        <v>2015</v>
      </c>
      <c r="B207" s="93">
        <v>45953</v>
      </c>
      <c r="C207" s="83" t="s">
        <v>1398</v>
      </c>
      <c r="D207" s="113" t="s">
        <v>2839</v>
      </c>
      <c r="F207" s="120">
        <v>129000</v>
      </c>
      <c r="G207" s="85">
        <v>1</v>
      </c>
      <c r="I207" s="80">
        <v>129000</v>
      </c>
    </row>
    <row r="208" spans="1:10" ht="18" customHeight="1" x14ac:dyDescent="0.3">
      <c r="A208" s="82">
        <v>2016</v>
      </c>
      <c r="B208" s="93">
        <v>45954</v>
      </c>
      <c r="C208" s="83" t="s">
        <v>1930</v>
      </c>
      <c r="D208" s="113" t="s">
        <v>1125</v>
      </c>
      <c r="J208" s="80">
        <v>-1100000</v>
      </c>
    </row>
    <row r="209" spans="1:10" ht="18" customHeight="1" x14ac:dyDescent="0.3">
      <c r="A209" s="82">
        <v>2017</v>
      </c>
      <c r="B209" s="93">
        <v>45954</v>
      </c>
      <c r="C209" s="83" t="s">
        <v>1597</v>
      </c>
      <c r="D209" s="113" t="s">
        <v>1125</v>
      </c>
      <c r="J209" s="80">
        <v>-400000</v>
      </c>
    </row>
    <row r="210" spans="1:10" ht="18" customHeight="1" x14ac:dyDescent="0.3">
      <c r="A210" s="82">
        <v>2018</v>
      </c>
      <c r="B210" s="93">
        <v>45954</v>
      </c>
      <c r="C210" s="83" t="s">
        <v>1007</v>
      </c>
      <c r="D210" s="113" t="s">
        <v>1125</v>
      </c>
      <c r="J210" s="80">
        <v>-1150000</v>
      </c>
    </row>
    <row r="211" spans="1:10" ht="18" customHeight="1" x14ac:dyDescent="0.3">
      <c r="A211" s="82">
        <v>2019</v>
      </c>
      <c r="B211" s="93">
        <v>45954</v>
      </c>
      <c r="C211" s="83" t="s">
        <v>2703</v>
      </c>
      <c r="D211" s="113" t="s">
        <v>2200</v>
      </c>
      <c r="F211" s="120">
        <v>100000</v>
      </c>
      <c r="G211" s="85">
        <v>1</v>
      </c>
      <c r="H211" s="126">
        <v>10000</v>
      </c>
      <c r="I211" s="80">
        <v>110000</v>
      </c>
    </row>
    <row r="212" spans="1:10" ht="18" customHeight="1" x14ac:dyDescent="0.3">
      <c r="A212" s="82">
        <v>2020</v>
      </c>
      <c r="B212" s="93">
        <v>45954</v>
      </c>
      <c r="C212" s="83" t="s">
        <v>1493</v>
      </c>
      <c r="D212" s="113" t="s">
        <v>3463</v>
      </c>
      <c r="F212" s="120">
        <v>600000</v>
      </c>
      <c r="G212" s="85">
        <v>1</v>
      </c>
      <c r="I212" s="80">
        <v>600000</v>
      </c>
    </row>
    <row r="213" spans="1:10" ht="18" customHeight="1" x14ac:dyDescent="0.3">
      <c r="A213" s="82">
        <v>2021</v>
      </c>
      <c r="B213" s="93">
        <v>45954</v>
      </c>
      <c r="C213" s="83" t="s">
        <v>2703</v>
      </c>
      <c r="D213" s="113" t="s">
        <v>1125</v>
      </c>
      <c r="J213" s="80">
        <v>-110000</v>
      </c>
    </row>
    <row r="214" spans="1:10" ht="18" customHeight="1" x14ac:dyDescent="0.3">
      <c r="A214" s="82">
        <v>2022</v>
      </c>
      <c r="B214" s="93">
        <v>45954</v>
      </c>
      <c r="C214" s="83" t="s">
        <v>1869</v>
      </c>
      <c r="D214" s="113" t="s">
        <v>1125</v>
      </c>
      <c r="J214" s="80">
        <v>-143000</v>
      </c>
    </row>
    <row r="215" spans="1:10" ht="18" customHeight="1" x14ac:dyDescent="0.3">
      <c r="A215" s="82">
        <v>2023</v>
      </c>
      <c r="B215" s="93">
        <v>45954</v>
      </c>
      <c r="C215" s="83" t="s">
        <v>1398</v>
      </c>
      <c r="D215" s="113" t="s">
        <v>2179</v>
      </c>
      <c r="F215" s="120">
        <v>1500000</v>
      </c>
      <c r="G215" s="85">
        <v>1</v>
      </c>
      <c r="I215" s="80">
        <v>1500000</v>
      </c>
    </row>
    <row r="216" spans="1:10" ht="18" customHeight="1" x14ac:dyDescent="0.3">
      <c r="A216" s="82">
        <v>2024</v>
      </c>
      <c r="B216" s="93">
        <v>45954</v>
      </c>
      <c r="C216" s="83" t="s">
        <v>1398</v>
      </c>
      <c r="D216" s="113" t="s">
        <v>2180</v>
      </c>
      <c r="F216" s="120">
        <v>50000</v>
      </c>
      <c r="G216" s="85">
        <v>1</v>
      </c>
      <c r="I216" s="80">
        <v>50000</v>
      </c>
    </row>
    <row r="217" spans="1:10" ht="18" customHeight="1" x14ac:dyDescent="0.3">
      <c r="A217" s="82">
        <v>2025</v>
      </c>
      <c r="B217" s="93">
        <v>45954</v>
      </c>
      <c r="C217" s="83" t="s">
        <v>1398</v>
      </c>
      <c r="D217" s="113" t="s">
        <v>1742</v>
      </c>
      <c r="F217" s="120">
        <v>650000</v>
      </c>
      <c r="G217" s="85">
        <v>1</v>
      </c>
      <c r="I217" s="80">
        <v>650000</v>
      </c>
    </row>
    <row r="218" spans="1:10" ht="18" customHeight="1" x14ac:dyDescent="0.3">
      <c r="A218" s="82">
        <v>2026</v>
      </c>
      <c r="B218" s="93">
        <v>45955</v>
      </c>
      <c r="C218" s="83" t="s">
        <v>4042</v>
      </c>
      <c r="D218" s="113" t="s">
        <v>2179</v>
      </c>
      <c r="F218" s="120">
        <v>1500000</v>
      </c>
      <c r="G218" s="85">
        <v>1</v>
      </c>
      <c r="I218" s="80">
        <v>0</v>
      </c>
    </row>
    <row r="219" spans="1:10" ht="18" customHeight="1" x14ac:dyDescent="0.3">
      <c r="A219" s="82">
        <v>2027</v>
      </c>
      <c r="B219" s="93">
        <v>45955</v>
      </c>
      <c r="C219" s="83" t="s">
        <v>4042</v>
      </c>
      <c r="D219" s="113" t="s">
        <v>2180</v>
      </c>
      <c r="F219" s="120">
        <v>50000</v>
      </c>
      <c r="G219" s="85">
        <v>1</v>
      </c>
      <c r="I219" s="80">
        <v>0</v>
      </c>
    </row>
    <row r="220" spans="1:10" ht="18" customHeight="1" x14ac:dyDescent="0.3">
      <c r="A220" s="82">
        <v>2028</v>
      </c>
      <c r="B220" s="93">
        <v>45955</v>
      </c>
      <c r="C220" s="83" t="s">
        <v>2782</v>
      </c>
      <c r="D220" s="113" t="s">
        <v>2179</v>
      </c>
      <c r="F220" s="120">
        <v>1500000</v>
      </c>
      <c r="G220" s="85">
        <v>1</v>
      </c>
      <c r="I220" s="80">
        <v>1500000</v>
      </c>
    </row>
    <row r="221" spans="1:10" ht="18" customHeight="1" x14ac:dyDescent="0.3">
      <c r="A221" s="82">
        <v>2029</v>
      </c>
      <c r="B221" s="93">
        <v>45955</v>
      </c>
      <c r="C221" s="83" t="s">
        <v>2782</v>
      </c>
      <c r="D221" s="113" t="s">
        <v>2180</v>
      </c>
      <c r="F221" s="120">
        <v>50000</v>
      </c>
      <c r="G221" s="85">
        <v>1</v>
      </c>
      <c r="I221" s="80">
        <v>50000</v>
      </c>
    </row>
    <row r="222" spans="1:10" ht="18" customHeight="1" x14ac:dyDescent="0.3">
      <c r="A222" s="82">
        <v>2030</v>
      </c>
      <c r="B222" s="93">
        <v>45955</v>
      </c>
      <c r="C222" s="83" t="s">
        <v>1436</v>
      </c>
      <c r="D222" s="113" t="s">
        <v>1202</v>
      </c>
      <c r="F222" s="120">
        <v>1300000</v>
      </c>
      <c r="G222" s="85">
        <v>1</v>
      </c>
      <c r="H222" s="126" t="s">
        <v>3142</v>
      </c>
      <c r="I222" s="80">
        <v>1430000</v>
      </c>
    </row>
    <row r="223" spans="1:10" ht="18" customHeight="1" x14ac:dyDescent="0.3">
      <c r="A223" s="82">
        <v>2031</v>
      </c>
      <c r="B223" s="93">
        <v>45955</v>
      </c>
      <c r="C223" s="83" t="s">
        <v>1585</v>
      </c>
      <c r="D223" s="113" t="s">
        <v>1743</v>
      </c>
      <c r="F223" s="120">
        <v>1550000</v>
      </c>
      <c r="G223" s="85">
        <v>1</v>
      </c>
      <c r="H223" s="126">
        <v>155000</v>
      </c>
      <c r="I223" s="80">
        <v>1705000</v>
      </c>
    </row>
    <row r="224" spans="1:10" ht="18" customHeight="1" x14ac:dyDescent="0.3">
      <c r="A224" s="82">
        <v>2032</v>
      </c>
      <c r="B224" s="93">
        <v>45955</v>
      </c>
      <c r="C224" s="83" t="s">
        <v>1540</v>
      </c>
      <c r="D224" s="113" t="s">
        <v>4052</v>
      </c>
      <c r="F224" s="120">
        <v>1550000</v>
      </c>
      <c r="G224" s="85">
        <v>1</v>
      </c>
      <c r="I224" s="80">
        <v>1550000</v>
      </c>
    </row>
    <row r="225" spans="1:10" ht="18" customHeight="1" x14ac:dyDescent="0.3">
      <c r="A225" s="82">
        <v>2033</v>
      </c>
      <c r="B225" s="93">
        <v>45955</v>
      </c>
      <c r="C225" s="83" t="s">
        <v>3928</v>
      </c>
      <c r="D225" s="113" t="s">
        <v>1125</v>
      </c>
      <c r="J225" s="80">
        <v>-1570000</v>
      </c>
    </row>
    <row r="226" spans="1:10" ht="18" customHeight="1" x14ac:dyDescent="0.3">
      <c r="A226" s="82">
        <v>2034</v>
      </c>
      <c r="B226" s="93">
        <v>45957</v>
      </c>
      <c r="C226" s="83" t="s">
        <v>1468</v>
      </c>
      <c r="D226" s="113" t="s">
        <v>4055</v>
      </c>
      <c r="J226" s="80">
        <v>-1500000</v>
      </c>
    </row>
    <row r="227" spans="1:10" ht="18" customHeight="1" x14ac:dyDescent="0.3">
      <c r="A227" s="82">
        <v>2035</v>
      </c>
      <c r="B227" s="93">
        <v>45957</v>
      </c>
      <c r="C227" s="83" t="s">
        <v>1372</v>
      </c>
      <c r="D227" s="113" t="s">
        <v>4085</v>
      </c>
      <c r="J227" s="80">
        <v>-1550000</v>
      </c>
    </row>
    <row r="228" spans="1:10" ht="18" customHeight="1" x14ac:dyDescent="0.3">
      <c r="A228" s="82">
        <v>2036</v>
      </c>
      <c r="B228" s="93">
        <v>45957</v>
      </c>
      <c r="C228" s="83" t="s">
        <v>1576</v>
      </c>
      <c r="D228" s="113" t="s">
        <v>4067</v>
      </c>
      <c r="F228" s="120">
        <v>550000</v>
      </c>
      <c r="G228" s="85">
        <v>1</v>
      </c>
      <c r="H228" s="126">
        <v>55000</v>
      </c>
      <c r="I228" s="80">
        <v>605000</v>
      </c>
    </row>
    <row r="229" spans="1:10" ht="18" customHeight="1" x14ac:dyDescent="0.3">
      <c r="A229" s="82">
        <v>2037</v>
      </c>
      <c r="B229" s="93">
        <v>45957</v>
      </c>
      <c r="C229" s="83" t="s">
        <v>4063</v>
      </c>
      <c r="D229" s="113" t="s">
        <v>3041</v>
      </c>
      <c r="F229" s="120">
        <v>750000</v>
      </c>
      <c r="G229" s="85">
        <v>1</v>
      </c>
      <c r="I229" s="80">
        <v>750000</v>
      </c>
    </row>
    <row r="230" spans="1:10" ht="18" customHeight="1" x14ac:dyDescent="0.3">
      <c r="A230" s="82">
        <v>2038</v>
      </c>
      <c r="B230" s="93">
        <v>45957</v>
      </c>
      <c r="C230" s="83" t="s">
        <v>1746</v>
      </c>
      <c r="D230" s="113" t="s">
        <v>3961</v>
      </c>
      <c r="F230" s="120">
        <v>430000</v>
      </c>
      <c r="G230" s="85">
        <v>1</v>
      </c>
      <c r="H230" s="126">
        <v>43000</v>
      </c>
      <c r="I230" s="80">
        <v>473000</v>
      </c>
    </row>
    <row r="231" spans="1:10" ht="18" customHeight="1" x14ac:dyDescent="0.3">
      <c r="A231" s="82">
        <v>2039</v>
      </c>
      <c r="B231" s="93">
        <v>45957</v>
      </c>
      <c r="C231" s="83" t="s">
        <v>1746</v>
      </c>
      <c r="D231" s="113" t="s">
        <v>2190</v>
      </c>
      <c r="F231" s="120">
        <v>35000</v>
      </c>
      <c r="G231" s="85">
        <v>2</v>
      </c>
      <c r="H231" s="126">
        <v>7000</v>
      </c>
      <c r="I231" s="80">
        <v>77000</v>
      </c>
    </row>
    <row r="232" spans="1:10" ht="18" customHeight="1" x14ac:dyDescent="0.3">
      <c r="A232" s="82">
        <v>2040</v>
      </c>
      <c r="B232" s="93">
        <v>45957</v>
      </c>
      <c r="C232" s="83" t="s">
        <v>1746</v>
      </c>
      <c r="D232" s="113" t="s">
        <v>2189</v>
      </c>
      <c r="F232" s="120">
        <v>70000</v>
      </c>
      <c r="G232" s="85">
        <v>1</v>
      </c>
      <c r="H232" s="126">
        <v>7000</v>
      </c>
      <c r="I232" s="80">
        <v>77000</v>
      </c>
    </row>
    <row r="233" spans="1:10" ht="18" customHeight="1" x14ac:dyDescent="0.3">
      <c r="A233" s="82">
        <v>2041</v>
      </c>
      <c r="B233" s="93">
        <v>45957</v>
      </c>
      <c r="C233" s="83" t="s">
        <v>4059</v>
      </c>
      <c r="D233" s="113" t="s">
        <v>2193</v>
      </c>
      <c r="F233" s="120">
        <v>700000</v>
      </c>
      <c r="G233" s="85">
        <v>1</v>
      </c>
      <c r="H233" s="126">
        <v>70000</v>
      </c>
      <c r="I233" s="80">
        <v>770000</v>
      </c>
    </row>
    <row r="234" spans="1:10" ht="18" customHeight="1" x14ac:dyDescent="0.3">
      <c r="A234" s="82">
        <v>2042</v>
      </c>
      <c r="B234" s="93">
        <v>45957</v>
      </c>
      <c r="C234" s="83" t="s">
        <v>4059</v>
      </c>
      <c r="D234" s="113" t="s">
        <v>3463</v>
      </c>
      <c r="F234" s="120">
        <v>540000</v>
      </c>
      <c r="G234" s="85">
        <v>1</v>
      </c>
      <c r="H234" s="126">
        <v>54000</v>
      </c>
      <c r="I234" s="80">
        <v>594000</v>
      </c>
    </row>
    <row r="235" spans="1:10" ht="18" customHeight="1" x14ac:dyDescent="0.3">
      <c r="A235" s="82">
        <v>2043</v>
      </c>
      <c r="B235" s="93">
        <v>45957</v>
      </c>
      <c r="C235" s="83" t="s">
        <v>4059</v>
      </c>
      <c r="D235" s="113" t="s">
        <v>2189</v>
      </c>
      <c r="F235" s="120">
        <v>70000</v>
      </c>
      <c r="G235" s="85">
        <v>1</v>
      </c>
      <c r="H235" s="126">
        <v>7000</v>
      </c>
      <c r="I235" s="80">
        <v>77000</v>
      </c>
    </row>
    <row r="236" spans="1:10" ht="18" customHeight="1" x14ac:dyDescent="0.3">
      <c r="A236" s="82">
        <v>2044</v>
      </c>
      <c r="B236" s="93">
        <v>45957</v>
      </c>
      <c r="C236" s="83" t="s">
        <v>4059</v>
      </c>
      <c r="D236" s="113" t="s">
        <v>2190</v>
      </c>
      <c r="F236" s="120">
        <v>35000</v>
      </c>
      <c r="G236" s="85">
        <v>1</v>
      </c>
      <c r="H236" s="126">
        <v>3500</v>
      </c>
      <c r="I236" s="80">
        <v>38500</v>
      </c>
    </row>
    <row r="237" spans="1:10" ht="18" customHeight="1" x14ac:dyDescent="0.3">
      <c r="A237" s="82">
        <v>2045</v>
      </c>
      <c r="B237" s="93">
        <v>45957</v>
      </c>
      <c r="C237" s="83" t="s">
        <v>4059</v>
      </c>
      <c r="D237" s="113" t="s">
        <v>2191</v>
      </c>
      <c r="F237" s="120">
        <v>10000</v>
      </c>
      <c r="G237" s="85">
        <v>2</v>
      </c>
      <c r="H237" s="126">
        <v>2000</v>
      </c>
      <c r="I237" s="80">
        <v>22000</v>
      </c>
    </row>
    <row r="238" spans="1:10" ht="18" customHeight="1" x14ac:dyDescent="0.3">
      <c r="A238" s="82">
        <v>2046</v>
      </c>
      <c r="B238" s="93">
        <v>45957</v>
      </c>
      <c r="C238" s="83" t="s">
        <v>1398</v>
      </c>
      <c r="D238" s="113" t="s">
        <v>1742</v>
      </c>
      <c r="F238" s="120">
        <v>650000</v>
      </c>
      <c r="G238" s="85">
        <v>1</v>
      </c>
      <c r="I238" s="80">
        <v>650000</v>
      </c>
    </row>
    <row r="239" spans="1:10" ht="18" customHeight="1" x14ac:dyDescent="0.3">
      <c r="A239" s="82">
        <v>2047</v>
      </c>
      <c r="B239" s="93">
        <v>45957</v>
      </c>
      <c r="C239" s="83" t="s">
        <v>1579</v>
      </c>
      <c r="D239" s="113" t="s">
        <v>1704</v>
      </c>
      <c r="F239" s="120">
        <v>50000</v>
      </c>
      <c r="G239" s="85">
        <v>1</v>
      </c>
      <c r="H239" s="126">
        <v>5000</v>
      </c>
      <c r="I239" s="80">
        <v>55000</v>
      </c>
    </row>
    <row r="240" spans="1:10" ht="18" customHeight="1" x14ac:dyDescent="0.3">
      <c r="A240" s="82">
        <v>2048</v>
      </c>
      <c r="B240" s="93">
        <v>45957</v>
      </c>
      <c r="C240" s="83" t="s">
        <v>1553</v>
      </c>
      <c r="D240" s="113" t="s">
        <v>4080</v>
      </c>
      <c r="J240" s="80">
        <v>-1800000</v>
      </c>
    </row>
    <row r="241" spans="1:10" ht="18" customHeight="1" x14ac:dyDescent="0.3">
      <c r="A241" s="82">
        <v>2049</v>
      </c>
      <c r="B241" s="93">
        <v>45957</v>
      </c>
      <c r="C241" s="83" t="s">
        <v>4063</v>
      </c>
      <c r="D241" s="113" t="s">
        <v>4081</v>
      </c>
      <c r="J241" s="80">
        <v>-750000</v>
      </c>
    </row>
    <row r="242" spans="1:10" ht="18" customHeight="1" x14ac:dyDescent="0.3">
      <c r="A242" s="82">
        <v>2050</v>
      </c>
      <c r="B242" s="93">
        <v>45957</v>
      </c>
      <c r="C242" s="83" t="s">
        <v>4059</v>
      </c>
      <c r="D242" s="113" t="s">
        <v>4082</v>
      </c>
      <c r="J242" s="80">
        <v>-1501500</v>
      </c>
    </row>
    <row r="243" spans="1:10" ht="18" customHeight="1" x14ac:dyDescent="0.3">
      <c r="A243" s="82">
        <v>2051</v>
      </c>
      <c r="B243" s="93">
        <v>45957</v>
      </c>
      <c r="C243" s="83" t="s">
        <v>1398</v>
      </c>
      <c r="D243" s="113" t="s">
        <v>2298</v>
      </c>
      <c r="F243" s="120">
        <v>650000</v>
      </c>
      <c r="G243" s="85">
        <v>1</v>
      </c>
      <c r="I243" s="80">
        <v>650000</v>
      </c>
    </row>
    <row r="244" spans="1:10" ht="18" customHeight="1" x14ac:dyDescent="0.3">
      <c r="A244" s="82">
        <v>2052</v>
      </c>
      <c r="B244" s="93">
        <v>45957</v>
      </c>
      <c r="C244" s="83" t="s">
        <v>1930</v>
      </c>
      <c r="D244" s="113" t="s">
        <v>3463</v>
      </c>
      <c r="F244" s="120">
        <v>600000</v>
      </c>
      <c r="G244" s="85">
        <v>1</v>
      </c>
      <c r="I244" s="80">
        <v>600000</v>
      </c>
    </row>
    <row r="245" spans="1:10" ht="18" customHeight="1" x14ac:dyDescent="0.3">
      <c r="A245" s="82">
        <v>2053</v>
      </c>
      <c r="B245" s="93">
        <v>45957</v>
      </c>
      <c r="C245" s="83" t="s">
        <v>1930</v>
      </c>
      <c r="D245" s="113" t="s">
        <v>2189</v>
      </c>
      <c r="F245" s="120">
        <v>80000</v>
      </c>
      <c r="G245" s="85">
        <v>1</v>
      </c>
      <c r="I245" s="80">
        <v>80000</v>
      </c>
    </row>
    <row r="246" spans="1:10" ht="18" customHeight="1" x14ac:dyDescent="0.3">
      <c r="A246" s="82">
        <v>2054</v>
      </c>
      <c r="B246" s="93">
        <v>45957</v>
      </c>
      <c r="C246" s="83" t="s">
        <v>1930</v>
      </c>
      <c r="D246" s="113" t="s">
        <v>2190</v>
      </c>
      <c r="F246" s="120">
        <v>30000</v>
      </c>
      <c r="G246" s="85">
        <v>2</v>
      </c>
      <c r="I246" s="80">
        <v>60000</v>
      </c>
    </row>
    <row r="247" spans="1:10" ht="18" customHeight="1" x14ac:dyDescent="0.3">
      <c r="A247" s="82">
        <v>2055</v>
      </c>
      <c r="B247" s="93">
        <v>45958</v>
      </c>
      <c r="C247" s="83" t="s">
        <v>2782</v>
      </c>
      <c r="D247" s="113" t="s">
        <v>4120</v>
      </c>
      <c r="J247" s="80">
        <v>-1550000</v>
      </c>
    </row>
    <row r="248" spans="1:10" ht="18" customHeight="1" x14ac:dyDescent="0.3">
      <c r="A248" s="82">
        <v>2056</v>
      </c>
      <c r="B248" s="93">
        <v>45958</v>
      </c>
      <c r="C248" s="83" t="s">
        <v>1436</v>
      </c>
      <c r="D248" s="113" t="s">
        <v>1125</v>
      </c>
      <c r="J248" s="80">
        <v>-1430000</v>
      </c>
    </row>
    <row r="249" spans="1:10" ht="18" customHeight="1" x14ac:dyDescent="0.3">
      <c r="A249" s="82">
        <v>2057</v>
      </c>
      <c r="B249" s="93">
        <v>45958</v>
      </c>
      <c r="C249" s="83" t="s">
        <v>1893</v>
      </c>
      <c r="D249" s="113" t="s">
        <v>1202</v>
      </c>
      <c r="F249" s="120">
        <v>1200000</v>
      </c>
      <c r="G249" s="85">
        <v>1</v>
      </c>
      <c r="I249" s="80">
        <v>1200000</v>
      </c>
    </row>
    <row r="250" spans="1:10" ht="18" customHeight="1" x14ac:dyDescent="0.3">
      <c r="A250" s="82">
        <v>2058</v>
      </c>
      <c r="B250" s="93">
        <v>45958</v>
      </c>
      <c r="C250" s="83" t="s">
        <v>1172</v>
      </c>
      <c r="D250" s="113" t="s">
        <v>1560</v>
      </c>
      <c r="F250" s="120">
        <v>1600000</v>
      </c>
      <c r="G250" s="85">
        <v>1</v>
      </c>
      <c r="I250" s="80">
        <v>1600000</v>
      </c>
    </row>
    <row r="251" spans="1:10" ht="18" customHeight="1" x14ac:dyDescent="0.3">
      <c r="A251" s="82">
        <v>2059</v>
      </c>
      <c r="B251" s="93">
        <v>45958</v>
      </c>
      <c r="C251" s="83" t="s">
        <v>1018</v>
      </c>
      <c r="D251" s="113" t="s">
        <v>3909</v>
      </c>
      <c r="F251" s="120">
        <v>80000</v>
      </c>
      <c r="G251" s="85">
        <v>1</v>
      </c>
      <c r="I251" s="80">
        <v>80000</v>
      </c>
    </row>
    <row r="252" spans="1:10" ht="18" customHeight="1" x14ac:dyDescent="0.3">
      <c r="A252" s="82">
        <v>2060</v>
      </c>
      <c r="B252" s="93">
        <v>45958</v>
      </c>
      <c r="C252" s="83" t="s">
        <v>1746</v>
      </c>
      <c r="D252" s="113" t="s">
        <v>3961</v>
      </c>
      <c r="F252" s="120">
        <v>430000</v>
      </c>
      <c r="G252" s="85">
        <v>1</v>
      </c>
      <c r="H252" s="126">
        <v>43000</v>
      </c>
      <c r="I252" s="80">
        <v>473000</v>
      </c>
    </row>
    <row r="253" spans="1:10" ht="18" customHeight="1" x14ac:dyDescent="0.3">
      <c r="A253" s="82">
        <v>2061</v>
      </c>
      <c r="B253" s="93">
        <v>45958</v>
      </c>
      <c r="C253" s="83" t="s">
        <v>1746</v>
      </c>
      <c r="D253" s="113" t="s">
        <v>2187</v>
      </c>
      <c r="F253" s="120">
        <v>130000</v>
      </c>
      <c r="G253" s="85">
        <v>1</v>
      </c>
      <c r="H253" s="126">
        <v>13000</v>
      </c>
      <c r="I253" s="80">
        <v>143000</v>
      </c>
    </row>
    <row r="254" spans="1:10" ht="18" customHeight="1" x14ac:dyDescent="0.3">
      <c r="A254" s="82">
        <v>2062</v>
      </c>
      <c r="B254" s="93">
        <v>45958</v>
      </c>
      <c r="C254" s="83" t="s">
        <v>1746</v>
      </c>
      <c r="D254" s="113" t="s">
        <v>2189</v>
      </c>
      <c r="F254" s="120">
        <v>70000</v>
      </c>
      <c r="G254" s="85">
        <v>1</v>
      </c>
      <c r="H254" s="126">
        <v>7000</v>
      </c>
      <c r="I254" s="80">
        <v>77000</v>
      </c>
    </row>
    <row r="255" spans="1:10" ht="18" customHeight="1" x14ac:dyDescent="0.3">
      <c r="A255" s="82">
        <v>2063</v>
      </c>
      <c r="B255" s="93">
        <v>45958</v>
      </c>
      <c r="C255" s="83" t="s">
        <v>1398</v>
      </c>
      <c r="D255" s="113" t="s">
        <v>3961</v>
      </c>
      <c r="F255" s="120">
        <v>400000</v>
      </c>
      <c r="G255" s="85">
        <v>1</v>
      </c>
      <c r="I255" s="80">
        <v>400000</v>
      </c>
    </row>
    <row r="256" spans="1:10" ht="18" customHeight="1" x14ac:dyDescent="0.3">
      <c r="A256" s="82">
        <v>2064</v>
      </c>
      <c r="B256" s="93">
        <v>45958</v>
      </c>
      <c r="C256" s="83" t="s">
        <v>1398</v>
      </c>
      <c r="D256" s="113" t="s">
        <v>2190</v>
      </c>
      <c r="F256" s="120">
        <v>30000</v>
      </c>
      <c r="G256" s="85">
        <v>2</v>
      </c>
      <c r="I256" s="80">
        <v>60000</v>
      </c>
    </row>
    <row r="257" spans="1:10" ht="18" customHeight="1" x14ac:dyDescent="0.3">
      <c r="A257" s="82">
        <v>2065</v>
      </c>
      <c r="B257" s="93">
        <v>45958</v>
      </c>
      <c r="C257" s="83" t="s">
        <v>1398</v>
      </c>
      <c r="D257" s="113" t="s">
        <v>2191</v>
      </c>
      <c r="F257" s="120">
        <v>10000</v>
      </c>
      <c r="G257" s="85">
        <v>1</v>
      </c>
      <c r="I257" s="80">
        <v>10000</v>
      </c>
    </row>
    <row r="258" spans="1:10" ht="18" customHeight="1" x14ac:dyDescent="0.3">
      <c r="A258" s="82">
        <v>2066</v>
      </c>
      <c r="B258" s="93">
        <v>45958</v>
      </c>
      <c r="C258" s="83" t="s">
        <v>4089</v>
      </c>
      <c r="D258" s="113" t="s">
        <v>1204</v>
      </c>
      <c r="F258" s="120">
        <v>1300000</v>
      </c>
      <c r="G258" s="85">
        <v>1</v>
      </c>
      <c r="I258" s="80">
        <v>1300000</v>
      </c>
    </row>
    <row r="259" spans="1:10" ht="18" customHeight="1" x14ac:dyDescent="0.3">
      <c r="A259" s="82">
        <v>2067</v>
      </c>
      <c r="B259" s="93">
        <v>45958</v>
      </c>
      <c r="C259" s="83" t="s">
        <v>1670</v>
      </c>
      <c r="D259" s="113" t="s">
        <v>2201</v>
      </c>
      <c r="F259" s="120">
        <v>1900000</v>
      </c>
      <c r="G259" s="85">
        <v>1</v>
      </c>
      <c r="H259" s="126">
        <v>190000</v>
      </c>
      <c r="I259" s="80">
        <v>2090000</v>
      </c>
    </row>
    <row r="260" spans="1:10" ht="18" customHeight="1" x14ac:dyDescent="0.3">
      <c r="A260" s="82">
        <v>2068</v>
      </c>
      <c r="B260" s="93">
        <v>45958</v>
      </c>
      <c r="C260" s="83" t="s">
        <v>1670</v>
      </c>
      <c r="D260" s="113" t="s">
        <v>2180</v>
      </c>
      <c r="F260" s="120">
        <v>50000</v>
      </c>
      <c r="G260" s="85">
        <v>1</v>
      </c>
      <c r="H260" s="126">
        <v>5000</v>
      </c>
      <c r="I260" s="80">
        <v>55000</v>
      </c>
    </row>
    <row r="261" spans="1:10" ht="18" customHeight="1" x14ac:dyDescent="0.3">
      <c r="A261" s="82">
        <v>2069</v>
      </c>
      <c r="B261" s="93">
        <v>45958</v>
      </c>
      <c r="C261" s="83" t="s">
        <v>1670</v>
      </c>
      <c r="D261" s="113" t="s">
        <v>3653</v>
      </c>
      <c r="F261" s="120">
        <v>150000</v>
      </c>
      <c r="G261" s="85">
        <v>1</v>
      </c>
      <c r="H261" s="126">
        <v>15000</v>
      </c>
      <c r="I261" s="80">
        <v>165000</v>
      </c>
    </row>
    <row r="262" spans="1:10" ht="18" customHeight="1" x14ac:dyDescent="0.3">
      <c r="A262" s="82">
        <v>2070</v>
      </c>
      <c r="B262" s="93">
        <v>45958</v>
      </c>
      <c r="C262" s="83" t="s">
        <v>1585</v>
      </c>
      <c r="D262" s="113" t="s">
        <v>1125</v>
      </c>
      <c r="J262" s="80">
        <v>-1848000</v>
      </c>
    </row>
    <row r="263" spans="1:10" ht="18" customHeight="1" x14ac:dyDescent="0.3">
      <c r="A263" s="82">
        <v>2071</v>
      </c>
      <c r="B263" s="93">
        <v>45958</v>
      </c>
      <c r="C263" s="83" t="s">
        <v>1443</v>
      </c>
      <c r="D263" s="113" t="s">
        <v>2055</v>
      </c>
      <c r="J263" s="80">
        <v>-9000000</v>
      </c>
    </row>
    <row r="264" spans="1:10" ht="18" customHeight="1" x14ac:dyDescent="0.3">
      <c r="A264" s="82">
        <v>2072</v>
      </c>
      <c r="B264" s="93">
        <v>45958</v>
      </c>
      <c r="C264" s="83" t="s">
        <v>4089</v>
      </c>
      <c r="D264" s="113" t="s">
        <v>4103</v>
      </c>
      <c r="J264" s="80">
        <v>-1300000</v>
      </c>
    </row>
    <row r="265" spans="1:10" ht="18" customHeight="1" x14ac:dyDescent="0.3">
      <c r="A265" s="82">
        <v>2073</v>
      </c>
      <c r="B265" s="93">
        <v>45959</v>
      </c>
      <c r="C265" s="83" t="s">
        <v>1398</v>
      </c>
      <c r="D265" s="113" t="s">
        <v>2187</v>
      </c>
      <c r="F265" s="120">
        <v>130000</v>
      </c>
      <c r="G265" s="85">
        <v>1</v>
      </c>
      <c r="I265" s="80">
        <v>130000</v>
      </c>
    </row>
    <row r="266" spans="1:10" ht="18" customHeight="1" x14ac:dyDescent="0.3">
      <c r="A266" s="82">
        <v>2074</v>
      </c>
      <c r="B266" s="93">
        <v>45959</v>
      </c>
      <c r="C266" s="83" t="s">
        <v>3148</v>
      </c>
      <c r="D266" s="113" t="s">
        <v>3215</v>
      </c>
      <c r="F266" s="120">
        <v>250000</v>
      </c>
      <c r="G266" s="85">
        <v>1</v>
      </c>
      <c r="I266" s="80">
        <v>250000</v>
      </c>
    </row>
    <row r="267" spans="1:10" ht="18" customHeight="1" x14ac:dyDescent="0.3">
      <c r="A267" s="82">
        <v>2075</v>
      </c>
      <c r="B267" s="93">
        <v>45959</v>
      </c>
      <c r="C267" s="83" t="s">
        <v>3148</v>
      </c>
      <c r="D267" s="113" t="s">
        <v>2111</v>
      </c>
      <c r="F267" s="120">
        <v>65000</v>
      </c>
      <c r="G267" s="85">
        <v>1</v>
      </c>
      <c r="I267" s="80">
        <v>65000</v>
      </c>
    </row>
    <row r="268" spans="1:10" ht="18" customHeight="1" x14ac:dyDescent="0.3">
      <c r="A268" s="82">
        <v>2076</v>
      </c>
      <c r="B268" s="93">
        <v>45959</v>
      </c>
      <c r="C268" s="83" t="s">
        <v>3148</v>
      </c>
      <c r="D268" s="113" t="s">
        <v>2798</v>
      </c>
      <c r="F268" s="120">
        <v>330000</v>
      </c>
      <c r="G268" s="85">
        <v>1</v>
      </c>
      <c r="I268" s="80">
        <v>330000</v>
      </c>
    </row>
    <row r="269" spans="1:10" ht="18" customHeight="1" x14ac:dyDescent="0.3">
      <c r="A269" s="82">
        <v>2077</v>
      </c>
      <c r="B269" s="93">
        <v>45959</v>
      </c>
      <c r="C269" s="83" t="s">
        <v>3148</v>
      </c>
      <c r="D269" s="113" t="s">
        <v>3629</v>
      </c>
      <c r="F269" s="120">
        <v>30000</v>
      </c>
      <c r="G269" s="85">
        <v>1</v>
      </c>
      <c r="I269" s="80">
        <v>30000</v>
      </c>
    </row>
    <row r="270" spans="1:10" ht="18" customHeight="1" x14ac:dyDescent="0.3">
      <c r="A270" s="82">
        <v>2078</v>
      </c>
      <c r="B270" s="93">
        <v>45959</v>
      </c>
      <c r="C270" s="83" t="s">
        <v>4109</v>
      </c>
      <c r="D270" s="113" t="s">
        <v>2918</v>
      </c>
      <c r="F270" s="120">
        <v>396000</v>
      </c>
      <c r="G270" s="85">
        <v>1</v>
      </c>
      <c r="I270" s="80">
        <v>396000</v>
      </c>
    </row>
    <row r="271" spans="1:10" ht="18" customHeight="1" x14ac:dyDescent="0.3">
      <c r="A271" s="82">
        <v>2079</v>
      </c>
      <c r="B271" s="93">
        <v>45959</v>
      </c>
      <c r="C271" s="83" t="s">
        <v>1811</v>
      </c>
      <c r="D271" s="113" t="s">
        <v>1202</v>
      </c>
      <c r="F271" s="120">
        <v>1200000</v>
      </c>
      <c r="G271" s="85">
        <v>1</v>
      </c>
      <c r="H271" s="126">
        <v>120000</v>
      </c>
      <c r="I271" s="80">
        <v>1320000</v>
      </c>
    </row>
    <row r="272" spans="1:10" ht="18" customHeight="1" x14ac:dyDescent="0.3">
      <c r="A272" s="82">
        <v>2080</v>
      </c>
      <c r="B272" s="93">
        <v>45959</v>
      </c>
      <c r="C272" s="83" t="s">
        <v>1811</v>
      </c>
      <c r="D272" s="113" t="s">
        <v>1495</v>
      </c>
      <c r="F272" s="120">
        <v>350000</v>
      </c>
      <c r="G272" s="85">
        <v>1</v>
      </c>
      <c r="H272" s="126">
        <v>35000</v>
      </c>
      <c r="I272" s="80">
        <v>385000</v>
      </c>
    </row>
    <row r="273" spans="1:10" ht="18" customHeight="1" x14ac:dyDescent="0.3">
      <c r="A273" s="82">
        <v>2081</v>
      </c>
      <c r="B273" s="93">
        <v>45959</v>
      </c>
      <c r="C273" s="83" t="s">
        <v>1811</v>
      </c>
      <c r="D273" s="113" t="s">
        <v>1518</v>
      </c>
      <c r="F273" s="120">
        <v>30000</v>
      </c>
      <c r="G273" s="85">
        <v>1</v>
      </c>
      <c r="H273" s="126">
        <v>3000</v>
      </c>
      <c r="I273" s="80">
        <v>33000</v>
      </c>
    </row>
    <row r="274" spans="1:10" ht="18" customHeight="1" x14ac:dyDescent="0.3">
      <c r="A274" s="82">
        <v>2082</v>
      </c>
      <c r="B274" s="93">
        <v>45959</v>
      </c>
      <c r="C274" s="83" t="s">
        <v>4042</v>
      </c>
      <c r="D274" s="113" t="s">
        <v>2417</v>
      </c>
      <c r="F274" s="120">
        <v>1100000</v>
      </c>
      <c r="G274" s="85">
        <v>1</v>
      </c>
      <c r="H274" s="126" t="s">
        <v>3519</v>
      </c>
      <c r="I274" s="80">
        <v>1210000</v>
      </c>
    </row>
    <row r="275" spans="1:10" ht="18" customHeight="1" x14ac:dyDescent="0.3">
      <c r="A275" s="82">
        <v>2083</v>
      </c>
      <c r="B275" s="93">
        <v>45959</v>
      </c>
      <c r="C275" s="83" t="s">
        <v>1746</v>
      </c>
      <c r="D275" s="113" t="s">
        <v>2185</v>
      </c>
      <c r="F275" s="120">
        <v>1000000</v>
      </c>
      <c r="G275" s="85">
        <v>1</v>
      </c>
      <c r="H275" s="126">
        <v>100000</v>
      </c>
      <c r="I275" s="80">
        <v>1100000</v>
      </c>
    </row>
    <row r="276" spans="1:10" ht="18" customHeight="1" x14ac:dyDescent="0.3">
      <c r="A276" s="82">
        <v>2084</v>
      </c>
      <c r="B276" s="93">
        <v>45959</v>
      </c>
      <c r="C276" s="83" t="s">
        <v>1448</v>
      </c>
      <c r="D276" s="113" t="s">
        <v>3463</v>
      </c>
      <c r="F276" s="120">
        <v>526364</v>
      </c>
      <c r="G276" s="85">
        <v>1</v>
      </c>
      <c r="H276" s="126">
        <v>52636</v>
      </c>
      <c r="I276" s="80">
        <v>579000</v>
      </c>
    </row>
    <row r="277" spans="1:10" ht="18" customHeight="1" x14ac:dyDescent="0.3">
      <c r="A277" s="82">
        <v>2085</v>
      </c>
      <c r="B277" s="93">
        <v>45959</v>
      </c>
      <c r="C277" s="83" t="s">
        <v>1448</v>
      </c>
      <c r="D277" s="113" t="s">
        <v>2189</v>
      </c>
      <c r="F277" s="120">
        <v>70000</v>
      </c>
      <c r="G277" s="85">
        <v>1</v>
      </c>
      <c r="H277" s="126">
        <v>7000</v>
      </c>
      <c r="I277" s="80">
        <v>77000</v>
      </c>
    </row>
    <row r="278" spans="1:10" ht="18" customHeight="1" x14ac:dyDescent="0.3">
      <c r="A278" s="82">
        <v>2086</v>
      </c>
      <c r="B278" s="93">
        <v>45959</v>
      </c>
      <c r="C278" s="83" t="s">
        <v>1448</v>
      </c>
      <c r="D278" s="113" t="s">
        <v>2190</v>
      </c>
      <c r="F278" s="120">
        <v>35000</v>
      </c>
      <c r="G278" s="85">
        <v>1</v>
      </c>
      <c r="H278" s="126">
        <v>3500</v>
      </c>
      <c r="I278" s="80">
        <v>38500</v>
      </c>
    </row>
    <row r="279" spans="1:10" ht="18" customHeight="1" x14ac:dyDescent="0.3">
      <c r="A279" s="82">
        <v>2087</v>
      </c>
      <c r="B279" s="93">
        <v>45959</v>
      </c>
      <c r="C279" s="83" t="s">
        <v>4109</v>
      </c>
      <c r="D279" s="113" t="s">
        <v>4143</v>
      </c>
      <c r="J279" s="80">
        <v>-396000</v>
      </c>
    </row>
    <row r="280" spans="1:10" ht="18" customHeight="1" x14ac:dyDescent="0.3">
      <c r="A280" s="82">
        <v>2088</v>
      </c>
      <c r="B280" s="93">
        <v>45959</v>
      </c>
      <c r="C280" s="83" t="s">
        <v>1866</v>
      </c>
      <c r="D280" s="113" t="s">
        <v>3939</v>
      </c>
      <c r="J280" s="80">
        <v>-1200000</v>
      </c>
    </row>
    <row r="281" spans="1:10" ht="18" customHeight="1" x14ac:dyDescent="0.3">
      <c r="A281" s="82">
        <v>2089</v>
      </c>
      <c r="B281" s="93">
        <v>45960</v>
      </c>
      <c r="C281" s="83" t="s">
        <v>1472</v>
      </c>
      <c r="D281" s="113" t="s">
        <v>4125</v>
      </c>
      <c r="J281" s="80">
        <v>-2140000</v>
      </c>
    </row>
    <row r="282" spans="1:10" ht="18" customHeight="1" x14ac:dyDescent="0.3">
      <c r="A282" s="82">
        <v>2090</v>
      </c>
      <c r="B282" s="93">
        <v>45960</v>
      </c>
      <c r="C282" s="83" t="s">
        <v>1579</v>
      </c>
      <c r="D282" s="113" t="s">
        <v>2179</v>
      </c>
      <c r="F282" s="120">
        <v>1500000</v>
      </c>
      <c r="G282" s="85">
        <v>1</v>
      </c>
      <c r="H282" s="126">
        <v>0</v>
      </c>
      <c r="I282" s="80">
        <v>0</v>
      </c>
    </row>
    <row r="283" spans="1:10" ht="18" customHeight="1" x14ac:dyDescent="0.3">
      <c r="A283" s="82">
        <v>2091</v>
      </c>
      <c r="B283" s="93">
        <v>45960</v>
      </c>
      <c r="C283" s="83" t="s">
        <v>1579</v>
      </c>
      <c r="D283" s="113" t="s">
        <v>2180</v>
      </c>
      <c r="F283" s="120">
        <v>50000</v>
      </c>
      <c r="G283" s="85">
        <v>1</v>
      </c>
      <c r="H283" s="126">
        <v>5000</v>
      </c>
      <c r="I283" s="80">
        <v>55000</v>
      </c>
    </row>
    <row r="284" spans="1:10" ht="18" customHeight="1" x14ac:dyDescent="0.3">
      <c r="A284" s="82">
        <v>2092</v>
      </c>
      <c r="B284" s="93">
        <v>45960</v>
      </c>
      <c r="C284" s="83" t="s">
        <v>1472</v>
      </c>
      <c r="D284" s="113" t="s">
        <v>2201</v>
      </c>
      <c r="F284" s="120">
        <v>1900000</v>
      </c>
      <c r="G284" s="85">
        <v>1</v>
      </c>
      <c r="I284" s="80">
        <v>1900000</v>
      </c>
    </row>
    <row r="285" spans="1:10" ht="18" customHeight="1" x14ac:dyDescent="0.3">
      <c r="A285" s="82">
        <v>2093</v>
      </c>
      <c r="B285" s="93">
        <v>45960</v>
      </c>
      <c r="C285" s="83" t="s">
        <v>1472</v>
      </c>
      <c r="D285" s="113" t="s">
        <v>3653</v>
      </c>
      <c r="F285" s="120">
        <v>150000</v>
      </c>
      <c r="G285" s="85">
        <v>1</v>
      </c>
      <c r="I285" s="80">
        <v>150000</v>
      </c>
    </row>
    <row r="286" spans="1:10" ht="18" customHeight="1" x14ac:dyDescent="0.3">
      <c r="A286" s="82">
        <v>2094</v>
      </c>
      <c r="B286" s="93">
        <v>45960</v>
      </c>
      <c r="C286" s="83" t="s">
        <v>1472</v>
      </c>
      <c r="D286" s="113" t="s">
        <v>2417</v>
      </c>
      <c r="F286" s="120">
        <v>1100000</v>
      </c>
      <c r="G286" s="85">
        <v>1</v>
      </c>
      <c r="I286" s="80">
        <v>1100000</v>
      </c>
    </row>
    <row r="287" spans="1:10" ht="18" customHeight="1" x14ac:dyDescent="0.3">
      <c r="A287" s="82">
        <v>2095</v>
      </c>
      <c r="B287" s="93">
        <v>45960</v>
      </c>
      <c r="C287" s="83" t="s">
        <v>2963</v>
      </c>
      <c r="D287" s="113" t="s">
        <v>2918</v>
      </c>
      <c r="F287" s="120">
        <v>360000</v>
      </c>
      <c r="G287" s="85">
        <v>1</v>
      </c>
      <c r="I287" s="80">
        <v>360000</v>
      </c>
    </row>
    <row r="288" spans="1:10" ht="18" customHeight="1" x14ac:dyDescent="0.3">
      <c r="A288" s="82">
        <v>2096</v>
      </c>
      <c r="B288" s="93">
        <v>45960</v>
      </c>
      <c r="C288" s="83" t="s">
        <v>3200</v>
      </c>
      <c r="D288" s="113" t="s">
        <v>2090</v>
      </c>
      <c r="F288" s="120">
        <v>400000</v>
      </c>
      <c r="G288" s="85">
        <v>1</v>
      </c>
      <c r="I288" s="80">
        <v>400000</v>
      </c>
    </row>
    <row r="289" spans="1:10" ht="18" customHeight="1" x14ac:dyDescent="0.3">
      <c r="A289" s="82">
        <v>2097</v>
      </c>
      <c r="B289" s="93">
        <v>45960</v>
      </c>
      <c r="C289" s="83" t="s">
        <v>1746</v>
      </c>
      <c r="D289" s="113" t="s">
        <v>2185</v>
      </c>
      <c r="F289" s="120">
        <v>1000000</v>
      </c>
      <c r="G289" s="85">
        <v>1</v>
      </c>
      <c r="H289" s="126">
        <v>100000</v>
      </c>
      <c r="I289" s="80">
        <v>1100000</v>
      </c>
    </row>
    <row r="290" spans="1:10" ht="18" customHeight="1" x14ac:dyDescent="0.3">
      <c r="A290" s="82">
        <v>2098</v>
      </c>
      <c r="B290" s="93">
        <v>45960</v>
      </c>
      <c r="C290" s="83" t="s">
        <v>1746</v>
      </c>
      <c r="D290" s="113" t="s">
        <v>1518</v>
      </c>
      <c r="F290" s="120">
        <v>20000</v>
      </c>
      <c r="G290" s="85">
        <v>1</v>
      </c>
      <c r="H290" s="126">
        <v>2000</v>
      </c>
      <c r="I290" s="80">
        <v>22000</v>
      </c>
    </row>
    <row r="291" spans="1:10" ht="18" customHeight="1" x14ac:dyDescent="0.3">
      <c r="A291" s="82">
        <v>2099</v>
      </c>
      <c r="B291" s="93">
        <v>45960</v>
      </c>
      <c r="C291" s="83" t="s">
        <v>1576</v>
      </c>
      <c r="D291" s="113" t="s">
        <v>4135</v>
      </c>
      <c r="F291" s="120">
        <v>450000</v>
      </c>
      <c r="G291" s="85">
        <v>1</v>
      </c>
      <c r="H291" s="126">
        <v>45000</v>
      </c>
      <c r="I291" s="80">
        <v>495000</v>
      </c>
    </row>
    <row r="292" spans="1:10" ht="18" customHeight="1" x14ac:dyDescent="0.3">
      <c r="A292" s="82">
        <v>2100</v>
      </c>
      <c r="B292" s="93">
        <v>45960</v>
      </c>
      <c r="C292" s="83" t="s">
        <v>1576</v>
      </c>
      <c r="D292" s="113" t="s">
        <v>1518</v>
      </c>
      <c r="F292" s="120">
        <v>20000</v>
      </c>
      <c r="G292" s="85">
        <v>1</v>
      </c>
      <c r="H292" s="126">
        <v>2000</v>
      </c>
      <c r="I292" s="80">
        <v>22000</v>
      </c>
    </row>
    <row r="293" spans="1:10" ht="18" customHeight="1" x14ac:dyDescent="0.3">
      <c r="A293" s="82">
        <v>2101</v>
      </c>
      <c r="B293" s="93">
        <v>45960</v>
      </c>
      <c r="C293" s="83" t="s">
        <v>1976</v>
      </c>
      <c r="D293" s="113" t="s">
        <v>3220</v>
      </c>
      <c r="F293" s="120">
        <v>1000000</v>
      </c>
      <c r="G293" s="85">
        <v>1</v>
      </c>
      <c r="H293" s="126">
        <v>100000</v>
      </c>
      <c r="I293" s="80">
        <v>1100000</v>
      </c>
    </row>
    <row r="294" spans="1:10" ht="18" customHeight="1" x14ac:dyDescent="0.3">
      <c r="A294" s="82">
        <v>2102</v>
      </c>
      <c r="B294" s="93">
        <v>45960</v>
      </c>
      <c r="C294" s="83" t="s">
        <v>4063</v>
      </c>
      <c r="D294" s="113" t="s">
        <v>3220</v>
      </c>
      <c r="F294" s="120">
        <v>1200000</v>
      </c>
      <c r="G294" s="85">
        <v>1</v>
      </c>
      <c r="I294" s="80">
        <v>1200000</v>
      </c>
    </row>
    <row r="295" spans="1:10" ht="18" customHeight="1" x14ac:dyDescent="0.3">
      <c r="A295" s="82">
        <v>2103</v>
      </c>
      <c r="B295" s="93">
        <v>45960</v>
      </c>
      <c r="C295" s="83" t="s">
        <v>4063</v>
      </c>
      <c r="D295" s="113" t="s">
        <v>1518</v>
      </c>
      <c r="F295" s="120">
        <v>20000</v>
      </c>
      <c r="G295" s="85">
        <v>1</v>
      </c>
      <c r="I295" s="80">
        <v>20000</v>
      </c>
    </row>
    <row r="296" spans="1:10" ht="18" customHeight="1" x14ac:dyDescent="0.3">
      <c r="A296" s="82">
        <v>2104</v>
      </c>
      <c r="B296" s="93">
        <v>45960</v>
      </c>
      <c r="C296" s="83" t="s">
        <v>1305</v>
      </c>
      <c r="D296" s="113" t="s">
        <v>3050</v>
      </c>
      <c r="F296" s="120">
        <v>1000000</v>
      </c>
      <c r="G296" s="85">
        <v>1</v>
      </c>
      <c r="I296" s="80">
        <v>1000000</v>
      </c>
    </row>
    <row r="297" spans="1:10" ht="18" customHeight="1" x14ac:dyDescent="0.3">
      <c r="A297" s="82">
        <v>2105</v>
      </c>
      <c r="B297" s="93">
        <v>45960</v>
      </c>
      <c r="C297" s="83" t="s">
        <v>2703</v>
      </c>
      <c r="D297" s="113" t="s">
        <v>4127</v>
      </c>
      <c r="F297" s="120">
        <v>800000</v>
      </c>
      <c r="G297" s="85">
        <v>1</v>
      </c>
      <c r="H297" s="126">
        <v>80000</v>
      </c>
      <c r="I297" s="80">
        <v>880000</v>
      </c>
    </row>
    <row r="298" spans="1:10" ht="18" customHeight="1" x14ac:dyDescent="0.3">
      <c r="A298" s="82">
        <v>2106</v>
      </c>
      <c r="B298" s="93">
        <v>45960</v>
      </c>
      <c r="C298" s="83" t="s">
        <v>1670</v>
      </c>
      <c r="D298" s="113" t="s">
        <v>1202</v>
      </c>
      <c r="F298" s="120">
        <v>1200000</v>
      </c>
      <c r="G298" s="85">
        <v>1</v>
      </c>
      <c r="H298" s="126">
        <v>120000</v>
      </c>
      <c r="I298" s="80">
        <v>1320000</v>
      </c>
    </row>
    <row r="299" spans="1:10" ht="18" customHeight="1" x14ac:dyDescent="0.3">
      <c r="A299" s="82">
        <v>2107</v>
      </c>
      <c r="B299" s="93">
        <v>45960</v>
      </c>
      <c r="C299" s="83" t="s">
        <v>1670</v>
      </c>
      <c r="D299" s="113" t="s">
        <v>1495</v>
      </c>
      <c r="F299" s="120">
        <v>350000</v>
      </c>
      <c r="G299" s="85">
        <v>1</v>
      </c>
      <c r="H299" s="126">
        <v>35000</v>
      </c>
      <c r="I299" s="80">
        <v>385000</v>
      </c>
    </row>
    <row r="300" spans="1:10" ht="18" customHeight="1" x14ac:dyDescent="0.3">
      <c r="A300" s="82">
        <v>2108</v>
      </c>
      <c r="B300" s="93">
        <v>45960</v>
      </c>
      <c r="C300" s="83" t="s">
        <v>1746</v>
      </c>
      <c r="D300" s="113" t="s">
        <v>2189</v>
      </c>
      <c r="F300" s="120">
        <v>70000</v>
      </c>
      <c r="G300" s="85">
        <v>1</v>
      </c>
      <c r="H300" s="126">
        <v>7000</v>
      </c>
      <c r="I300" s="80">
        <v>77000</v>
      </c>
    </row>
    <row r="301" spans="1:10" ht="18" customHeight="1" x14ac:dyDescent="0.3">
      <c r="A301" s="82">
        <v>2109</v>
      </c>
      <c r="B301" s="93">
        <v>45960</v>
      </c>
      <c r="C301" s="83" t="s">
        <v>1746</v>
      </c>
      <c r="D301" s="113" t="s">
        <v>2187</v>
      </c>
      <c r="F301" s="120">
        <v>130000</v>
      </c>
      <c r="G301" s="85">
        <v>1</v>
      </c>
      <c r="H301" s="126">
        <v>13000</v>
      </c>
      <c r="I301" s="80">
        <v>143000</v>
      </c>
    </row>
    <row r="302" spans="1:10" ht="18" customHeight="1" x14ac:dyDescent="0.3">
      <c r="A302" s="82">
        <v>2110</v>
      </c>
      <c r="B302" s="93">
        <v>45960</v>
      </c>
      <c r="C302" s="83" t="s">
        <v>1746</v>
      </c>
      <c r="D302" s="113" t="s">
        <v>2190</v>
      </c>
      <c r="F302" s="120">
        <v>35000</v>
      </c>
      <c r="G302" s="85">
        <v>2</v>
      </c>
      <c r="H302" s="126">
        <v>7000</v>
      </c>
      <c r="I302" s="80">
        <v>77000</v>
      </c>
    </row>
    <row r="303" spans="1:10" ht="18" customHeight="1" x14ac:dyDescent="0.3">
      <c r="A303" s="82">
        <v>2111</v>
      </c>
      <c r="B303" s="93">
        <v>45960</v>
      </c>
      <c r="C303" s="83" t="s">
        <v>1789</v>
      </c>
      <c r="D303" s="113" t="s">
        <v>4144</v>
      </c>
      <c r="J303" s="80">
        <v>-3000000</v>
      </c>
    </row>
    <row r="304" spans="1:10" ht="18" customHeight="1" x14ac:dyDescent="0.3">
      <c r="A304" s="82">
        <v>2112</v>
      </c>
      <c r="B304" s="93">
        <v>45960</v>
      </c>
      <c r="C304" s="83" t="s">
        <v>4042</v>
      </c>
      <c r="D304" s="113" t="s">
        <v>1125</v>
      </c>
      <c r="J304" s="80">
        <v>-1210000</v>
      </c>
    </row>
    <row r="305" spans="1:10" ht="18" customHeight="1" x14ac:dyDescent="0.3">
      <c r="A305" s="82">
        <v>2113</v>
      </c>
      <c r="B305" s="93">
        <v>45960</v>
      </c>
      <c r="C305" s="83" t="s">
        <v>3148</v>
      </c>
      <c r="D305" s="113" t="s">
        <v>4150</v>
      </c>
      <c r="J305" s="80">
        <v>-675000</v>
      </c>
    </row>
    <row r="306" spans="1:10" ht="18" customHeight="1" x14ac:dyDescent="0.3">
      <c r="A306" s="82">
        <v>2114</v>
      </c>
      <c r="B306" s="93">
        <v>45960</v>
      </c>
      <c r="C306" s="83" t="s">
        <v>1976</v>
      </c>
      <c r="D306" s="113" t="s">
        <v>4154</v>
      </c>
      <c r="J306" s="80">
        <v>-1100000</v>
      </c>
    </row>
    <row r="307" spans="1:10" ht="18" customHeight="1" x14ac:dyDescent="0.3">
      <c r="A307" s="82">
        <v>2115</v>
      </c>
      <c r="B307" s="93">
        <v>45960</v>
      </c>
      <c r="C307" s="83" t="s">
        <v>1493</v>
      </c>
      <c r="D307" s="113" t="s">
        <v>4151</v>
      </c>
      <c r="J307" s="80">
        <v>-600000</v>
      </c>
    </row>
    <row r="308" spans="1:10" ht="18" customHeight="1" x14ac:dyDescent="0.3">
      <c r="A308" s="82">
        <v>2116</v>
      </c>
      <c r="B308" s="93">
        <v>45960</v>
      </c>
      <c r="C308" s="83" t="s">
        <v>1804</v>
      </c>
      <c r="D308" s="113" t="s">
        <v>3740</v>
      </c>
      <c r="J308" s="80">
        <v>-1320000</v>
      </c>
    </row>
    <row r="309" spans="1:10" ht="18" customHeight="1" x14ac:dyDescent="0.3">
      <c r="A309" s="82">
        <v>2117</v>
      </c>
      <c r="B309" s="93">
        <v>45960</v>
      </c>
      <c r="C309" s="83" t="s">
        <v>1811</v>
      </c>
      <c r="D309" s="113" t="s">
        <v>4162</v>
      </c>
      <c r="J309" s="80">
        <v>-1738000</v>
      </c>
    </row>
    <row r="310" spans="1:10" ht="18" customHeight="1" x14ac:dyDescent="0.3">
      <c r="A310" s="82">
        <v>2118</v>
      </c>
      <c r="B310" s="93">
        <v>45960</v>
      </c>
      <c r="C310" s="83" t="s">
        <v>2703</v>
      </c>
      <c r="D310" s="113" t="s">
        <v>4156</v>
      </c>
      <c r="J310" s="80">
        <v>-880000</v>
      </c>
    </row>
    <row r="311" spans="1:10" ht="18" customHeight="1" x14ac:dyDescent="0.3">
      <c r="A311" s="82">
        <v>2119</v>
      </c>
      <c r="B311" s="93">
        <v>45960</v>
      </c>
      <c r="C311" s="83" t="s">
        <v>2963</v>
      </c>
      <c r="D311" s="113" t="s">
        <v>4158</v>
      </c>
      <c r="J311" s="80">
        <v>-360000</v>
      </c>
    </row>
    <row r="312" spans="1:10" ht="18" customHeight="1" x14ac:dyDescent="0.3">
      <c r="A312" s="82">
        <v>2120</v>
      </c>
      <c r="B312" s="93">
        <v>45960</v>
      </c>
      <c r="C312" s="83" t="s">
        <v>4063</v>
      </c>
      <c r="D312" s="113" t="s">
        <v>4160</v>
      </c>
      <c r="J312" s="80">
        <v>-1220000</v>
      </c>
    </row>
    <row r="313" spans="1:10" ht="18" customHeight="1" x14ac:dyDescent="0.3">
      <c r="A313" s="82">
        <v>2121</v>
      </c>
      <c r="B313" s="93">
        <v>45961</v>
      </c>
      <c r="C313" s="83" t="s">
        <v>1472</v>
      </c>
      <c r="D313" s="113" t="s">
        <v>2179</v>
      </c>
      <c r="F313" s="120">
        <v>1500000</v>
      </c>
      <c r="G313" s="85">
        <v>1</v>
      </c>
      <c r="I313" s="120">
        <v>1500000</v>
      </c>
    </row>
    <row r="314" spans="1:10" ht="18" customHeight="1" x14ac:dyDescent="0.3">
      <c r="A314" s="82">
        <v>2122</v>
      </c>
      <c r="B314" s="93">
        <v>45961</v>
      </c>
      <c r="C314" s="83" t="s">
        <v>4172</v>
      </c>
      <c r="D314" s="113" t="s">
        <v>2383</v>
      </c>
      <c r="F314" s="120">
        <v>700000</v>
      </c>
      <c r="G314" s="85">
        <v>1</v>
      </c>
      <c r="I314" s="80">
        <v>700000</v>
      </c>
    </row>
    <row r="315" spans="1:10" ht="18" customHeight="1" x14ac:dyDescent="0.3">
      <c r="A315" s="82">
        <v>2123</v>
      </c>
      <c r="B315" s="93">
        <v>45961</v>
      </c>
      <c r="C315" s="83" t="s">
        <v>2257</v>
      </c>
      <c r="D315" s="113" t="s">
        <v>2177</v>
      </c>
      <c r="F315" s="120">
        <v>2300000</v>
      </c>
      <c r="G315" s="85">
        <v>1</v>
      </c>
      <c r="I315" s="80">
        <v>2300000</v>
      </c>
    </row>
    <row r="316" spans="1:10" ht="18" customHeight="1" x14ac:dyDescent="0.3">
      <c r="A316" s="82">
        <v>2124</v>
      </c>
      <c r="B316" s="93">
        <v>45961</v>
      </c>
      <c r="C316" s="83" t="s">
        <v>1721</v>
      </c>
      <c r="D316" s="113" t="s">
        <v>4127</v>
      </c>
      <c r="F316" s="120">
        <v>1550000</v>
      </c>
      <c r="G316" s="85">
        <v>1</v>
      </c>
      <c r="I316" s="80">
        <v>1550000</v>
      </c>
    </row>
    <row r="317" spans="1:10" ht="18" customHeight="1" x14ac:dyDescent="0.3">
      <c r="A317" s="82">
        <v>2125</v>
      </c>
      <c r="B317" s="93">
        <v>45961</v>
      </c>
      <c r="C317" s="83" t="s">
        <v>1746</v>
      </c>
      <c r="D317" s="113" t="s">
        <v>2298</v>
      </c>
      <c r="F317" s="120">
        <v>650000</v>
      </c>
      <c r="G317" s="85">
        <v>1</v>
      </c>
      <c r="H317" s="126">
        <v>65000</v>
      </c>
      <c r="I317" s="80">
        <v>715000</v>
      </c>
    </row>
    <row r="318" spans="1:10" ht="18" customHeight="1" x14ac:dyDescent="0.3">
      <c r="A318" s="82">
        <v>2126</v>
      </c>
      <c r="B318" s="93">
        <v>45961</v>
      </c>
      <c r="C318" s="83" t="s">
        <v>1540</v>
      </c>
      <c r="D318" s="113" t="s">
        <v>2090</v>
      </c>
      <c r="F318" s="120">
        <v>450000</v>
      </c>
      <c r="G318" s="85">
        <v>1</v>
      </c>
      <c r="I318" s="80">
        <v>450000</v>
      </c>
    </row>
    <row r="319" spans="1:10" ht="18" customHeight="1" x14ac:dyDescent="0.3">
      <c r="A319" s="82">
        <v>2127</v>
      </c>
      <c r="B319" s="93">
        <v>45961</v>
      </c>
      <c r="C319" s="83" t="s">
        <v>1540</v>
      </c>
      <c r="D319" s="113" t="s">
        <v>1548</v>
      </c>
      <c r="F319" s="120">
        <v>50000</v>
      </c>
      <c r="G319" s="85">
        <v>2</v>
      </c>
      <c r="I319" s="80">
        <v>100000</v>
      </c>
    </row>
    <row r="320" spans="1:10" ht="18" customHeight="1" x14ac:dyDescent="0.3">
      <c r="A320" s="82">
        <v>2128</v>
      </c>
      <c r="B320" s="93">
        <v>45961</v>
      </c>
      <c r="C320" s="83" t="s">
        <v>1579</v>
      </c>
      <c r="D320" s="113" t="s">
        <v>4181</v>
      </c>
      <c r="F320" s="120">
        <v>200000</v>
      </c>
      <c r="G320" s="85">
        <v>1</v>
      </c>
      <c r="I320" s="80">
        <v>200000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3669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13579000</v>
      </c>
      <c r="D2" s="58">
        <f t="shared" ref="D2:D65" si="0">RANK(C2,C:C,0)</f>
        <v>1</v>
      </c>
    </row>
    <row r="3" spans="1:6" x14ac:dyDescent="0.3">
      <c r="B3" s="269" t="s">
        <v>1351</v>
      </c>
      <c r="C3" s="268">
        <f>SUMIF(BTS_매출관리!C:C,B3,BTS_매출관리!I:I)</f>
        <v>6290000</v>
      </c>
      <c r="D3" s="269">
        <f t="shared" si="0"/>
        <v>4</v>
      </c>
    </row>
    <row r="4" spans="1:6" x14ac:dyDescent="0.3">
      <c r="B4" s="58" t="s">
        <v>1278</v>
      </c>
      <c r="C4" s="301">
        <f>SUMIF(BTS_매출관리!C:C,B4,BTS_매출관리!I:I)</f>
        <v>5400000</v>
      </c>
      <c r="D4" s="58">
        <f t="shared" si="0"/>
        <v>6</v>
      </c>
    </row>
    <row r="5" spans="1:6" x14ac:dyDescent="0.3">
      <c r="B5" s="58" t="s">
        <v>1335</v>
      </c>
      <c r="C5" s="301">
        <f>SUMIF(BTS_매출관리!C:C,B5,BTS_매출관리!I:I)</f>
        <v>5705000</v>
      </c>
      <c r="D5" s="58">
        <f t="shared" si="0"/>
        <v>5</v>
      </c>
    </row>
    <row r="6" spans="1:6" x14ac:dyDescent="0.3">
      <c r="B6" s="58" t="s">
        <v>1352</v>
      </c>
      <c r="C6" s="301">
        <f>SUMIF(BTS_매출관리!C:C,B6,BTS_매출관리!I:I)</f>
        <v>7378000</v>
      </c>
      <c r="D6" s="58">
        <f t="shared" si="0"/>
        <v>2</v>
      </c>
    </row>
    <row r="7" spans="1:6" x14ac:dyDescent="0.3">
      <c r="B7" s="58" t="s">
        <v>1289</v>
      </c>
      <c r="C7" s="301">
        <f>SUMIF(BTS_매출관리!C:C,B7,BTS_매출관리!I:I)</f>
        <v>3685000</v>
      </c>
      <c r="D7" s="58">
        <f t="shared" si="0"/>
        <v>9</v>
      </c>
    </row>
    <row r="8" spans="1:6" x14ac:dyDescent="0.3">
      <c r="B8" s="58" t="s">
        <v>1273</v>
      </c>
      <c r="C8" s="301">
        <f>SUMIF(BTS_매출관리!C:C,B8,BTS_매출관리!I:I)</f>
        <v>3872000</v>
      </c>
      <c r="D8" s="58">
        <f t="shared" si="0"/>
        <v>8</v>
      </c>
    </row>
    <row r="9" spans="1:6" x14ac:dyDescent="0.3">
      <c r="B9" s="58" t="s">
        <v>2214</v>
      </c>
      <c r="C9" s="301">
        <f>SUMIF(BTS_매출관리!C:C,B9,BTS_매출관리!I:I)</f>
        <v>2970000</v>
      </c>
      <c r="D9" s="58">
        <f t="shared" si="0"/>
        <v>12</v>
      </c>
    </row>
    <row r="10" spans="1:6" x14ac:dyDescent="0.3">
      <c r="B10" s="269" t="s">
        <v>1323</v>
      </c>
      <c r="C10" s="268">
        <f>SUMIF(BTS_매출관리!C:C,B10,BTS_매출관리!I:I)</f>
        <v>2895000</v>
      </c>
      <c r="D10" s="269">
        <f t="shared" si="0"/>
        <v>13</v>
      </c>
    </row>
    <row r="11" spans="1:6" x14ac:dyDescent="0.3">
      <c r="B11" s="58" t="s">
        <v>1332</v>
      </c>
      <c r="C11" s="301">
        <f>SUMIF(BTS_매출관리!C:C,B11,BTS_매출관리!I:I)</f>
        <v>3300000</v>
      </c>
      <c r="D11" s="58">
        <f t="shared" si="0"/>
        <v>11</v>
      </c>
    </row>
    <row r="12" spans="1:6" x14ac:dyDescent="0.3">
      <c r="B12" s="58" t="s">
        <v>1333</v>
      </c>
      <c r="C12" s="301">
        <f>SUMIF(BTS_매출관리!C:C,B12,BTS_매출관리!I:I)</f>
        <v>3391000</v>
      </c>
      <c r="D12" s="58">
        <f t="shared" si="0"/>
        <v>10</v>
      </c>
      <c r="F12" t="str">
        <f>IF(D12 &lt; 10,,"")</f>
        <v/>
      </c>
    </row>
    <row r="13" spans="1:6" x14ac:dyDescent="0.3">
      <c r="B13" s="269" t="s">
        <v>3400</v>
      </c>
      <c r="C13" s="268">
        <f>SUMIF(BTS_매출관리!C:C,B13,BTS_매출관리!I:I)</f>
        <v>2650000</v>
      </c>
      <c r="D13" s="269">
        <f t="shared" si="0"/>
        <v>14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2420000</v>
      </c>
      <c r="D14" s="58">
        <f t="shared" si="0"/>
        <v>15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2400000</v>
      </c>
      <c r="D15" s="58">
        <f t="shared" si="0"/>
        <v>17</v>
      </c>
    </row>
    <row r="16" spans="1:6" x14ac:dyDescent="0.3">
      <c r="B16" s="269" t="s">
        <v>1314</v>
      </c>
      <c r="C16" s="268">
        <f>SUMIF(BTS_매출관리!C:C,B16,BTS_매출관리!I:I)</f>
        <v>2300000</v>
      </c>
      <c r="D16" s="269">
        <f t="shared" si="0"/>
        <v>20</v>
      </c>
    </row>
    <row r="17" spans="2:18" x14ac:dyDescent="0.3">
      <c r="B17" s="269" t="s">
        <v>1280</v>
      </c>
      <c r="C17" s="268">
        <f>SUMIF(BTS_매출관리!C:C,B17,BTS_매출관리!I:I)</f>
        <v>2310000</v>
      </c>
      <c r="D17" s="269">
        <f t="shared" si="0"/>
        <v>18</v>
      </c>
    </row>
    <row r="18" spans="2:18" x14ac:dyDescent="0.3">
      <c r="B18" s="58" t="s">
        <v>1670</v>
      </c>
      <c r="C18" s="301">
        <f>SUMIF(BTS_매출관리!C:C,B18,BTS_매출관리!I:I)</f>
        <v>4015000</v>
      </c>
      <c r="D18" s="58">
        <f t="shared" si="0"/>
        <v>7</v>
      </c>
    </row>
    <row r="19" spans="2:18" x14ac:dyDescent="0.3">
      <c r="B19" s="58" t="s">
        <v>1148</v>
      </c>
      <c r="C19" s="301">
        <f>SUMIF(BTS_매출관리!C:C,B19,BTS_매출관리!I:I)</f>
        <v>2305000</v>
      </c>
      <c r="D19" s="58">
        <f t="shared" si="0"/>
        <v>19</v>
      </c>
    </row>
    <row r="20" spans="2:18" x14ac:dyDescent="0.3">
      <c r="B20" s="58" t="s">
        <v>1172</v>
      </c>
      <c r="C20" s="301">
        <f>SUMIF(BTS_매출관리!C:C,B20,BTS_매출관리!I:I)</f>
        <v>2250000</v>
      </c>
      <c r="D20" s="58">
        <f t="shared" si="0"/>
        <v>22</v>
      </c>
    </row>
    <row r="21" spans="2:18" x14ac:dyDescent="0.3">
      <c r="B21" s="58" t="s">
        <v>1340</v>
      </c>
      <c r="C21" s="301">
        <f>SUMIF(BTS_매출관리!C:C,B21,BTS_매출관리!I:I)</f>
        <v>6790000</v>
      </c>
      <c r="D21" s="58">
        <f t="shared" si="0"/>
        <v>3</v>
      </c>
      <c r="F21" t="s">
        <v>3695</v>
      </c>
    </row>
    <row r="22" spans="2:18" x14ac:dyDescent="0.3">
      <c r="B22" s="58" t="s">
        <v>1158</v>
      </c>
      <c r="C22" s="301">
        <f>SUMIF(BTS_매출관리!C:C,B22,BTS_매출관리!I:I)</f>
        <v>1943000</v>
      </c>
      <c r="D22" s="58">
        <f t="shared" si="0"/>
        <v>23</v>
      </c>
      <c r="F22" t="s">
        <v>3670</v>
      </c>
      <c r="G22" t="s">
        <v>3801</v>
      </c>
      <c r="I22" t="s">
        <v>3673</v>
      </c>
      <c r="J22" s="303" t="s">
        <v>3713</v>
      </c>
      <c r="O22" t="s">
        <v>3696</v>
      </c>
      <c r="P22">
        <v>2</v>
      </c>
      <c r="Q22" t="s">
        <v>3802</v>
      </c>
    </row>
    <row r="23" spans="2:18" x14ac:dyDescent="0.3">
      <c r="B23" s="269" t="s">
        <v>1094</v>
      </c>
      <c r="C23" s="268">
        <f>SUMIF(BTS_매출관리!C:C,B23,BTS_매출관리!I:I)</f>
        <v>1873000</v>
      </c>
      <c r="D23" s="269">
        <f t="shared" si="0"/>
        <v>24</v>
      </c>
      <c r="F23" t="s">
        <v>3671</v>
      </c>
      <c r="G23" t="s">
        <v>3801</v>
      </c>
      <c r="I23" t="s">
        <v>3675</v>
      </c>
      <c r="J23" s="303" t="s">
        <v>3713</v>
      </c>
      <c r="O23" t="s">
        <v>3697</v>
      </c>
      <c r="P23">
        <v>3</v>
      </c>
      <c r="Q23" t="s">
        <v>3802</v>
      </c>
    </row>
    <row r="24" spans="2:18" x14ac:dyDescent="0.3">
      <c r="B24" s="58" t="s">
        <v>980</v>
      </c>
      <c r="C24" s="301">
        <f>SUMIF(BTS_매출관리!C:C,B24,BTS_매출관리!I:I)</f>
        <v>1848000</v>
      </c>
      <c r="D24" s="58">
        <f t="shared" si="0"/>
        <v>25</v>
      </c>
      <c r="F24" t="s">
        <v>3672</v>
      </c>
      <c r="G24" t="s">
        <v>3801</v>
      </c>
      <c r="I24" t="s">
        <v>3677</v>
      </c>
      <c r="J24" s="303" t="s">
        <v>3713</v>
      </c>
      <c r="O24" t="s">
        <v>3698</v>
      </c>
      <c r="P24">
        <v>2</v>
      </c>
      <c r="Q24" t="s">
        <v>3802</v>
      </c>
    </row>
    <row r="25" spans="2:18" x14ac:dyDescent="0.3">
      <c r="B25" s="58" t="s">
        <v>1035</v>
      </c>
      <c r="C25" s="301">
        <f>SUMIF(BTS_매출관리!C:C,B25,BTS_매출관리!I:I)</f>
        <v>1800000</v>
      </c>
      <c r="D25" s="58">
        <f t="shared" si="0"/>
        <v>26</v>
      </c>
      <c r="F25" t="s">
        <v>3674</v>
      </c>
      <c r="G25" t="s">
        <v>3713</v>
      </c>
      <c r="I25" t="s">
        <v>3680</v>
      </c>
      <c r="J25" s="303" t="s">
        <v>3801</v>
      </c>
      <c r="O25" t="s">
        <v>3699</v>
      </c>
      <c r="P25">
        <v>1</v>
      </c>
      <c r="R25" t="s">
        <v>3801</v>
      </c>
    </row>
    <row r="26" spans="2:18" x14ac:dyDescent="0.3">
      <c r="B26" s="269" t="s">
        <v>1190</v>
      </c>
      <c r="C26" s="268">
        <f>SUMIF(BTS_매출관리!C:C,B26,BTS_매출관리!I:I)</f>
        <v>1750000</v>
      </c>
      <c r="D26" s="269">
        <f t="shared" si="0"/>
        <v>27</v>
      </c>
      <c r="F26" t="s">
        <v>3676</v>
      </c>
      <c r="G26" t="s">
        <v>3801</v>
      </c>
      <c r="I26" t="s">
        <v>3693</v>
      </c>
      <c r="J26" s="303" t="s">
        <v>3732</v>
      </c>
      <c r="O26" t="s">
        <v>3700</v>
      </c>
      <c r="P26">
        <v>2</v>
      </c>
      <c r="Q26" t="s">
        <v>3714</v>
      </c>
    </row>
    <row r="27" spans="2:18" x14ac:dyDescent="0.3">
      <c r="B27" s="269" t="s">
        <v>1341</v>
      </c>
      <c r="C27" s="268">
        <f>SUMIF(BTS_매출관리!C:C,B27,BTS_매출관리!I:I)</f>
        <v>1650000</v>
      </c>
      <c r="D27" s="269">
        <f t="shared" si="0"/>
        <v>29</v>
      </c>
      <c r="F27" t="s">
        <v>3787</v>
      </c>
      <c r="G27" t="s">
        <v>3809</v>
      </c>
      <c r="I27" t="s">
        <v>2859</v>
      </c>
      <c r="J27" s="303" t="s">
        <v>3732</v>
      </c>
      <c r="O27" t="s">
        <v>3701</v>
      </c>
      <c r="P27">
        <v>1</v>
      </c>
      <c r="Q27" t="s">
        <v>3713</v>
      </c>
    </row>
    <row r="28" spans="2:18" x14ac:dyDescent="0.3">
      <c r="B28" s="58" t="s">
        <v>2360</v>
      </c>
      <c r="C28" s="301">
        <f>SUMIF(BTS_매출관리!C:C,B28,BTS_매출관리!I:I)</f>
        <v>1650000</v>
      </c>
      <c r="D28" s="58">
        <f t="shared" si="0"/>
        <v>29</v>
      </c>
      <c r="F28" t="s">
        <v>3679</v>
      </c>
      <c r="G28" t="s">
        <v>3807</v>
      </c>
      <c r="I28" t="s">
        <v>2257</v>
      </c>
      <c r="J28" s="303" t="s">
        <v>3732</v>
      </c>
      <c r="O28" t="s">
        <v>3702</v>
      </c>
      <c r="P28">
        <v>2</v>
      </c>
      <c r="R28" t="s">
        <v>3808</v>
      </c>
    </row>
    <row r="29" spans="2:18" x14ac:dyDescent="0.3">
      <c r="B29" s="269" t="s">
        <v>1373</v>
      </c>
      <c r="C29" s="268">
        <f>SUMIF(BTS_매출관리!C:C,B29,BTS_매출관리!I:I)</f>
        <v>1550000</v>
      </c>
      <c r="D29" s="269">
        <f t="shared" si="0"/>
        <v>31</v>
      </c>
      <c r="F29" t="s">
        <v>3681</v>
      </c>
      <c r="G29" t="s">
        <v>3801</v>
      </c>
      <c r="O29" t="s">
        <v>3703</v>
      </c>
      <c r="P29">
        <v>2</v>
      </c>
      <c r="Q29" t="s">
        <v>3802</v>
      </c>
    </row>
    <row r="30" spans="2:18" x14ac:dyDescent="0.3">
      <c r="B30" s="58" t="s">
        <v>2783</v>
      </c>
      <c r="C30" s="301">
        <f>SUMIF(BTS_매출관리!C:C,B30,BTS_매출관리!I:I)</f>
        <v>1550000</v>
      </c>
      <c r="D30" s="58">
        <f t="shared" si="0"/>
        <v>31</v>
      </c>
      <c r="F30" t="s">
        <v>3682</v>
      </c>
      <c r="G30" t="s">
        <v>3807</v>
      </c>
      <c r="O30" t="s">
        <v>3704</v>
      </c>
      <c r="P30">
        <v>2</v>
      </c>
      <c r="Q30" t="s">
        <v>3731</v>
      </c>
    </row>
    <row r="31" spans="2:18" x14ac:dyDescent="0.3">
      <c r="B31" s="58" t="s">
        <v>1329</v>
      </c>
      <c r="C31" s="301">
        <f>SUMIF(BTS_매출관리!C:C,B31,BTS_매출관리!I:I)</f>
        <v>1500000</v>
      </c>
      <c r="D31" s="58">
        <f t="shared" si="0"/>
        <v>33</v>
      </c>
      <c r="F31" t="s">
        <v>3683</v>
      </c>
      <c r="G31" t="s">
        <v>3801</v>
      </c>
      <c r="O31" t="s">
        <v>3705</v>
      </c>
      <c r="P31">
        <v>1</v>
      </c>
      <c r="R31" t="s">
        <v>3807</v>
      </c>
    </row>
    <row r="32" spans="2:18" x14ac:dyDescent="0.3">
      <c r="B32" s="58" t="s">
        <v>2560</v>
      </c>
      <c r="C32" s="301">
        <f>SUMIF(BTS_매출관리!C:C,B32,BTS_매출관리!I:I)</f>
        <v>1500000</v>
      </c>
      <c r="D32" s="58">
        <f t="shared" si="0"/>
        <v>33</v>
      </c>
      <c r="F32" t="s">
        <v>3684</v>
      </c>
      <c r="G32" t="s">
        <v>3801</v>
      </c>
      <c r="O32" t="s">
        <v>3706</v>
      </c>
      <c r="P32">
        <v>1</v>
      </c>
      <c r="R32" t="s">
        <v>3801</v>
      </c>
    </row>
    <row r="33" spans="2:17" x14ac:dyDescent="0.3">
      <c r="B33" s="269" t="s">
        <v>3632</v>
      </c>
      <c r="C33" s="268">
        <f>SUMIF(BTS_매출관리!C:C,B33,BTS_매출관리!I:I)</f>
        <v>1430000</v>
      </c>
      <c r="D33" s="269">
        <f t="shared" si="0"/>
        <v>36</v>
      </c>
      <c r="F33" t="s">
        <v>3685</v>
      </c>
      <c r="G33" t="s">
        <v>3801</v>
      </c>
      <c r="O33" t="s">
        <v>3707</v>
      </c>
      <c r="P33">
        <v>1</v>
      </c>
      <c r="Q33" t="s">
        <v>3715</v>
      </c>
    </row>
    <row r="34" spans="2:17" x14ac:dyDescent="0.3">
      <c r="B34" s="269" t="s">
        <v>1267</v>
      </c>
      <c r="C34" s="268">
        <f>SUMIF(BTS_매출관리!C:C,B34,BTS_매출관리!I:I)</f>
        <v>1429000</v>
      </c>
      <c r="D34" s="269">
        <f t="shared" si="0"/>
        <v>37</v>
      </c>
      <c r="F34" t="s">
        <v>3686</v>
      </c>
      <c r="G34" t="s">
        <v>3807</v>
      </c>
      <c r="O34" t="s">
        <v>3678</v>
      </c>
      <c r="P34">
        <v>2</v>
      </c>
      <c r="Q34" t="s">
        <v>3802</v>
      </c>
    </row>
    <row r="35" spans="2:17" x14ac:dyDescent="0.3">
      <c r="B35" s="58" t="s">
        <v>1288</v>
      </c>
      <c r="C35" s="301">
        <f>SUMIF(BTS_매출관리!C:C,B35,BTS_매출관리!I:I)</f>
        <v>1400000</v>
      </c>
      <c r="D35" s="58">
        <f t="shared" si="0"/>
        <v>38</v>
      </c>
      <c r="F35" t="s">
        <v>3687</v>
      </c>
      <c r="G35" t="s">
        <v>3807</v>
      </c>
      <c r="O35" t="s">
        <v>3708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1320000</v>
      </c>
      <c r="D36" s="58">
        <f t="shared" si="0"/>
        <v>39</v>
      </c>
      <c r="F36" t="s">
        <v>3688</v>
      </c>
      <c r="G36" t="s">
        <v>3801</v>
      </c>
      <c r="O36" t="s">
        <v>3709</v>
      </c>
      <c r="P36">
        <v>1</v>
      </c>
      <c r="Q36" t="s">
        <v>3802</v>
      </c>
    </row>
    <row r="37" spans="2:17" x14ac:dyDescent="0.3">
      <c r="B37" s="58" t="s">
        <v>1275</v>
      </c>
      <c r="C37" s="301">
        <f>SUMIF(BTS_매출관리!C:C,B37,BTS_매출관리!I:I)</f>
        <v>2420000</v>
      </c>
      <c r="D37" s="58">
        <f t="shared" si="0"/>
        <v>15</v>
      </c>
      <c r="F37" t="s">
        <v>3689</v>
      </c>
      <c r="G37" t="s">
        <v>3801</v>
      </c>
    </row>
    <row r="38" spans="2:17" x14ac:dyDescent="0.3">
      <c r="B38" s="58" t="s">
        <v>1325</v>
      </c>
      <c r="C38" s="301">
        <f>SUMIF(BTS_매출관리!C:C,B38,BTS_매출관리!I:I)</f>
        <v>1300000</v>
      </c>
      <c r="D38" s="58">
        <f t="shared" si="0"/>
        <v>40</v>
      </c>
      <c r="F38" t="s">
        <v>3690</v>
      </c>
      <c r="G38" t="s">
        <v>3807</v>
      </c>
    </row>
    <row r="39" spans="2:17" x14ac:dyDescent="0.3">
      <c r="B39" s="58" t="s">
        <v>1023</v>
      </c>
      <c r="C39" s="301">
        <f>SUMIF(BTS_매출관리!C:C,B39,BTS_매출관리!I:I)</f>
        <v>1200000</v>
      </c>
      <c r="D39" s="58">
        <f t="shared" si="0"/>
        <v>42</v>
      </c>
      <c r="F39" t="s">
        <v>3691</v>
      </c>
      <c r="G39" t="s">
        <v>3807</v>
      </c>
    </row>
    <row r="40" spans="2:17" x14ac:dyDescent="0.3">
      <c r="B40" s="58" t="s">
        <v>1295</v>
      </c>
      <c r="C40" s="301">
        <f>SUMIF(BTS_매출관리!C:C,B40,BTS_매출관리!I:I)</f>
        <v>1200000</v>
      </c>
      <c r="D40" s="58">
        <f t="shared" si="0"/>
        <v>42</v>
      </c>
      <c r="F40" t="s">
        <v>3692</v>
      </c>
      <c r="G40" t="s">
        <v>3807</v>
      </c>
    </row>
    <row r="41" spans="2:17" x14ac:dyDescent="0.3">
      <c r="B41" s="269" t="s">
        <v>1007</v>
      </c>
      <c r="C41" s="268">
        <f>SUMIF(BTS_매출관리!C:C,B41,BTS_매출관리!I:I)</f>
        <v>1150000</v>
      </c>
      <c r="D41" s="269">
        <f t="shared" si="0"/>
        <v>44</v>
      </c>
      <c r="F41" t="s">
        <v>3694</v>
      </c>
      <c r="G41" t="s">
        <v>3801</v>
      </c>
    </row>
    <row r="42" spans="2:17" x14ac:dyDescent="0.3">
      <c r="B42" s="58" t="s">
        <v>1487</v>
      </c>
      <c r="C42" s="301">
        <f>SUMIF(BTS_매출관리!C:C,B42,BTS_매출관리!I:I)</f>
        <v>1100000</v>
      </c>
      <c r="D42" s="58">
        <f t="shared" si="0"/>
        <v>45</v>
      </c>
      <c r="F42" t="s">
        <v>1327</v>
      </c>
      <c r="G42" t="s">
        <v>3807</v>
      </c>
    </row>
    <row r="43" spans="2:17" x14ac:dyDescent="0.3">
      <c r="B43" s="269" t="s">
        <v>1233</v>
      </c>
      <c r="C43" s="268">
        <f>SUMIF(BTS_매출관리!C:C,B43,BTS_매출관리!I:I)</f>
        <v>1500000</v>
      </c>
      <c r="D43" s="269">
        <f t="shared" si="0"/>
        <v>33</v>
      </c>
      <c r="F43" t="s">
        <v>3788</v>
      </c>
      <c r="G43" t="s">
        <v>3801</v>
      </c>
    </row>
    <row r="44" spans="2:17" x14ac:dyDescent="0.3">
      <c r="B44" s="58" t="s">
        <v>1286</v>
      </c>
      <c r="C44" s="301">
        <f>SUMIF(BTS_매출관리!C:C,B44,BTS_매출관리!I:I)</f>
        <v>1296000</v>
      </c>
      <c r="D44" s="58">
        <f t="shared" si="0"/>
        <v>41</v>
      </c>
      <c r="F44" t="s">
        <v>3789</v>
      </c>
      <c r="G44" t="s">
        <v>3801</v>
      </c>
    </row>
    <row r="45" spans="2:17" x14ac:dyDescent="0.3">
      <c r="B45" s="269" t="s">
        <v>1319</v>
      </c>
      <c r="C45" s="268">
        <f>SUMIF(BTS_매출관리!C:C,B45,BTS_매출관리!I:I)</f>
        <v>835000</v>
      </c>
      <c r="D45" s="269">
        <f t="shared" si="0"/>
        <v>48</v>
      </c>
      <c r="F45" t="s">
        <v>3790</v>
      </c>
      <c r="G45" t="s">
        <v>3801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800000</v>
      </c>
      <c r="D46" s="269">
        <f t="shared" si="0"/>
        <v>49</v>
      </c>
      <c r="F46" t="s">
        <v>3803</v>
      </c>
      <c r="G46" t="s">
        <v>3801</v>
      </c>
    </row>
    <row r="47" spans="2:17" x14ac:dyDescent="0.3">
      <c r="B47" s="269" t="s">
        <v>1889</v>
      </c>
      <c r="C47" s="268">
        <f>SUMIF(BTS_매출관리!C:C,B47,BTS_매출관리!I:I)</f>
        <v>650000</v>
      </c>
      <c r="D47" s="269">
        <f t="shared" si="0"/>
        <v>51</v>
      </c>
      <c r="F47" s="58" t="s">
        <v>1035</v>
      </c>
      <c r="G47" t="s">
        <v>3801</v>
      </c>
      <c r="K47" t="s">
        <v>3801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650000</v>
      </c>
      <c r="D48" s="269">
        <f t="shared" si="0"/>
        <v>51</v>
      </c>
      <c r="F48" s="58" t="s">
        <v>1356</v>
      </c>
      <c r="G48" t="s">
        <v>3807</v>
      </c>
      <c r="K48" t="s">
        <v>3807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350000</v>
      </c>
      <c r="D49" s="58">
        <f t="shared" si="0"/>
        <v>55</v>
      </c>
      <c r="F49" t="s">
        <v>1320</v>
      </c>
      <c r="G49" t="s">
        <v>3807</v>
      </c>
    </row>
    <row r="50" spans="2:7" x14ac:dyDescent="0.3">
      <c r="B50" s="269" t="s">
        <v>1294</v>
      </c>
      <c r="C50" s="268">
        <f>SUMIF(BTS_매출관리!C:C,B50,BTS_매출관리!I:I)</f>
        <v>540000</v>
      </c>
      <c r="D50" s="269">
        <f t="shared" si="0"/>
        <v>53</v>
      </c>
    </row>
    <row r="51" spans="2:7" x14ac:dyDescent="0.3">
      <c r="B51" s="269" t="s">
        <v>1318</v>
      </c>
      <c r="C51" s="268">
        <f>SUMIF(BTS_매출관리!C:C,B51,BTS_매출관리!I:I)</f>
        <v>220000</v>
      </c>
      <c r="D51" s="269">
        <f t="shared" si="0"/>
        <v>56</v>
      </c>
    </row>
    <row r="52" spans="2:7" x14ac:dyDescent="0.3">
      <c r="B52" t="s">
        <v>3267</v>
      </c>
      <c r="C52" s="300">
        <f>SUMIF(BTS_매출관리!C:C,B52,BTS_매출관리!I:I)</f>
        <v>200000</v>
      </c>
      <c r="D52">
        <f t="shared" si="0"/>
        <v>57</v>
      </c>
    </row>
    <row r="53" spans="2:7" x14ac:dyDescent="0.3">
      <c r="B53" t="s">
        <v>2486</v>
      </c>
      <c r="C53" s="300">
        <f>SUMIF(BTS_매출관리!C:C,B53,BTS_매출관리!I:I)</f>
        <v>150000</v>
      </c>
      <c r="D53">
        <f t="shared" si="0"/>
        <v>58</v>
      </c>
    </row>
    <row r="54" spans="2:7" x14ac:dyDescent="0.3">
      <c r="B54" t="s">
        <v>1354</v>
      </c>
      <c r="C54" s="300">
        <f>SUMIF(BTS_매출관리!C:C,B54,BTS_매출관리!I:I)</f>
        <v>143000</v>
      </c>
      <c r="D54">
        <f t="shared" si="0"/>
        <v>59</v>
      </c>
    </row>
    <row r="55" spans="2:7" x14ac:dyDescent="0.3">
      <c r="B55" t="s">
        <v>2703</v>
      </c>
      <c r="C55" s="52">
        <f>SUMIF(BTS_매출관리!C:C,B55,BTS_매출관리!I:I)</f>
        <v>990000</v>
      </c>
      <c r="D55">
        <f t="shared" si="0"/>
        <v>47</v>
      </c>
    </row>
    <row r="56" spans="2:7" x14ac:dyDescent="0.3">
      <c r="B56" s="47" t="s">
        <v>1018</v>
      </c>
      <c r="C56" s="302">
        <f>SUMIF(BTS_매출관리!C:C,B56,BTS_매출관리!I:I)</f>
        <v>80000</v>
      </c>
      <c r="D56" s="47">
        <f t="shared" si="0"/>
        <v>60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61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61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61</v>
      </c>
    </row>
    <row r="60" spans="2:7" x14ac:dyDescent="0.3">
      <c r="B60" s="47" t="s">
        <v>1306</v>
      </c>
      <c r="C60" s="302">
        <f>SUMIF(BTS_매출관리!C:C,B60,BTS_매출관리!I:I)</f>
        <v>1000000</v>
      </c>
      <c r="D60" s="47">
        <f t="shared" si="0"/>
        <v>46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61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61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61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61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61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61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61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61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61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61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61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61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61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61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61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61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61</v>
      </c>
    </row>
    <row r="78" spans="2:4" x14ac:dyDescent="0.3">
      <c r="B78" t="s">
        <v>1350</v>
      </c>
      <c r="C78" s="52">
        <f>SUMIF(BTS_매출관리!C:C,B78,BTS_매출관리!I:I)</f>
        <v>1738000</v>
      </c>
      <c r="D78">
        <f t="shared" si="1"/>
        <v>28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61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61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61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61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61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61</v>
      </c>
    </row>
    <row r="85" spans="2:4" x14ac:dyDescent="0.3">
      <c r="B85" t="s">
        <v>3542</v>
      </c>
      <c r="C85" s="52">
        <f>SUMIF(BTS_매출관리!C:C,B85,BTS_매출관리!I:I)</f>
        <v>0</v>
      </c>
      <c r="D85">
        <f t="shared" si="1"/>
        <v>61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61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61</v>
      </c>
    </row>
    <row r="88" spans="2:4" x14ac:dyDescent="0.3">
      <c r="B88" t="s">
        <v>2257</v>
      </c>
      <c r="C88" s="52">
        <f>SUMIF(BTS_매출관리!C:C,B88,BTS_매출관리!I:I)</f>
        <v>2300000</v>
      </c>
      <c r="D88">
        <f t="shared" si="1"/>
        <v>20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61</v>
      </c>
    </row>
    <row r="90" spans="2:4" x14ac:dyDescent="0.3">
      <c r="B90" t="s">
        <v>2868</v>
      </c>
      <c r="C90" s="52">
        <f>SUMIF(BTS_매출관리!C:C,B90,BTS_매출관리!I:I)</f>
        <v>0</v>
      </c>
      <c r="D90">
        <f t="shared" si="1"/>
        <v>61</v>
      </c>
    </row>
    <row r="91" spans="2:4" x14ac:dyDescent="0.3">
      <c r="B91" t="s">
        <v>2364</v>
      </c>
      <c r="C91" s="52">
        <f>SUMIF(BTS_매출관리!C:C,B91,BTS_매출관리!I:I)</f>
        <v>0</v>
      </c>
      <c r="D91">
        <f t="shared" si="1"/>
        <v>61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61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61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61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61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61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61</v>
      </c>
    </row>
    <row r="98" spans="2:4" x14ac:dyDescent="0.3">
      <c r="B98" t="s">
        <v>2016</v>
      </c>
      <c r="C98" s="52">
        <f>SUMIF(BTS_매출관리!C:C,B98,BTS_매출관리!I:I)</f>
        <v>0</v>
      </c>
      <c r="D98">
        <f t="shared" si="1"/>
        <v>61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61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61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61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61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61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61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61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61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61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61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61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61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61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61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61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61</v>
      </c>
    </row>
    <row r="115" spans="2:4" x14ac:dyDescent="0.3">
      <c r="B115" t="s">
        <v>1328</v>
      </c>
      <c r="C115" s="52">
        <f>SUMIF(BTS_매출관리!C:C,B115,BTS_매출관리!I:I)</f>
        <v>0</v>
      </c>
      <c r="D115">
        <f t="shared" si="1"/>
        <v>61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61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61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61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61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61</v>
      </c>
    </row>
    <row r="121" spans="2:4" x14ac:dyDescent="0.3">
      <c r="B121" t="s">
        <v>2591</v>
      </c>
      <c r="C121" s="300">
        <f>SUMIF(BTS_매출관리!C:C,B121,BTS_매출관리!I:I)</f>
        <v>0</v>
      </c>
      <c r="D121">
        <f t="shared" si="1"/>
        <v>61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61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61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61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61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61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61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61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61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61</v>
      </c>
    </row>
    <row r="131" spans="2:4" x14ac:dyDescent="0.3">
      <c r="B131" t="s">
        <v>3573</v>
      </c>
      <c r="C131" s="52">
        <f>SUMIF(BTS_매출관리!C:C,B131,BTS_매출관리!I:I)</f>
        <v>0</v>
      </c>
      <c r="D131">
        <f t="shared" si="2"/>
        <v>61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61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61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61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61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61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61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61</v>
      </c>
    </row>
    <row r="139" spans="2:4" x14ac:dyDescent="0.3">
      <c r="B139" t="s">
        <v>1296</v>
      </c>
      <c r="C139" s="300">
        <f>SUMIF(BTS_매출관리!C:C,B139,BTS_매출관리!I:I)</f>
        <v>675000</v>
      </c>
      <c r="D139">
        <f t="shared" si="2"/>
        <v>50</v>
      </c>
    </row>
    <row r="140" spans="2:4" x14ac:dyDescent="0.3">
      <c r="B140" t="s">
        <v>2467</v>
      </c>
      <c r="C140" s="52">
        <f>SUMIF(BTS_매출관리!C:C,B140,BTS_매출관리!I:I)</f>
        <v>0</v>
      </c>
      <c r="D140">
        <f t="shared" si="2"/>
        <v>61</v>
      </c>
    </row>
    <row r="141" spans="2:4" x14ac:dyDescent="0.3">
      <c r="B141" t="s">
        <v>1313</v>
      </c>
      <c r="C141" s="300">
        <f>SUMIF(BTS_매출관리!C:C,B141,BTS_매출관리!I:I)</f>
        <v>0</v>
      </c>
      <c r="D141">
        <f t="shared" si="2"/>
        <v>61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61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61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61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61</v>
      </c>
    </row>
    <row r="146" spans="2:4" x14ac:dyDescent="0.3">
      <c r="B146" t="s">
        <v>2052</v>
      </c>
      <c r="C146" s="52">
        <f>SUMIF(BTS_매출관리!C:C,B146,BTS_매출관리!I:I)</f>
        <v>0</v>
      </c>
      <c r="D146">
        <f t="shared" si="2"/>
        <v>61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61</v>
      </c>
    </row>
    <row r="148" spans="2:4" x14ac:dyDescent="0.3">
      <c r="B148" t="s">
        <v>3501</v>
      </c>
      <c r="C148" s="52">
        <f>SUMIF(BTS_매출관리!C:C,B148,BTS_매출관리!I:I)</f>
        <v>0</v>
      </c>
      <c r="D148">
        <f t="shared" si="2"/>
        <v>61</v>
      </c>
    </row>
    <row r="149" spans="2:4" x14ac:dyDescent="0.3">
      <c r="B149" t="s">
        <v>2963</v>
      </c>
      <c r="C149" s="52">
        <f>SUMIF(BTS_매출관리!C:C,B149,BTS_매출관리!I:I)</f>
        <v>360000</v>
      </c>
      <c r="D149">
        <f t="shared" si="2"/>
        <v>54</v>
      </c>
    </row>
    <row r="150" spans="2:4" x14ac:dyDescent="0.3">
      <c r="B150" t="s">
        <v>3723</v>
      </c>
      <c r="C150" s="52">
        <f>SUMIF(BTS_매출관리!C:C,B150,BTS_매출관리!I:I)</f>
        <v>0</v>
      </c>
      <c r="D150">
        <f t="shared" si="2"/>
        <v>61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61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61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61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61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61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61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61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61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61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61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61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61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61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61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61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61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61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61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61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61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61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61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61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61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61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61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61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61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61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61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61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61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61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61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61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61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61</v>
      </c>
    </row>
    <row r="188" spans="2:4" x14ac:dyDescent="0.3">
      <c r="C188" s="52">
        <f>SUMIF(BTS_매출관리!C:C,B188,BTS_매출관리!I:I)</f>
        <v>0</v>
      </c>
      <c r="D188">
        <f t="shared" si="2"/>
        <v>61</v>
      </c>
    </row>
    <row r="189" spans="2:4" x14ac:dyDescent="0.3">
      <c r="C189" s="52">
        <f>SUMIF(BTS_매출관리!C:C,B189,BTS_매출관리!I:I)</f>
        <v>0</v>
      </c>
      <c r="D189">
        <f t="shared" si="2"/>
        <v>61</v>
      </c>
    </row>
    <row r="190" spans="2:4" x14ac:dyDescent="0.3">
      <c r="C190" s="52">
        <f>SUMIF(BTS_매출관리!C:C,B190,BTS_매출관리!I:I)</f>
        <v>0</v>
      </c>
      <c r="D190">
        <f t="shared" si="2"/>
        <v>61</v>
      </c>
    </row>
    <row r="191" spans="2:4" x14ac:dyDescent="0.3">
      <c r="C191" s="52">
        <f>SUMIF(BTS_매출관리!C:C,B191,BTS_매출관리!I:I)</f>
        <v>0</v>
      </c>
      <c r="D191">
        <f t="shared" si="2"/>
        <v>61</v>
      </c>
    </row>
    <row r="192" spans="2:4" x14ac:dyDescent="0.3">
      <c r="C192" s="52">
        <f>SUMIF(BTS_매출관리!C:C,B192,BTS_매출관리!I:I)</f>
        <v>0</v>
      </c>
      <c r="D192">
        <f t="shared" si="2"/>
        <v>61</v>
      </c>
    </row>
    <row r="193" spans="3:4" x14ac:dyDescent="0.3">
      <c r="C193" s="52">
        <f>SUMIF(BTS_매출관리!C:C,B193,BTS_매출관리!I:I)</f>
        <v>0</v>
      </c>
      <c r="D193">
        <f t="shared" si="2"/>
        <v>61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61</v>
      </c>
    </row>
    <row r="195" spans="3:4" x14ac:dyDescent="0.3">
      <c r="C195" s="52">
        <f>SUMIF(BTS_매출관리!C:C,B195,BTS_매출관리!I:I)</f>
        <v>0</v>
      </c>
      <c r="D195">
        <f t="shared" si="3"/>
        <v>61</v>
      </c>
    </row>
    <row r="196" spans="3:4" x14ac:dyDescent="0.3">
      <c r="C196" s="52">
        <f>SUMIF(BTS_매출관리!C:C,B196,BTS_매출관리!I:I)</f>
        <v>0</v>
      </c>
      <c r="D196">
        <f t="shared" si="3"/>
        <v>61</v>
      </c>
    </row>
    <row r="197" spans="3:4" x14ac:dyDescent="0.3">
      <c r="C197" s="52">
        <f>SUMIF(BTS_매출관리!C:C,B197,BTS_매출관리!I:I)</f>
        <v>0</v>
      </c>
      <c r="D197">
        <f t="shared" si="3"/>
        <v>61</v>
      </c>
    </row>
    <row r="198" spans="3:4" x14ac:dyDescent="0.3">
      <c r="C198" s="52">
        <f>SUMIF(BTS_매출관리!C:C,B198,BTS_매출관리!I:I)</f>
        <v>0</v>
      </c>
      <c r="D198">
        <f t="shared" si="3"/>
        <v>61</v>
      </c>
    </row>
    <row r="199" spans="3:4" x14ac:dyDescent="0.3">
      <c r="C199" s="52">
        <f>SUMIF(BTS_매출관리!C:C,B199,BTS_매출관리!I:I)</f>
        <v>0</v>
      </c>
      <c r="D199">
        <f t="shared" si="3"/>
        <v>61</v>
      </c>
    </row>
    <row r="200" spans="3:4" x14ac:dyDescent="0.3">
      <c r="C200" s="52">
        <f>SUMIF(BTS_매출관리!C:C,B200,BTS_매출관리!I:I)</f>
        <v>0</v>
      </c>
      <c r="D200">
        <f t="shared" si="3"/>
        <v>61</v>
      </c>
    </row>
    <row r="201" spans="3:4" x14ac:dyDescent="0.3">
      <c r="C201" s="52">
        <f>SUMIF(BTS_매출관리!C:C,B201,BTS_매출관리!I:I)</f>
        <v>0</v>
      </c>
      <c r="D201">
        <f t="shared" si="3"/>
        <v>61</v>
      </c>
    </row>
    <row r="202" spans="3:4" x14ac:dyDescent="0.3">
      <c r="C202" s="52">
        <f>SUMIF(BTS_매출관리!C:C,B202,BTS_매출관리!I:I)</f>
        <v>0</v>
      </c>
      <c r="D202">
        <f t="shared" si="3"/>
        <v>61</v>
      </c>
    </row>
    <row r="203" spans="3:4" x14ac:dyDescent="0.3">
      <c r="C203" s="52">
        <f>SUMIF(BTS_매출관리!C:C,B203,BTS_매출관리!I:I)</f>
        <v>0</v>
      </c>
      <c r="D203">
        <f t="shared" si="3"/>
        <v>61</v>
      </c>
    </row>
    <row r="204" spans="3:4" x14ac:dyDescent="0.3">
      <c r="C204" s="52">
        <f>SUMIF(BTS_매출관리!C:C,B204,BTS_매출관리!I:I)</f>
        <v>0</v>
      </c>
      <c r="D204">
        <f t="shared" si="3"/>
        <v>61</v>
      </c>
    </row>
    <row r="205" spans="3:4" x14ac:dyDescent="0.3">
      <c r="C205" s="52">
        <f>SUMIF(BTS_매출관리!C:C,B205,BTS_매출관리!I:I)</f>
        <v>0</v>
      </c>
      <c r="D205">
        <f t="shared" si="3"/>
        <v>61</v>
      </c>
    </row>
    <row r="206" spans="3:4" x14ac:dyDescent="0.3">
      <c r="C206" s="52">
        <f>SUMIF(BTS_매출관리!C:C,B206,BTS_매출관리!I:I)</f>
        <v>0</v>
      </c>
      <c r="D206">
        <f t="shared" si="3"/>
        <v>61</v>
      </c>
    </row>
    <row r="207" spans="3:4" x14ac:dyDescent="0.3">
      <c r="C207" s="52">
        <f>SUMIF(BTS_매출관리!C:C,B207,BTS_매출관리!I:I)</f>
        <v>0</v>
      </c>
      <c r="D207">
        <f t="shared" si="3"/>
        <v>61</v>
      </c>
    </row>
    <row r="208" spans="3:4" x14ac:dyDescent="0.3">
      <c r="C208" s="52">
        <f>SUMIF(BTS_매출관리!C:C,B208,BTS_매출관리!I:I)</f>
        <v>0</v>
      </c>
      <c r="D208">
        <f t="shared" si="3"/>
        <v>61</v>
      </c>
    </row>
    <row r="209" spans="3:4" x14ac:dyDescent="0.3">
      <c r="C209" s="52">
        <f>SUMIF(BTS_매출관리!C:C,B209,BTS_매출관리!I:I)</f>
        <v>0</v>
      </c>
      <c r="D209">
        <f t="shared" si="3"/>
        <v>61</v>
      </c>
    </row>
    <row r="210" spans="3:4" x14ac:dyDescent="0.3">
      <c r="C210" s="52">
        <f>SUMIF(BTS_매출관리!C:C,B210,BTS_매출관리!I:I)</f>
        <v>0</v>
      </c>
      <c r="D210">
        <f t="shared" si="3"/>
        <v>61</v>
      </c>
    </row>
    <row r="211" spans="3:4" x14ac:dyDescent="0.3">
      <c r="C211" s="52">
        <f>SUMIF(BTS_매출관리!C:C,B211,BTS_매출관리!I:I)</f>
        <v>0</v>
      </c>
      <c r="D211">
        <f t="shared" si="3"/>
        <v>61</v>
      </c>
    </row>
    <row r="212" spans="3:4" x14ac:dyDescent="0.3">
      <c r="C212" s="52">
        <f>SUMIF(BTS_매출관리!C:C,B212,BTS_매출관리!I:I)</f>
        <v>0</v>
      </c>
      <c r="D212">
        <f t="shared" si="3"/>
        <v>61</v>
      </c>
    </row>
    <row r="213" spans="3:4" x14ac:dyDescent="0.3">
      <c r="C213" s="52">
        <f>SUMIF(BTS_매출관리!C:C,B213,BTS_매출관리!I:I)</f>
        <v>0</v>
      </c>
      <c r="D213">
        <f t="shared" si="3"/>
        <v>61</v>
      </c>
    </row>
    <row r="214" spans="3:4" x14ac:dyDescent="0.3">
      <c r="C214" s="52">
        <f>SUMIF(BTS_매출관리!C:C,B214,BTS_매출관리!I:I)</f>
        <v>0</v>
      </c>
      <c r="D214">
        <f t="shared" si="3"/>
        <v>61</v>
      </c>
    </row>
    <row r="215" spans="3:4" x14ac:dyDescent="0.3">
      <c r="C215" s="52">
        <f>SUMIF(BTS_매출관리!C:C,B215,BTS_매출관리!I:I)</f>
        <v>0</v>
      </c>
      <c r="D215">
        <f t="shared" si="3"/>
        <v>61</v>
      </c>
    </row>
    <row r="216" spans="3:4" x14ac:dyDescent="0.3">
      <c r="C216" s="52">
        <f>SUMIF(BTS_매출관리!C:C,B216,BTS_매출관리!I:I)</f>
        <v>0</v>
      </c>
      <c r="D216">
        <f t="shared" si="3"/>
        <v>61</v>
      </c>
    </row>
    <row r="217" spans="3:4" x14ac:dyDescent="0.3">
      <c r="C217" s="52">
        <f>SUMIF(BTS_매출관리!C:C,B217,BTS_매출관리!I:I)</f>
        <v>0</v>
      </c>
      <c r="D217">
        <f t="shared" si="3"/>
        <v>61</v>
      </c>
    </row>
    <row r="218" spans="3:4" x14ac:dyDescent="0.3">
      <c r="C218" s="52">
        <f>SUMIF(BTS_매출관리!C:C,B218,BTS_매출관리!I:I)</f>
        <v>0</v>
      </c>
      <c r="D218">
        <f t="shared" si="3"/>
        <v>61</v>
      </c>
    </row>
    <row r="219" spans="3:4" x14ac:dyDescent="0.3">
      <c r="C219" s="52">
        <f>SUMIF(BTS_매출관리!C:C,B219,BTS_매출관리!I:I)</f>
        <v>0</v>
      </c>
      <c r="D219">
        <f t="shared" si="3"/>
        <v>61</v>
      </c>
    </row>
    <row r="220" spans="3:4" x14ac:dyDescent="0.3">
      <c r="C220" s="52">
        <f>SUMIF(BTS_매출관리!C:C,B220,BTS_매출관리!I:I)</f>
        <v>0</v>
      </c>
      <c r="D220">
        <f t="shared" si="3"/>
        <v>61</v>
      </c>
    </row>
    <row r="221" spans="3:4" x14ac:dyDescent="0.3">
      <c r="C221" s="52">
        <f>SUMIF(BTS_매출관리!C:C,B221,BTS_매출관리!I:I)</f>
        <v>0</v>
      </c>
      <c r="D221">
        <f t="shared" si="3"/>
        <v>61</v>
      </c>
    </row>
    <row r="222" spans="3:4" x14ac:dyDescent="0.3">
      <c r="C222" s="52">
        <f>SUMIF(BTS_매출관리!C:C,B222,BTS_매출관리!I:I)</f>
        <v>0</v>
      </c>
      <c r="D222">
        <f t="shared" si="3"/>
        <v>61</v>
      </c>
    </row>
    <row r="223" spans="3:4" x14ac:dyDescent="0.3">
      <c r="C223" s="52">
        <f>SUMIF(BTS_매출관리!C:C,B223,BTS_매출관리!I:I)</f>
        <v>0</v>
      </c>
      <c r="D223">
        <f t="shared" si="3"/>
        <v>61</v>
      </c>
    </row>
    <row r="224" spans="3:4" x14ac:dyDescent="0.3">
      <c r="C224" s="52">
        <f>SUMIF(BTS_매출관리!C:C,B224,BTS_매출관리!I:I)</f>
        <v>0</v>
      </c>
      <c r="D224">
        <f t="shared" si="3"/>
        <v>61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2222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1166</v>
      </c>
      <c r="B3" s="37" t="s">
        <v>59</v>
      </c>
      <c r="C3" s="488" t="s">
        <v>1540</v>
      </c>
      <c r="D3" s="489"/>
      <c r="E3" s="489"/>
      <c r="F3" s="489"/>
      <c r="G3" s="489"/>
      <c r="H3" s="489"/>
      <c r="I3" s="489"/>
      <c r="J3" s="490"/>
      <c r="K3" s="334" t="s">
        <v>1167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1166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1167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1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1140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3493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3495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3496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3497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3498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3499</v>
      </c>
    </row>
    <row r="841" spans="1:4" x14ac:dyDescent="0.3">
      <c r="A841">
        <v>865</v>
      </c>
      <c r="B841" s="13">
        <v>45910</v>
      </c>
      <c r="C841" t="s">
        <v>1869</v>
      </c>
      <c r="D841" t="s">
        <v>3500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3503</v>
      </c>
    </row>
    <row r="843" spans="1:4" x14ac:dyDescent="0.3">
      <c r="A843">
        <v>867</v>
      </c>
      <c r="B843" s="13">
        <v>45910</v>
      </c>
      <c r="C843" t="s">
        <v>3501</v>
      </c>
      <c r="D843" t="s">
        <v>3507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3508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3509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3510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3511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3512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3513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3514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3515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3516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3524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3526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3529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3530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3531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3532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3533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3535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3536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3537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3538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3540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3541</v>
      </c>
    </row>
    <row r="869" spans="1:4" x14ac:dyDescent="0.3">
      <c r="A869">
        <v>893</v>
      </c>
      <c r="B869" s="13">
        <v>45912</v>
      </c>
      <c r="C869" t="s">
        <v>3542</v>
      </c>
      <c r="D869" t="s">
        <v>3543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3546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3549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3550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3551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3552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3554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3556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3558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3559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3561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3562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3564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3566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3567</v>
      </c>
    </row>
    <row r="887" spans="1:4" x14ac:dyDescent="0.3">
      <c r="A887">
        <v>911</v>
      </c>
      <c r="B887" s="13">
        <v>45917</v>
      </c>
      <c r="C887" t="s">
        <v>3572</v>
      </c>
      <c r="D887" t="s">
        <v>3579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3580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3581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3583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3584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3585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3586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3598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3599</v>
      </c>
    </row>
    <row r="896" spans="1:4" x14ac:dyDescent="0.3">
      <c r="A896">
        <v>920</v>
      </c>
      <c r="B896" s="13">
        <v>45918</v>
      </c>
      <c r="C896" t="s">
        <v>1466</v>
      </c>
      <c r="D896" t="s">
        <v>3600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3601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3603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3604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3605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3606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3607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3608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3609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3610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3611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3618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3619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3620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3622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3630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3635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3636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3637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3638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3639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3640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3641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3648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3649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3650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3654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3656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3665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3666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3667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3668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3716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3717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3718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3719</v>
      </c>
    </row>
    <row r="937" spans="1:4" x14ac:dyDescent="0.3">
      <c r="A937">
        <v>961</v>
      </c>
      <c r="B937" s="13">
        <v>45926</v>
      </c>
      <c r="C937" t="s">
        <v>3720</v>
      </c>
      <c r="D937" t="s">
        <v>3722</v>
      </c>
    </row>
    <row r="938" spans="1:4" x14ac:dyDescent="0.3">
      <c r="A938">
        <v>962</v>
      </c>
      <c r="B938" s="13">
        <v>45927</v>
      </c>
      <c r="C938" t="s">
        <v>3723</v>
      </c>
      <c r="D938" t="s">
        <v>3727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3730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3735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3741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3743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3744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3745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3746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3748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3750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3752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3753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3754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3755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3756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3757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3767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3768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3770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3771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3772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3773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3774</v>
      </c>
    </row>
    <row r="961" spans="1:4" x14ac:dyDescent="0.3">
      <c r="A961">
        <v>985</v>
      </c>
      <c r="B961" s="13">
        <v>45930</v>
      </c>
      <c r="C961" t="s">
        <v>3760</v>
      </c>
      <c r="D961" t="s">
        <v>3775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3810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3811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3812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3813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3815</v>
      </c>
    </row>
    <row r="967" spans="1:4" x14ac:dyDescent="0.3">
      <c r="A967">
        <v>991</v>
      </c>
      <c r="B967" s="13">
        <v>45931</v>
      </c>
      <c r="C967" t="s">
        <v>3816</v>
      </c>
      <c r="D967" t="s">
        <v>3817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3822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3823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3828</v>
      </c>
    </row>
    <row r="971" spans="1:4" x14ac:dyDescent="0.3">
      <c r="A971">
        <v>995</v>
      </c>
      <c r="B971" s="13">
        <v>45932</v>
      </c>
      <c r="C971" t="s">
        <v>3819</v>
      </c>
      <c r="D971" t="s">
        <v>3830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3831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3837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3840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3841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3843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3844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3848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3854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3855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3856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3858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3859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3860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3861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3862</v>
      </c>
    </row>
    <row r="987" spans="1:4" x14ac:dyDescent="0.3">
      <c r="A987">
        <v>1011</v>
      </c>
      <c r="B987" s="13">
        <v>45940</v>
      </c>
      <c r="C987" t="s">
        <v>3816</v>
      </c>
      <c r="D987" t="s">
        <v>3863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3864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3865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3872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3873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3874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3875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3879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3881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3883</v>
      </c>
    </row>
    <row r="997" spans="1:4" x14ac:dyDescent="0.3">
      <c r="A997">
        <v>1021</v>
      </c>
      <c r="B997" s="13">
        <v>45943</v>
      </c>
      <c r="C997" t="s">
        <v>3884</v>
      </c>
      <c r="D997" t="s">
        <v>3887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3888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3889</v>
      </c>
    </row>
    <row r="1000" spans="1:4" x14ac:dyDescent="0.3">
      <c r="A1000">
        <v>1024</v>
      </c>
      <c r="B1000" s="13">
        <v>45943</v>
      </c>
      <c r="C1000" t="s">
        <v>3890</v>
      </c>
      <c r="D1000" t="s">
        <v>3891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3892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3904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3905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3908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3910</v>
      </c>
    </row>
    <row r="1006" spans="1:4" x14ac:dyDescent="0.3">
      <c r="A1006">
        <v>1030</v>
      </c>
      <c r="B1006" s="13">
        <v>45944</v>
      </c>
      <c r="C1006" t="s">
        <v>3911</v>
      </c>
      <c r="D1006" t="s">
        <v>3914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3915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3916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3917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3918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3920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3923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3924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3926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3927</v>
      </c>
    </row>
    <row r="1016" spans="1:4" x14ac:dyDescent="0.3">
      <c r="A1016">
        <v>1040</v>
      </c>
      <c r="B1016" s="13">
        <v>45945</v>
      </c>
      <c r="C1016" t="s">
        <v>3928</v>
      </c>
      <c r="D1016" t="s">
        <v>3932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3933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3934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3935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3937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3948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3949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3950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3951</v>
      </c>
    </row>
    <row r="1025" spans="1:4" x14ac:dyDescent="0.3">
      <c r="A1025">
        <v>1049</v>
      </c>
      <c r="B1025" s="13">
        <v>45946</v>
      </c>
      <c r="C1025" t="s">
        <v>3942</v>
      </c>
      <c r="D1025" t="s">
        <v>3952</v>
      </c>
    </row>
    <row r="1026" spans="1:4" x14ac:dyDescent="0.3">
      <c r="A1026">
        <v>1050</v>
      </c>
      <c r="B1026" s="13">
        <v>45946</v>
      </c>
      <c r="C1026" t="s">
        <v>3816</v>
      </c>
      <c r="D1026" t="s">
        <v>3953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3955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3960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3962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3964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3965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3966</v>
      </c>
    </row>
    <row r="1033" spans="1:4" x14ac:dyDescent="0.3">
      <c r="A1033">
        <v>1057</v>
      </c>
      <c r="B1033" s="13">
        <v>45950</v>
      </c>
      <c r="C1033" t="s">
        <v>3967</v>
      </c>
      <c r="D1033" t="s">
        <v>3970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3971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3973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3974</v>
      </c>
    </row>
    <row r="1037" spans="1:4" x14ac:dyDescent="0.3">
      <c r="A1037">
        <v>1061</v>
      </c>
      <c r="B1037" s="13">
        <v>45950</v>
      </c>
      <c r="C1037" t="s">
        <v>3976</v>
      </c>
      <c r="D1037" t="s">
        <v>3977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3978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3980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3981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3982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3984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3987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3988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3989</v>
      </c>
    </row>
    <row r="1046" spans="1:4" x14ac:dyDescent="0.3">
      <c r="A1046">
        <v>1070</v>
      </c>
      <c r="B1046" s="13">
        <v>45951</v>
      </c>
      <c r="C1046" t="s">
        <v>3928</v>
      </c>
      <c r="D1046" t="s">
        <v>3990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3994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3996</v>
      </c>
    </row>
    <row r="1049" spans="1:4" x14ac:dyDescent="0.3">
      <c r="A1049">
        <v>1073</v>
      </c>
      <c r="B1049" s="13">
        <v>45951</v>
      </c>
      <c r="C1049" t="s">
        <v>3997</v>
      </c>
      <c r="D1049" t="s">
        <v>3998</v>
      </c>
    </row>
    <row r="1050" spans="1:4" x14ac:dyDescent="0.3">
      <c r="A1050">
        <v>1074</v>
      </c>
      <c r="B1050" s="13">
        <v>45952</v>
      </c>
      <c r="C1050" t="s">
        <v>3999</v>
      </c>
      <c r="D1050" t="s">
        <v>4005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4006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4007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4008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4010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4011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4014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4015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4016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4017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4018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4019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4020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4022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4023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4032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4038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4039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4040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4041</v>
      </c>
    </row>
    <row r="1070" spans="1:4" x14ac:dyDescent="0.3">
      <c r="A1070">
        <v>1094</v>
      </c>
      <c r="B1070" s="13">
        <v>45955</v>
      </c>
      <c r="C1070" t="s">
        <v>4042</v>
      </c>
      <c r="D1070" t="s">
        <v>4046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4047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4048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4049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4053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4068</v>
      </c>
    </row>
    <row r="1076" spans="1:4" x14ac:dyDescent="0.3">
      <c r="A1076">
        <v>1100</v>
      </c>
      <c r="B1076" s="13">
        <v>45957</v>
      </c>
      <c r="C1076" t="s">
        <v>4063</v>
      </c>
      <c r="D1076" t="s">
        <v>4069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4070</v>
      </c>
    </row>
    <row r="1078" spans="1:4" x14ac:dyDescent="0.3">
      <c r="A1078">
        <v>1102</v>
      </c>
      <c r="B1078" s="13">
        <v>45957</v>
      </c>
      <c r="C1078" t="s">
        <v>4059</v>
      </c>
      <c r="D1078" t="s">
        <v>4071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4072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4073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4083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4084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4095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4096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4097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4099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4100</v>
      </c>
    </row>
    <row r="1088" spans="1:4" x14ac:dyDescent="0.3">
      <c r="A1088">
        <v>1112</v>
      </c>
      <c r="B1088" s="13">
        <v>45958</v>
      </c>
      <c r="C1088" t="s">
        <v>4089</v>
      </c>
      <c r="D1088" t="s">
        <v>4101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4102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4112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4113</v>
      </c>
    </row>
    <row r="1092" spans="1:4" x14ac:dyDescent="0.3">
      <c r="A1092">
        <v>1116</v>
      </c>
      <c r="B1092" s="13">
        <v>45959</v>
      </c>
      <c r="C1092" t="s">
        <v>4109</v>
      </c>
      <c r="D1092" t="s">
        <v>4115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4116</v>
      </c>
    </row>
    <row r="1094" spans="1:4" x14ac:dyDescent="0.3">
      <c r="A1094">
        <v>1118</v>
      </c>
      <c r="B1094" s="13">
        <v>45959</v>
      </c>
      <c r="C1094" t="s">
        <v>4042</v>
      </c>
      <c r="D1094" t="s">
        <v>4117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4118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4119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4128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4129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4132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4133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4134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4136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4137</v>
      </c>
    </row>
    <row r="1104" spans="1:4" x14ac:dyDescent="0.3">
      <c r="A1104">
        <v>1128</v>
      </c>
      <c r="B1104" s="13">
        <v>45960</v>
      </c>
      <c r="C1104" t="s">
        <v>4063</v>
      </c>
      <c r="D1104" t="s">
        <v>4138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4139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4140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4141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4142</v>
      </c>
    </row>
    <row r="1109" spans="1:4" x14ac:dyDescent="0.3">
      <c r="A1109">
        <v>1133</v>
      </c>
      <c r="B1109" s="13">
        <v>45961</v>
      </c>
      <c r="C1109" t="s">
        <v>1472</v>
      </c>
      <c r="D1109" t="s">
        <v>4171</v>
      </c>
    </row>
    <row r="1110" spans="1:4" x14ac:dyDescent="0.3">
      <c r="A1110">
        <v>1134</v>
      </c>
      <c r="B1110" s="13">
        <v>45961</v>
      </c>
      <c r="C1110" t="s">
        <v>4172</v>
      </c>
      <c r="D1110" t="s">
        <v>4175</v>
      </c>
    </row>
    <row r="1111" spans="1:4" x14ac:dyDescent="0.3">
      <c r="A1111">
        <v>1135</v>
      </c>
      <c r="B1111" s="13">
        <v>45961</v>
      </c>
      <c r="C1111" t="s">
        <v>2257</v>
      </c>
      <c r="D1111" t="s">
        <v>4176</v>
      </c>
    </row>
    <row r="1112" spans="1:4" x14ac:dyDescent="0.3">
      <c r="A1112">
        <v>1136</v>
      </c>
      <c r="B1112" s="13">
        <v>45961</v>
      </c>
      <c r="C1112" t="s">
        <v>1721</v>
      </c>
      <c r="D1112" t="s">
        <v>4177</v>
      </c>
    </row>
    <row r="1113" spans="1:4" x14ac:dyDescent="0.3">
      <c r="A1113">
        <v>1137</v>
      </c>
      <c r="B1113" s="13">
        <v>45961</v>
      </c>
      <c r="C1113" t="s">
        <v>1746</v>
      </c>
      <c r="D1113" t="s">
        <v>4178</v>
      </c>
    </row>
    <row r="1114" spans="1:4" x14ac:dyDescent="0.3">
      <c r="A1114">
        <v>1138</v>
      </c>
      <c r="B1114" s="13">
        <v>45961</v>
      </c>
      <c r="C1114" t="s">
        <v>1540</v>
      </c>
      <c r="D1114" t="s">
        <v>4179</v>
      </c>
    </row>
    <row r="1115" spans="1:4" x14ac:dyDescent="0.3">
      <c r="A1115">
        <v>1139</v>
      </c>
      <c r="B1115" s="13">
        <v>45961</v>
      </c>
      <c r="C1115" t="s">
        <v>1579</v>
      </c>
      <c r="D1115" t="s">
        <v>4185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3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31" sqref="H3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200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3871999.6000000015</v>
      </c>
      <c r="I2" s="194" t="s">
        <v>4187</v>
      </c>
    </row>
    <row r="3" spans="1:11" hidden="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1274</v>
      </c>
      <c r="C4" t="s">
        <v>3642</v>
      </c>
      <c r="E4" t="s">
        <v>3643</v>
      </c>
      <c r="F4" t="s">
        <v>963</v>
      </c>
      <c r="G4" t="s">
        <v>3644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  <c r="J6" t="s">
        <v>4155</v>
      </c>
    </row>
    <row r="7" spans="1:11" hidden="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2400000</v>
      </c>
      <c r="I10" s="52" t="s">
        <v>4187</v>
      </c>
    </row>
    <row r="11" spans="1:11" hidden="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3946</v>
      </c>
      <c r="H11" s="194">
        <f>SUMIF(주문_리스트!C:C,거래처!B11,주문_리스트!K:K)+SUMIF(주문_리스트!C:C,거래처!B11,주문_리스트!L:L)+60000</f>
        <v>0</v>
      </c>
      <c r="J11" t="s">
        <v>4024</v>
      </c>
      <c r="K11">
        <v>232</v>
      </c>
    </row>
    <row r="12" spans="1:11" hidden="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hidden="1" x14ac:dyDescent="0.3">
      <c r="A14" s="47">
        <v>13</v>
      </c>
      <c r="B14" t="s">
        <v>1283</v>
      </c>
      <c r="C14" t="s">
        <v>2502</v>
      </c>
      <c r="E14" t="s">
        <v>3797</v>
      </c>
      <c r="F14" t="s">
        <v>3792</v>
      </c>
      <c r="G14" t="s">
        <v>3798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15188000.199999999</v>
      </c>
      <c r="I17" s="52" t="s">
        <v>4187</v>
      </c>
    </row>
    <row r="18" spans="1:13" hidden="1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2845000</v>
      </c>
      <c r="I19" s="52" t="s">
        <v>4187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  <c r="I20" s="52" t="s">
        <v>4187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400000</v>
      </c>
      <c r="I21" s="52" t="s">
        <v>4187</v>
      </c>
    </row>
    <row r="22" spans="1:13" hidden="1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3520</v>
      </c>
    </row>
    <row r="25" spans="1:13" hidden="1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  <c r="I26" s="52" t="s">
        <v>4187</v>
      </c>
    </row>
    <row r="27" spans="1:13" hidden="1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2150000</v>
      </c>
      <c r="I31" s="52" t="s">
        <v>4187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3617</v>
      </c>
      <c r="J33" t="s">
        <v>3617</v>
      </c>
    </row>
    <row r="34" spans="1:10" hidden="1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13579000</v>
      </c>
      <c r="I37" s="52" t="s">
        <v>4187</v>
      </c>
    </row>
    <row r="38" spans="1:10" hidden="1" x14ac:dyDescent="0.3">
      <c r="A38" s="47">
        <v>37</v>
      </c>
      <c r="B38" t="s">
        <v>1035</v>
      </c>
      <c r="C38" t="s">
        <v>966</v>
      </c>
      <c r="E38" t="s">
        <v>3806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hidden="1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3759</v>
      </c>
    </row>
    <row r="40" spans="1:10" hidden="1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hidden="1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</row>
    <row r="44" spans="1:10" hidden="1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hidden="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3866</v>
      </c>
    </row>
    <row r="51" spans="1:11" hidden="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hidden="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hidden="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hidden="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0</v>
      </c>
      <c r="I54" s="52" t="s">
        <v>4187</v>
      </c>
    </row>
    <row r="55" spans="1:11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hidden="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hidden="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hidden="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hidden="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4024</v>
      </c>
      <c r="K59">
        <v>22</v>
      </c>
    </row>
    <row r="60" spans="1:11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hidden="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3995</v>
      </c>
      <c r="J61" t="s">
        <v>3995</v>
      </c>
    </row>
    <row r="62" spans="1:11" hidden="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hidden="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hidden="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3876</v>
      </c>
      <c r="H65" s="194">
        <f>SUMIF(주문_리스트!C:C,거래처!B65,주문_리스트!K:K)+SUMIF(주문_리스트!C:C,거래처!B65,주문_리스트!L:L)</f>
        <v>0</v>
      </c>
      <c r="J65" t="s">
        <v>3895</v>
      </c>
    </row>
    <row r="66" spans="1:10" hidden="1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4152</v>
      </c>
    </row>
    <row r="69" spans="1:10" hidden="1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hidden="1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hidden="1" x14ac:dyDescent="0.3">
      <c r="A73" s="47">
        <v>72</v>
      </c>
      <c r="B73" t="s">
        <v>1487</v>
      </c>
      <c r="C73" t="s">
        <v>1488</v>
      </c>
      <c r="E73" t="s">
        <v>3791</v>
      </c>
      <c r="F73" t="s">
        <v>3792</v>
      </c>
      <c r="G73" t="s">
        <v>3793</v>
      </c>
      <c r="H73" s="194">
        <f>SUMIF(주문_리스트!C:C,거래처!B73,주문_리스트!K:K)+SUMIF(주문_리스트!C:C,거래처!B73,주문_리스트!L:L)-3100000+1500000</f>
        <v>0</v>
      </c>
    </row>
    <row r="74" spans="1:10" hidden="1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3851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3300000</v>
      </c>
      <c r="I76" s="52" t="s">
        <v>4187</v>
      </c>
    </row>
    <row r="77" spans="1:10" hidden="1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hidden="1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5705000</v>
      </c>
      <c r="I79" s="52" t="s">
        <v>4187</v>
      </c>
    </row>
    <row r="80" spans="1:10" hidden="1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hidden="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4024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3804</v>
      </c>
      <c r="F84" t="s">
        <v>3792</v>
      </c>
      <c r="G84" t="s">
        <v>3805</v>
      </c>
      <c r="H84" s="194">
        <f>SUMIF(주문_리스트!C:C,거래처!B84,주문_리스트!K:K)+SUMIF(주문_리스트!C:C,거래처!B84,주문_리스트!L:L)-1100000</f>
        <v>4650000</v>
      </c>
      <c r="I84" s="52" t="s">
        <v>4187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4187</v>
      </c>
    </row>
    <row r="86" spans="1:11" hidden="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3759</v>
      </c>
    </row>
    <row r="89" spans="1:11" hidden="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9.999999962747097E-2</v>
      </c>
    </row>
    <row r="93" spans="1:11" hidden="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1650000</v>
      </c>
      <c r="I94" s="52" t="s">
        <v>4187</v>
      </c>
    </row>
    <row r="95" spans="1:11" hidden="1" x14ac:dyDescent="0.3">
      <c r="A95" s="47">
        <v>94</v>
      </c>
      <c r="B95" t="s">
        <v>1350</v>
      </c>
      <c r="C95" t="s">
        <v>1812</v>
      </c>
      <c r="E95" t="s">
        <v>3799</v>
      </c>
      <c r="F95" t="s">
        <v>3792</v>
      </c>
      <c r="G95" t="s">
        <v>3800</v>
      </c>
      <c r="H95" s="194">
        <f>SUMIF(주문_리스트!C:C,거래처!B95,주문_리스트!K:K)+SUMIF(주문_리스트!C:C,거래처!B95,주문_리스트!L:L)-715000</f>
        <v>0</v>
      </c>
      <c r="J95" t="s">
        <v>4153</v>
      </c>
    </row>
    <row r="96" spans="1:11" hidden="1" x14ac:dyDescent="0.3">
      <c r="A96" s="47">
        <v>95</v>
      </c>
      <c r="B96" t="s">
        <v>1351</v>
      </c>
      <c r="C96" t="s">
        <v>3595</v>
      </c>
      <c r="E96" t="s">
        <v>3596</v>
      </c>
      <c r="F96" t="s">
        <v>963</v>
      </c>
      <c r="G96" t="s">
        <v>3597</v>
      </c>
      <c r="H96" s="194">
        <f>SUMIF(주문_리스트!C:C,거래처!B96,주문_리스트!K:K)+SUMIF(주문_리스트!C:C,거래처!B96,주문_리스트!L:L)</f>
        <v>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7521000</v>
      </c>
      <c r="I97" s="52" t="s">
        <v>4187</v>
      </c>
    </row>
    <row r="98" spans="1:11" hidden="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3492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hidden="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4024</v>
      </c>
    </row>
    <row r="101" spans="1:11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hidden="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3947</v>
      </c>
      <c r="H102" s="194">
        <f>SUMIF(주문_리스트!C:C,거래처!B102,주문_리스트!K:K)+SUMIF(주문_리스트!C:C,거래처!B102,주문_리스트!L:L)</f>
        <v>0</v>
      </c>
      <c r="J102" t="s">
        <v>3897</v>
      </c>
    </row>
    <row r="103" spans="1:11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hidden="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hidden="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3847</v>
      </c>
      <c r="H106" s="194">
        <f>SUMIF(주문_리스트!C:C,거래처!B106,주문_리스트!K:K)+SUMIF(주문_리스트!C:C,거래처!B106,주문_리스트!L:L)</f>
        <v>0</v>
      </c>
    </row>
    <row r="107" spans="1:11" hidden="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hidden="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3893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80000</v>
      </c>
      <c r="I109" s="52" t="s">
        <v>4187</v>
      </c>
    </row>
    <row r="110" spans="1:11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hidden="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hidden="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hidden="1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hidden="1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3617</v>
      </c>
    </row>
    <row r="115" spans="1:10" hidden="1" x14ac:dyDescent="0.3">
      <c r="A115" s="47">
        <v>114</v>
      </c>
      <c r="B115" t="s">
        <v>4043</v>
      </c>
      <c r="C115" t="s">
        <v>4044</v>
      </c>
      <c r="E115" t="s">
        <v>4045</v>
      </c>
      <c r="F115" t="s">
        <v>4054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1600000</v>
      </c>
      <c r="I116" s="52" t="s">
        <v>4187</v>
      </c>
    </row>
    <row r="117" spans="1:10" hidden="1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hidden="1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3938</v>
      </c>
    </row>
    <row r="119" spans="1:10" hidden="1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4015000</v>
      </c>
      <c r="I125" s="52" t="s">
        <v>4187</v>
      </c>
    </row>
    <row r="126" spans="1:10" hidden="1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hidden="1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hidden="1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hidden="1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hidden="1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3617</v>
      </c>
      <c r="J136">
        <v>45</v>
      </c>
    </row>
    <row r="137" spans="1:10" hidden="1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hidden="1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hidden="1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hidden="1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hidden="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hidden="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hidden="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hidden="1" x14ac:dyDescent="0.3">
      <c r="A148" s="47">
        <v>147</v>
      </c>
      <c r="B148" t="s">
        <v>2560</v>
      </c>
      <c r="C148" t="s">
        <v>2561</v>
      </c>
      <c r="E148" t="s">
        <v>3794</v>
      </c>
      <c r="F148" t="s">
        <v>3795</v>
      </c>
      <c r="G148" t="s">
        <v>3796</v>
      </c>
      <c r="H148" s="194">
        <f>SUMIF(주문_리스트!C:C,거래처!B148,주문_리스트!K:K)+SUMIF(주문_리스트!C:C,거래처!B148,주문_리스트!L:L)</f>
        <v>0</v>
      </c>
      <c r="K148" t="s">
        <v>4024</v>
      </c>
    </row>
    <row r="149" spans="1:11" hidden="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hidden="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4157</v>
      </c>
    </row>
    <row r="151" spans="1:11" hidden="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hidden="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hidden="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hidden="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hidden="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hidden="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hidden="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3759</v>
      </c>
    </row>
    <row r="158" spans="1:11" hidden="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hidden="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hidden="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hidden="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hidden="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hidden="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hidden="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hidden="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hidden="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4159</v>
      </c>
    </row>
    <row r="167" spans="1:11" hidden="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hidden="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hidden="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hidden="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hidden="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4024</v>
      </c>
    </row>
    <row r="172" spans="1:11" hidden="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hidden="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hidden="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hidden="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hidden="1" x14ac:dyDescent="0.3">
      <c r="A176" s="47">
        <v>175</v>
      </c>
      <c r="B176" t="s">
        <v>3736</v>
      </c>
      <c r="C176" t="s">
        <v>3737</v>
      </c>
      <c r="E176" t="s">
        <v>3738</v>
      </c>
      <c r="F176" t="s">
        <v>3739</v>
      </c>
      <c r="G176" t="s">
        <v>3738</v>
      </c>
      <c r="H176" s="194">
        <f>SUMIF(주문_리스트!C:C,거래처!B176,주문_리스트!K:K)+SUMIF(주문_리스트!C:C,거래처!B176,주문_리스트!L:L)</f>
        <v>0</v>
      </c>
      <c r="J176" t="s">
        <v>3901</v>
      </c>
    </row>
    <row r="177" spans="1:11" hidden="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hidden="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4024</v>
      </c>
    </row>
    <row r="180" spans="1:11" hidden="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3617</v>
      </c>
    </row>
    <row r="181" spans="1:11" hidden="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3759</v>
      </c>
    </row>
    <row r="183" spans="1:11" hidden="1" x14ac:dyDescent="0.3">
      <c r="A183" s="47">
        <v>182</v>
      </c>
      <c r="B183" t="s">
        <v>3761</v>
      </c>
      <c r="C183" t="s">
        <v>3762</v>
      </c>
      <c r="E183" t="s">
        <v>3763</v>
      </c>
      <c r="F183" t="s">
        <v>3764</v>
      </c>
      <c r="G183" t="s">
        <v>3765</v>
      </c>
      <c r="H183" s="194">
        <f>SUMIF(주문_리스트!C:C,거래처!B183,주문_리스트!K:K)+SUMIF(주문_리스트!C:C,거래처!B183,주문_리스트!L:L)</f>
        <v>0</v>
      </c>
      <c r="I183" s="52" t="s">
        <v>3520</v>
      </c>
    </row>
    <row r="184" spans="1:11" hidden="1" x14ac:dyDescent="0.3">
      <c r="A184" s="47">
        <v>183</v>
      </c>
      <c r="B184" t="s">
        <v>3501</v>
      </c>
      <c r="C184" t="s">
        <v>3502</v>
      </c>
      <c r="E184" t="s">
        <v>3506</v>
      </c>
      <c r="F184" t="s">
        <v>973</v>
      </c>
      <c r="H184" s="194">
        <v>0</v>
      </c>
      <c r="I184" s="52" t="s">
        <v>3520</v>
      </c>
    </row>
    <row r="185" spans="1:11" hidden="1" x14ac:dyDescent="0.3">
      <c r="A185" s="47">
        <v>184</v>
      </c>
      <c r="B185" t="s">
        <v>3573</v>
      </c>
      <c r="C185" t="s">
        <v>3574</v>
      </c>
      <c r="E185" t="s">
        <v>3575</v>
      </c>
      <c r="F185" t="s">
        <v>963</v>
      </c>
      <c r="G185" t="s">
        <v>3576</v>
      </c>
      <c r="H185" s="194">
        <f>SUMIF(주문_리스트!C:C,거래처!B185,주문_리스트!K:K)+SUMIF(주문_리스트!C:C,거래처!B185,주문_리스트!L:L)</f>
        <v>0</v>
      </c>
      <c r="J185" t="s">
        <v>3617</v>
      </c>
    </row>
    <row r="186" spans="1:11" hidden="1" x14ac:dyDescent="0.3">
      <c r="A186" s="47">
        <v>185</v>
      </c>
      <c r="B186" t="s">
        <v>3632</v>
      </c>
      <c r="C186" t="s">
        <v>3633</v>
      </c>
      <c r="E186" t="s">
        <v>3634</v>
      </c>
      <c r="F186" t="s">
        <v>1180</v>
      </c>
      <c r="G186" t="s">
        <v>3631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186</v>
      </c>
      <c r="B187" t="s">
        <v>3723</v>
      </c>
      <c r="C187" t="s">
        <v>3724</v>
      </c>
      <c r="E187" t="s">
        <v>3725</v>
      </c>
      <c r="F187" t="s">
        <v>1180</v>
      </c>
      <c r="G187" t="s">
        <v>3726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A188" s="47">
        <v>187</v>
      </c>
      <c r="B188" t="s">
        <v>3819</v>
      </c>
      <c r="C188" t="s">
        <v>3820</v>
      </c>
      <c r="E188" t="s">
        <v>3821</v>
      </c>
      <c r="F188" t="s">
        <v>1180</v>
      </c>
      <c r="G188" t="s">
        <v>3821</v>
      </c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A189" s="47">
        <v>188</v>
      </c>
      <c r="B189" t="s">
        <v>3884</v>
      </c>
      <c r="C189" t="s">
        <v>3885</v>
      </c>
      <c r="E189" t="s">
        <v>3886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3903</v>
      </c>
    </row>
    <row r="190" spans="1:11" hidden="1" x14ac:dyDescent="0.3">
      <c r="A190" s="47">
        <v>189</v>
      </c>
      <c r="B190" t="s">
        <v>3911</v>
      </c>
      <c r="C190" t="s">
        <v>3912</v>
      </c>
      <c r="E190" t="s">
        <v>3913</v>
      </c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A191" s="47">
        <v>190</v>
      </c>
      <c r="B191" t="s">
        <v>3928</v>
      </c>
      <c r="C191" t="s">
        <v>3929</v>
      </c>
      <c r="E191" t="s">
        <v>3930</v>
      </c>
      <c r="F191" t="s">
        <v>976</v>
      </c>
      <c r="G191" t="s">
        <v>3931</v>
      </c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A192" s="47">
        <v>191</v>
      </c>
      <c r="B192" t="s">
        <v>3942</v>
      </c>
      <c r="C192" t="s">
        <v>3943</v>
      </c>
      <c r="E192" t="s">
        <v>3944</v>
      </c>
      <c r="F192" t="s">
        <v>963</v>
      </c>
      <c r="G192" t="s">
        <v>3945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hidden="1" x14ac:dyDescent="0.3">
      <c r="A193" s="47">
        <v>192</v>
      </c>
      <c r="B193" t="s">
        <v>3967</v>
      </c>
      <c r="C193" t="s">
        <v>3968</v>
      </c>
      <c r="E193" t="s">
        <v>3969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hidden="1" x14ac:dyDescent="0.3">
      <c r="A194" s="47">
        <v>193</v>
      </c>
      <c r="B194" t="s">
        <v>4000</v>
      </c>
      <c r="C194" t="s">
        <v>4001</v>
      </c>
      <c r="E194" t="s">
        <v>4002</v>
      </c>
      <c r="F194" t="s">
        <v>4003</v>
      </c>
      <c r="G194" t="s">
        <v>4004</v>
      </c>
      <c r="H194" s="194">
        <f>SUMIF(주문_리스트!C:C,거래처!B194,주문_리스트!K:K)+SUMIF(주문_리스트!C:C,거래처!B194,주문_리스트!L:L)</f>
        <v>0</v>
      </c>
      <c r="K194" t="s">
        <v>4024</v>
      </c>
    </row>
    <row r="195" spans="1:11" hidden="1" x14ac:dyDescent="0.3">
      <c r="A195" s="47">
        <v>195</v>
      </c>
      <c r="B195" t="s">
        <v>4059</v>
      </c>
      <c r="C195" t="s">
        <v>4060</v>
      </c>
      <c r="E195" t="s">
        <v>4061</v>
      </c>
      <c r="F195" t="s">
        <v>963</v>
      </c>
      <c r="G195" t="s">
        <v>4062</v>
      </c>
      <c r="H195" s="194">
        <f>SUMIF(주문_리스트!C:C,거래처!B195,주문_리스트!K:K)+SUMIF(주문_리스트!C:C,거래처!B195,주문_리스트!L:L)</f>
        <v>0</v>
      </c>
    </row>
    <row r="196" spans="1:11" hidden="1" x14ac:dyDescent="0.3">
      <c r="A196" s="47">
        <v>196</v>
      </c>
      <c r="B196" t="s">
        <v>4063</v>
      </c>
      <c r="C196" t="s">
        <v>4064</v>
      </c>
      <c r="E196" t="s">
        <v>4065</v>
      </c>
      <c r="F196" t="s">
        <v>1180</v>
      </c>
      <c r="G196" t="s">
        <v>4066</v>
      </c>
      <c r="H196" s="194">
        <f>SUMIF(주문_리스트!C:C,거래처!B196,주문_리스트!K:K)+SUMIF(주문_리스트!C:C,거래처!B196,주문_리스트!L:L)</f>
        <v>0</v>
      </c>
      <c r="J196" t="s">
        <v>4161</v>
      </c>
    </row>
    <row r="197" spans="1:11" hidden="1" x14ac:dyDescent="0.3">
      <c r="A197" s="47">
        <v>197</v>
      </c>
      <c r="B197" t="s">
        <v>4089</v>
      </c>
      <c r="C197" t="s">
        <v>4090</v>
      </c>
      <c r="E197" t="s">
        <v>4091</v>
      </c>
      <c r="F197" t="s">
        <v>963</v>
      </c>
      <c r="G197" t="s">
        <v>4092</v>
      </c>
      <c r="H197" s="194">
        <f>SUMIF(주문_리스트!C:C,거래처!B197,주문_리스트!K:K)+SUMIF(주문_리스트!C:C,거래처!B197,주문_리스트!L:L)</f>
        <v>0</v>
      </c>
    </row>
    <row r="198" spans="1:11" hidden="1" x14ac:dyDescent="0.3">
      <c r="A198" s="47">
        <v>198</v>
      </c>
      <c r="B198" t="s">
        <v>4109</v>
      </c>
      <c r="C198" t="s">
        <v>4110</v>
      </c>
      <c r="E198" t="s">
        <v>4111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hidden="1" x14ac:dyDescent="0.3">
      <c r="A199" s="47">
        <v>199</v>
      </c>
      <c r="B199" t="s">
        <v>4172</v>
      </c>
      <c r="C199" t="s">
        <v>4173</v>
      </c>
      <c r="E199" t="s">
        <v>4174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hidden="1" x14ac:dyDescent="0.3">
      <c r="H200" s="194">
        <f>SUMIF(주문_리스트!C:C,거래처!B200,주문_리스트!K:K)+SUMIF(주문_리스트!C:C,거래처!B200,주문_리스트!L:L)</f>
        <v>0</v>
      </c>
    </row>
    <row r="201" spans="1:11" hidden="1" x14ac:dyDescent="0.3">
      <c r="H201" s="194">
        <f>SUMIF(주문_리스트!C:C,거래처!B201,주문_리스트!K:K)+SUMIF(주문_리스트!C:C,거래처!B201,주문_리스트!L:L)</f>
        <v>0</v>
      </c>
    </row>
    <row r="202" spans="1:11" hidden="1" x14ac:dyDescent="0.3">
      <c r="H202" s="194">
        <f>SUMIF(주문_리스트!C:C,거래처!B202,주문_리스트!K:K)+SUMIF(주문_리스트!C:C,거래처!B202,주문_리스트!L:L)</f>
        <v>0</v>
      </c>
    </row>
    <row r="203" spans="1:11" hidden="1" x14ac:dyDescent="0.3">
      <c r="H203" s="194">
        <f>SUMIF(주문_리스트!C:C,거래처!B203,주문_리스트!K:K)+SUMIF(주문_리스트!C:C,거래처!B203,주문_리스트!L:L)</f>
        <v>0</v>
      </c>
    </row>
    <row r="204" spans="1:11" hidden="1" x14ac:dyDescent="0.3">
      <c r="H204" s="194">
        <f>SUMIF(주문_리스트!C:C,거래처!B204,주문_리스트!K:K)+SUMIF(주문_리스트!C:C,거래처!B204,주문_리스트!L:L)</f>
        <v>0</v>
      </c>
    </row>
    <row r="205" spans="1:11" hidden="1" x14ac:dyDescent="0.3">
      <c r="H205" s="194">
        <f>SUMIF(주문_리스트!C:C,거래처!B205,주문_리스트!K:K)+SUMIF(주문_리스트!C:C,거래처!B205,주문_리스트!L:L)</f>
        <v>0</v>
      </c>
    </row>
    <row r="206" spans="1:11" hidden="1" x14ac:dyDescent="0.3">
      <c r="H206" s="194">
        <f>SUMIF(주문_리스트!C:C,거래처!B206,주문_리스트!K:K)+SUMIF(주문_리스트!C:C,거래처!B206,주문_리스트!L:L)</f>
        <v>0</v>
      </c>
    </row>
    <row r="207" spans="1:11" hidden="1" x14ac:dyDescent="0.3">
      <c r="H207" s="194">
        <f>SUMIF(주문_리스트!C:C,거래처!B207,주문_리스트!K:K)+SUMIF(주문_리스트!C:C,거래처!B207,주문_리스트!L:L)</f>
        <v>0</v>
      </c>
    </row>
    <row r="208" spans="1:11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2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256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-53</v>
      </c>
      <c r="I8"/>
    </row>
    <row r="9" spans="1:11" x14ac:dyDescent="0.3">
      <c r="A9">
        <v>8</v>
      </c>
      <c r="B9">
        <v>2</v>
      </c>
      <c r="C9" s="288" t="s">
        <v>3845</v>
      </c>
      <c r="D9" s="288" t="s">
        <v>1140</v>
      </c>
      <c r="E9" s="288" t="s">
        <v>3845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3992</v>
      </c>
      <c r="D15" s="288" t="s">
        <v>1653</v>
      </c>
      <c r="E15" s="288" t="s">
        <v>3992</v>
      </c>
      <c r="F15" s="52">
        <v>1100000</v>
      </c>
      <c r="H15">
        <v>-7</v>
      </c>
      <c r="I15" s="52" t="s">
        <v>3664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-21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-88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-111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-32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-32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-20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-13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-37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-20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-8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-32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-13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-49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-49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-11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-21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4036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4037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-52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-72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-111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-13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-12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-12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-20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4165</v>
      </c>
      <c r="D120" s="288" t="s">
        <v>4166</v>
      </c>
      <c r="E120" s="288" t="s">
        <v>4165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4163</v>
      </c>
      <c r="D121" s="288" t="s">
        <v>4164</v>
      </c>
      <c r="E121" s="288" t="s">
        <v>4163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-32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3846</v>
      </c>
      <c r="D139" s="288" t="s">
        <v>2684</v>
      </c>
      <c r="E139" s="288" t="s">
        <v>3846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3577</v>
      </c>
      <c r="D140" s="288" t="s">
        <v>2682</v>
      </c>
      <c r="E140" s="288" t="s">
        <v>3577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3993</v>
      </c>
      <c r="D145" s="288" t="s">
        <v>2210</v>
      </c>
      <c r="E145" s="288" t="s">
        <v>3993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3766</v>
      </c>
      <c r="D148" s="288" t="s">
        <v>2682</v>
      </c>
      <c r="E148" s="288" t="s">
        <v>3766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3578</v>
      </c>
      <c r="D152" s="288" t="s">
        <v>2517</v>
      </c>
      <c r="E152" s="288" t="s">
        <v>3578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4093</v>
      </c>
      <c r="D162" s="288" t="s">
        <v>2271</v>
      </c>
      <c r="E162" s="288" t="s">
        <v>4093</v>
      </c>
      <c r="F162" s="52">
        <v>80000</v>
      </c>
      <c r="G162" s="52">
        <v>45000</v>
      </c>
      <c r="H162">
        <v>-1</v>
      </c>
      <c r="I162" s="52" t="s">
        <v>4094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-20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4057</v>
      </c>
      <c r="D201" s="288" t="s">
        <v>4058</v>
      </c>
      <c r="E201" s="288" t="s">
        <v>4057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3534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-2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-2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3568</v>
      </c>
      <c r="D216" s="288" t="s">
        <v>3569</v>
      </c>
      <c r="E216" s="288" t="s">
        <v>3568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3521</v>
      </c>
      <c r="D226" s="288" t="s">
        <v>3220</v>
      </c>
      <c r="E226" s="288" t="s">
        <v>3521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3547</v>
      </c>
      <c r="D227" s="288" t="s">
        <v>3548</v>
      </c>
      <c r="E227" s="288" t="s">
        <v>3547</v>
      </c>
    </row>
    <row r="228" spans="1:8" x14ac:dyDescent="0.3">
      <c r="A228">
        <v>227</v>
      </c>
      <c r="B228">
        <v>3</v>
      </c>
      <c r="D228" s="288" t="s">
        <v>3555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3570</v>
      </c>
      <c r="D229" s="288" t="s">
        <v>3571</v>
      </c>
      <c r="E229" s="288" t="s">
        <v>3570</v>
      </c>
      <c r="H229" s="52">
        <v>0</v>
      </c>
    </row>
    <row r="230" spans="1:8" x14ac:dyDescent="0.3">
      <c r="A230">
        <v>229</v>
      </c>
      <c r="B230">
        <v>3</v>
      </c>
      <c r="D230" s="288" t="s">
        <v>3582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3587</v>
      </c>
      <c r="D231" s="288" t="s">
        <v>3588</v>
      </c>
      <c r="E231" s="288" t="s">
        <v>3587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3590</v>
      </c>
      <c r="D232" s="288" t="s">
        <v>3591</v>
      </c>
      <c r="E232" s="288" t="s">
        <v>3590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3592</v>
      </c>
      <c r="D233" s="288" t="s">
        <v>3582</v>
      </c>
      <c r="E233" s="288" t="s">
        <v>3592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3593</v>
      </c>
      <c r="D234" s="288" t="s">
        <v>3594</v>
      </c>
      <c r="E234" s="288" t="s">
        <v>3593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3628</v>
      </c>
      <c r="D235" s="288" t="s">
        <v>3629</v>
      </c>
      <c r="E235" s="288" t="s">
        <v>3628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3826</v>
      </c>
      <c r="D236" s="288" t="s">
        <v>3827</v>
      </c>
      <c r="E236" s="288" t="s">
        <v>3826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3838</v>
      </c>
      <c r="D237" s="288" t="s">
        <v>3838</v>
      </c>
      <c r="E237" s="288" t="s">
        <v>3839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3852</v>
      </c>
      <c r="E238" s="288" t="s">
        <v>3853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3877</v>
      </c>
      <c r="D239" s="288" t="s">
        <v>3878</v>
      </c>
      <c r="E239" s="288" t="s">
        <v>3877</v>
      </c>
    </row>
    <row r="240" spans="1:8" x14ac:dyDescent="0.3">
      <c r="A240">
        <v>243</v>
      </c>
      <c r="B240">
        <v>4</v>
      </c>
      <c r="C240" s="288" t="s">
        <v>3921</v>
      </c>
      <c r="D240" s="288" t="s">
        <v>3922</v>
      </c>
      <c r="E240" s="288" t="s">
        <v>3921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3961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3985</v>
      </c>
      <c r="D245" s="288" t="s">
        <v>3986</v>
      </c>
      <c r="E245" s="288" t="s">
        <v>3985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4009</v>
      </c>
      <c r="D246" s="288" t="s">
        <v>2918</v>
      </c>
      <c r="E246" s="288" t="s">
        <v>4009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4012</v>
      </c>
      <c r="D247" s="288" t="s">
        <v>4013</v>
      </c>
      <c r="E247" s="288" t="s">
        <v>4012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4033</v>
      </c>
      <c r="D248" s="288" t="s">
        <v>4034</v>
      </c>
      <c r="E248" s="288" t="s">
        <v>4033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4051</v>
      </c>
      <c r="D249" s="288" t="s">
        <v>4052</v>
      </c>
      <c r="E249" s="288" t="s">
        <v>4051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4056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4114</v>
      </c>
      <c r="D251" s="288" t="s">
        <v>2918</v>
      </c>
      <c r="E251" s="288" t="s">
        <v>4114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4126</v>
      </c>
      <c r="D252" s="288" t="s">
        <v>4127</v>
      </c>
      <c r="E252" s="288" t="s">
        <v>4126</v>
      </c>
      <c r="F252" s="52">
        <v>800000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4050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2025-10-31T10:48:45Z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