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178F046-BF44-43F7-9596-2B2D3D197F0E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<sst xmlns="http://schemas.openxmlformats.org/spreadsheetml/2006/main" count="12167" uniqueCount="4267">
  <si>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</si>
  <si>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</si>
  <si>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</si>
  <si>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</si>
  <si>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</si>
  <si>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</si>
  <si>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</si>
  <si>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</si>
  <si>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</si>
  <si>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</si>
  <si>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</si>
  <si>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</si>
  <si>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</si>
  <si>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</si>
  <si>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</si>
  <si>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</si>
  <si>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</si>
  <si>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</si>
  <si>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</si>
  <si>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</si>
  <si>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</si>
  <si>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</si>
  <si>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</si>
  <si>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</si>
  <si>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</si>
  <si>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</si>
  <si>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</si>
  <si>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</si>
  <si>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</si>
  <si>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</si>
  <si>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</si>
  <si>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</si>
  <si>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</si>
  <si>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</si>
  <si>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</si>
  <si>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</si>
  <si>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</si>
  <si>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</si>
  <si>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</si>
  <si>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</si>
  <si>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</si>
  <si>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</si>
  <si>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</si>
  <si>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</si>
  <si>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</si>
  <si>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</si>
  <si>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</si>
  <si>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</si>
  <si>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</si>
  <si>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</si>
  <si>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</si>
  <si>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</si>
  <si>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</si>
  <si>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</si>
  <si>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</si>
  <si>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</si>
  <si>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</si>
  <si>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</si>
  <si>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</si>
  <si>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</si>
  <si>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</si>
  <si>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</si>
  <si>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</si>
  <si>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</si>
  <si>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</si>
  <si>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</si>
  <si>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</si>
  <si>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</si>
  <si>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</si>
  <si>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</si>
  <si>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</si>
  <si>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</si>
  <si>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</si>
  <si>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</si>
  <si>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</si>
  <si>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</si>
  <si>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</si>
  <si>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</si>
  <si>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</si>
  <si>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</si>
  <si>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</si>
  <si>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</si>
  <si>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</si>
  <si>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</si>
  <si>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</si>
  <si>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</si>
  <si>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</si>
  <si>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</si>
  <si>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</si>
  <si>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</si>
  <si>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</si>
  <si>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</si>
  <si>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</si>
  <si>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</si>
  <si>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</si>
  <si>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</si>
  <si>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</si>
  <si>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</si>
  <si>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</si>
  <si>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</si>
  <si>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</si>
  <si>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</si>
  <si>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</si>
  <si>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</si>
  <si>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</si>
  <si>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</si>
  <si>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</si>
  <si>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</si>
  <si>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</si>
  <si>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</si>
  <si>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</si>
  <si>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</si>
  <si>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</si>
  <si>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</si>
  <si>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</si>
  <si>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</si>
  <si>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</si>
  <si>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</si>
  <si>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</si>
  <si>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</si>
  <si>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</si>
  <si>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</si>
  <si>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</si>
  <si>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</si>
  <si>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</si>
  <si>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</si>
  <si>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</si>
  <si>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</si>
  <si>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</si>
  <si>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</si>
  <si>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</si>
  <si>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</si>
  <si>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</si>
  <si>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</si>
  <si>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</si>
  <si>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</si>
  <si>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</si>
  <si>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</si>
  <si>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</si>
  <si>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</si>
  <si>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</si>
  <si>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</si>
  <si>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</si>
  <si>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</si>
  <si>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</si>
  <si>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</si>
  <si>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</si>
  <si>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</si>
  <si>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</si>
  <si>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</si>
  <si>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</si>
  <si>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</si>
  <si>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</si>
  <si>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</si>
  <si>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</si>
  <si>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</si>
  <si>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</si>
  <si>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</si>
  <si>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</si>
  <si>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</si>
  <si>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</si>
  <si>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</si>
  <si>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</si>
  <si>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</si>
  <si>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</si>
  <si>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</si>
  <si>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</si>
  <si>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</si>
  <si>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</si>
  <si>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</si>
  <si>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</si>
  <si>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</si>
  <si>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</si>
  <si>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</si>
  <si>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</si>
  <si>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</si>
  <si>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</si>
  <si>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</si>
  <si>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</si>
  <si>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</si>
  <si>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</si>
  <si>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</si>
  <si>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</si>
  <si>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</si>
  <si>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</si>
  <si>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</si>
  <si>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</si>
  <si>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</si>
  <si>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</si>
  <si>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</si>
  <si>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</si>
  <si>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</si>
  <si>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</si>
  <si>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</si>
  <si>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</si>
  <si>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</si>
  <si>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</si>
  <si>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</si>
  <si>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</si>
  <si>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</si>
  <si>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</si>
  <si>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</si>
  <si>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</si>
  <si>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</si>
  <si>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</si>
  <si>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</si>
  <si>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</si>
  <si>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</si>
  <si>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</si>
  <si>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</si>
  <si>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</si>
  <si>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</si>
  <si>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</si>
  <si>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</si>
  <si>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</si>
  <si>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</si>
  <si>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</si>
  <si>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</si>
  <si>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</si>
  <si>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</si>
  <si>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</si>
  <si>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</si>
  <si>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</si>
  <si>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</si>
  <si>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</si>
  <si>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</si>
  <si>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</si>
  <si>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</si>
  <si>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</si>
  <si>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</si>
  <si>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</si>
  <si>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</si>
  <si>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</si>
  <si>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</si>
  <si>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</si>
  <si>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</si>
  <si>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</si>
  <si>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</si>
  <si>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</si>
  <si>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</si>
  <si>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</si>
  <si>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</si>
  <si>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</si>
  <si>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</si>
  <si>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</si>
  <si>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</si>
  <si>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</si>
  <si>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</si>
  <si>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</si>
  <si>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</si>
  <si>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</si>
  <si>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</si>
  <si>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</si>
  <si>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</si>
  <si>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</si>
  <si>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</si>
  <si>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</si>
  <si>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</si>
  <si>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</si>
  <si>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</si>
  <si>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</si>
  <si>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</si>
  <si>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</si>
  <si>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</si>
  <si>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</si>
  <si>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</si>
  <si>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</si>
  <si>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</si>
  <si>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</si>
  <si>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</si>
  <si>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</si>
  <si>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</si>
  <si>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</si>
  <si>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</si>
  <si>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</si>
  <si>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</si>
  <si>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</si>
  <si>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</si>
  <si>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</si>
  <si>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</si>
  <si>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</si>
  <si>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</si>
  <si>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</si>
  <si>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</si>
  <si>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</si>
  <si>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</si>
  <si>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</si>
  <si>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</si>
  <si>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</si>
  <si>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</si>
  <si>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</si>
  <si>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</si>
  <si>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</si>
  <si>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</si>
  <si>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</si>
  <si>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</si>
  <si>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</si>
  <si>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</si>
  <si>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</si>
  <si>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</si>
  <si>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</si>
  <si>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</si>
  <si>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</si>
  <si>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</si>
  <si>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</si>
  <si>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</si>
  <si>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</si>
  <si>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</si>
  <si>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</si>
  <si>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</si>
  <si>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</si>
  <si>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</si>
  <si>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</si>
  <si>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</si>
  <si>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</si>
  <si>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</si>
  <si>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</si>
  <si>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</si>
  <si>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</si>
  <si>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</si>
  <si>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</si>
  <si>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</si>
  <si>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</si>
  <si>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</si>
  <si>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</si>
  <si>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</si>
  <si>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</si>
  <si>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</si>
  <si>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</si>
  <si>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</si>
  <si>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</si>
  <si>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</si>
  <si>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</si>
  <si>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</si>
  <si>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</si>
  <si>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</si>
  <si>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</si>
  <si>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</si>
  <si>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</si>
  <si>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</si>
  <si>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</si>
  <si>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</si>
  <si>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</si>
  <si>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</si>
  <si>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</si>
  <si>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</si>
  <si>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</si>
  <si>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</si>
  <si>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</si>
  <si>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</si>
  <si>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</si>
  <si>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</si>
  <si>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</si>
  <si>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</si>
  <si>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</si>
  <si>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</si>
  <si>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</si>
  <si>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</si>
  <si>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</si>
  <si>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</si>
  <si>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</si>
  <si>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</si>
  <si>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</si>
  <si>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</si>
  <si>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</si>
  <si>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</si>
  <si>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</si>
  <si>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</si>
  <si>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</si>
  <si>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</si>
  <si>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</si>
  <si>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</si>
  <si>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</si>
  <si>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</si>
  <si>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</si>
  <si>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</si>
  <si>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</si>
  <si>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</si>
  <si>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</si>
  <si>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</si>
  <si>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</si>
  <si>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</si>
  <si>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</si>
  <si>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</si>
  <si>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</si>
  <si>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</si>
  <si>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</si>
  <si>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</si>
  <si>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</si>
  <si>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</si>
  <si>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</si>
  <si>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</si>
  <si>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</si>
  <si>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</si>
  <si>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</si>
  <si>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</si>
  <si>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</si>
  <si>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</si>
  <si>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</si>
  <si>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</si>
  <si>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</si>
  <si>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</si>
  <si>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</si>
  <si>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</si>
  <si>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</si>
  <si>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</si>
  <si>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</si>
  <si>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</si>
  <si>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</si>
  <si>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</si>
  <si>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</si>
  <si>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</si>
  <si>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</si>
  <si>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</si>
  <si>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</si>
  <si>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</si>
  <si>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</si>
  <si>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</si>
  <si>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</si>
  <si>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</si>
  <si>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</si>
  <si>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</si>
  <si>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</si>
  <si>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</si>
  <si>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</si>
  <si>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</si>
  <si>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</si>
  <si>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</si>
  <si>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</si>
  <si>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</si>
  <si>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</si>
  <si>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</si>
  <si>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</si>
  <si>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</si>
  <si>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</si>
  <si>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</si>
  <si>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</si>
  <si>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</si>
  <si>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</si>
  <si>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</si>
  <si>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</si>
  <si>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</si>
  <si>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</si>
  <si>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</si>
  <si>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</si>
  <si>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</si>
  <si>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</si>
  <si>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</si>
  <si>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</si>
  <si>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</si>
  <si>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</si>
  <si>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</si>
  <si>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</si>
  <si>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</si>
  <si>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</si>
  <si>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</si>
  <si>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</si>
  <si>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</si>
  <si>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</si>
  <si>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</si>
  <si>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</si>
  <si>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</si>
  <si>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</si>
  <si>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</si>
  <si>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</si>
  <si>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</si>
  <si>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</si>
  <si>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</si>
  <si>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</si>
  <si>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</si>
  <si>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</si>
  <si>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</si>
  <si>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</si>
  <si>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</si>
  <si>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</si>
  <si>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</si>
  <si>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</si>
  <si>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</si>
  <si>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</si>
  <si>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</si>
  <si>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</si>
  <si>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</si>
  <si>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</si>
  <si>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</si>
  <si>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</si>
  <si>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</si>
  <si>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</si>
  <si>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</si>
  <si>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</si>
  <si>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</si>
  <si>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</si>
  <si>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</si>
  <si>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</si>
  <si>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</si>
  <si>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</si>
  <si>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</si>
  <si>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</si>
  <si>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</si>
  <si>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</si>
  <si>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</si>
  <si>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</si>
  <si>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</si>
  <si>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</si>
  <si>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</si>
  <si>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</si>
  <si>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</si>
  <si>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</si>
  <si>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</si>
  <si>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</si>
  <si>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</si>
  <si>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</si>
  <si>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</si>
  <si>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</si>
  <si>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</si>
  <si>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</si>
  <si>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</si>
  <si>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</si>
  <si>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</si>
  <si>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</si>
  <si>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</si>
  <si>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</si>
  <si>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</si>
  <si>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</si>
  <si>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</si>
  <si>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</si>
  <si>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</si>
  <si>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</si>
  <si>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</si>
  <si>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</si>
  <si>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</si>
  <si>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</si>
  <si>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</si>
  <si>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</si>
  <si>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</si>
  <si>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</si>
  <si>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</si>
  <si>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</si>
  <si>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</si>
  <si>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</si>
  <si>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</si>
  <si>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</si>
  <si>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</si>
  <si>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</si>
  <si>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</si>
  <si>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</si>
  <si>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</si>
  <si>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</si>
  <si>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</si>
  <si>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</si>
  <si>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</si>
  <si>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</si>
  <si>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</si>
  <si>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</si>
  <si>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</si>
  <si>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</si>
  <si>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</si>
  <si>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</si>
  <si>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</si>
  <si>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</si>
  <si>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</si>
  <si>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</si>
  <si>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</si>
  <si>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</si>
  <si>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</si>
  <si>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</si>
  <si>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</si>
  <si>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</si>
  <si>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</si>
  <si>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</si>
  <si>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</si>
  <si>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</si>
  <si>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</si>
  <si>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</si>
  <si>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</si>
  <si>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</si>
  <si>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</si>
  <si>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</si>
  <si>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</si>
  <si>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</si>
  <si>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</si>
  <si>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</si>
  <si>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</si>
  <si>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</si>
  <si>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</si>
  <si>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</si>
  <si>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</si>
  <si>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</si>
  <si>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</si>
  <si>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</si>
  <si>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</si>
  <si>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</si>
  <si>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</si>
  <si>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</si>
  <si>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</si>
  <si>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</si>
  <si>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</si>
  <si>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</si>
  <si>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</si>
  <si>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</si>
  <si>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</si>
  <si>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</si>
  <si>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</si>
  <si>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</si>
  <si>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</si>
  <si>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</si>
  <si>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</si>
  <si>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</si>
  <si>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</si>
  <si>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</si>
  <si>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</si>
  <si>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</si>
  <si>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</si>
  <si>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</si>
  <si>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</si>
  <si>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</si>
  <si>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</si>
  <si>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</si>
  <si>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</si>
  <si>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</si>
  <si>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</si>
  <si>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</si>
  <si>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</si>
  <si>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</si>
  <si>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</si>
  <si>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</si>
  <si>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</si>
  <si>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</si>
  <si>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</si>
  <si>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</si>
  <si>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</si>
  <si>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</si>
  <si>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</si>
  <si>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</si>
  <si>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</si>
  <si>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</si>
  <si>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</si>
  <si>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</si>
  <si>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</si>
  <si>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</si>
  <si>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</si>
  <si>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</si>
  <si>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</si>
  <si>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</si>
  <si>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</si>
  <si>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</si>
  <si>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</si>
  <si>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</si>
  <si>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</si>
  <si>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</si>
  <si>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</si>
  <si>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</si>
  <si>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</si>
  <si>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</si>
  <si>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</si>
  <si>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</si>
  <si>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</si>
  <si>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</si>
  <si>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</si>
  <si>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</si>
  <si>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</si>
  <si>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</si>
  <si>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</si>
  <si>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</si>
  <si>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</si>
  <si>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</si>
  <si>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</si>
  <si>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</si>
  <si>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</si>
  <si>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</si>
  <si>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</si>
  <si>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</si>
  <si>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</si>
  <si>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</si>
  <si>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</si>
  <si>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</si>
  <si>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</si>
  <si>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</si>
  <si>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</si>
  <si>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</si>
  <si>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</si>
  <si>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</si>
  <si>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</si>
  <si>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</si>
  <si>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</si>
  <si>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</si>
  <si>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</si>
  <si>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</si>
  <si>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</si>
  <si>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</si>
  <si>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</si>
  <si>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</si>
  <si>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</si>
  <si>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</si>
  <si>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</si>
  <si>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</si>
  <si>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</si>
  <si>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</si>
  <si>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</si>
  <si>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</si>
  <si>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</si>
  <si>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</si>
  <si>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</si>
  <si>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</si>
  <si>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</si>
  <si>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</si>
  <si>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</si>
  <si>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</si>
  <si>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</si>
  <si>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</si>
  <si>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</si>
  <si>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</si>
  <si>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</si>
  <si>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</si>
  <si>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</si>
  <si>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</si>
  <si>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</si>
  <si>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</si>
  <si>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</si>
  <si>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</si>
  <si>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</si>
  <si>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</si>
  <si>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</si>
  <si>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</si>
  <si>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</si>
  <si>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</si>
  <si>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</si>
  <si>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</si>
  <si>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</si>
  <si>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</si>
  <si>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</si>
  <si>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</si>
  <si>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</si>
  <si>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</si>
  <si>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</si>
  <si>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</si>
  <si>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</si>
  <si>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</si>
  <si>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</si>
  <si>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</si>
  <si>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</si>
  <si>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</si>
  <si>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</si>
  <si>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</si>
  <si>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</si>
  <si>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</si>
  <si>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</si>
  <si>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</si>
  <si>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</si>
  <si>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</si>
  <si>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</si>
  <si>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</si>
  <si>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</si>
  <si>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</si>
  <si>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</si>
  <si>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</si>
  <si>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</si>
  <si>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</si>
  <si>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</si>
  <si>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</si>
  <si>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</si>
  <si>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</si>
  <si>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</si>
  <si>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</si>
  <si>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</si>
  <si>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</si>
  <si>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</si>
  <si>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</si>
  <si>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</si>
  <si>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</si>
  <si>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</si>
  <si>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</si>
  <si>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</si>
  <si>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</si>
  <si>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</si>
  <si>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</si>
  <si>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</si>
  <si>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</si>
  <si>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</si>
  <si>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</si>
  <si>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</si>
  <si>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</si>
  <si>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</si>
  <si>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</si>
  <si>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</si>
  <si>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</si>
  <si>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</si>
  <si>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</si>
  <si>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</si>
  <si>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</si>
  <si>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</si>
  <si>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</si>
  <si>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</si>
  <si>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</si>
  <si>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</si>
  <si>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</si>
  <si>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</si>
  <si>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</si>
  <si>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</si>
  <si>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</si>
  <si>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</si>
  <si>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</si>
  <si>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</si>
  <si>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</si>
  <si>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</si>
  <si>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</si>
  <si>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</si>
  <si>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</si>
  <si>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</si>
  <si>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</si>
  <si>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</si>
  <si>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</si>
  <si>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</si>
  <si>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</si>
  <si>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</si>
  <si>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</si>
  <si>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</si>
  <si>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</si>
  <si>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</si>
  <si>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</si>
  <si>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</si>
  <si>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</si>
  <si>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</si>
  <si>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</si>
  <si>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</si>
  <si>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</si>
  <si>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</si>
  <si>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</si>
  <si>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</si>
  <si>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</si>
  <si>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</si>
  <si>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</si>
  <si>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</si>
  <si>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</si>
  <si>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</si>
  <si>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</si>
  <si>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</si>
  <si>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</si>
  <si>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</si>
  <si>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</si>
  <si>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</si>
  <si>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</si>
  <si>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</si>
  <si>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</si>
  <si>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</si>
  <si>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</si>
  <si>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</si>
  <si>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</si>
  <si>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</si>
  <si>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</si>
  <si>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</si>
  <si>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</si>
  <si>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</si>
  <si>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</si>
  <si>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</si>
  <si>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</si>
  <si>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</si>
  <si>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</si>
  <si>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</si>
  <si>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</si>
  <si>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</si>
  <si>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</si>
  <si>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</si>
  <si>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</si>
  <si>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</si>
  <si>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</si>
  <si>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</si>
  <si>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</si>
  <si>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</si>
  <si>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</si>
  <si>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</si>
  <si>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</si>
  <si>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</si>
  <si>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</si>
  <si>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</si>
  <si>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</si>
  <si>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</si>
  <si>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</si>
  <si>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</si>
  <si>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</si>
  <si>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</si>
  <si>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</si>
  <si>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</si>
  <si>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</si>
  <si>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</si>
  <si>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</si>
  <si>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</si>
  <si>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</si>
  <si>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</si>
  <si>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</si>
  <si>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</si>
  <si>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</si>
  <si>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</si>
  <si>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</si>
  <si>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</si>
  <si>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</si>
  <si>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</si>
  <si>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</si>
  <si>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</si>
  <si>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</si>
  <si>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</si>
  <si>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</si>
  <si>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</si>
  <si>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</si>
  <si>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</si>
  <si>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</si>
  <si>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</si>
  <si>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</si>
  <si>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</si>
  <si>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</si>
  <si>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</si>
  <si>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</si>
  <si>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</si>
  <si>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</si>
  <si>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</si>
  <si>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</si>
  <si>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</si>
  <si>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</si>
  <si>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</si>
  <si>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</si>
  <si>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</si>
  <si>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</si>
  <si>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</si>
  <si>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</si>
  <si>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</si>
  <si>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</si>
  <si>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</si>
  <si>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</si>
  <si>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</si>
  <si>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</si>
  <si>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</si>
  <si>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</si>
  <si>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</si>
  <si>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</si>
  <si>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</si>
  <si>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</si>
  <si>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</si>
  <si>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</si>
  <si>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</si>
  <si>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</si>
  <si>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</si>
  <si>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</si>
  <si>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</si>
  <si>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</si>
  <si>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</si>
  <si>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</si>
  <si>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</si>
  <si>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</si>
  <si>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</si>
  <si>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</si>
  <si>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</si>
  <si>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</si>
  <si>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</si>
  <si>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</si>
  <si>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</si>
  <si>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</si>
  <si>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</si>
  <si>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</si>
  <si>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</si>
  <si>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</si>
  <si>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</si>
  <si>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</si>
  <si>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</si>
  <si>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</si>
  <si>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</si>
  <si>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</si>
  <si>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</si>
  <si>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</si>
  <si>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</si>
  <si>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</si>
  <si>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</si>
  <si>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</si>
  <si>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</si>
  <si>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</si>
  <si>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</si>
  <si>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</si>
  <si>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</si>
  <si>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</si>
  <si>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</si>
  <si>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</si>
  <si>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</si>
  <si>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</si>
  <si>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</si>
  <si>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</si>
  <si>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</si>
  <si>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</si>
  <si>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</si>
  <si>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</si>
  <si>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</si>
  <si>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</si>
  <si>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</si>
  <si>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</si>
  <si>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</si>
  <si>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</si>
  <si>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</si>
  <si>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</si>
  <si>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</si>
  <si>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</si>
  <si>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</si>
  <si>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</si>
  <si>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</si>
  <si>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</si>
  <si>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</si>
  <si>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</si>
  <si>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</si>
  <si>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</si>
  <si>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</si>
  <si>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</si>
  <si>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</si>
  <si>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</si>
  <si>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</si>
  <si>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</si>
  <si>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</si>
  <si>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</si>
  <si>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</si>
  <si>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</si>
  <si>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</si>
  <si>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</si>
  <si>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</si>
  <si>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</si>
  <si>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</si>
  <si>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</si>
  <si>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</si>
  <si>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</si>
  <si>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</si>
  <si>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</si>
  <si>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</si>
  <si>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</si>
  <si>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</si>
  <si>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</si>
  <si>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</si>
  <si>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</si>
  <si>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</si>
  <si>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</si>
  <si>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</si>
  <si>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</si>
  <si>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</si>
  <si>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</si>
  <si>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</si>
  <si>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</si>
  <si>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</si>
  <si>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</si>
  <si>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</si>
  <si>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</si>
  <si>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</si>
  <si>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</si>
  <si>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</si>
  <si>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</si>
  <si>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</si>
  <si>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</si>
  <si>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</si>
  <si>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</si>
  <si>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</si>
  <si>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</si>
  <si>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</si>
  <si>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</si>
  <si>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</si>
  <si>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</si>
  <si>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</si>
  <si>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</si>
  <si>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</si>
  <si>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</si>
  <si>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</si>
  <si>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</si>
  <si>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</si>
  <si>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</si>
  <si>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</si>
  <si>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</si>
  <si>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</si>
  <si>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</si>
  <si>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</si>
  <si>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</si>
  <si>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</si>
  <si>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</si>
  <si>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</si>
  <si>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</si>
  <si>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</si>
  <si>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</si>
  <si>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</si>
  <si>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</si>
  <si>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</si>
  <si>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</si>
  <si>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</si>
  <si>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</si>
  <si>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</si>
  <si>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</si>
  <si>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</si>
  <si>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</si>
  <si>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</si>
  <si>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</si>
  <si>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</si>
  <si>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</si>
  <si>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</si>
  <si>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</si>
  <si>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</si>
  <si>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</si>
  <si>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</si>
  <si>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</si>
  <si>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</si>
  <si>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</si>
  <si>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</si>
  <si>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</si>
  <si>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</si>
  <si>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</si>
  <si>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</si>
  <si>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</si>
  <si>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</si>
  <si>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</si>
  <si>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</si>
  <si>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</si>
  <si>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</si>
  <si>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</si>
  <si>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</si>
  <si>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</si>
  <si>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</si>
  <si>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</si>
  <si>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</si>
  <si>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</si>
  <si>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</si>
  <si>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</si>
  <si>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</si>
  <si>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</si>
  <si>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</si>
  <si>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</si>
  <si>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</si>
  <si>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</si>
  <si>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</si>
  <si>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</si>
  <si>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</si>
  <si>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</si>
  <si>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</si>
  <si>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</si>
  <si>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</si>
  <si>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</si>
  <si>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</si>
  <si>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</si>
  <si>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</si>
  <si>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</si>
  <si>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</si>
  <si>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</si>
  <si>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</si>
  <si>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</si>
  <si>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</si>
  <si>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</si>
  <si>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</si>
  <si>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</si>
  <si>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</si>
  <si>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</si>
  <si>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</si>
  <si>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</si>
  <si>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</si>
  <si>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</si>
  <si>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</si>
  <si>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</si>
  <si>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</si>
  <si>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</si>
  <si>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</si>
  <si>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</si>
  <si>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</si>
  <si>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</si>
  <si>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</si>
  <si>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</si>
  <si>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</si>
  <si>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</si>
  <si>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</si>
  <si>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</si>
  <si>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</si>
  <si>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</si>
  <si>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</si>
  <si>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</si>
  <si>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</si>
  <si>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</si>
  <si>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</si>
  <si>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</si>
  <si>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</si>
  <si>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</si>
  <si>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</si>
  <si>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</si>
  <si>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</si>
  <si>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</si>
  <si>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</si>
  <si>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</si>
  <si>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</si>
  <si>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</si>
  <si>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</si>
  <si>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</si>
  <si>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</si>
  <si>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</si>
  <si>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</si>
  <si>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</si>
  <si>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</si>
  <si>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</si>
  <si>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</si>
  <si>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</si>
  <si>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</si>
  <si>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</si>
  <si>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</si>
  <si>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</si>
  <si>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</si>
  <si>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</si>
  <si>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</si>
  <si>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</si>
  <si>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</si>
  <si>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</si>
  <si>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</si>
  <si>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</si>
  <si>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</si>
  <si>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</si>
  <si>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</si>
  <si>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</si>
  <si>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</si>
  <si>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</si>
  <si>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</si>
  <si>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</si>
  <si>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</si>
  <si>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</si>
  <si>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</si>
  <si>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</si>
  <si>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</si>
  <si>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</si>
  <si>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</si>
  <si>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</si>
  <si>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</si>
  <si>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</si>
  <si>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</si>
  <si>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</si>
  <si>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</si>
  <si>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</si>
  <si>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</si>
  <si>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</si>
  <si>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</si>
  <si>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</si>
  <si>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</si>
  <si>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</si>
  <si>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</si>
  <si>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</si>
  <si>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</si>
  <si>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</si>
  <si>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</si>
  <si>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</si>
  <si>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</si>
  <si>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</si>
  <si>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</si>
  <si>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</si>
  <si>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</si>
  <si>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</si>
  <si>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</si>
  <si>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</si>
  <si>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</si>
  <si>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</si>
  <si>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</si>
  <si>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</si>
  <si>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</si>
  <si>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</si>
  <si>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</si>
  <si>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</si>
  <si>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</si>
  <si>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</si>
  <si>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</si>
  <si>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</si>
  <si>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</si>
  <si>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</si>
  <si>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</si>
  <si>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</si>
  <si>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</si>
  <si>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</si>
  <si>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</si>
  <si>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</si>
  <si>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</si>
  <si>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</si>
  <si>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</si>
  <si>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</si>
  <si>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</si>
  <si>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</si>
  <si>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</si>
  <si>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</si>
  <si>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</si>
  <si>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</si>
  <si>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</si>
  <si>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</si>
  <si>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</si>
  <si>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</si>
  <si>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</si>
  <si>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</si>
  <si>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</si>
  <si>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</si>
  <si>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</si>
  <si>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</si>
  <si>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</si>
  <si>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</si>
  <si>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</si>
  <si>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</si>
  <si>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</si>
  <si>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</si>
  <si>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</si>
  <si>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</si>
  <si>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</si>
  <si>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</si>
  <si>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</si>
  <si>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</si>
  <si>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</si>
  <si>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</si>
  <si>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</si>
  <si>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</si>
  <si>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</si>
  <si>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</si>
  <si>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</si>
  <si>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</si>
  <si>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</si>
  <si>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</si>
  <si>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</si>
  <si>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</si>
  <si>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</si>
  <si>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</si>
  <si>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</si>
  <si>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</si>
  <si>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</si>
  <si>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</si>
  <si>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</si>
  <si>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</si>
  <si>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</si>
  <si>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</si>
  <si>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</si>
  <si>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</si>
  <si>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</si>
  <si>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</si>
  <si>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</si>
  <si>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</si>
  <si>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</si>
  <si>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</si>
  <si>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</si>
  <si>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</si>
  <si>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</si>
  <si>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</si>
  <si>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</si>
  <si>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</si>
  <si>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</si>
  <si>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</si>
  <si>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</si>
  <si>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</si>
  <si>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</si>
  <si>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</si>
  <si>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</si>
  <si>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</si>
  <si>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</si>
  <si>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</si>
  <si>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</si>
  <si>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</si>
  <si>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</si>
  <si>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</si>
  <si>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</si>
  <si>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</si>
  <si>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</si>
  <si>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</si>
  <si>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</si>
  <si>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</si>
  <si>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</si>
  <si>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</si>
  <si>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</si>
  <si>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</si>
  <si>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</si>
  <si>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</si>
  <si>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</si>
  <si>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</si>
  <si>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</si>
  <si>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</si>
  <si>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</si>
  <si>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</si>
  <si>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</si>
  <si>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</si>
  <si>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</si>
  <si>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</si>
  <si>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</si>
  <si>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</si>
  <si>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</si>
  <si>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</si>
  <si>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</si>
  <si>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</si>
  <si>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</si>
  <si>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</si>
  <si>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</si>
  <si>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</si>
  <si>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</si>
  <si>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</si>
  <si>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</si>
  <si>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</si>
  <si>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</si>
  <si>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</si>
  <si>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</si>
  <si>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</si>
  <si>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</si>
  <si>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</si>
  <si>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</si>
  <si>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</si>
  <si>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</si>
  <si>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</si>
  <si>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</si>
  <si>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</si>
  <si>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</si>
  <si>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</si>
  <si>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</si>
  <si>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</si>
  <si>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</si>
  <si>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</si>
  <si>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</si>
  <si>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</si>
  <si>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</si>
  <si>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</si>
  <si>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</si>
  <si>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</si>
  <si>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</si>
  <si>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</si>
  <si>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</si>
  <si>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</si>
  <si>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</si>
  <si>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</si>
  <si>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</si>
  <si>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</si>
  <si>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</si>
  <si>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</si>
  <si>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</si>
  <si>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</si>
  <si>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</si>
  <si>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</si>
  <si>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</si>
  <si>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</si>
  <si>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</si>
  <si>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</si>
  <si>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</si>
  <si>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</si>
  <si>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</si>
  <si>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</si>
  <si>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</si>
  <si>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</si>
  <si>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</si>
  <si>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</si>
  <si>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</si>
  <si>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</si>
  <si>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</si>
  <si>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</si>
  <si>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</si>
  <si>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</si>
  <si>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</si>
  <si>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</si>
  <si>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</si>
  <si>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</si>
  <si>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</si>
  <si>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</si>
  <si>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</si>
  <si>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</si>
  <si>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</si>
  <si>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</si>
  <si>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</si>
  <si>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</si>
  <si>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</si>
  <si>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</si>
  <si>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</si>
  <si>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</si>
  <si>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</si>
  <si>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</si>
  <si>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</si>
  <si>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</si>
  <si>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</si>
  <si>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</si>
  <si>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</si>
  <si>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</si>
  <si>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</si>
  <si>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</si>
  <si>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</si>
  <si>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</si>
  <si>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</si>
  <si>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</si>
  <si>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</si>
  <si>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</si>
  <si>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</si>
  <si>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</si>
  <si>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</si>
  <si>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</si>
  <si>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</si>
  <si>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</si>
  <si>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</si>
  <si>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</si>
  <si>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</si>
  <si>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</si>
  <si>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</si>
  <si>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</si>
  <si>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</si>
  <si>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</si>
  <si>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</si>
  <si>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</si>
  <si>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</si>
  <si>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</si>
  <si>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</si>
  <si>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</si>
  <si>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</si>
  <si>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</si>
  <si>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</si>
  <si>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</si>
  <si>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</si>
  <si>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</si>
  <si>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</si>
  <si>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</si>
  <si>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</si>
  <si>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</si>
  <si>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</si>
  <si>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</si>
  <si>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</si>
  <si>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</si>
  <si>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</si>
  <si>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</si>
  <si>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</si>
  <si>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</si>
  <si>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</si>
  <si>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</si>
  <si>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</si>
  <si>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</si>
  <si>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</si>
  <si>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</si>
  <si>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</si>
  <si>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</si>
  <si>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</si>
  <si>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</si>
  <si>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</si>
  <si>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</si>
  <si>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</si>
  <si>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</si>
  <si>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</si>
  <si>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</si>
  <si>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</si>
  <si>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</si>
  <si>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</si>
  <si>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</si>
  <si>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</si>
  <si>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</si>
  <si>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</si>
  <si>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</si>
  <si>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</si>
  <si>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</si>
  <si>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</si>
  <si>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</si>
  <si>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</si>
  <si>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</si>
  <si>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</si>
  <si>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</si>
  <si>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</si>
  <si>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</si>
  <si>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</si>
  <si>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</si>
  <si>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</si>
  <si>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</si>
  <si>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</si>
  <si>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</si>
  <si>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</si>
  <si>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</si>
  <si>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</si>
  <si>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</si>
  <si>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</si>
  <si>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</si>
  <si>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</si>
  <si>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</si>
  <si>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</si>
  <si>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</si>
  <si>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</si>
  <si>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</si>
  <si>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</si>
  <si>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</si>
  <si>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</si>
  <si>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</si>
  <si>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</si>
  <si>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</si>
  <si>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</si>
  <si>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</si>
  <si>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</si>
  <si>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</si>
  <si>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</si>
  <si>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</si>
  <si>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</si>
  <si>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</si>
  <si>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</si>
  <si>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</si>
  <si>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</si>
  <si>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</si>
  <si>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</si>
  <si>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</si>
  <si>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</si>
  <si>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</si>
  <si>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</si>
  <si>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</si>
  <si>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</si>
  <si>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</si>
  <si>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</si>
  <si>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</si>
  <si>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</si>
  <si>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</si>
  <si>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</si>
  <si>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</si>
  <si>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</si>
  <si>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</si>
  <si>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</si>
  <si>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</si>
  <si>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</si>
  <si>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</si>
  <si>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</si>
  <si>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</si>
  <si>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</si>
  <si>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</si>
  <si>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</si>
  <si>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</si>
  <si>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</si>
  <si>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</si>
  <si>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</si>
  <si>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</si>
  <si>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</si>
  <si>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</si>
  <si>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</si>
  <si>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</si>
  <si>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</si>
  <si>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</si>
  <si>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</si>
  <si>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</si>
  <si>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</si>
  <si>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</si>
  <si>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</si>
  <si>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</si>
  <si>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</si>
  <si>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</si>
  <si>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</si>
  <si>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</si>
  <si>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</si>
  <si>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</si>
  <si>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</si>
  <si>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</si>
  <si>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</si>
  <si>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</si>
  <si>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</si>
  <si>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</si>
  <si>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</si>
  <si>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</si>
  <si>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</si>
  <si>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</si>
  <si>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</si>
  <si>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</si>
  <si>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</si>
  <si>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</si>
  <si>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</si>
  <si>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</si>
  <si>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</si>
  <si>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</si>
  <si>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</si>
  <si>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</si>
  <si>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</si>
  <si>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</si>
  <si>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</si>
  <si>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</si>
  <si>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</si>
  <si>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</si>
  <si>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</si>
  <si>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</si>
  <si>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</si>
  <si>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</si>
  <si>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</si>
  <si>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</si>
  <si>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</si>
  <si>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</si>
  <si>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</si>
  <si>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</si>
  <si>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</si>
  <si>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</si>
  <si>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</si>
  <si>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</si>
  <si>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</si>
  <si>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</si>
  <si>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</si>
  <si>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</si>
  <si>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</si>
  <si>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</si>
  <si>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</si>
  <si>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</si>
  <si>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</si>
  <si>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</si>
  <si>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</si>
  <si>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</si>
  <si>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</si>
  <si>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</si>
  <si>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</si>
  <si>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</si>
  <si>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</si>
  <si>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</si>
  <si>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</si>
  <si>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</si>
  <si>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</si>
  <si>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</si>
  <si>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</si>
  <si>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</si>
  <si>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</si>
  <si>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</si>
  <si>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</si>
  <si>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</si>
  <si>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</si>
  <si>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</si>
  <si>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</si>
  <si>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</si>
  <si>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</si>
  <si>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</si>
  <si>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</si>
  <si>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</si>
  <si>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</si>
  <si>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</si>
  <si>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</si>
  <si>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</si>
  <si>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</si>
  <si>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</si>
  <si>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</si>
  <si>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</si>
  <si>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</si>
  <si>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</si>
  <si>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</si>
  <si>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</si>
  <si>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</si>
  <si>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</si>
  <si>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</si>
  <si>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</si>
  <si>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</si>
  <si>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</si>
  <si>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</si>
  <si>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</si>
  <si>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</si>
  <si>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</si>
  <si>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</si>
  <si>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</si>
  <si>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</si>
  <si>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</si>
  <si>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</si>
  <si>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</si>
  <si>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</si>
  <si>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</si>
  <si>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</si>
  <si>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</si>
  <si>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</si>
  <si>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</si>
  <si>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</si>
  <si>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</si>
  <si>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</si>
  <si>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</si>
  <si>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</si>
  <si>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</si>
  <si>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</si>
  <si>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</si>
  <si>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</si>
  <si>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</si>
  <si>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</si>
  <si>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</si>
  <si>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</si>
  <si>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</si>
  <si>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</si>
  <si>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</si>
  <si>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</si>
  <si>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</si>
  <si>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</si>
  <si>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</si>
  <si>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</si>
  <si>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</si>
  <si>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</si>
  <si>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</si>
  <si>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</si>
  <si>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</si>
  <si>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</si>
  <si>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</si>
  <si>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</si>
  <si>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</si>
  <si>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</si>
  <si>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</si>
  <si>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</si>
  <si>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</si>
  <si>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</si>
  <si>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</si>
  <si>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</si>
  <si>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</si>
  <si>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</si>
  <si>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</si>
  <si>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</si>
  <si>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</si>
  <si>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</si>
  <si>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</si>
  <si>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</si>
  <si>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</si>
  <si>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</si>
  <si>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</si>
  <si>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</si>
  <si>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</si>
  <si>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</si>
  <si>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</si>
  <si>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</si>
  <si>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</si>
  <si>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</si>
  <si>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</si>
  <si>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</si>
  <si>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</si>
  <si>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</si>
  <si>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</si>
  <si>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</si>
  <si>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</si>
  <si>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</si>
  <si>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</si>
  <si>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</si>
  <si>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</si>
  <si>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</si>
  <si>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</si>
  <si>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</si>
  <si>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</si>
  <si>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</si>
  <si>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</si>
  <si>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</si>
  <si>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</si>
  <si>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</si>
  <si>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</si>
  <si>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</si>
  <si>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</si>
  <si>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</si>
  <si>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</si>
  <si>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</si>
  <si>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</si>
  <si>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</si>
  <si>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</si>
  <si>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</si>
  <si>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</si>
  <si>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</si>
  <si>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</si>
  <si>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</si>
  <si>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</si>
  <si>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</si>
  <si>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</si>
  <si>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</si>
  <si>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</si>
  <si>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</si>
  <si>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</si>
  <si>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</si>
  <si>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</si>
  <si>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</si>
  <si>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</si>
  <si>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</si>
  <si>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</si>
  <si>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</si>
  <si>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</si>
  <si>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</si>
  <si>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</si>
  <si>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</si>
  <si>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</si>
  <si>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</si>
  <si>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</si>
  <si>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</si>
  <si>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</si>
  <si>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</si>
  <si>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</si>
  <si>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</si>
  <si>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</si>
  <si>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</si>
  <si>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</si>
  <si>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</si>
  <si>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</si>
  <si>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</si>
  <si>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</si>
  <si>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</si>
  <si>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</si>
  <si>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</si>
  <si>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</si>
  <si>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</si>
  <si>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</si>
  <si>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</si>
  <si>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</si>
  <si>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</si>
  <si>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</si>
  <si>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</si>
  <si>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</si>
  <si>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</si>
  <si>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</si>
  <si>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</si>
  <si>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</si>
  <si>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</si>
  <si>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</si>
  <si>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</si>
  <si>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</si>
  <si>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</si>
  <si>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</si>
  <si>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</si>
  <si>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</si>
  <si>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</si>
  <si>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</si>
  <si>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</si>
  <si>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</si>
  <si>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</si>
  <si>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</si>
  <si>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</si>
  <si>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</si>
  <si>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</si>
  <si>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</si>
  <si>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</si>
  <si>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</si>
  <si>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</si>
  <si>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</si>
  <si>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</si>
  <si>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</si>
  <si>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</si>
  <si>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</si>
  <si>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</si>
  <si>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</si>
  <si>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</si>
  <si>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</si>
  <si>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</si>
  <si>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</si>
  <si>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</si>
  <si>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</si>
  <si>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</si>
  <si>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</si>
  <si>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</si>
  <si>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</si>
  <si>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</si>
  <si>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</si>
  <si>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</si>
  <si>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</si>
  <si>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</si>
  <si>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</si>
  <si>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</si>
  <si>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</si>
  <si>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</si>
  <si>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</si>
  <si>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</si>
  <si>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</si>
  <si>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</si>
  <si>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</si>
  <si>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</si>
  <si>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</si>
  <si>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</si>
  <si>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</si>
  <si>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</si>
  <si>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</si>
  <si>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</si>
  <si>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</si>
  <si>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</si>
  <si>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</si>
  <si>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</si>
  <si>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</si>
  <si>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</si>
  <si>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</si>
  <si>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</si>
  <si>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</si>
  <si>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</si>
  <si>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</si>
  <si>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</si>
  <si>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</si>
  <si>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</si>
  <si>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</si>
  <si>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</si>
  <si>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</si>
  <si>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</si>
  <si>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</si>
  <si>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</si>
  <si>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</si>
  <si>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</si>
  <si>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</si>
  <si>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</si>
  <si>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</si>
  <si>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</si>
  <si>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</si>
  <si>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</si>
  <si>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</si>
  <si>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</si>
  <si>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</si>
  <si>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</si>
  <si>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</si>
  <si>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</si>
  <si>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</si>
  <si>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</si>
  <si>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</si>
  <si>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</si>
  <si>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</si>
  <si>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</si>
  <si>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</si>
  <si>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</si>
  <si>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</si>
  <si>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</si>
  <si>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</si>
  <si>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</si>
  <si>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</si>
  <si>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</si>
  <si>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</si>
  <si>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</si>
  <si>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</si>
  <si>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</si>
  <si>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</si>
  <si>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</si>
  <si>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</si>
  <si>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</si>
  <si>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</si>
  <si>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</si>
  <si>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</si>
  <si>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</si>
  <si>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</si>
  <si>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</si>
  <si>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</si>
  <si>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</si>
  <si>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</si>
  <si>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</si>
  <si>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</si>
  <si>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</si>
  <si>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</si>
  <si>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</si>
  <si>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</si>
  <si>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</si>
  <si>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</si>
  <si>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</si>
  <si>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</si>
  <si>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</si>
  <si>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</si>
  <si>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</si>
  <si>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</si>
  <si>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</si>
  <si>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</si>
  <si>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</si>
  <si>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</si>
  <si>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</si>
  <si>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</si>
  <si>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</si>
  <si>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</si>
  <si>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</si>
  <si>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</si>
  <si>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</si>
  <si>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</si>
  <si>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</si>
  <si>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</si>
  <si>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</si>
  <si>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</si>
  <si>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</si>
  <si>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</si>
  <si>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</si>
  <si>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</si>
  <si>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</si>
  <si>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</si>
  <si>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</si>
  <si>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</si>
  <si>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</si>
  <si>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</si>
  <si>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</si>
  <si>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</si>
  <si>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</si>
  <si>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</si>
  <si>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</si>
  <si>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</si>
  <si>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</si>
  <si>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</si>
  <si>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</si>
  <si>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</si>
  <si>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</si>
  <si>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</si>
  <si>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</si>
  <si>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</si>
  <si>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</si>
  <si>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</si>
  <si>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</si>
  <si>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</si>
  <si>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</si>
  <si>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</si>
  <si>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</si>
  <si>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</si>
  <si>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</si>
  <si>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</si>
  <si>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</si>
  <si>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</si>
  <si>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</si>
  <si>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</si>
  <si>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</si>
  <si>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</si>
  <si>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</si>
  <si>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</si>
  <si>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</si>
  <si>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</si>
  <si>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</si>
  <si>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</si>
  <si>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</si>
  <si>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</si>
  <si>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</si>
  <si>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</si>
  <si>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</si>
  <si>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</si>
  <si>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</si>
  <si>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</si>
  <si>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</si>
  <si>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</si>
  <si>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</si>
  <si>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</si>
  <si>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</si>
  <si>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</si>
  <si>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</si>
  <si>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</si>
  <si>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</si>
  <si>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</si>
  <si>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</si>
  <si>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</si>
  <si>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</si>
  <si>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</si>
  <si>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</si>
  <si>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</si>
  <si>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</si>
  <si>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</si>
  <si>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</si>
  <si>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</si>
  <si>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</si>
  <si>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</si>
  <si>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</si>
  <si>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</si>
  <si>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</si>
  <si>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</si>
  <si>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</si>
  <si>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</si>
  <si>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</si>
  <si>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</si>
  <si>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</si>
  <si>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</si>
  <si>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</si>
  <si>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</si>
  <si>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</si>
  <si>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</si>
  <si>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</si>
  <si>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</si>
  <si>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</si>
  <si>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</si>
  <si>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</si>
  <si>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</si>
  <si>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</si>
  <si>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</si>
  <si>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</si>
  <si>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</si>
  <si>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</si>
  <si>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</si>
  <si>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</si>
  <si>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</si>
  <si>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</si>
  <si>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</si>
  <si>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</si>
  <si>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</si>
  <si>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</si>
  <si>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</si>
  <si>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</si>
  <si>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</si>
  <si>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</si>
  <si>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</si>
  <si>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</si>
  <si>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</si>
  <si>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</si>
  <si>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</si>
  <si>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</si>
  <si>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</si>
  <si>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</si>
  <si>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</si>
  <si>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</si>
  <si>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</si>
  <si>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</si>
  <si>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</si>
  <si>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</si>
  <si>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</si>
  <si>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</si>
  <si>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</si>
  <si>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</si>
  <si>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</si>
  <si>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</si>
  <si>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</si>
  <si>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</si>
  <si>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</si>
  <si>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</si>
  <si>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</si>
  <si>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</si>
  <si>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</si>
  <si>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</si>
  <si>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</si>
  <si>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</si>
  <si>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</si>
  <si>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</si>
  <si>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</si>
  <si>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</si>
  <si>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</si>
  <si>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</si>
  <si>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</si>
  <si>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</si>
  <si>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</si>
  <si>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</si>
  <si>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</si>
  <si>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</si>
  <si>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</si>
  <si>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</si>
  <si>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</si>
  <si>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</si>
  <si>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</si>
  <si>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</si>
  <si>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</si>
  <si>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</si>
  <si>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</si>
  <si>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</si>
  <si>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</si>
  <si>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</si>
  <si>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</si>
  <si>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</si>
  <si>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</si>
  <si>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</si>
  <si>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</si>
  <si>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</si>
  <si>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</si>
  <si>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</si>
  <si>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</si>
  <si>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</si>
  <si>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</si>
  <si>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</si>
  <si>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</si>
  <si>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</si>
  <si>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</si>
  <si>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</si>
  <si>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</si>
  <si>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</si>
  <si>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</si>
  <si>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</si>
  <si>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</si>
  <si>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</si>
  <si>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</si>
  <si>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</si>
  <si>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</si>
  <si>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</si>
  <si>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</si>
  <si>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</si>
  <si>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</si>
  <si>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</si>
  <si>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</si>
  <si>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</si>
  <si>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</si>
  <si>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</si>
  <si>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</si>
  <si>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</si>
  <si>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</si>
  <si>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</si>
  <si>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</si>
  <si>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</si>
  <si>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</si>
  <si>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</si>
  <si>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</si>
  <si>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</si>
  <si>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</si>
  <si>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</si>
  <si>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</si>
  <si>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</si>
  <si>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</si>
  <si>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</si>
  <si>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</si>
  <si>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</si>
  <si>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</si>
  <si>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</si>
  <si>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</si>
  <si>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</si>
  <si>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</si>
  <si>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</si>
  <si>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</si>
  <si>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</si>
  <si>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</si>
  <si>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</si>
  <si>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</si>
  <si>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</si>
  <si>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</si>
  <si>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</si>
  <si>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</si>
  <si>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</si>
  <si>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</si>
  <si>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</si>
  <si>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</si>
  <si>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</si>
  <si>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</si>
  <si>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</si>
  <si>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</si>
  <si>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</si>
  <si>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</si>
  <si>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</si>
  <si>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</si>
  <si>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</si>
  <si>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</si>
  <si>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</si>
  <si>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</si>
  <si>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</si>
  <si>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</si>
  <si>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</si>
  <si>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</si>
  <si>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</si>
  <si>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</si>
  <si>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</si>
  <si>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</si>
  <si>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</si>
  <si>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</si>
  <si>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</si>
  <si>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</si>
  <si>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</si>
  <si>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</si>
  <si>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</si>
  <si>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</si>
  <si>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</si>
  <si>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</si>
  <si>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</si>
  <si>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</si>
  <si>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</si>
  <si>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</si>
  <si>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</si>
  <si>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</si>
  <si>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</si>
  <si>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</si>
  <si>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</si>
  <si>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</si>
  <si>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</si>
  <si>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</si>
  <si>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</si>
  <si>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</si>
  <si>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</si>
  <si>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</si>
  <si>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</si>
  <si>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</si>
  <si>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</si>
  <si>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</si>
  <si>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</si>
  <si>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</si>
  <si>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</si>
  <si>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</si>
  <si>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</si>
  <si>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</si>
  <si>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</si>
  <si>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</si>
  <si>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</si>
  <si>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</si>
  <si>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</si>
  <si>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</si>
  <si>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</si>
  <si>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</si>
  <si>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</si>
  <si>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</si>
  <si>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</si>
  <si>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</si>
  <si>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</si>
  <si>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</si>
  <si>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</si>
  <si>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</si>
  <si>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</si>
  <si>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</si>
  <si>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</si>
  <si>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</si>
  <si>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</si>
  <si>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</si>
  <si>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</si>
  <si>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</si>
  <si>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</si>
  <si>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</si>
  <si>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</si>
  <si>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</si>
  <si>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</si>
  <si>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</si>
  <si>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</si>
  <si>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</si>
  <si>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</si>
  <si>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</si>
  <si>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</si>
  <si>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</si>
  <si>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</si>
  <si>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</si>
  <si>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</si>
  <si>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</si>
  <si>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</si>
  <si>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</si>
  <si>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</si>
  <si>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</si>
  <si>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</si>
  <si>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</si>
  <si>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</si>
  <si>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</si>
  <si>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</si>
  <si>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</si>
  <si>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</si>
  <si>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</si>
  <si>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</si>
  <si>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</si>
  <si>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</si>
  <si>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</si>
  <si>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</si>
  <si>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</si>
  <si>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</si>
  <si>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</si>
  <si>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</si>
  <si>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</si>
  <si>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</si>
  <si>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</si>
  <si>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</si>
  <si>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</si>
  <si>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</si>
  <si>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</si>
  <si>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</si>
  <si>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</si>
  <si>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</si>
  <si>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</si>
  <si>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</si>
  <si>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</si>
  <si>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</si>
  <si>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</si>
  <si>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</si>
  <si>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</si>
  <si>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</si>
  <si>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</si>
  <si>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</si>
  <si>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</si>
  <si>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</si>
  <si>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</si>
  <si>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</si>
  <si>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</si>
  <si>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</si>
  <si>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</si>
  <si>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</si>
  <si>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</si>
  <si>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</si>
  <si>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</si>
  <si>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</si>
  <si>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</si>
  <si>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</si>
  <si>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</si>
  <si>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</si>
  <si>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</si>
  <si>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</si>
  <si>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</si>
  <si>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</si>
  <si>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</si>
  <si>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</si>
  <si>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</si>
  <si>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</si>
  <si>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</si>
  <si>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</si>
  <si>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</si>
  <si>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</si>
  <si>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</si>
  <si>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</si>
  <si>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</si>
  <si>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</si>
  <si>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</si>
  <si>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</si>
  <si>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</si>
  <si>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</si>
  <si>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</si>
  <si>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</si>
  <si>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</si>
  <si>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</si>
  <si>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</si>
  <si>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</si>
  <si>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</si>
  <si>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</si>
  <si>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</si>
  <si>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</si>
  <si>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</si>
  <si>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</si>
  <si>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</si>
  <si>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</si>
  <si>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</si>
  <si>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</si>
  <si>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</si>
  <si>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</si>
  <si>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</si>
  <si>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</si>
  <si>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</si>
  <si>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</si>
  <si>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</si>
  <si>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</si>
  <si>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</si>
  <si>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</si>
  <si>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</si>
  <si>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</si>
  <si>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</si>
  <si>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</si>
  <si>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</si>
  <si>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</si>
  <si>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</si>
  <si>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</si>
  <si>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</si>
  <si>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</si>
  <si>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</si>
  <si>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</si>
  <si>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</si>
  <si>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</si>
  <si>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</si>
  <si>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</si>
  <si>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</si>
  <si>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</si>
  <si>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</si>
  <si>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</si>
  <si>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</si>
  <si>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</si>
  <si>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</si>
  <si>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</si>
  <si>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</si>
  <si>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</si>
  <si>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</si>
  <si>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</si>
  <si>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</si>
  <si>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</si>
  <si>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</si>
  <si>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</si>
  <si>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</si>
  <si>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</si>
  <si>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</si>
  <si>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</si>
  <si>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</si>
  <si>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</si>
  <si>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</si>
  <si>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</si>
  <si>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</si>
  <si>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</si>
  <si>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</si>
  <si>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</si>
  <si>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</si>
  <si>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</si>
  <si>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</si>
  <si>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</si>
  <si>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</si>
  <si>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</si>
  <si>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</si>
  <si>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</si>
  <si>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</si>
  <si>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</si>
  <si>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</si>
  <si>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</si>
  <si>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</si>
  <si>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</si>
  <si>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</si>
  <si>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</si>
  <si>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</si>
  <si>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</si>
  <si>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</si>
  <si>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</si>
  <si>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</si>
  <si>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</si>
  <si>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</si>
  <si>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</si>
  <si>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</si>
  <si>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</si>
  <si>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</si>
  <si>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</si>
  <si>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</si>
  <si>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</si>
  <si>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</si>
  <si>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</si>
  <si>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</si>
  <si>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</si>
  <si>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</si>
  <si>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</si>
  <si>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</si>
  <si>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</si>
  <si>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</si>
  <si>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</si>
  <si>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</si>
  <si>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</si>
  <si>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</si>
  <si>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</si>
  <si>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</si>
  <si>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</si>
  <si>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</si>
  <si>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</si>
  <si>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</si>
  <si>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</si>
  <si>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</si>
  <si>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</si>
  <si>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</si>
  <si>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</si>
  <si>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</si>
  <si>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</si>
  <si>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</si>
  <si>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</si>
  <si>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</si>
  <si>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</si>
  <si>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</si>
  <si>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</si>
  <si>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</si>
  <si>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</si>
  <si>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</si>
  <si>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</si>
  <si>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</si>
  <si>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</si>
  <si>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</si>
  <si>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</si>
  <si>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</si>
  <si>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</si>
  <si>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</si>
  <si>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</si>
  <si>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</si>
  <si>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</si>
  <si>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</si>
  <si>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</si>
  <si>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</si>
  <si>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</si>
  <si>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</si>
  <si>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</si>
  <si>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</si>
  <si>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</si>
  <si>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</si>
  <si>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</si>
  <si>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</si>
  <si>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</si>
  <si>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</si>
  <si>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</si>
  <si>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</si>
  <si>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</si>
  <si>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</si>
  <si>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</si>
  <si>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</si>
  <si>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</si>
  <si>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</si>
  <si>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</si>
  <si>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</si>
  <si>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</si>
  <si>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</si>
  <si>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</si>
  <si>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</si>
  <si>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</si>
  <si>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</si>
  <si>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</si>
  <si>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</si>
  <si>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</si>
  <si>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</si>
  <si>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</si>
  <si>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</si>
  <si>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</si>
  <si>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</si>
  <si>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</si>
  <si>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</si>
  <si>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</si>
  <si>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</si>
  <si>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</si>
  <si>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</si>
  <si>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</si>
  <si>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</si>
  <si>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</si>
  <si>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</si>
  <si>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</si>
  <si>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</si>
  <si>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</si>
  <si>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</si>
  <si>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</si>
  <si>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</si>
  <si>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</si>
  <si>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</si>
  <si>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</si>
  <si>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</si>
  <si>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</si>
  <si>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</si>
  <si>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</si>
  <si>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</si>
  <si>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</si>
  <si>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</si>
  <si>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</si>
  <si>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</si>
  <si>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</si>
  <si>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</si>
  <si>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</si>
  <si>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</si>
  <si>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</si>
  <si>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</si>
  <si>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</si>
  <si>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</si>
  <si>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</si>
  <si>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</si>
  <si>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</si>
  <si>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</si>
  <si>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</si>
  <si>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</si>
  <si>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</si>
  <si>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</si>
  <si>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</si>
  <si>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</si>
  <si>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</si>
  <si>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</si>
  <si>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</si>
  <si>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</si>
  <si>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</si>
  <si>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</si>
  <si>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</si>
  <si>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</si>
  <si>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</si>
  <si>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</si>
  <si>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</si>
  <si>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</si>
  <si>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</si>
  <si>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</si>
  <si>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</si>
  <si>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</si>
  <si>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</si>
  <si>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</si>
  <si>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</si>
  <si>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</si>
  <si>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</si>
  <si>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</si>
  <si>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</si>
  <si>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</si>
  <si>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</si>
  <si>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</si>
  <si>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</si>
  <si>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</si>
  <si>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</si>
  <si>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</si>
  <si>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</si>
  <si>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</si>
  <si>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</si>
  <si>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</si>
  <si>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</si>
  <si>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</si>
  <si>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</si>
  <si>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</si>
  <si>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</si>
  <si>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</si>
  <si>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</si>
  <si>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</si>
  <si>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</si>
  <si>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</si>
  <si>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</si>
  <si>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</si>
  <si>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</si>
  <si>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</si>
  <si>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</si>
  <si>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</si>
  <si>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</si>
  <si>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</si>
  <si>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</si>
  <si>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</si>
  <si>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</si>
  <si>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</si>
  <si>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</si>
  <si>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</si>
  <si>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</si>
  <si>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</si>
  <si>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</si>
  <si>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</si>
  <si>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</si>
  <si>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</si>
  <si>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</si>
  <si>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</si>
  <si>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</si>
  <si>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</si>
  <si>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</si>
  <si>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</si>
  <si>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</si>
  <si>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</si>
  <si>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</si>
  <si>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</si>
  <si>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</si>
  <si>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</si>
  <si>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</si>
  <si>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</si>
  <si>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</si>
  <si>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</si>
  <si>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</si>
  <si>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</si>
  <si>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</si>
  <si>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</si>
  <si>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</si>
  <si>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</si>
  <si>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</si>
  <si>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</si>
  <si>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</si>
  <si>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</si>
  <si>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</si>
  <si>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</si>
  <si>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</si>
  <si>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</si>
  <si>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</si>
  <si>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</si>
  <si>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</si>
  <si>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</si>
  <si>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</si>
  <si>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</si>
  <si>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</si>
  <si>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</si>
  <si>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</si>
  <si>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</si>
  <si>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</si>
  <si>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</si>
  <si>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</si>
  <si>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</si>
  <si>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</si>
  <si>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</si>
  <si>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</si>
  <si>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</si>
  <si>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</si>
  <si>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</si>
  <si>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</si>
  <si>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</si>
  <si>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</si>
  <si>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</si>
  <si>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</si>
  <si>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</si>
  <si>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</si>
  <si>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</si>
  <si>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</si>
  <si>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</si>
  <si>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</si>
  <si>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</si>
  <si>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</si>
  <si>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</si>
  <si>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</si>
  <si>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</si>
  <si>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</si>
  <si>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</si>
  <si>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</si>
  <si>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</si>
  <si>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</si>
  <si>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</si>
  <si>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</si>
  <si>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</si>
  <si>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</si>
  <si>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</si>
  <si>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</si>
  <si>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</si>
  <si>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</si>
  <si>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</si>
  <si>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</si>
  <si>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</si>
  <si>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</si>
  <si>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</si>
  <si>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</si>
  <si>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</si>
  <si>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</si>
  <si>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</si>
  <si>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</si>
  <si>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</si>
  <si>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</si>
  <si>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</si>
  <si>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</si>
  <si>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</si>
  <si>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</si>
  <si>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</si>
  <si>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</si>
  <si>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</si>
  <si>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</si>
  <si>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</si>
  <si>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</si>
  <si>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</si>
  <si>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</si>
  <si>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</si>
  <si>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</si>
  <si>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</si>
  <si>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</si>
  <si>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</si>
  <si>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</si>
  <si>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</si>
  <si>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</si>
  <si>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</si>
  <si>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</si>
  <si>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</si>
  <si>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</si>
  <si>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</si>
  <si>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</si>
  <si>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</si>
  <si>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</si>
  <si>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</si>
  <si>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</si>
  <si>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</si>
  <si>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</si>
  <si>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</si>
  <si>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</si>
  <si>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</si>
  <si>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</si>
  <si>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</si>
  <si>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</si>
  <si>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</si>
  <si>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</si>
  <si>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</si>
  <si>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</si>
  <si>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</si>
  <si>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</si>
  <si>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</si>
  <si>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</si>
  <si>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</si>
  <si>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</si>
  <si>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</si>
  <si>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</si>
  <si>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</si>
  <si>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</si>
  <si>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</si>
  <si>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</si>
  <si>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</si>
  <si>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</si>
  <si>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</si>
  <si>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</si>
  <si>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</si>
  <si>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</si>
  <si>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</si>
  <si>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</si>
  <si>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</si>
  <si>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</si>
  <si>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</si>
  <si>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</si>
  <si>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</si>
  <si>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</si>
  <si>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</si>
  <si>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</si>
  <si>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</si>
  <si>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</si>
  <si>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</si>
  <si>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</si>
  <si>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</si>
  <si>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</si>
  <si>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</si>
  <si>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</si>
  <si>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</si>
  <si>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</si>
  <si>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</si>
  <si>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</si>
  <si>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</si>
  <si>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</si>
  <si>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</si>
  <si>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</si>
  <si>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</si>
  <si>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</si>
  <si>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</si>
  <si>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</si>
  <si>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</si>
  <si>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</si>
  <si>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</si>
  <si>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</si>
  <si>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</si>
  <si>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</si>
  <si>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</si>
  <si>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</si>
  <si>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</si>
  <si>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</si>
  <si>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</si>
  <si>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</si>
  <si>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</si>
  <si>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</si>
  <si>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</si>
  <si>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</si>
  <si>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</si>
  <si>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</si>
  <si>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</si>
  <si>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</si>
  <si>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</si>
  <si>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</si>
  <si>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</si>
  <si>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</si>
  <si>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</si>
  <si>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</si>
  <si>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</si>
  <si>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</si>
  <si>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</si>
  <si>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</si>
  <si>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</si>
  <si>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</si>
  <si>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</si>
  <si>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</si>
  <si>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</si>
  <si>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</si>
  <si>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</si>
  <si>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</si>
  <si>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</si>
  <si>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</si>
  <si>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</si>
  <si>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</si>
  <si>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</si>
  <si>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</si>
  <si>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</si>
  <si>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</si>
  <si>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</si>
  <si>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</si>
  <si>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</si>
  <si>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</si>
  <si>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</si>
  <si>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</si>
  <si>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</si>
  <si>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</si>
  <si>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</si>
  <si>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</si>
  <si>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</si>
  <si>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</si>
  <si>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</si>
  <si>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</si>
  <si>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</si>
  <si>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</si>
  <si>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</si>
  <si>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</si>
  <si>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</si>
  <si>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</si>
  <si>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</si>
  <si>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</si>
  <si>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</si>
  <si>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</si>
  <si>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</si>
  <si>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</si>
  <si>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</si>
  <si>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</si>
  <si>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</si>
  <si>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</si>
  <si>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</si>
  <si>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</si>
  <si>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</si>
  <si>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</si>
  <si>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</si>
  <si>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</si>
  <si>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</si>
  <si>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</si>
  <si>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</si>
  <si>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</si>
  <si>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</si>
  <si>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</si>
  <si>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</si>
  <si>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</si>
  <si>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</si>
  <si>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</si>
  <si>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</si>
  <si>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</si>
  <si>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</si>
  <si>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</si>
  <si>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</si>
  <si>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</si>
  <si>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</si>
  <si>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</si>
  <si>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</si>
  <si>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</si>
  <si>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</si>
  <si>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</si>
  <si>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</si>
  <si>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</si>
  <si>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</si>
  <si>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</si>
  <si>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</si>
  <si>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</si>
  <si>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</si>
  <si>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</si>
  <si>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</si>
  <si>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</si>
  <si>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</si>
  <si>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</si>
  <si>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</si>
  <si>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</si>
  <si>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</si>
  <si>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</si>
  <si>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</si>
  <si>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</si>
  <si>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</si>
  <si>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</si>
  <si>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</si>
  <si>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</si>
  <si>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</si>
  <si>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</si>
  <si>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</si>
  <si>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</si>
  <si>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</si>
  <si>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</si>
  <si>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</si>
  <si>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</si>
  <si>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</si>
  <si>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</si>
  <si>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</si>
  <si>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</si>
  <si>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</si>
  <si>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</si>
  <si>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</si>
  <si>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</si>
  <si>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</si>
  <si>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</si>
  <si>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</si>
  <si>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</si>
  <si>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</si>
  <si>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</si>
  <si>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</si>
  <si>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</si>
  <si>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</si>
  <si>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</si>
  <si>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</si>
  <si>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</si>
  <si>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</si>
  <si>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</si>
  <si>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</si>
  <si>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</si>
  <si>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</si>
  <si>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</si>
  <si>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</si>
  <si>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</si>
  <si>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</si>
  <si>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</si>
  <si>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</si>
  <si>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</si>
  <si>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</si>
  <si>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</si>
  <si>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</si>
  <si>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</si>
  <si>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</si>
  <si>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</si>
  <si>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</si>
  <si>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</si>
  <si>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</si>
  <si>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</si>
  <si>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</si>
  <si>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</si>
  <si>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</si>
  <si>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</si>
  <si>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</si>
  <si>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</si>
  <si>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</si>
  <si>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</si>
  <si>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</si>
  <si>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</si>
  <si>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</si>
  <si>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</si>
  <si>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</si>
  <si>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</si>
  <si>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</si>
  <si>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</si>
  <si>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</si>
  <si>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</si>
  <si>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</si>
  <si>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</si>
  <si>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</si>
  <si>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</si>
  <si>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</si>
  <si>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</si>
  <si>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</si>
  <si>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</si>
  <si>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</si>
  <si>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</si>
  <si>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</si>
  <si>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</si>
  <si>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</si>
  <si>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</si>
  <si>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</si>
  <si>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</si>
  <si>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</si>
  <si>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</si>
  <si>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</si>
  <si>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</si>
  <si>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</si>
  <si>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</si>
  <si>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</si>
  <si>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</si>
  <si>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</si>
  <si>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</si>
  <si>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</si>
  <si>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</si>
  <si>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</si>
  <si>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</si>
  <si>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</si>
  <si>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</si>
  <si>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</si>
  <si>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</si>
  <si>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</si>
  <si>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</si>
  <si>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</si>
  <si>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</si>
  <si>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</si>
  <si>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</si>
  <si>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</si>
  <si>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</si>
  <si>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</si>
  <si>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</si>
  <si>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</si>
  <si>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</si>
  <si>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</si>
  <si>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</si>
  <si>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</si>
  <si>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</si>
  <si>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</si>
  <si>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</si>
  <si>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</si>
  <si>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</si>
  <si>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</si>
  <si>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</si>
  <si>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</si>
  <si>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</si>
  <si>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</si>
  <si>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</si>
  <si>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</si>
  <si>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</si>
  <si>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</si>
  <si>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</si>
  <si>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</si>
  <si>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</si>
  <si>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</si>
  <si>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</si>
  <si>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</si>
  <si>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</si>
  <si>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</si>
  <si>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</si>
  <si>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</si>
  <si>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</si>
  <si>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</si>
  <si>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</si>
  <si>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</si>
  <si>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</si>
  <si>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</si>
  <si>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</si>
  <si>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</si>
  <si>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</si>
  <si>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</si>
  <si>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</si>
  <si>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</si>
  <si>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</si>
  <si>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</si>
  <si>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</si>
  <si>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</si>
  <si>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</si>
  <si>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</si>
  <si>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</si>
  <si>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</si>
  <si>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</si>
  <si>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</si>
  <si>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</si>
  <si>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</si>
  <si>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</si>
  <si>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</si>
  <si>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</si>
  <si>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</si>
  <si>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</si>
  <si>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</si>
  <si>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</si>
  <si>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</si>
  <si>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</si>
  <si>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</si>
  <si>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</si>
  <si>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</si>
  <si>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</si>
  <si>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</si>
  <si>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</si>
  <si>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</si>
  <si>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</si>
  <si>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</si>
  <si>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</si>
  <si>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</si>
  <si>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</si>
  <si>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</si>
  <si>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</si>
  <si>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</si>
  <si>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</si>
  <si>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</si>
  <si>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</si>
  <si>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</si>
  <si>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</si>
  <si>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</si>
  <si>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</si>
  <si>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</si>
  <si>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</si>
  <si>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</si>
  <si>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</si>
  <si>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</si>
  <si>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</si>
  <si>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</si>
  <si>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</si>
  <si>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</si>
  <si>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</si>
  <si>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</si>
  <si>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</si>
  <si>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</si>
  <si>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</si>
  <si>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</si>
  <si>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</si>
  <si>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</si>
  <si>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</si>
  <si>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</si>
  <si>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</si>
  <si>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</si>
  <si>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</si>
  <si>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</si>
  <si>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</si>
  <si>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</si>
  <si>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</si>
  <si>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</si>
  <si>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</si>
  <si>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</si>
  <si>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</si>
  <si>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</si>
  <si>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</si>
  <si>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</si>
  <si>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</si>
  <si>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</si>
  <si>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</si>
  <si>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</si>
  <si>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</si>
  <si>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</si>
  <si>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</si>
  <si>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</si>
  <si>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</si>
  <si>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</si>
  <si>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</si>
  <si>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</si>
  <si>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</si>
  <si>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</si>
  <si>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</si>
  <si>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</si>
  <si>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</si>
  <si>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</si>
  <si>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</si>
  <si>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</si>
  <si>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</si>
  <si>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</si>
  <si>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</si>
  <si>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</si>
  <si>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</si>
  <si>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</si>
  <si>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</si>
  <si>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</si>
  <si>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</si>
  <si>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</si>
  <si>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</si>
  <si>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</si>
  <si>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</si>
  <si>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</si>
  <si>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</si>
  <si>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</si>
  <si>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</si>
  <si>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</si>
  <si>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</si>
  <si>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</si>
  <si>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</si>
  <si>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</si>
  <si>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</si>
  <si>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</si>
  <si>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</si>
  <si>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</si>
  <si>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</si>
  <si>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</si>
  <si>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</si>
  <si>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</si>
  <si>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</si>
  <si>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</si>
  <si>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</si>
  <si>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</si>
  <si>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</si>
  <si>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</si>
  <si>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</si>
  <si>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</si>
  <si>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</si>
  <si>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</si>
  <si>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</si>
  <si>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</si>
  <si>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</si>
  <si>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</si>
  <si>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</si>
  <si>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</si>
  <si>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</si>
  <si>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</si>
  <si>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</si>
  <si>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</si>
  <si>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</si>
  <si>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</si>
  <si>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</si>
  <si>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</si>
  <si>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</si>
  <si>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</si>
  <si>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</si>
  <si>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</si>
  <si>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</si>
  <si>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</si>
  <si>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</si>
  <si>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</si>
  <si>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</si>
  <si>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</si>
  <si>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</si>
  <si>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</si>
  <si>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</si>
  <si>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</si>
  <si>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</si>
  <si>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</si>
  <si>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</si>
  <si>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</si>
  <si>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</si>
  <si>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</si>
  <si>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</si>
  <si>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</si>
  <si>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</si>
  <si>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</si>
  <si>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</si>
  <si>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</si>
  <si>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</si>
  <si>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</si>
  <si>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</si>
  <si>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</si>
  <si>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</si>
  <si>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</si>
  <si>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</si>
  <si>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</si>
  <si>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</si>
  <si>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</si>
  <si>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</si>
  <si>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</si>
  <si>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</si>
  <si>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</si>
  <si>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</si>
  <si>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</si>
  <si>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</si>
  <si>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</si>
  <si>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</si>
  <si>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</si>
  <si>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</si>
  <si>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</si>
  <si>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</si>
  <si>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</si>
  <si>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</si>
  <si>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</si>
  <si>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</si>
  <si>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</si>
  <si>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</si>
  <si>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</si>
  <si>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</si>
  <si>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</si>
  <si>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</si>
  <si>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</si>
  <si>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</si>
  <si>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</si>
  <si>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</si>
  <si>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</si>
  <si>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</si>
  <si>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</si>
  <si>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</si>
  <si>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</si>
  <si>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</si>
  <si>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</si>
  <si>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</si>
  <si>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</si>
  <si>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</si>
  <si>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</si>
  <si>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</si>
  <si>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</si>
  <si>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</si>
  <si>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</si>
  <si>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</si>
  <si>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</si>
  <si>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</si>
  <si>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</si>
  <si>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</si>
  <si>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</si>
  <si>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</si>
  <si>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</si>
  <si>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</si>
  <si>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</si>
  <si>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</si>
  <si>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</si>
  <si>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</si>
  <si>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</si>
  <si>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</si>
  <si>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</si>
  <si>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</si>
  <si>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</si>
  <si>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</si>
  <si>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</si>
  <si>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</si>
  <si>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</si>
  <si>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</si>
  <si>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</si>
  <si>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</si>
  <si>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</si>
  <si>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</si>
  <si>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</si>
  <si>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</si>
  <si>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</si>
  <si>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</si>
  <si>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</si>
  <si>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</si>
  <si>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</si>
  <si>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</si>
  <si>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</si>
  <si>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</si>
  <si>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</si>
  <si>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</si>
  <si>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</si>
  <si>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</si>
  <si>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</si>
  <si>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</si>
  <si>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</si>
  <si>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</si>
  <si>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</si>
  <si>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</si>
  <si>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</si>
  <si>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</si>
  <si>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</si>
  <si>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</si>
  <si>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</si>
  <si>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</si>
  <si>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</si>
  <si>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</si>
  <si>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</si>
  <si>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</si>
  <si>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</si>
  <si>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</si>
  <si>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</si>
  <si>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</si>
  <si>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</si>
  <si>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</si>
  <si>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</si>
  <si>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</si>
  <si>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</si>
  <si>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</si>
  <si>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</si>
  <si>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</si>
  <si>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</si>
  <si>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</si>
  <si>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</si>
  <si>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</si>
  <si>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</si>
  <si>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</si>
  <si>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</si>
  <si>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</si>
  <si>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</si>
  <si>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</si>
  <si>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</si>
  <si>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</si>
  <si>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</si>
  <si>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</si>
  <si>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</si>
  <si>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</si>
  <si>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</si>
  <si>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</si>
  <si>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</si>
  <si>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</si>
  <si>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</si>
  <si>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</si>
  <si>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</si>
  <si>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</si>
  <si>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</si>
  <si>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</si>
  <si>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</si>
  <si>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</si>
  <si>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</si>
  <si>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</si>
  <si>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</si>
  <si>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</si>
  <si>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</si>
  <si>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</si>
  <si>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</si>
  <si>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</si>
  <si>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</si>
  <si>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</si>
  <si>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</si>
  <si>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</si>
  <si>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</si>
  <si>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</si>
  <si>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</si>
  <si>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</si>
  <si>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</si>
  <si>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</si>
  <si>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</si>
  <si>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</si>
  <si>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</si>
  <si>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</si>
  <si>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</si>
  <si>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</si>
  <si>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</si>
  <si>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</si>
  <si>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</si>
  <si>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</si>
  <si>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</si>
  <si>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</si>
  <si>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</si>
  <si>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</si>
  <si>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</si>
  <si>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</si>
  <si>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</si>
  <si>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</si>
  <si>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</si>
  <si>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</si>
  <si>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</si>
  <si>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</si>
  <si>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</si>
  <si>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</si>
  <si>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</si>
  <si>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</si>
  <si>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</si>
  <si>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</si>
  <si>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</si>
  <si>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</si>
  <si>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</si>
  <si>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</si>
  <si>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</si>
  <si>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</si>
  <si>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</si>
  <si>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</si>
  <si>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</si>
  <si>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</si>
  <si>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</si>
  <si>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</si>
  <si>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</si>
  <si>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</si>
  <si>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</si>
  <si>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</si>
  <si>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</si>
  <si>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</si>
  <si>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</si>
  <si>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</si>
  <si>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</si>
  <si>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</si>
  <si>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</si>
  <si>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</si>
  <si>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</si>
  <si>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</si>
  <si>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</si>
  <si>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</si>
  <si>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</si>
  <si>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</si>
  <si>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</si>
  <si>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</si>
  <si>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</si>
  <si>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</si>
  <si>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</si>
  <si>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</si>
  <si>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</si>
  <si>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</si>
  <si>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</si>
  <si>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</si>
  <si>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</si>
  <si>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</si>
  <si>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</si>
  <si>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</si>
  <si>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</si>
  <si>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</si>
  <si>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</si>
  <si>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</si>
  <si>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</si>
  <si>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</si>
  <si>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</si>
  <si>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</si>
  <si>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</si>
  <si>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</si>
  <si>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</si>
  <si>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</si>
  <si>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</si>
  <si>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</si>
  <si>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</si>
  <si>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</si>
  <si>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</si>
  <si>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</si>
  <si>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</si>
  <si>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</si>
  <si>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</si>
  <si>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</si>
  <si>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</si>
  <si>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</si>
  <si>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</si>
  <si>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</si>
  <si>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</si>
  <si>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</si>
  <si>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</si>
  <si>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</si>
  <si>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</si>
  <si>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</si>
  <si>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</si>
  <si>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</si>
  <si>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</si>
  <si>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</si>
  <si>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</si>
  <si>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</si>
  <si>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</si>
  <si>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</si>
  <si>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</si>
  <si>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</si>
  <si>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</si>
  <si>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</si>
  <si>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</si>
  <si>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</si>
  <si>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</si>
  <si>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</si>
  <si>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</si>
  <si>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</si>
  <si>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</si>
  <si>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</si>
  <si>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</si>
  <si>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</si>
  <si>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</si>
  <si>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</si>
  <si>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</si>
  <si>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</si>
  <si>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</si>
  <si>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</si>
  <si>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</si>
  <si>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</si>
  <si>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</si>
  <si>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</si>
  <si>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</si>
  <si>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</si>
  <si>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</si>
  <si>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</si>
  <si>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</si>
  <si>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</si>
  <si>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</si>
  <si>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</si>
  <si>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</si>
  <si>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</si>
  <si>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</si>
  <si>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</si>
  <si>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</si>
  <si>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</si>
  <si>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</si>
  <si>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</si>
  <si>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</si>
  <si>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</si>
  <si>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</si>
  <si>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</si>
  <si>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</si>
  <si>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</si>
  <si>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</si>
  <si>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</si>
  <si>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</si>
  <si>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</si>
  <si>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</si>
  <si>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</si>
  <si>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</si>
  <si>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</si>
  <si>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</si>
  <si>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</si>
  <si>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</si>
  <si>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</si>
  <si>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</si>
  <si>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</si>
  <si>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</si>
  <si>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</si>
  <si>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</si>
  <si>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</si>
  <si>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</si>
  <si>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</si>
  <si>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</si>
  <si>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</si>
  <si>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</si>
  <si>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</si>
  <si>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</si>
  <si>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</si>
  <si>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</si>
  <si>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</si>
  <si>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</si>
  <si>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</si>
  <si>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</si>
  <si>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</si>
  <si>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</si>
  <si>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</si>
  <si>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</si>
  <si>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</si>
  <si>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</si>
  <si>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</si>
  <si>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</si>
  <si>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</si>
  <si>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</si>
  <si>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</si>
  <si>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</si>
  <si>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</si>
  <si>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</si>
  <si>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</si>
  <si>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</si>
  <si>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</si>
  <si>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</si>
  <si>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</si>
  <si>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</si>
  <si>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</si>
  <si>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</si>
  <si>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</si>
  <si>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</si>
  <si>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</si>
  <si>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</si>
  <si>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</si>
  <si>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</si>
  <si>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</si>
  <si>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</si>
  <si>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</si>
  <si>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</si>
  <si>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</si>
  <si>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</si>
  <si>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</si>
  <si>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</si>
  <si>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</si>
  <si>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</si>
  <si>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</si>
  <si>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</si>
  <si>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</si>
  <si>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</si>
  <si>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</si>
  <si>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</si>
  <si>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</si>
  <si>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</si>
  <si>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</si>
  <si>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</si>
  <si>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</si>
  <si>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</si>
  <si>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</si>
  <si>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</si>
  <si>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</si>
  <si>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</si>
  <si>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</si>
  <si>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</si>
  <si>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</si>
  <si>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</si>
  <si>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</si>
  <si>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</si>
  <si>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</si>
  <si>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</si>
  <si>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</si>
  <si>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</si>
  <si>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</si>
  <si>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</si>
  <si>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</si>
  <si>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</si>
  <si>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</si>
  <si>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</si>
  <si>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</si>
  <si>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</si>
  <si>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</si>
  <si>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</si>
  <si>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</si>
  <si>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</si>
  <si>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</si>
  <si>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</si>
  <si>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</si>
  <si>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</si>
  <si>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</si>
  <si>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</si>
  <si>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</si>
  <si>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</si>
  <si>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</si>
  <si>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</si>
  <si>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</si>
  <si>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</si>
  <si>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</si>
  <si>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</si>
  <si>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</si>
  <si>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</si>
  <si>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</si>
  <si>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</si>
  <si>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</si>
  <si>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</si>
  <si>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</si>
  <si>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</si>
  <si>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</si>
  <si>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</si>
  <si>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</si>
  <si>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</si>
  <si>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</si>
  <si>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</si>
  <si>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</si>
  <si>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</si>
  <si>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</si>
  <si>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</si>
  <si>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</si>
  <si>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</si>
  <si>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</si>
  <si>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</si>
  <si>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</si>
  <si>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</si>
  <si>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</si>
  <si>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</si>
  <si>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</si>
  <si>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</si>
  <si>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</si>
  <si>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</si>
  <si>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</si>
  <si>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</si>
  <si>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</si>
  <si>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</si>
  <si>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</si>
  <si>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</si>
  <si>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</si>
  <si>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</si>
  <si>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</si>
  <si>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</si>
  <si>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</si>
  <si>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</si>
  <si>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</si>
  <si>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</si>
  <si>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</si>
  <si>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</si>
  <si>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</si>
  <si>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</si>
  <si>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</si>
  <si>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</si>
  <si>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</si>
  <si>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</si>
  <si>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</si>
  <si>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</si>
  <si>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</si>
  <si>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</si>
  <si>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</si>
  <si>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</si>
  <si>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</si>
  <si>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</si>
  <si>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</si>
  <si>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</si>
  <si>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</si>
  <si>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</si>
  <si>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</si>
  <si>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</si>
  <si>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</si>
  <si>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</si>
  <si>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</si>
  <si>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</si>
  <si>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</si>
  <si>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</si>
  <si>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</si>
  <si>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</si>
  <si>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</si>
  <si>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</si>
  <si>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</si>
  <si>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</si>
  <si>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</si>
  <si>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</si>
  <si>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</si>
  <si>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</si>
  <si>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</si>
  <si>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</si>
  <si>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</si>
  <si>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</si>
  <si>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</si>
  <si>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</si>
  <si>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</si>
  <si>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</si>
  <si>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</si>
  <si>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</si>
  <si>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</si>
  <si>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</si>
  <si>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</si>
  <si>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</si>
  <si>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</si>
  <si>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</si>
  <si>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</si>
  <si>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</si>
  <si>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</si>
  <si>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</si>
  <si>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</si>
  <si>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</si>
  <si>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</si>
  <si>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</si>
  <si>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</si>
  <si>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</si>
  <si>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</si>
  <si>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</si>
  <si>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</si>
  <si>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</si>
  <si>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</si>
  <si>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</si>
  <si>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</si>
  <si>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</si>
  <si>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</si>
  <si>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</si>
  <si>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</si>
  <si>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</si>
  <si>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</si>
  <si>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</si>
  <si>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</si>
  <si>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</si>
  <si>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</si>
  <si>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</si>
  <si>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</si>
  <si>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</si>
  <si>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</si>
  <si>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</si>
  <si>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</si>
  <si>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</si>
  <si>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</si>
  <si>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</si>
  <si>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</si>
  <si>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</si>
  <si>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</si>
  <si>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</si>
  <si>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</si>
  <si>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</si>
  <si>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</si>
  <si>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</si>
  <si>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</si>
  <si>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</si>
  <si>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</si>
  <si>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</si>
  <si>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</si>
  <si>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</si>
  <si>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</si>
  <si>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</si>
  <si>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</si>
  <si>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</si>
  <si>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</si>
  <si>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</si>
  <si>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</si>
  <si>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</si>
  <si>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</si>
  <si>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</si>
  <si>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</si>
  <si>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</si>
  <si>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</si>
  <si>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</si>
  <si>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</si>
  <si>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</si>
  <si>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</si>
  <si>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</si>
  <si>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</si>
  <si>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</si>
  <si>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</si>
  <si>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</si>
  <si>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</si>
  <si>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</si>
  <si>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</si>
  <si>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</si>
  <si>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</si>
  <si>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</si>
  <si>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</si>
  <si>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</si>
  <si>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</si>
  <si>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</si>
  <si>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</si>
  <si>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</si>
  <si>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</si>
  <si>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</si>
  <si>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</si>
  <si>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</si>
  <si>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</si>
  <si>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</si>
  <si>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</si>
  <si>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</si>
  <si>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</si>
  <si>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</si>
  <si>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</si>
  <si>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</si>
  <si>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</si>
  <si>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</si>
  <si>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</si>
  <si>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</si>
  <si>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</si>
  <si>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</si>
  <si>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</si>
  <si>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</si>
  <si>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</si>
  <si>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</si>
  <si>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</si>
  <si>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</si>
  <si>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</si>
  <si>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</si>
  <si>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</si>
  <si>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</si>
  <si>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</si>
  <si>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</si>
  <si>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</si>
  <si>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</si>
  <si>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</si>
  <si>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</si>
  <si>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</si>
  <si>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</si>
  <si>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</si>
  <si>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</si>
  <si>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</si>
  <si>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</si>
  <si>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</si>
  <si>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</si>
  <si>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</si>
  <si>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</si>
  <si>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</si>
  <si>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</si>
  <si>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</si>
  <si>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</si>
  <si>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</si>
  <si>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</si>
  <si>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</si>
  <si>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</si>
  <si>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</si>
  <si>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</si>
  <si>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</si>
  <si>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</si>
  <si>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</si>
  <si>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</si>
  <si>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</si>
  <si>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</si>
  <si>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</si>
  <si>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</si>
  <si>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</si>
  <si>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</si>
  <si>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</si>
  <si>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</si>
  <si>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</si>
  <si>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</si>
  <si>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</si>
  <si>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</si>
  <si>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</si>
  <si>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</si>
  <si>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</si>
  <si>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</si>
  <si>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</si>
  <si>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</si>
  <si>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</si>
  <si>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</si>
  <si>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</si>
  <si>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</si>
  <si>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</si>
  <si>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</si>
  <si>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</si>
  <si>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</si>
  <si>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</si>
  <si>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</si>
  <si>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</si>
  <si>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</si>
  <si>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</si>
  <si>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</si>
  <si>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</si>
  <si>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</si>
  <si>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</si>
  <si>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</si>
  <si>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</si>
  <si>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</si>
  <si>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</si>
  <si>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</si>
  <si>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</si>
  <si>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</si>
  <si>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</si>
  <si>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</si>
  <si>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</si>
  <si>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</si>
  <si>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</si>
  <si>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</si>
  <si>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</si>
  <si>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</si>
  <si>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</si>
  <si>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</si>
  <si>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</si>
  <si>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</si>
  <si>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</si>
  <si>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</si>
  <si>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</si>
  <si>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</si>
  <si>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</si>
  <si>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</si>
  <si>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</si>
  <si>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</si>
  <si>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</si>
  <si>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</si>
  <si>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</si>
  <si>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</si>
  <si>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</si>
  <si>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</si>
  <si>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</si>
  <si>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</si>
  <si>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</si>
  <si>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</si>
  <si>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</si>
  <si>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</si>
  <si>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</si>
  <si>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</si>
  <si>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</si>
  <si>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</si>
  <si>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</si>
  <si>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</si>
  <si>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</si>
  <si>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</si>
  <si>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</si>
  <si>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</si>
  <si>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</si>
  <si>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</si>
  <si>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</si>
  <si>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</si>
  <si>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</si>
  <si>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</si>
  <si>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</si>
  <si>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</si>
  <si>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</si>
  <si>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</si>
  <si>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</si>
  <si>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</si>
  <si>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</si>
  <si>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</si>
  <si>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</si>
  <si>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</si>
  <si>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</si>
  <si>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</si>
  <si>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</si>
  <si>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</si>
  <si>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</si>
  <si>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</si>
  <si>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</si>
  <si>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</si>
  <si>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</si>
  <si>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</si>
  <si>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</si>
  <si>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</si>
  <si>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</si>
  <si>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</si>
  <si>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</si>
  <si>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</si>
  <si>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</si>
  <si>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</si>
  <si>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</si>
  <si>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</si>
  <si>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</si>
  <si>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</si>
  <si>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</si>
  <si>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</si>
  <si>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</si>
  <si>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</si>
  <si>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</si>
  <si>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</si>
  <si>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</si>
  <si>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</si>
  <si>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</si>
  <si>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</si>
  <si>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</si>
  <si>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</si>
  <si>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</si>
  <si>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</si>
  <si>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</si>
  <si>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</si>
  <si>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</si>
  <si>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</si>
  <si>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</si>
  <si>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</si>
  <si>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</si>
  <si>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</si>
  <si>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</si>
  <si>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</si>
  <si>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</si>
  <si>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</si>
  <si>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</si>
  <si>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</si>
  <si>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</si>
  <si>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</si>
  <si>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</si>
  <si>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</si>
  <si>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</si>
  <si>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</si>
  <si>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</si>
  <si>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</si>
  <si>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</si>
  <si>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</si>
  <si>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</si>
  <si>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</si>
  <si>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</si>
  <si>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</si>
  <si>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</si>
  <si>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</si>
  <si>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</si>
  <si>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</si>
  <si>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</si>
  <si>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</si>
  <si>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</si>
  <si>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</si>
  <si>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</si>
  <si>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</si>
  <si>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</si>
  <si>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</si>
  <si>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</si>
  <si>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</si>
  <si>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</si>
  <si>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</si>
  <si>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</si>
  <si>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</si>
  <si>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</si>
  <si>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</si>
  <si>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</si>
  <si>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</si>
  <si>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</si>
  <si>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</si>
  <si>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</si>
  <si>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</si>
  <si>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</si>
  <si>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</si>
  <si>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</si>
  <si>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</si>
  <si>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</si>
  <si>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</si>
  <si>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</si>
  <si>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</si>
  <si>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</si>
  <si>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</si>
  <si>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</si>
  <si>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</si>
  <si>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</si>
  <si>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</si>
  <si>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</si>
  <si>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</si>
  <si>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2025-11-09</t>
  </si>
  <si>
    <t>터빈속도센서 오작동</t>
  </si>
  <si>
    <t>은현자동차공업소(용인)_251109_132922.xlsx</t>
  </si>
  <si>
    <t>은현자동차공업소(용인)_251109_132922.xlsx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</si>
</sst>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1600000</c:v>
                </c:pt>
                <c:pt idx="2">
                  <c:v>0</c:v>
                </c:pt>
                <c:pt idx="3">
                  <c:v>3650000</c:v>
                </c:pt>
                <c:pt idx="4">
                  <c:v>693000</c:v>
                </c:pt>
                <c:pt idx="5">
                  <c:v>0</c:v>
                </c:pt>
                <c:pt idx="6">
                  <c:v>0</c:v>
                </c:pt>
                <c:pt idx="7">
                  <c:v>1650000</c:v>
                </c:pt>
                <c:pt idx="8">
                  <c:v>0</c:v>
                </c:pt>
                <c:pt idx="9">
                  <c:v>1100000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14</c:v>
                      </c:pt>
                      <c:pt idx="1">
                        <c:v>10</c:v>
                      </c:pt>
                      <c:pt idx="2">
                        <c:v>23</c:v>
                      </c:pt>
                      <c:pt idx="3">
                        <c:v>2</c:v>
                      </c:pt>
                      <c:pt idx="4">
                        <c:v>17</c:v>
                      </c:pt>
                      <c:pt idx="5">
                        <c:v>23</c:v>
                      </c:pt>
                      <c:pt idx="6">
                        <c:v>23</c:v>
                      </c:pt>
                      <c:pt idx="7">
                        <c:v>8</c:v>
                      </c:pt>
                      <c:pt idx="8">
                        <c:v>23</c:v>
                      </c:pt>
                      <c:pt idx="9">
                        <c:v>15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45970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1328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2504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2503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3337</v>
      </c>
      <c r="B8" s="424"/>
      <c r="C8" s="424"/>
      <c r="D8" s="424"/>
      <c r="E8" s="425"/>
      <c r="F8" s="426"/>
      <c r="G8" s="427"/>
      <c r="H8" s="427"/>
      <c r="I8" s="428"/>
      <c r="J8" s="434">
        <v>2500000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2500000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2316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2500000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0</v>
      </c>
      <c r="R20" s="318"/>
      <c r="S20" s="319"/>
      <c r="T20" s="318">
        <f>SUM(T8:U15)</f>
        <v>2500000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2500000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은현자동차공업소(용인)</v>
      </c>
      <c r="R21" s="326"/>
      <c r="S21" s="326"/>
      <c r="T21" s="326"/>
      <c r="U21" s="378"/>
    </row>
    <row r="22" spans="1:21" ht="20.100000000000001" customHeight="1" x14ac:dyDescent="0.3">
      <c r="A22" s="305" t="s">
        <v>4266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45970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은현자동차공업소(용인)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경기도 용인시 수지구 죽전동 푸른솔로 77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010-5227-9921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경동(택배)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JLR_8HP_Gen3</v>
      </c>
      <c r="B31" s="373"/>
      <c r="C31" s="373"/>
      <c r="D31" s="373"/>
      <c r="E31" s="373"/>
      <c r="F31" s="373">
        <f>F8</f>
        <v>0</v>
      </c>
      <c r="G31" s="373"/>
      <c r="H31" s="373"/>
      <c r="I31" s="373"/>
      <c r="J31" s="377">
        <f>J8</f>
        <v>2500000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2500000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2316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2500000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0</v>
      </c>
      <c r="R43" s="318"/>
      <c r="S43" s="318"/>
      <c r="T43" s="318">
        <f>T20</f>
        <v>2500000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2500000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은현자동차공업소(용인)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2500000</v>
      </c>
      <c r="H1" s="107">
        <f>SUM(H2:H2)</f>
        <v>1</v>
      </c>
      <c r="I1" s="107">
        <f>SUM(I2:I2)</f>
        <v>0</v>
      </c>
      <c r="J1" s="107">
        <f>SUM(J2:J2)</f>
        <v>2500000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4263</v>
      </c>
      <c r="C2" s="47" t="s">
        <v>2495</v>
      </c>
      <c r="E2" t="s">
        <v>1918</v>
      </c>
      <c r="G2">
        <v>2500000</v>
      </c>
      <c r="H2">
        <v>1</v>
      </c>
      <c r="I2" s="226"/>
      <c r="J2" s="226">
        <v>2500000</v>
      </c>
      <c r="K2" t="s">
        <v>4264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203"/>
  <sheetViews>
    <sheetView workbookViewId="0">
      <pane xSplit="1" ySplit="1" topLeftCell="B2168" activePane="bottomRight" state="frozen"/>
      <selection activeCell="N26" sqref="N26"/>
      <selection pane="topRight" activeCell="N26" sqref="N26"/>
      <selection pane="bottomLeft" activeCell="N26" sqref="N26"/>
      <selection pane="bottomRight" activeCell="C2197" sqref="C219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2204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3663</v>
      </c>
      <c r="E196" s="292" t="s">
        <v>1858</v>
      </c>
      <c r="F196" s="269" t="s">
        <v>3663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3663</v>
      </c>
      <c r="E236" s="292" t="s">
        <v>1858</v>
      </c>
      <c r="F236" s="269" t="s">
        <v>3663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4030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4030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1960</v>
      </c>
      <c r="E811" s="292" t="s">
        <v>4030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</row>
    <row r="931" spans="1:13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2895</v>
      </c>
      <c r="E943" s="292" t="s">
        <v>4030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3663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2788</v>
      </c>
      <c r="E1105" s="292" t="s">
        <v>4030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3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3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3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3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3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3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</row>
    <row r="1329" spans="1:13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</row>
    <row r="1332" spans="1:13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</row>
    <row r="1398" spans="1:13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</row>
    <row r="1399" spans="1:13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3481</v>
      </c>
      <c r="E1430" s="292" t="s">
        <v>3482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3481</v>
      </c>
      <c r="E1431" s="292" t="s">
        <v>3483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3481</v>
      </c>
      <c r="E1432" s="292" t="s">
        <v>3484</v>
      </c>
      <c r="F1432" s="269" t="s">
        <v>3485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3481</v>
      </c>
      <c r="E1433" s="292" t="s">
        <v>3486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3481</v>
      </c>
      <c r="E1434" s="292" t="s">
        <v>3487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</row>
    <row r="1439" spans="1:13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3481</v>
      </c>
      <c r="E1453" s="292" t="s">
        <v>3488</v>
      </c>
      <c r="F1453" s="269" t="s">
        <v>3489</v>
      </c>
      <c r="G1453" s="265">
        <v>800000</v>
      </c>
      <c r="H1453" s="269">
        <v>1</v>
      </c>
      <c r="K1453" s="265">
        <v>800000</v>
      </c>
      <c r="M1453" s="269" t="s">
        <v>3490</v>
      </c>
    </row>
    <row r="1454" spans="1:13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3611</v>
      </c>
      <c r="E1490" s="292" t="s">
        <v>3612</v>
      </c>
      <c r="F1490" s="269" t="s">
        <v>3613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3611</v>
      </c>
      <c r="E1493" s="292" t="s">
        <v>3614</v>
      </c>
      <c r="G1493" s="265">
        <v>150000</v>
      </c>
      <c r="H1493" s="269">
        <v>1</v>
      </c>
      <c r="J1493" s="266" t="s">
        <v>3615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</row>
    <row r="1495" spans="1:13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</row>
    <row r="1520" spans="1:13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3449</v>
      </c>
      <c r="E1530" s="292" t="s">
        <v>4030</v>
      </c>
      <c r="F1530" s="269" t="s">
        <v>2216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3516</v>
      </c>
      <c r="E1567" s="292" t="s">
        <v>3517</v>
      </c>
      <c r="G1567" s="265">
        <v>1100000</v>
      </c>
      <c r="H1567" s="269">
        <v>1</v>
      </c>
      <c r="J1567" s="266" t="s">
        <v>3518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1448</v>
      </c>
      <c r="E1575" s="292" t="s">
        <v>3504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3657</v>
      </c>
      <c r="E1578" s="292" t="s">
        <v>3659</v>
      </c>
      <c r="F1578" s="269" t="s">
        <v>3660</v>
      </c>
      <c r="G1578" s="265">
        <v>150000</v>
      </c>
      <c r="H1578" s="269">
        <v>1</v>
      </c>
      <c r="K1578" s="265">
        <v>150000</v>
      </c>
      <c r="M1578" s="292" t="s">
        <v>3661</v>
      </c>
    </row>
    <row r="1579" spans="1:13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1540</v>
      </c>
      <c r="E1580" s="292" t="s">
        <v>3503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3500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3500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3520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1448</v>
      </c>
      <c r="E1608" s="292" t="s">
        <v>3527</v>
      </c>
      <c r="F1608" s="269" t="s">
        <v>3526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1721</v>
      </c>
      <c r="E1620" s="292" t="s">
        <v>3538</v>
      </c>
      <c r="F1620" s="269" t="s">
        <v>2326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3541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3543</v>
      </c>
      <c r="E1623" s="292" t="s">
        <v>3544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3541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1860</v>
      </c>
      <c r="E1632" s="292" t="s">
        <v>3547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1443</v>
      </c>
      <c r="E1636" s="292" t="s">
        <v>3556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3559</v>
      </c>
    </row>
    <row r="1645" spans="1:13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3571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1721</v>
      </c>
      <c r="E1667" s="292" t="s">
        <v>3581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1398</v>
      </c>
      <c r="E1675" s="292" t="s">
        <v>3581</v>
      </c>
      <c r="F1675" s="269" t="s">
        <v>3591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3448</v>
      </c>
      <c r="E1683" s="292" t="s">
        <v>3593</v>
      </c>
      <c r="F1683" s="269" t="s">
        <v>3592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1443</v>
      </c>
      <c r="E1685" s="292" t="s">
        <v>3590</v>
      </c>
      <c r="F1685" s="269" t="s">
        <v>3589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1443</v>
      </c>
      <c r="E1686" s="292" t="s">
        <v>3581</v>
      </c>
      <c r="F1686" s="269" t="s">
        <v>3591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1746</v>
      </c>
      <c r="E1687" s="292" t="s">
        <v>3587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3623</v>
      </c>
      <c r="E1692" s="292" t="s">
        <v>3624</v>
      </c>
      <c r="F1692" s="269" t="s">
        <v>3625</v>
      </c>
      <c r="G1692" s="265">
        <v>350000</v>
      </c>
      <c r="H1692" s="269">
        <v>2</v>
      </c>
      <c r="J1692" s="266" t="s">
        <v>3626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3571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3581</v>
      </c>
      <c r="F1701" s="269" t="s">
        <v>3591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2741</v>
      </c>
      <c r="E1702" s="292" t="s">
        <v>3620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3622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3709</v>
      </c>
      <c r="E1714" s="292" t="s">
        <v>3710</v>
      </c>
      <c r="F1714" s="269" t="s">
        <v>3711</v>
      </c>
      <c r="G1714" s="265">
        <v>1300000</v>
      </c>
      <c r="H1714" s="269">
        <v>1</v>
      </c>
      <c r="J1714" s="266" t="s">
        <v>3142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3645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3581</v>
      </c>
      <c r="F1732" s="269" t="s">
        <v>3591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3652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3654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3657</v>
      </c>
      <c r="E1746" s="292" t="s">
        <v>3658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3656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3663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3581</v>
      </c>
      <c r="F1749" s="269" t="s">
        <v>3591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3719</v>
      </c>
      <c r="E1768" s="292">
        <v>2703900</v>
      </c>
      <c r="F1768" s="269" t="s">
        <v>3720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3719</v>
      </c>
      <c r="E1769" s="292" t="s">
        <v>1745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3722</v>
      </c>
      <c r="E1770" s="292" t="s">
        <v>1534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3722</v>
      </c>
      <c r="E1771" s="292" t="s">
        <v>1745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2741</v>
      </c>
      <c r="E1773" s="292" t="s">
        <v>3727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3728</v>
      </c>
    </row>
    <row r="1775" spans="1:13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3732</v>
      </c>
      <c r="H1775" s="269">
        <v>1</v>
      </c>
      <c r="K1775" s="265">
        <v>0</v>
      </c>
      <c r="M1775" s="292" t="s">
        <v>3733</v>
      </c>
    </row>
    <row r="1776" spans="1:13" x14ac:dyDescent="0.3">
      <c r="A1776" s="271">
        <v>1775</v>
      </c>
      <c r="B1776" s="264">
        <v>45929</v>
      </c>
      <c r="C1776" s="292" t="s">
        <v>1804</v>
      </c>
      <c r="E1776" s="292" t="s">
        <v>3739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3741</v>
      </c>
    </row>
    <row r="1779" spans="1:13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3746</v>
      </c>
    </row>
    <row r="1785" spans="1:13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3748</v>
      </c>
    </row>
    <row r="1786" spans="1:13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3750</v>
      </c>
    </row>
    <row r="1787" spans="1:13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4241</v>
      </c>
      <c r="D1791" s="295" t="s">
        <v>4099</v>
      </c>
      <c r="E1791" s="292" t="s">
        <v>4242</v>
      </c>
      <c r="F1791" s="269" t="s">
        <v>4243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4241</v>
      </c>
      <c r="D1792" s="295" t="s">
        <v>4099</v>
      </c>
      <c r="E1792" s="292" t="s">
        <v>4244</v>
      </c>
      <c r="F1792" s="269" t="s">
        <v>4245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4241</v>
      </c>
      <c r="D1793" s="295" t="s">
        <v>4099</v>
      </c>
      <c r="E1793" s="292" t="s">
        <v>4246</v>
      </c>
      <c r="F1793" s="269" t="s">
        <v>4247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1443</v>
      </c>
      <c r="E1796" s="292" t="s">
        <v>3757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2622</v>
      </c>
      <c r="E1805" s="292" t="s">
        <v>3768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3777</v>
      </c>
      <c r="E1810" s="292" t="s">
        <v>3778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3777</v>
      </c>
      <c r="E1811" s="292" t="s">
        <v>3779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1472</v>
      </c>
      <c r="E1815" s="292" t="s">
        <v>3775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1398</v>
      </c>
      <c r="E1816" s="292" t="s">
        <v>3776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1746</v>
      </c>
      <c r="E1817" s="292" t="s">
        <v>3780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1540</v>
      </c>
      <c r="E1818" s="292" t="s">
        <v>3781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3782</v>
      </c>
      <c r="E1819" s="292" t="s">
        <v>3783</v>
      </c>
      <c r="F1819" s="269" t="s">
        <v>3784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3814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3814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3823</v>
      </c>
      <c r="F1834" s="269" t="s">
        <v>3822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3817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3827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3817</v>
      </c>
      <c r="E1838" s="292" t="s">
        <v>3831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3847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3628</v>
      </c>
      <c r="F1855" s="269" t="s">
        <v>3627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4098</v>
      </c>
      <c r="D1856" s="295" t="s">
        <v>4099</v>
      </c>
      <c r="E1856" s="292" t="s">
        <v>4100</v>
      </c>
      <c r="F1856" s="269" t="s">
        <v>4101</v>
      </c>
      <c r="G1856" s="265">
        <v>250000</v>
      </c>
      <c r="H1856" s="269">
        <v>1</v>
      </c>
      <c r="K1856" s="265">
        <v>0</v>
      </c>
      <c r="M1856" s="304" t="s">
        <v>3855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3814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3814</v>
      </c>
      <c r="E1870" s="292" t="s">
        <v>3867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3868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3869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3878</v>
      </c>
    </row>
    <row r="1877" spans="1:15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1377</v>
      </c>
      <c r="E1879" s="292" t="s">
        <v>3876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3880</v>
      </c>
    </row>
    <row r="1880" spans="1:15" x14ac:dyDescent="0.3">
      <c r="A1880" s="271">
        <v>1879</v>
      </c>
      <c r="B1880" s="264">
        <v>45943</v>
      </c>
      <c r="C1880" s="292" t="s">
        <v>3882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4231</v>
      </c>
    </row>
    <row r="1883" spans="1:15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  <c r="O1883" t="s">
        <v>4230</v>
      </c>
    </row>
    <row r="1884" spans="1:15" x14ac:dyDescent="0.3">
      <c r="A1884" s="271">
        <v>1883</v>
      </c>
      <c r="B1884" s="264">
        <v>45943</v>
      </c>
      <c r="C1884" s="292" t="s">
        <v>3888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3888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2617</v>
      </c>
      <c r="E1887" s="292" t="s">
        <v>3892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3888</v>
      </c>
      <c r="E1888" s="292" t="s">
        <v>3894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3898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3882</v>
      </c>
      <c r="E1892" s="292" t="s">
        <v>3900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4070</v>
      </c>
      <c r="E1894" s="292" t="s">
        <v>4071</v>
      </c>
      <c r="F1894" s="269" t="s">
        <v>4072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4070</v>
      </c>
      <c r="E1895" s="292" t="s">
        <v>4073</v>
      </c>
      <c r="F1895" s="269" t="s">
        <v>4074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3905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3907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3520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3915</v>
      </c>
    </row>
    <row r="1908" spans="1:15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1398</v>
      </c>
      <c r="E1909" s="292" t="s">
        <v>3918</v>
      </c>
      <c r="F1909" s="269" t="s">
        <v>3917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3921</v>
      </c>
    </row>
    <row r="1912" spans="1:15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4230</v>
      </c>
    </row>
    <row r="1913" spans="1:15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4230</v>
      </c>
    </row>
    <row r="1914" spans="1:15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4230</v>
      </c>
    </row>
    <row r="1915" spans="1:15" x14ac:dyDescent="0.3">
      <c r="A1915" s="58">
        <v>1915</v>
      </c>
      <c r="B1915" s="264">
        <v>45945</v>
      </c>
      <c r="C1915" s="292" t="s">
        <v>4020</v>
      </c>
      <c r="E1915" s="292" t="s">
        <v>4021</v>
      </c>
      <c r="G1915" s="265">
        <v>1100000</v>
      </c>
      <c r="H1915" s="269">
        <v>1</v>
      </c>
      <c r="J1915" s="266" t="s">
        <v>3518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4020</v>
      </c>
      <c r="E1916" s="292" t="s">
        <v>4022</v>
      </c>
      <c r="F1916" s="269" t="s">
        <v>4023</v>
      </c>
      <c r="G1916" s="265">
        <v>1000000</v>
      </c>
      <c r="H1916" s="269">
        <v>1</v>
      </c>
      <c r="J1916" s="266" t="s">
        <v>4024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3924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3932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3936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3924</v>
      </c>
      <c r="E1929" s="292" t="s">
        <v>3937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3938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3814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3814</v>
      </c>
      <c r="E1938" s="292" t="s">
        <v>3953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3938</v>
      </c>
      <c r="E1939" s="292" t="s">
        <v>3954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3936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3957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3959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3963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3963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4025</v>
      </c>
      <c r="E1954" s="292" t="s">
        <v>4026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3968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3907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3972</v>
      </c>
      <c r="E1960" s="292" t="s">
        <v>3971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3663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3663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3979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3982</v>
      </c>
      <c r="F1970" s="269" t="s">
        <v>3981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3924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3924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3924</v>
      </c>
      <c r="E1974" s="292" t="s">
        <v>3987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4114</v>
      </c>
      <c r="E1976" s="292" t="s">
        <v>4115</v>
      </c>
      <c r="F1976" s="269" t="s">
        <v>4116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3992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3994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3957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1466</v>
      </c>
      <c r="E1991" s="292" t="s">
        <v>4008</v>
      </c>
      <c r="F1991" s="269" t="s">
        <v>4007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4230</v>
      </c>
    </row>
    <row r="1992" spans="1:15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4016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4157</v>
      </c>
      <c r="D2026" s="295" t="s">
        <v>4099</v>
      </c>
      <c r="E2026" s="292" t="s">
        <v>4158</v>
      </c>
      <c r="F2026" s="269" t="s">
        <v>4159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4136</v>
      </c>
      <c r="D2027" s="295" t="s">
        <v>4099</v>
      </c>
      <c r="E2027" s="292" t="s">
        <v>4139</v>
      </c>
      <c r="F2027" s="269" t="s">
        <v>4140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4080</v>
      </c>
      <c r="E2030" s="292" t="s">
        <v>4081</v>
      </c>
      <c r="F2030" s="269" t="s">
        <v>4082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4047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3924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4050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4069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4062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4058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3957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4054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4054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4054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4054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4054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4075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4058</v>
      </c>
      <c r="E2049" s="292" t="s">
        <v>4076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4054</v>
      </c>
      <c r="E2050" s="292" t="s">
        <v>4077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4097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3905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3957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3957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4083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4230</v>
      </c>
    </row>
    <row r="2068" spans="1:15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4230</v>
      </c>
    </row>
    <row r="2069" spans="1:15" x14ac:dyDescent="0.3">
      <c r="A2069" s="58">
        <v>2069</v>
      </c>
      <c r="B2069" s="264">
        <v>45958</v>
      </c>
      <c r="C2069" s="292" t="s">
        <v>1670</v>
      </c>
      <c r="E2069" s="292" t="s">
        <v>3652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4083</v>
      </c>
      <c r="E2072" s="292" t="s">
        <v>4096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3148</v>
      </c>
      <c r="E2077" s="292" t="s">
        <v>3628</v>
      </c>
      <c r="F2077" s="269" t="s">
        <v>3627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4102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4136</v>
      </c>
      <c r="E2082" s="292" t="s">
        <v>4137</v>
      </c>
      <c r="F2082" s="269" t="s">
        <v>4138</v>
      </c>
      <c r="G2082" s="265">
        <v>1100000</v>
      </c>
      <c r="H2082" s="269">
        <v>1</v>
      </c>
      <c r="J2082" s="266" t="s">
        <v>3518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4102</v>
      </c>
      <c r="E2087" s="292" t="s">
        <v>4113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4117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4169</v>
      </c>
      <c r="D2090" s="295" t="s">
        <v>4099</v>
      </c>
      <c r="E2090" s="292" t="s">
        <v>4158</v>
      </c>
      <c r="F2090" s="269" t="s">
        <v>4159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4122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3652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4123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1576</v>
      </c>
      <c r="E2099" s="292" t="s">
        <v>4127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3520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4058</v>
      </c>
      <c r="E2102" s="292" t="s">
        <v>3220</v>
      </c>
      <c r="F2102" s="269" t="s">
        <v>3520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4058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2703</v>
      </c>
      <c r="E2105" s="292" t="s">
        <v>4119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4230</v>
      </c>
    </row>
    <row r="2106" spans="1:15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4230</v>
      </c>
    </row>
    <row r="2107" spans="1:15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4230</v>
      </c>
    </row>
    <row r="2108" spans="1:15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1789</v>
      </c>
      <c r="E2111" s="292" t="s">
        <v>4135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4037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4141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4145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4142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3739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4152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4146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4148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4058</v>
      </c>
      <c r="E2120" s="292" t="s">
        <v>4150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4205</v>
      </c>
      <c r="D2121" s="295" t="s">
        <v>4099</v>
      </c>
      <c r="E2121" s="292" t="s">
        <v>4206</v>
      </c>
      <c r="F2121" s="269" t="s">
        <v>4207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4161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4119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4209</v>
      </c>
      <c r="D2128" s="295" t="s">
        <v>4099</v>
      </c>
      <c r="E2128" s="292" t="s">
        <v>4210</v>
      </c>
      <c r="F2128" s="269" t="s">
        <v>4211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4172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4173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3936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4174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4161</v>
      </c>
      <c r="E2134" s="292" t="s">
        <v>4175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4176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1540</v>
      </c>
      <c r="E2136" s="292" t="s">
        <v>3781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1398</v>
      </c>
      <c r="E2137" s="292" t="s">
        <v>3776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1576</v>
      </c>
      <c r="E2138" s="292" t="s">
        <v>4177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1721</v>
      </c>
      <c r="E2139" s="292" t="s">
        <v>1202</v>
      </c>
      <c r="F2139" s="269" t="s">
        <v>1751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1804</v>
      </c>
      <c r="E2140" s="292" t="s">
        <v>4030</v>
      </c>
      <c r="F2140" s="269" t="s">
        <v>2216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1804</v>
      </c>
      <c r="E2141" s="292" t="s">
        <v>2180</v>
      </c>
      <c r="F2141" s="269" t="s">
        <v>1802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3905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2090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1548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1443</v>
      </c>
      <c r="E2146" s="292" t="s">
        <v>1560</v>
      </c>
      <c r="F2146" s="269" t="s">
        <v>2696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1394</v>
      </c>
      <c r="E2147" s="292" t="s">
        <v>1204</v>
      </c>
      <c r="F2147" s="269" t="s">
        <v>1991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1398</v>
      </c>
      <c r="E2148" s="292" t="s">
        <v>2036</v>
      </c>
      <c r="F2148" s="269" t="s">
        <v>3663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1443</v>
      </c>
      <c r="E2149" s="292" t="s">
        <v>4188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1394</v>
      </c>
      <c r="E2150" s="292" t="s">
        <v>4189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3200</v>
      </c>
      <c r="E2151" s="292" t="s">
        <v>4190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4191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2257</v>
      </c>
      <c r="D2153" s="295" t="s">
        <v>4194</v>
      </c>
      <c r="E2153" s="292" t="s">
        <v>4192</v>
      </c>
      <c r="F2153" s="269" t="s">
        <v>1463</v>
      </c>
      <c r="G2153" s="265">
        <v>0</v>
      </c>
      <c r="H2153" s="269">
        <v>1</v>
      </c>
      <c r="K2153" s="265">
        <v>0</v>
      </c>
      <c r="M2153" s="304" t="s">
        <v>4195</v>
      </c>
    </row>
    <row r="2154" spans="1:13" x14ac:dyDescent="0.3">
      <c r="A2154" s="58">
        <v>2154</v>
      </c>
      <c r="B2154" s="264">
        <v>45965</v>
      </c>
      <c r="C2154" s="292" t="s">
        <v>2466</v>
      </c>
      <c r="E2154" s="292" t="s">
        <v>1716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1443</v>
      </c>
      <c r="E2155" s="292" t="s">
        <v>2185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1443</v>
      </c>
      <c r="E2156" s="292" t="s">
        <v>2839</v>
      </c>
      <c r="F2156" s="269" t="s">
        <v>2749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3972</v>
      </c>
      <c r="E2157" s="292" t="s">
        <v>2317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3972</v>
      </c>
      <c r="E2158" s="292" t="s">
        <v>1504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1540</v>
      </c>
      <c r="E2159" s="292" t="s">
        <v>1742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2466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1930</v>
      </c>
      <c r="E2161" s="292" t="s">
        <v>3123</v>
      </c>
      <c r="F2161" s="269">
        <v>6058008060</v>
      </c>
      <c r="G2161" s="265">
        <v>1600000</v>
      </c>
      <c r="H2161" s="269">
        <v>1</v>
      </c>
      <c r="K2161" s="265">
        <v>1600000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4202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3972</v>
      </c>
      <c r="E2163" s="292" t="s">
        <v>4204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1377</v>
      </c>
      <c r="E2164" s="292" t="s">
        <v>4208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4212</v>
      </c>
      <c r="E2165" s="292" t="s">
        <v>2179</v>
      </c>
      <c r="F2165" s="269" t="s">
        <v>1200</v>
      </c>
      <c r="G2165" s="265">
        <v>1500000</v>
      </c>
      <c r="H2165" s="269">
        <v>1</v>
      </c>
      <c r="K2165" s="265">
        <v>1500000</v>
      </c>
    </row>
    <row r="2166" spans="1:13" x14ac:dyDescent="0.3">
      <c r="A2166" s="58">
        <v>2166</v>
      </c>
      <c r="B2166" s="264">
        <v>45966</v>
      </c>
      <c r="C2166" s="292" t="s">
        <v>1579</v>
      </c>
      <c r="E2166" s="292" t="s">
        <v>2179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4254</v>
      </c>
      <c r="D2167" s="295" t="s">
        <v>4255</v>
      </c>
      <c r="E2167" s="292" t="s">
        <v>4256</v>
      </c>
      <c r="F2167" s="269" t="s">
        <v>4257</v>
      </c>
      <c r="G2167" s="265">
        <v>50000</v>
      </c>
      <c r="H2167" s="269">
        <v>1</v>
      </c>
      <c r="M2167" s="292" t="s">
        <v>4218</v>
      </c>
    </row>
    <row r="2168" spans="1:13" x14ac:dyDescent="0.3">
      <c r="A2168" s="58">
        <v>2168</v>
      </c>
      <c r="B2168" s="264">
        <v>45966</v>
      </c>
      <c r="C2168" s="292" t="s">
        <v>1305</v>
      </c>
      <c r="E2168" s="292" t="s">
        <v>4219</v>
      </c>
      <c r="F2168" s="269" t="s">
        <v>2398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1721</v>
      </c>
      <c r="E2169" s="292" t="s">
        <v>4219</v>
      </c>
      <c r="F2169" s="269" t="s">
        <v>2398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4226</v>
      </c>
      <c r="E2170" s="292" t="s">
        <v>4227</v>
      </c>
      <c r="F2170" s="269" t="s">
        <v>4228</v>
      </c>
      <c r="G2170" s="265">
        <v>1200000</v>
      </c>
      <c r="H2170" s="269">
        <v>1</v>
      </c>
      <c r="J2170" s="266" t="s">
        <v>2971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2201</v>
      </c>
      <c r="F2171" s="269" t="s">
        <v>1955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2679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2182</v>
      </c>
      <c r="F2173" s="269" t="s">
        <v>1719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2177</v>
      </c>
      <c r="F2174" s="269" t="s">
        <v>1463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4191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1893</v>
      </c>
      <c r="E2176" s="292" t="s">
        <v>4225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2868</v>
      </c>
      <c r="E2177" s="292" t="s">
        <v>4229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1746</v>
      </c>
      <c r="E2178" s="292" t="s">
        <v>3780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3816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1721</v>
      </c>
      <c r="E2180" s="292" t="s">
        <v>2289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1670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2014</v>
      </c>
      <c r="E2182" s="292" t="s">
        <v>4234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2409</v>
      </c>
      <c r="E2183" s="292" t="s">
        <v>2196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2601</v>
      </c>
      <c r="E2184" s="292" t="s">
        <v>1716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2014</v>
      </c>
      <c r="E2185" s="292" t="s">
        <v>4238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1746</v>
      </c>
      <c r="E2186" s="292" t="s">
        <v>3957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1746</v>
      </c>
      <c r="E2187" s="292" t="s">
        <v>2187</v>
      </c>
      <c r="F2187" s="269" t="s">
        <v>1258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1746</v>
      </c>
      <c r="E2188" s="292" t="s">
        <v>2189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1804</v>
      </c>
      <c r="E2189" s="292" t="s">
        <v>2191</v>
      </c>
      <c r="F2189" s="269" t="s">
        <v>1821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1721</v>
      </c>
      <c r="E2190" s="292" t="s">
        <v>4248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1305</v>
      </c>
      <c r="E2191" s="292" t="s">
        <v>4172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4037</v>
      </c>
      <c r="E2192" s="292" t="s">
        <v>4249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2023</v>
      </c>
      <c r="E2193" s="292" t="s">
        <v>2289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4037</v>
      </c>
      <c r="E2194" s="292" t="s">
        <v>1799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2023</v>
      </c>
      <c r="E2195" s="292" t="s">
        <v>1799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1670</v>
      </c>
      <c r="E2196" s="292" t="s">
        <v>1799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1579</v>
      </c>
      <c r="E2197" s="292" t="s">
        <v>1202</v>
      </c>
      <c r="F2197" s="269" t="s">
        <v>1751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1579</v>
      </c>
      <c r="E2198" s="292" t="s">
        <v>1704</v>
      </c>
      <c r="F2198" s="269" t="s">
        <v>1703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4258</v>
      </c>
      <c r="E2199" s="292" t="s">
        <v>4259</v>
      </c>
      <c r="F2199" s="269" t="s">
        <v>4260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2291</v>
      </c>
      <c r="E2200" s="292" t="s">
        <v>4261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1789</v>
      </c>
      <c r="E2201" s="292" t="s">
        <v>4135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1540</v>
      </c>
      <c r="E2202" s="292" t="s">
        <v>1202</v>
      </c>
      <c r="F2202" s="269" t="s">
        <v>1751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2495</v>
      </c>
      <c r="E2203" s="292" t="s">
        <v>1918</v>
      </c>
      <c r="G2203" s="265">
        <v>2500000</v>
      </c>
      <c r="H2203" s="269">
        <v>1</v>
      </c>
      <c r="K2203" s="265">
        <v>2500000</v>
      </c>
      <c r="M2203" s="292" t="s">
        <v>4264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8" sqref="F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45968</v>
      </c>
      <c r="B3" s="235" t="s">
        <v>1126</v>
      </c>
      <c r="C3" s="286">
        <f>SUMIF($B:$B,A3,I:I)</f>
        <v>4940000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36517000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1540</v>
      </c>
      <c r="D9" s="112" t="s">
        <v>3781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1398</v>
      </c>
      <c r="D10" s="112" t="s">
        <v>3776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1576</v>
      </c>
      <c r="D11" s="112" t="s">
        <v>4177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1721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1804</v>
      </c>
      <c r="D13" s="112" t="s">
        <v>4030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1804</v>
      </c>
      <c r="D14" s="112" t="s">
        <v>2180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3905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2090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1548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2195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1443</v>
      </c>
      <c r="D19" s="112" t="s">
        <v>1560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1394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1398</v>
      </c>
      <c r="D21" s="112" t="s">
        <v>2036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1443</v>
      </c>
      <c r="D22" s="112" t="s">
        <v>4188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1394</v>
      </c>
      <c r="D23" s="112" t="s">
        <v>4189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3200</v>
      </c>
      <c r="D24" s="112" t="s">
        <v>4190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4191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2257</v>
      </c>
      <c r="D26" s="112" t="s">
        <v>4192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2466</v>
      </c>
      <c r="D27" s="112" t="s">
        <v>1716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1443</v>
      </c>
      <c r="D28" s="112" t="s">
        <v>2185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1443</v>
      </c>
      <c r="D29" s="112" t="s">
        <v>2839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3972</v>
      </c>
      <c r="D30" s="112" t="s">
        <v>2317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3972</v>
      </c>
      <c r="D31" s="112" t="s">
        <v>1504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1540</v>
      </c>
      <c r="D32" s="112" t="s">
        <v>1742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2466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1930</v>
      </c>
      <c r="D34" s="113" t="s">
        <v>3123</v>
      </c>
      <c r="F34" s="120">
        <v>1600000</v>
      </c>
      <c r="G34" s="85">
        <v>1</v>
      </c>
      <c r="I34" s="80">
        <v>1600000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4202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3972</v>
      </c>
      <c r="D36" s="113" t="s">
        <v>4204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1377</v>
      </c>
      <c r="D37" s="113" t="s">
        <v>4208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4212</v>
      </c>
      <c r="D38" s="113" t="s">
        <v>2179</v>
      </c>
      <c r="F38" s="120">
        <v>1500000</v>
      </c>
      <c r="G38" s="85">
        <v>1</v>
      </c>
      <c r="I38" s="80">
        <v>1500000</v>
      </c>
    </row>
    <row r="39" spans="1:10" ht="18" customHeight="1" x14ac:dyDescent="0.3">
      <c r="A39" s="82">
        <v>2166</v>
      </c>
      <c r="B39" s="93">
        <v>45966</v>
      </c>
      <c r="C39" s="83" t="s">
        <v>1579</v>
      </c>
      <c r="D39" s="113" t="s">
        <v>2179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1579</v>
      </c>
      <c r="D40" s="113" t="s">
        <v>2180</v>
      </c>
      <c r="F40" s="120">
        <v>50000</v>
      </c>
      <c r="G40" s="85">
        <v>1</v>
      </c>
      <c r="H40" s="126">
        <v>5000</v>
      </c>
      <c r="I40" s="80">
        <v>55000</v>
      </c>
    </row>
    <row r="41" spans="1:10" ht="18" customHeight="1" x14ac:dyDescent="0.3">
      <c r="A41" s="82">
        <v>2168</v>
      </c>
      <c r="B41" s="93">
        <v>45966</v>
      </c>
      <c r="C41" s="83" t="s">
        <v>1305</v>
      </c>
      <c r="D41" s="113" t="s">
        <v>4219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1721</v>
      </c>
      <c r="D42" s="112" t="s">
        <v>4219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2868</v>
      </c>
      <c r="D43" s="112" t="s">
        <v>1202</v>
      </c>
      <c r="E43" s="79"/>
      <c r="F43" s="224">
        <v>1200000</v>
      </c>
      <c r="G43" s="85">
        <v>1</v>
      </c>
      <c r="H43" s="128" t="s">
        <v>2971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2201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2679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2182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2177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4191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1893</v>
      </c>
      <c r="D49" s="113" t="s">
        <v>4225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2868</v>
      </c>
      <c r="D50" s="113" t="s">
        <v>4229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1746</v>
      </c>
      <c r="D51" s="113" t="s">
        <v>3780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3816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1721</v>
      </c>
      <c r="D53" s="113" t="s">
        <v>2289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1670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2014</v>
      </c>
      <c r="D55" s="113" t="s">
        <v>4234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2409</v>
      </c>
      <c r="D56" s="113" t="s">
        <v>2196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2601</v>
      </c>
      <c r="D57" s="113" t="s">
        <v>1716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2014</v>
      </c>
      <c r="D58" s="113" t="s">
        <v>4238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1746</v>
      </c>
      <c r="D59" s="113" t="s">
        <v>3957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1746</v>
      </c>
      <c r="D60" s="113" t="s">
        <v>2187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1746</v>
      </c>
      <c r="D61" s="113" t="s">
        <v>2189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1804</v>
      </c>
      <c r="D62" s="113" t="s">
        <v>2191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1721</v>
      </c>
      <c r="D63" s="113" t="s">
        <v>4248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1305</v>
      </c>
      <c r="D64" s="113" t="s">
        <v>4172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4037</v>
      </c>
      <c r="D65" s="113" t="s">
        <v>4249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2023</v>
      </c>
      <c r="D66" s="113" t="s">
        <v>2289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4037</v>
      </c>
      <c r="D67" s="113" t="s">
        <v>1799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2023</v>
      </c>
      <c r="D68" s="113" t="s">
        <v>1799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1670</v>
      </c>
      <c r="D69" s="113" t="s">
        <v>1799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1579</v>
      </c>
      <c r="D70" s="113" t="s">
        <v>1202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1579</v>
      </c>
      <c r="D71" s="113" t="s">
        <v>1704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2291</v>
      </c>
      <c r="D72" s="113" t="s">
        <v>2026</v>
      </c>
      <c r="F72" s="120">
        <v>1500000</v>
      </c>
      <c r="G72" s="85">
        <v>1</v>
      </c>
      <c r="H72" s="126">
        <v>150000</v>
      </c>
      <c r="I72" s="80">
        <v>1650000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3668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1200000</v>
      </c>
      <c r="D2" s="58">
        <f t="shared" ref="D2:D65" si="0">RANK(C2,C:C,0)</f>
        <v>14</v>
      </c>
    </row>
    <row r="3" spans="1:6" x14ac:dyDescent="0.3">
      <c r="B3" s="269" t="s">
        <v>1351</v>
      </c>
      <c r="C3" s="268">
        <f>SUMIF(BTS_매출관리!C:C,B3,BTS_매출관리!I:I)</f>
        <v>1600000</v>
      </c>
      <c r="D3" s="269">
        <f t="shared" si="0"/>
        <v>10</v>
      </c>
    </row>
    <row r="4" spans="1:6" x14ac:dyDescent="0.3">
      <c r="B4" s="58" t="s">
        <v>1278</v>
      </c>
      <c r="C4" s="301">
        <f>SUMIF(BTS_매출관리!C:C,B4,BTS_매출관리!I:I)</f>
        <v>0</v>
      </c>
      <c r="D4" s="58">
        <f t="shared" si="0"/>
        <v>23</v>
      </c>
    </row>
    <row r="5" spans="1:6" x14ac:dyDescent="0.3">
      <c r="B5" s="58" t="s">
        <v>1335</v>
      </c>
      <c r="C5" s="301">
        <f>SUMIF(BTS_매출관리!C:C,B5,BTS_매출관리!I:I)</f>
        <v>3650000</v>
      </c>
      <c r="D5" s="58">
        <f t="shared" si="0"/>
        <v>2</v>
      </c>
    </row>
    <row r="6" spans="1:6" x14ac:dyDescent="0.3">
      <c r="B6" s="58" t="s">
        <v>1352</v>
      </c>
      <c r="C6" s="301">
        <f>SUMIF(BTS_매출관리!C:C,B6,BTS_매출관리!I:I)</f>
        <v>693000</v>
      </c>
      <c r="D6" s="58">
        <f t="shared" si="0"/>
        <v>17</v>
      </c>
    </row>
    <row r="7" spans="1:6" x14ac:dyDescent="0.3">
      <c r="B7" s="58" t="s">
        <v>1289</v>
      </c>
      <c r="C7" s="301">
        <f>SUMIF(BTS_매출관리!C:C,B7,BTS_매출관리!I:I)</f>
        <v>0</v>
      </c>
      <c r="D7" s="58">
        <f t="shared" si="0"/>
        <v>23</v>
      </c>
    </row>
    <row r="8" spans="1:6" x14ac:dyDescent="0.3">
      <c r="B8" s="58" t="s">
        <v>1273</v>
      </c>
      <c r="C8" s="301">
        <f>SUMIF(BTS_매출관리!C:C,B8,BTS_매출관리!I:I)</f>
        <v>0</v>
      </c>
      <c r="D8" s="58">
        <f t="shared" si="0"/>
        <v>23</v>
      </c>
    </row>
    <row r="9" spans="1:6" x14ac:dyDescent="0.3">
      <c r="B9" s="58" t="s">
        <v>2214</v>
      </c>
      <c r="C9" s="301">
        <f>SUMIF(BTS_매출관리!C:C,B9,BTS_매출관리!I:I)</f>
        <v>1650000</v>
      </c>
      <c r="D9" s="58">
        <f t="shared" si="0"/>
        <v>8</v>
      </c>
    </row>
    <row r="10" spans="1:6" x14ac:dyDescent="0.3">
      <c r="B10" s="269" t="s">
        <v>1323</v>
      </c>
      <c r="C10" s="268">
        <f>SUMIF(BTS_매출관리!C:C,B10,BTS_매출관리!I:I)</f>
        <v>0</v>
      </c>
      <c r="D10" s="269">
        <f t="shared" si="0"/>
        <v>23</v>
      </c>
    </row>
    <row r="11" spans="1:6" x14ac:dyDescent="0.3">
      <c r="B11" s="58" t="s">
        <v>1332</v>
      </c>
      <c r="C11" s="301">
        <f>SUMIF(BTS_매출관리!C:C,B11,BTS_매출관리!I:I)</f>
        <v>1100000</v>
      </c>
      <c r="D11" s="58">
        <f t="shared" si="0"/>
        <v>15</v>
      </c>
    </row>
    <row r="12" spans="1:6" x14ac:dyDescent="0.3">
      <c r="B12" s="58" t="s">
        <v>1333</v>
      </c>
      <c r="C12" s="301">
        <f>SUMIF(BTS_매출관리!C:C,B12,BTS_매출관리!I:I)</f>
        <v>0</v>
      </c>
      <c r="D12" s="58">
        <f t="shared" si="0"/>
        <v>23</v>
      </c>
      <c r="F12" t="str">
        <f>IF(D12 &lt; 10,,"")</f>
        <v/>
      </c>
    </row>
    <row r="13" spans="1:6" x14ac:dyDescent="0.3">
      <c r="B13" s="269" t="s">
        <v>3400</v>
      </c>
      <c r="C13" s="268">
        <f>SUMIF(BTS_매출관리!C:C,B13,BTS_매출관리!I:I)</f>
        <v>0</v>
      </c>
      <c r="D13" s="269">
        <f t="shared" si="0"/>
        <v>23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13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0</v>
      </c>
      <c r="D15" s="58">
        <f t="shared" si="0"/>
        <v>23</v>
      </c>
    </row>
    <row r="16" spans="1:6" x14ac:dyDescent="0.3">
      <c r="B16" s="269" t="s">
        <v>1314</v>
      </c>
      <c r="C16" s="268">
        <f>SUMIF(BTS_매출관리!C:C,B16,BTS_매출관리!I:I)</f>
        <v>0</v>
      </c>
      <c r="D16" s="269">
        <f t="shared" si="0"/>
        <v>23</v>
      </c>
    </row>
    <row r="17" spans="2:18" x14ac:dyDescent="0.3">
      <c r="B17" s="269" t="s">
        <v>1280</v>
      </c>
      <c r="C17" s="268">
        <f>SUMIF(BTS_매출관리!C:C,B17,BTS_매출관리!I:I)</f>
        <v>0</v>
      </c>
      <c r="D17" s="269">
        <f t="shared" si="0"/>
        <v>23</v>
      </c>
    </row>
    <row r="18" spans="2:18" x14ac:dyDescent="0.3">
      <c r="B18" s="58" t="s">
        <v>1670</v>
      </c>
      <c r="C18" s="301">
        <f>SUMIF(BTS_매출관리!C:C,B18,BTS_매출관리!I:I)</f>
        <v>1340000</v>
      </c>
      <c r="D18" s="58">
        <f t="shared" si="0"/>
        <v>11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23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23</v>
      </c>
    </row>
    <row r="21" spans="2:18" x14ac:dyDescent="0.3">
      <c r="B21" s="58" t="s">
        <v>1340</v>
      </c>
      <c r="C21" s="301">
        <f>SUMIF(BTS_매출관리!C:C,B21,BTS_매출관리!I:I)</f>
        <v>0</v>
      </c>
      <c r="D21" s="58">
        <f t="shared" si="0"/>
        <v>23</v>
      </c>
      <c r="F21" t="s">
        <v>3694</v>
      </c>
    </row>
    <row r="22" spans="2:18" x14ac:dyDescent="0.3">
      <c r="B22" s="58" t="s">
        <v>1158</v>
      </c>
      <c r="C22" s="301">
        <f>SUMIF(BTS_매출관리!C:C,B22,BTS_매출관리!I:I)</f>
        <v>0</v>
      </c>
      <c r="D22" s="58">
        <f t="shared" si="0"/>
        <v>23</v>
      </c>
      <c r="F22" t="s">
        <v>3669</v>
      </c>
      <c r="G22" t="s">
        <v>3799</v>
      </c>
      <c r="I22" t="s">
        <v>3672</v>
      </c>
      <c r="J22" s="303" t="s">
        <v>3712</v>
      </c>
      <c r="O22" t="s">
        <v>3695</v>
      </c>
      <c r="P22">
        <v>2</v>
      </c>
      <c r="Q22" t="s">
        <v>3800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23</v>
      </c>
      <c r="F23" t="s">
        <v>3670</v>
      </c>
      <c r="G23" t="s">
        <v>3799</v>
      </c>
      <c r="I23" t="s">
        <v>3674</v>
      </c>
      <c r="J23" s="303" t="s">
        <v>3712</v>
      </c>
      <c r="O23" t="s">
        <v>3696</v>
      </c>
      <c r="P23">
        <v>3</v>
      </c>
      <c r="Q23" t="s">
        <v>3800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23</v>
      </c>
      <c r="F24" t="s">
        <v>3671</v>
      </c>
      <c r="G24" t="s">
        <v>3799</v>
      </c>
      <c r="I24" t="s">
        <v>3676</v>
      </c>
      <c r="J24" s="303" t="s">
        <v>3712</v>
      </c>
      <c r="O24" t="s">
        <v>3697</v>
      </c>
      <c r="P24">
        <v>2</v>
      </c>
      <c r="Q24" t="s">
        <v>3800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23</v>
      </c>
      <c r="F25" t="s">
        <v>3673</v>
      </c>
      <c r="G25" t="s">
        <v>3712</v>
      </c>
      <c r="I25" t="s">
        <v>3679</v>
      </c>
      <c r="J25" s="303" t="s">
        <v>3799</v>
      </c>
      <c r="O25" t="s">
        <v>3698</v>
      </c>
      <c r="P25">
        <v>1</v>
      </c>
      <c r="R25" t="s">
        <v>3799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23</v>
      </c>
      <c r="F26" t="s">
        <v>3675</v>
      </c>
      <c r="G26" t="s">
        <v>3799</v>
      </c>
      <c r="I26" t="s">
        <v>3692</v>
      </c>
      <c r="J26" s="303" t="s">
        <v>3731</v>
      </c>
      <c r="O26" t="s">
        <v>3699</v>
      </c>
      <c r="P26">
        <v>2</v>
      </c>
      <c r="Q26" t="s">
        <v>3713</v>
      </c>
    </row>
    <row r="27" spans="2:18" x14ac:dyDescent="0.3">
      <c r="B27" s="269" t="s">
        <v>1341</v>
      </c>
      <c r="C27" s="268">
        <f>SUMIF(BTS_매출관리!C:C,B27,BTS_매출관리!I:I)</f>
        <v>0</v>
      </c>
      <c r="D27" s="269">
        <f t="shared" si="0"/>
        <v>23</v>
      </c>
      <c r="F27" t="s">
        <v>3785</v>
      </c>
      <c r="G27" t="s">
        <v>3807</v>
      </c>
      <c r="I27" t="s">
        <v>2859</v>
      </c>
      <c r="J27" s="303" t="s">
        <v>3731</v>
      </c>
      <c r="O27" t="s">
        <v>3700</v>
      </c>
      <c r="P27">
        <v>1</v>
      </c>
      <c r="Q27" t="s">
        <v>3712</v>
      </c>
    </row>
    <row r="28" spans="2:18" x14ac:dyDescent="0.3">
      <c r="B28" s="58" t="s">
        <v>2360</v>
      </c>
      <c r="C28" s="301">
        <f>SUMIF(BTS_매출관리!C:C,B28,BTS_매출관리!I:I)</f>
        <v>4136000</v>
      </c>
      <c r="D28" s="58">
        <f t="shared" si="0"/>
        <v>1</v>
      </c>
      <c r="F28" t="s">
        <v>3678</v>
      </c>
      <c r="G28" t="s">
        <v>3805</v>
      </c>
      <c r="I28" t="s">
        <v>2257</v>
      </c>
      <c r="J28" s="303" t="s">
        <v>3731</v>
      </c>
      <c r="O28" t="s">
        <v>3701</v>
      </c>
      <c r="P28">
        <v>2</v>
      </c>
      <c r="R28" t="s">
        <v>3806</v>
      </c>
    </row>
    <row r="29" spans="2:18" x14ac:dyDescent="0.3">
      <c r="B29" s="269" t="s">
        <v>1373</v>
      </c>
      <c r="C29" s="268">
        <f>SUMIF(BTS_매출관리!C:C,B29,BTS_매출관리!I:I)</f>
        <v>0</v>
      </c>
      <c r="D29" s="269">
        <f t="shared" si="0"/>
        <v>23</v>
      </c>
      <c r="F29" t="s">
        <v>3680</v>
      </c>
      <c r="G29" t="s">
        <v>3799</v>
      </c>
      <c r="O29" t="s">
        <v>3702</v>
      </c>
      <c r="P29">
        <v>2</v>
      </c>
      <c r="Q29" t="s">
        <v>3800</v>
      </c>
    </row>
    <row r="30" spans="2:18" x14ac:dyDescent="0.3">
      <c r="B30" s="58" t="s">
        <v>2783</v>
      </c>
      <c r="C30" s="301">
        <f>SUMIF(BTS_매출관리!C:C,B30,BTS_매출관리!I:I)</f>
        <v>0</v>
      </c>
      <c r="D30" s="58">
        <f t="shared" si="0"/>
        <v>23</v>
      </c>
      <c r="F30" t="s">
        <v>3681</v>
      </c>
      <c r="G30" t="s">
        <v>3805</v>
      </c>
      <c r="O30" t="s">
        <v>3703</v>
      </c>
      <c r="P30">
        <v>2</v>
      </c>
      <c r="Q30" t="s">
        <v>3730</v>
      </c>
    </row>
    <row r="31" spans="2:18" x14ac:dyDescent="0.3">
      <c r="B31" s="58" t="s">
        <v>1329</v>
      </c>
      <c r="C31" s="301">
        <f>SUMIF(BTS_매출관리!C:C,B31,BTS_매출관리!I:I)</f>
        <v>0</v>
      </c>
      <c r="D31" s="58">
        <f t="shared" si="0"/>
        <v>23</v>
      </c>
      <c r="F31" t="s">
        <v>3682</v>
      </c>
      <c r="G31" t="s">
        <v>3799</v>
      </c>
      <c r="O31" t="s">
        <v>3704</v>
      </c>
      <c r="P31">
        <v>1</v>
      </c>
      <c r="R31" t="s">
        <v>3805</v>
      </c>
    </row>
    <row r="32" spans="2:18" x14ac:dyDescent="0.3">
      <c r="B32" s="58" t="s">
        <v>2560</v>
      </c>
      <c r="C32" s="301">
        <f>SUMIF(BTS_매출관리!C:C,B32,BTS_매출관리!I:I)</f>
        <v>0</v>
      </c>
      <c r="D32" s="58">
        <f t="shared" si="0"/>
        <v>23</v>
      </c>
      <c r="F32" t="s">
        <v>3683</v>
      </c>
      <c r="G32" t="s">
        <v>3799</v>
      </c>
      <c r="O32" t="s">
        <v>3705</v>
      </c>
      <c r="P32">
        <v>1</v>
      </c>
      <c r="R32" t="s">
        <v>3799</v>
      </c>
    </row>
    <row r="33" spans="2:17" x14ac:dyDescent="0.3">
      <c r="B33" s="269" t="s">
        <v>3631</v>
      </c>
      <c r="C33" s="268">
        <f>SUMIF(BTS_매출관리!C:C,B33,BTS_매출관리!I:I)</f>
        <v>0</v>
      </c>
      <c r="D33" s="269">
        <f t="shared" si="0"/>
        <v>23</v>
      </c>
      <c r="F33" t="s">
        <v>3684</v>
      </c>
      <c r="G33" t="s">
        <v>3799</v>
      </c>
      <c r="O33" t="s">
        <v>3706</v>
      </c>
      <c r="P33">
        <v>1</v>
      </c>
      <c r="Q33" t="s">
        <v>3714</v>
      </c>
    </row>
    <row r="34" spans="2:17" x14ac:dyDescent="0.3">
      <c r="B34" s="269" t="s">
        <v>1267</v>
      </c>
      <c r="C34" s="268">
        <f>SUMIF(BTS_매출관리!C:C,B34,BTS_매출관리!I:I)</f>
        <v>0</v>
      </c>
      <c r="D34" s="269">
        <f t="shared" si="0"/>
        <v>23</v>
      </c>
      <c r="F34" t="s">
        <v>3685</v>
      </c>
      <c r="G34" t="s">
        <v>3805</v>
      </c>
      <c r="O34" t="s">
        <v>3677</v>
      </c>
      <c r="P34">
        <v>2</v>
      </c>
      <c r="Q34" t="s">
        <v>3800</v>
      </c>
    </row>
    <row r="35" spans="2:17" x14ac:dyDescent="0.3">
      <c r="B35" s="58" t="s">
        <v>1288</v>
      </c>
      <c r="C35" s="301">
        <f>SUMIF(BTS_매출관리!C:C,B35,BTS_매출관리!I:I)</f>
        <v>3258000</v>
      </c>
      <c r="D35" s="58">
        <f t="shared" si="0"/>
        <v>3</v>
      </c>
      <c r="F35" t="s">
        <v>3686</v>
      </c>
      <c r="G35" t="s">
        <v>3805</v>
      </c>
      <c r="O35" t="s">
        <v>3707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385000</v>
      </c>
      <c r="D36" s="58">
        <f t="shared" si="0"/>
        <v>20</v>
      </c>
      <c r="F36" t="s">
        <v>3687</v>
      </c>
      <c r="G36" t="s">
        <v>3799</v>
      </c>
      <c r="O36" t="s">
        <v>3708</v>
      </c>
      <c r="P36">
        <v>1</v>
      </c>
      <c r="Q36" t="s">
        <v>3800</v>
      </c>
    </row>
    <row r="37" spans="2:17" x14ac:dyDescent="0.3">
      <c r="B37" s="58" t="s">
        <v>1275</v>
      </c>
      <c r="C37" s="301">
        <f>SUMIF(BTS_매출관리!C:C,B37,BTS_매출관리!I:I)</f>
        <v>0</v>
      </c>
      <c r="D37" s="58">
        <f t="shared" si="0"/>
        <v>23</v>
      </c>
      <c r="F37" t="s">
        <v>3688</v>
      </c>
      <c r="G37" t="s">
        <v>3799</v>
      </c>
    </row>
    <row r="38" spans="2:17" x14ac:dyDescent="0.3">
      <c r="B38" s="58" t="s">
        <v>1325</v>
      </c>
      <c r="C38" s="301">
        <f>SUMIF(BTS_매출관리!C:C,B38,BTS_매출관리!I:I)</f>
        <v>0</v>
      </c>
      <c r="D38" s="58">
        <f t="shared" si="0"/>
        <v>23</v>
      </c>
      <c r="F38" t="s">
        <v>3689</v>
      </c>
      <c r="G38" t="s">
        <v>3805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23</v>
      </c>
      <c r="F39" t="s">
        <v>3690</v>
      </c>
      <c r="G39" t="s">
        <v>3805</v>
      </c>
    </row>
    <row r="40" spans="2:17" x14ac:dyDescent="0.3">
      <c r="B40" s="58" t="s">
        <v>1295</v>
      </c>
      <c r="C40" s="301">
        <f>SUMIF(BTS_매출관리!C:C,B40,BTS_매출관리!I:I)</f>
        <v>0</v>
      </c>
      <c r="D40" s="58">
        <f t="shared" si="0"/>
        <v>23</v>
      </c>
      <c r="F40" t="s">
        <v>3691</v>
      </c>
      <c r="G40" t="s">
        <v>3805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23</v>
      </c>
      <c r="F41" t="s">
        <v>3693</v>
      </c>
      <c r="G41" t="s">
        <v>3799</v>
      </c>
    </row>
    <row r="42" spans="2:17" x14ac:dyDescent="0.3">
      <c r="B42" s="58" t="s">
        <v>1487</v>
      </c>
      <c r="C42" s="301">
        <f>SUMIF(BTS_매출관리!C:C,B42,BTS_매출관리!I:I)</f>
        <v>0</v>
      </c>
      <c r="D42" s="58">
        <f t="shared" si="0"/>
        <v>23</v>
      </c>
      <c r="F42" t="s">
        <v>1327</v>
      </c>
      <c r="G42" t="s">
        <v>3805</v>
      </c>
    </row>
    <row r="43" spans="2:17" x14ac:dyDescent="0.3">
      <c r="B43" s="269" t="s">
        <v>1233</v>
      </c>
      <c r="C43" s="268">
        <f>SUMIF(BTS_매출관리!C:C,B43,BTS_매출관리!I:I)</f>
        <v>0</v>
      </c>
      <c r="D43" s="269">
        <f t="shared" si="0"/>
        <v>23</v>
      </c>
      <c r="F43" t="s">
        <v>3786</v>
      </c>
      <c r="G43" t="s">
        <v>3799</v>
      </c>
    </row>
    <row r="44" spans="2:17" x14ac:dyDescent="0.3">
      <c r="B44" s="58" t="s">
        <v>1286</v>
      </c>
      <c r="C44" s="301">
        <f>SUMIF(BTS_매출관리!C:C,B44,BTS_매출관리!I:I)</f>
        <v>3080000</v>
      </c>
      <c r="D44" s="58">
        <f t="shared" si="0"/>
        <v>4</v>
      </c>
      <c r="F44" t="s">
        <v>3787</v>
      </c>
      <c r="G44" t="s">
        <v>3799</v>
      </c>
    </row>
    <row r="45" spans="2:17" x14ac:dyDescent="0.3">
      <c r="B45" s="269" t="s">
        <v>1319</v>
      </c>
      <c r="C45" s="268">
        <f>SUMIF(BTS_매출관리!C:C,B45,BTS_매출관리!I:I)</f>
        <v>2530000</v>
      </c>
      <c r="D45" s="269">
        <f t="shared" si="0"/>
        <v>5</v>
      </c>
      <c r="F45" t="s">
        <v>3788</v>
      </c>
      <c r="G45" t="s">
        <v>3799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0</v>
      </c>
      <c r="D46" s="269">
        <f t="shared" si="0"/>
        <v>23</v>
      </c>
      <c r="F46" t="s">
        <v>3801</v>
      </c>
      <c r="G46" t="s">
        <v>3799</v>
      </c>
    </row>
    <row r="47" spans="2:17" x14ac:dyDescent="0.3">
      <c r="B47" s="269" t="s">
        <v>1889</v>
      </c>
      <c r="C47" s="268">
        <f>SUMIF(BTS_매출관리!C:C,B47,BTS_매출관리!I:I)</f>
        <v>0</v>
      </c>
      <c r="D47" s="269">
        <f t="shared" si="0"/>
        <v>23</v>
      </c>
      <c r="F47" s="58" t="s">
        <v>1035</v>
      </c>
      <c r="G47" t="s">
        <v>3799</v>
      </c>
      <c r="K47" t="s">
        <v>3799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0</v>
      </c>
      <c r="D48" s="269">
        <f t="shared" si="0"/>
        <v>23</v>
      </c>
      <c r="F48" s="58" t="s">
        <v>1356</v>
      </c>
      <c r="G48" t="s">
        <v>3805</v>
      </c>
      <c r="K48" t="s">
        <v>3805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0</v>
      </c>
      <c r="D49" s="58">
        <f t="shared" si="0"/>
        <v>23</v>
      </c>
      <c r="F49" t="s">
        <v>1320</v>
      </c>
      <c r="G49" t="s">
        <v>3805</v>
      </c>
    </row>
    <row r="50" spans="2:7" x14ac:dyDescent="0.3">
      <c r="B50" s="269" t="s">
        <v>1294</v>
      </c>
      <c r="C50" s="268">
        <f>SUMIF(BTS_매출관리!C:C,B50,BTS_매출관리!I:I)</f>
        <v>0</v>
      </c>
      <c r="D50" s="269">
        <f t="shared" si="0"/>
        <v>23</v>
      </c>
    </row>
    <row r="51" spans="2:7" x14ac:dyDescent="0.3">
      <c r="B51" s="269" t="s">
        <v>1318</v>
      </c>
      <c r="C51" s="268">
        <f>SUMIF(BTS_매출관리!C:C,B51,BTS_매출관리!I:I)</f>
        <v>0</v>
      </c>
      <c r="D51" s="269">
        <f t="shared" si="0"/>
        <v>23</v>
      </c>
    </row>
    <row r="52" spans="2:7" x14ac:dyDescent="0.3">
      <c r="B52" t="s">
        <v>3267</v>
      </c>
      <c r="C52" s="300">
        <f>SUMIF(BTS_매출관리!C:C,B52,BTS_매출관리!I:I)</f>
        <v>0</v>
      </c>
      <c r="D52">
        <f t="shared" si="0"/>
        <v>23</v>
      </c>
    </row>
    <row r="53" spans="2:7" x14ac:dyDescent="0.3">
      <c r="B53" t="s">
        <v>2486</v>
      </c>
      <c r="C53" s="300">
        <f>SUMIF(BTS_매출관리!C:C,B53,BTS_매출관리!I:I)</f>
        <v>0</v>
      </c>
      <c r="D53">
        <f t="shared" si="0"/>
        <v>23</v>
      </c>
    </row>
    <row r="54" spans="2:7" x14ac:dyDescent="0.3">
      <c r="B54" t="s">
        <v>1354</v>
      </c>
      <c r="C54" s="300">
        <f>SUMIF(BTS_매출관리!C:C,B54,BTS_매출관리!I:I)</f>
        <v>0</v>
      </c>
      <c r="D54">
        <f t="shared" si="0"/>
        <v>23</v>
      </c>
    </row>
    <row r="55" spans="2:7" x14ac:dyDescent="0.3">
      <c r="B55" t="s">
        <v>2703</v>
      </c>
      <c r="C55" s="52">
        <f>SUMIF(BTS_매출관리!C:C,B55,BTS_매출관리!I:I)</f>
        <v>0</v>
      </c>
      <c r="D55">
        <f t="shared" si="0"/>
        <v>23</v>
      </c>
    </row>
    <row r="56" spans="2:7" x14ac:dyDescent="0.3">
      <c r="B56" s="47" t="s">
        <v>1018</v>
      </c>
      <c r="C56" s="302">
        <f>SUMIF(BTS_매출관리!C:C,B56,BTS_매출관리!I:I)</f>
        <v>580000</v>
      </c>
      <c r="D56" s="47">
        <f t="shared" si="0"/>
        <v>18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23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23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23</v>
      </c>
    </row>
    <row r="60" spans="2:7" x14ac:dyDescent="0.3">
      <c r="B60" s="47" t="s">
        <v>1306</v>
      </c>
      <c r="C60" s="302">
        <f>SUMIF(BTS_매출관리!C:C,B60,BTS_매출관리!I:I)</f>
        <v>850000</v>
      </c>
      <c r="D60" s="47">
        <f t="shared" si="0"/>
        <v>16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23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23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23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23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23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23</v>
      </c>
    </row>
    <row r="67" spans="2:4" x14ac:dyDescent="0.3">
      <c r="B67" s="47" t="s">
        <v>1356</v>
      </c>
      <c r="C67" s="302">
        <f>SUMIF(BTS_매출관리!C:C,B67,BTS_매출관리!I:I)</f>
        <v>1650000</v>
      </c>
      <c r="D67" s="47">
        <f t="shared" si="1"/>
        <v>8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23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23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23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23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23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23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23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23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23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23</v>
      </c>
    </row>
    <row r="78" spans="2:4" x14ac:dyDescent="0.3">
      <c r="B78" t="s">
        <v>1350</v>
      </c>
      <c r="C78" s="52">
        <f>SUMIF(BTS_매출관리!C:C,B78,BTS_매출관리!I:I)</f>
        <v>0</v>
      </c>
      <c r="D78">
        <f t="shared" si="1"/>
        <v>23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23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23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23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23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23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23</v>
      </c>
    </row>
    <row r="85" spans="2:4" x14ac:dyDescent="0.3">
      <c r="B85" t="s">
        <v>3541</v>
      </c>
      <c r="C85" s="52">
        <f>SUMIF(BTS_매출관리!C:C,B85,BTS_매출관리!I:I)</f>
        <v>0</v>
      </c>
      <c r="D85">
        <f t="shared" si="1"/>
        <v>23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23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23</v>
      </c>
    </row>
    <row r="88" spans="2:4" x14ac:dyDescent="0.3">
      <c r="B88" t="s">
        <v>2257</v>
      </c>
      <c r="C88" s="52">
        <f>SUMIF(BTS_매출관리!C:C,B88,BTS_매출관리!I:I)</f>
        <v>0</v>
      </c>
      <c r="D88">
        <f t="shared" si="1"/>
        <v>23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23</v>
      </c>
    </row>
    <row r="90" spans="2:4" x14ac:dyDescent="0.3">
      <c r="B90" t="s">
        <v>2868</v>
      </c>
      <c r="C90" s="52">
        <f>SUMIF(BTS_매출관리!C:C,B90,BTS_매출관리!I:I)</f>
        <v>1320000</v>
      </c>
      <c r="D90">
        <f t="shared" si="1"/>
        <v>12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23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23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23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23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23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23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23</v>
      </c>
    </row>
    <row r="98" spans="2:4" x14ac:dyDescent="0.3">
      <c r="B98" t="s">
        <v>2016</v>
      </c>
      <c r="C98" s="52">
        <f>SUMIF(BTS_매출관리!C:C,B98,BTS_매출관리!I:I)</f>
        <v>450000</v>
      </c>
      <c r="D98">
        <f t="shared" si="1"/>
        <v>19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23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23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23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23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23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23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23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23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23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23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23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23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23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23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23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23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23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23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23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23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23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23</v>
      </c>
    </row>
    <row r="121" spans="2:4" x14ac:dyDescent="0.3">
      <c r="B121" t="s">
        <v>2591</v>
      </c>
      <c r="C121" s="300">
        <f>SUMIF(BTS_매출관리!C:C,B121,BTS_매출관리!I:I)</f>
        <v>300000</v>
      </c>
      <c r="D121">
        <f t="shared" si="1"/>
        <v>21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23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23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23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23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23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23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23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23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23</v>
      </c>
    </row>
    <row r="131" spans="2:4" x14ac:dyDescent="0.3">
      <c r="B131" t="s">
        <v>3572</v>
      </c>
      <c r="C131" s="52">
        <f>SUMIF(BTS_매출관리!C:C,B131,BTS_매출관리!I:I)</f>
        <v>0</v>
      </c>
      <c r="D131">
        <f t="shared" si="2"/>
        <v>23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23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23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23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23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23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23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23</v>
      </c>
    </row>
    <row r="139" spans="2:4" x14ac:dyDescent="0.3">
      <c r="B139" t="s">
        <v>1296</v>
      </c>
      <c r="C139" s="300">
        <f>SUMIF(BTS_매출관리!C:C,B139,BTS_매출관리!I:I)</f>
        <v>0</v>
      </c>
      <c r="D139">
        <f t="shared" si="2"/>
        <v>23</v>
      </c>
    </row>
    <row r="140" spans="2:4" x14ac:dyDescent="0.3">
      <c r="B140" t="s">
        <v>2467</v>
      </c>
      <c r="C140" s="52">
        <f>SUMIF(BTS_매출관리!C:C,B140,BTS_매출관리!I:I)</f>
        <v>220000</v>
      </c>
      <c r="D140">
        <f t="shared" si="2"/>
        <v>22</v>
      </c>
    </row>
    <row r="141" spans="2:4" x14ac:dyDescent="0.3">
      <c r="B141" t="s">
        <v>1313</v>
      </c>
      <c r="C141" s="300">
        <f>SUMIF(BTS_매출관리!C:C,B141,BTS_매출관리!I:I)</f>
        <v>1900000</v>
      </c>
      <c r="D141">
        <f t="shared" si="2"/>
        <v>6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23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23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23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23</v>
      </c>
    </row>
    <row r="146" spans="2:4" x14ac:dyDescent="0.3">
      <c r="B146" t="s">
        <v>2052</v>
      </c>
      <c r="C146" s="52">
        <f>SUMIF(BTS_매출관리!C:C,B146,BTS_매출관리!I:I)</f>
        <v>1750000</v>
      </c>
      <c r="D146">
        <f t="shared" si="2"/>
        <v>7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23</v>
      </c>
    </row>
    <row r="148" spans="2:4" x14ac:dyDescent="0.3">
      <c r="B148" t="s">
        <v>3500</v>
      </c>
      <c r="C148" s="52">
        <f>SUMIF(BTS_매출관리!C:C,B148,BTS_매출관리!I:I)</f>
        <v>0</v>
      </c>
      <c r="D148">
        <f t="shared" si="2"/>
        <v>23</v>
      </c>
    </row>
    <row r="149" spans="2:4" x14ac:dyDescent="0.3">
      <c r="B149" t="s">
        <v>2963</v>
      </c>
      <c r="C149" s="52">
        <f>SUMIF(BTS_매출관리!C:C,B149,BTS_매출관리!I:I)</f>
        <v>0</v>
      </c>
      <c r="D149">
        <f t="shared" si="2"/>
        <v>23</v>
      </c>
    </row>
    <row r="150" spans="2:4" x14ac:dyDescent="0.3">
      <c r="B150" t="s">
        <v>3722</v>
      </c>
      <c r="C150" s="52">
        <f>SUMIF(BTS_매출관리!C:C,B150,BTS_매출관리!I:I)</f>
        <v>0</v>
      </c>
      <c r="D150">
        <f t="shared" si="2"/>
        <v>23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23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23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23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23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23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23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23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23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23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23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23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23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23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23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23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23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23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23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23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23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23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23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23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23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23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23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23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23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23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23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23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23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23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23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23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23</v>
      </c>
    </row>
    <row r="188" spans="2:4" x14ac:dyDescent="0.3">
      <c r="C188" s="52">
        <f>SUMIF(BTS_매출관리!C:C,B188,BTS_매출관리!I:I)</f>
        <v>0</v>
      </c>
      <c r="D188">
        <f t="shared" si="2"/>
        <v>23</v>
      </c>
    </row>
    <row r="189" spans="2:4" x14ac:dyDescent="0.3">
      <c r="C189" s="52">
        <f>SUMIF(BTS_매출관리!C:C,B189,BTS_매출관리!I:I)</f>
        <v>0</v>
      </c>
      <c r="D189">
        <f t="shared" si="2"/>
        <v>23</v>
      </c>
    </row>
    <row r="190" spans="2:4" x14ac:dyDescent="0.3">
      <c r="C190" s="52">
        <f>SUMIF(BTS_매출관리!C:C,B190,BTS_매출관리!I:I)</f>
        <v>0</v>
      </c>
      <c r="D190">
        <f t="shared" si="2"/>
        <v>23</v>
      </c>
    </row>
    <row r="191" spans="2:4" x14ac:dyDescent="0.3">
      <c r="C191" s="52">
        <f>SUMIF(BTS_매출관리!C:C,B191,BTS_매출관리!I:I)</f>
        <v>0</v>
      </c>
      <c r="D191">
        <f t="shared" si="2"/>
        <v>23</v>
      </c>
    </row>
    <row r="192" spans="2:4" x14ac:dyDescent="0.3">
      <c r="C192" s="52">
        <f>SUMIF(BTS_매출관리!C:C,B192,BTS_매출관리!I:I)</f>
        <v>0</v>
      </c>
      <c r="D192">
        <f t="shared" si="2"/>
        <v>23</v>
      </c>
    </row>
    <row r="193" spans="3:4" x14ac:dyDescent="0.3">
      <c r="C193" s="52">
        <f>SUMIF(BTS_매출관리!C:C,B193,BTS_매출관리!I:I)</f>
        <v>0</v>
      </c>
      <c r="D193">
        <f t="shared" si="2"/>
        <v>23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23</v>
      </c>
    </row>
    <row r="195" spans="3:4" x14ac:dyDescent="0.3">
      <c r="C195" s="52">
        <f>SUMIF(BTS_매출관리!C:C,B195,BTS_매출관리!I:I)</f>
        <v>0</v>
      </c>
      <c r="D195">
        <f t="shared" si="3"/>
        <v>23</v>
      </c>
    </row>
    <row r="196" spans="3:4" x14ac:dyDescent="0.3">
      <c r="C196" s="52">
        <f>SUMIF(BTS_매출관리!C:C,B196,BTS_매출관리!I:I)</f>
        <v>0</v>
      </c>
      <c r="D196">
        <f t="shared" si="3"/>
        <v>23</v>
      </c>
    </row>
    <row r="197" spans="3:4" x14ac:dyDescent="0.3">
      <c r="C197" s="52">
        <f>SUMIF(BTS_매출관리!C:C,B197,BTS_매출관리!I:I)</f>
        <v>0</v>
      </c>
      <c r="D197">
        <f t="shared" si="3"/>
        <v>23</v>
      </c>
    </row>
    <row r="198" spans="3:4" x14ac:dyDescent="0.3">
      <c r="C198" s="52">
        <f>SUMIF(BTS_매출관리!C:C,B198,BTS_매출관리!I:I)</f>
        <v>0</v>
      </c>
      <c r="D198">
        <f t="shared" si="3"/>
        <v>23</v>
      </c>
    </row>
    <row r="199" spans="3:4" x14ac:dyDescent="0.3">
      <c r="C199" s="52">
        <f>SUMIF(BTS_매출관리!C:C,B199,BTS_매출관리!I:I)</f>
        <v>0</v>
      </c>
      <c r="D199">
        <f t="shared" si="3"/>
        <v>23</v>
      </c>
    </row>
    <row r="200" spans="3:4" x14ac:dyDescent="0.3">
      <c r="C200" s="52">
        <f>SUMIF(BTS_매출관리!C:C,B200,BTS_매출관리!I:I)</f>
        <v>0</v>
      </c>
      <c r="D200">
        <f t="shared" si="3"/>
        <v>23</v>
      </c>
    </row>
    <row r="201" spans="3:4" x14ac:dyDescent="0.3">
      <c r="C201" s="52">
        <f>SUMIF(BTS_매출관리!C:C,B201,BTS_매출관리!I:I)</f>
        <v>0</v>
      </c>
      <c r="D201">
        <f t="shared" si="3"/>
        <v>23</v>
      </c>
    </row>
    <row r="202" spans="3:4" x14ac:dyDescent="0.3">
      <c r="C202" s="52">
        <f>SUMIF(BTS_매출관리!C:C,B202,BTS_매출관리!I:I)</f>
        <v>0</v>
      </c>
      <c r="D202">
        <f t="shared" si="3"/>
        <v>23</v>
      </c>
    </row>
    <row r="203" spans="3:4" x14ac:dyDescent="0.3">
      <c r="C203" s="52">
        <f>SUMIF(BTS_매출관리!C:C,B203,BTS_매출관리!I:I)</f>
        <v>0</v>
      </c>
      <c r="D203">
        <f t="shared" si="3"/>
        <v>23</v>
      </c>
    </row>
    <row r="204" spans="3:4" x14ac:dyDescent="0.3">
      <c r="C204" s="52">
        <f>SUMIF(BTS_매출관리!C:C,B204,BTS_매출관리!I:I)</f>
        <v>0</v>
      </c>
      <c r="D204">
        <f t="shared" si="3"/>
        <v>23</v>
      </c>
    </row>
    <row r="205" spans="3:4" x14ac:dyDescent="0.3">
      <c r="C205" s="52">
        <f>SUMIF(BTS_매출관리!C:C,B205,BTS_매출관리!I:I)</f>
        <v>0</v>
      </c>
      <c r="D205">
        <f t="shared" si="3"/>
        <v>23</v>
      </c>
    </row>
    <row r="206" spans="3:4" x14ac:dyDescent="0.3">
      <c r="C206" s="52">
        <f>SUMIF(BTS_매출관리!C:C,B206,BTS_매출관리!I:I)</f>
        <v>0</v>
      </c>
      <c r="D206">
        <f t="shared" si="3"/>
        <v>23</v>
      </c>
    </row>
    <row r="207" spans="3:4" x14ac:dyDescent="0.3">
      <c r="C207" s="52">
        <f>SUMIF(BTS_매출관리!C:C,B207,BTS_매출관리!I:I)</f>
        <v>0</v>
      </c>
      <c r="D207">
        <f t="shared" si="3"/>
        <v>23</v>
      </c>
    </row>
    <row r="208" spans="3:4" x14ac:dyDescent="0.3">
      <c r="C208" s="52">
        <f>SUMIF(BTS_매출관리!C:C,B208,BTS_매출관리!I:I)</f>
        <v>0</v>
      </c>
      <c r="D208">
        <f t="shared" si="3"/>
        <v>23</v>
      </c>
    </row>
    <row r="209" spans="3:4" x14ac:dyDescent="0.3">
      <c r="C209" s="52">
        <f>SUMIF(BTS_매출관리!C:C,B209,BTS_매출관리!I:I)</f>
        <v>0</v>
      </c>
      <c r="D209">
        <f t="shared" si="3"/>
        <v>23</v>
      </c>
    </row>
    <row r="210" spans="3:4" x14ac:dyDescent="0.3">
      <c r="C210" s="52">
        <f>SUMIF(BTS_매출관리!C:C,B210,BTS_매출관리!I:I)</f>
        <v>0</v>
      </c>
      <c r="D210">
        <f t="shared" si="3"/>
        <v>23</v>
      </c>
    </row>
    <row r="211" spans="3:4" x14ac:dyDescent="0.3">
      <c r="C211" s="52">
        <f>SUMIF(BTS_매출관리!C:C,B211,BTS_매출관리!I:I)</f>
        <v>0</v>
      </c>
      <c r="D211">
        <f t="shared" si="3"/>
        <v>23</v>
      </c>
    </row>
    <row r="212" spans="3:4" x14ac:dyDescent="0.3">
      <c r="C212" s="52">
        <f>SUMIF(BTS_매출관리!C:C,B212,BTS_매출관리!I:I)</f>
        <v>0</v>
      </c>
      <c r="D212">
        <f t="shared" si="3"/>
        <v>23</v>
      </c>
    </row>
    <row r="213" spans="3:4" x14ac:dyDescent="0.3">
      <c r="C213" s="52">
        <f>SUMIF(BTS_매출관리!C:C,B213,BTS_매출관리!I:I)</f>
        <v>0</v>
      </c>
      <c r="D213">
        <f t="shared" si="3"/>
        <v>23</v>
      </c>
    </row>
    <row r="214" spans="3:4" x14ac:dyDescent="0.3">
      <c r="C214" s="52">
        <f>SUMIF(BTS_매출관리!C:C,B214,BTS_매출관리!I:I)</f>
        <v>0</v>
      </c>
      <c r="D214">
        <f t="shared" si="3"/>
        <v>23</v>
      </c>
    </row>
    <row r="215" spans="3:4" x14ac:dyDescent="0.3">
      <c r="C215" s="52">
        <f>SUMIF(BTS_매출관리!C:C,B215,BTS_매출관리!I:I)</f>
        <v>0</v>
      </c>
      <c r="D215">
        <f t="shared" si="3"/>
        <v>23</v>
      </c>
    </row>
    <row r="216" spans="3:4" x14ac:dyDescent="0.3">
      <c r="C216" s="52">
        <f>SUMIF(BTS_매출관리!C:C,B216,BTS_매출관리!I:I)</f>
        <v>0</v>
      </c>
      <c r="D216">
        <f t="shared" si="3"/>
        <v>23</v>
      </c>
    </row>
    <row r="217" spans="3:4" x14ac:dyDescent="0.3">
      <c r="C217" s="52">
        <f>SUMIF(BTS_매출관리!C:C,B217,BTS_매출관리!I:I)</f>
        <v>0</v>
      </c>
      <c r="D217">
        <f t="shared" si="3"/>
        <v>23</v>
      </c>
    </row>
    <row r="218" spans="3:4" x14ac:dyDescent="0.3">
      <c r="C218" s="52">
        <f>SUMIF(BTS_매출관리!C:C,B218,BTS_매출관리!I:I)</f>
        <v>0</v>
      </c>
      <c r="D218">
        <f t="shared" si="3"/>
        <v>23</v>
      </c>
    </row>
    <row r="219" spans="3:4" x14ac:dyDescent="0.3">
      <c r="C219" s="52">
        <f>SUMIF(BTS_매출관리!C:C,B219,BTS_매출관리!I:I)</f>
        <v>0</v>
      </c>
      <c r="D219">
        <f t="shared" si="3"/>
        <v>23</v>
      </c>
    </row>
    <row r="220" spans="3:4" x14ac:dyDescent="0.3">
      <c r="C220" s="52">
        <f>SUMIF(BTS_매출관리!C:C,B220,BTS_매출관리!I:I)</f>
        <v>0</v>
      </c>
      <c r="D220">
        <f t="shared" si="3"/>
        <v>23</v>
      </c>
    </row>
    <row r="221" spans="3:4" x14ac:dyDescent="0.3">
      <c r="C221" s="52">
        <f>SUMIF(BTS_매출관리!C:C,B221,BTS_매출관리!I:I)</f>
        <v>0</v>
      </c>
      <c r="D221">
        <f t="shared" si="3"/>
        <v>23</v>
      </c>
    </row>
    <row r="222" spans="3:4" x14ac:dyDescent="0.3">
      <c r="C222" s="52">
        <f>SUMIF(BTS_매출관리!C:C,B222,BTS_매출관리!I:I)</f>
        <v>0</v>
      </c>
      <c r="D222">
        <f t="shared" si="3"/>
        <v>23</v>
      </c>
    </row>
    <row r="223" spans="3:4" x14ac:dyDescent="0.3">
      <c r="C223" s="52">
        <f>SUMIF(BTS_매출관리!C:C,B223,BTS_매출관리!I:I)</f>
        <v>0</v>
      </c>
      <c r="D223">
        <f t="shared" si="3"/>
        <v>23</v>
      </c>
    </row>
    <row r="224" spans="3:4" x14ac:dyDescent="0.3">
      <c r="C224" s="52">
        <f>SUMIF(BTS_매출관리!C:C,B224,BTS_매출관리!I:I)</f>
        <v>0</v>
      </c>
      <c r="D224">
        <f t="shared" si="3"/>
        <v>23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1540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48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1173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3492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3493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3494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3495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3496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3497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3498</v>
      </c>
    </row>
    <row r="841" spans="1:4" x14ac:dyDescent="0.3">
      <c r="A841">
        <v>865</v>
      </c>
      <c r="B841" s="13">
        <v>45910</v>
      </c>
      <c r="C841" t="s">
        <v>1869</v>
      </c>
      <c r="D841" t="s">
        <v>3499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3502</v>
      </c>
    </row>
    <row r="843" spans="1:4" x14ac:dyDescent="0.3">
      <c r="A843">
        <v>867</v>
      </c>
      <c r="B843" s="13">
        <v>45910</v>
      </c>
      <c r="C843" t="s">
        <v>3500</v>
      </c>
      <c r="D843" t="s">
        <v>3506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3507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3508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3509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3510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3511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3512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3513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3514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3515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3521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3522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3523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3524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3525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3528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3529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3530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3531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3532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3534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3535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3536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3537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3539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3540</v>
      </c>
    </row>
    <row r="869" spans="1:4" x14ac:dyDescent="0.3">
      <c r="A869">
        <v>893</v>
      </c>
      <c r="B869" s="13">
        <v>45912</v>
      </c>
      <c r="C869" t="s">
        <v>3541</v>
      </c>
      <c r="D869" t="s">
        <v>3542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3545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3548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3549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3550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3551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3552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3553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3555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3557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3558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3560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3561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3562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3563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3564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3565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3566</v>
      </c>
    </row>
    <row r="887" spans="1:4" x14ac:dyDescent="0.3">
      <c r="A887">
        <v>911</v>
      </c>
      <c r="B887" s="13">
        <v>45917</v>
      </c>
      <c r="C887" t="s">
        <v>3571</v>
      </c>
      <c r="D887" t="s">
        <v>3578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3579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3580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3582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3583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3584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3585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3598</v>
      </c>
    </row>
    <row r="896" spans="1:4" x14ac:dyDescent="0.3">
      <c r="A896">
        <v>920</v>
      </c>
      <c r="B896" s="13">
        <v>45918</v>
      </c>
      <c r="C896" t="s">
        <v>1466</v>
      </c>
      <c r="D896" t="s">
        <v>3599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3600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3602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3603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3604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3605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3606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3607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3608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3609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3617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3619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3621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3629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3634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3635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3636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3637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3638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3639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3647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3648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3649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3653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3655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3664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3665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3666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3667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3715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3716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3717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3718</v>
      </c>
    </row>
    <row r="937" spans="1:4" x14ac:dyDescent="0.3">
      <c r="A937">
        <v>961</v>
      </c>
      <c r="B937" s="13">
        <v>45926</v>
      </c>
      <c r="C937" t="s">
        <v>3719</v>
      </c>
      <c r="D937" t="s">
        <v>3721</v>
      </c>
    </row>
    <row r="938" spans="1:4" x14ac:dyDescent="0.3">
      <c r="A938">
        <v>962</v>
      </c>
      <c r="B938" s="13">
        <v>45927</v>
      </c>
      <c r="C938" t="s">
        <v>3722</v>
      </c>
      <c r="D938" t="s">
        <v>3726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3729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3734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3740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3742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3743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3744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3745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3747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3749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3751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3752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3753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3754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3755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3756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3766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3767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3769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3770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3771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3772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3773</v>
      </c>
    </row>
    <row r="961" spans="1:4" x14ac:dyDescent="0.3">
      <c r="A961">
        <v>985</v>
      </c>
      <c r="B961" s="13">
        <v>45930</v>
      </c>
      <c r="C961" t="s">
        <v>3759</v>
      </c>
      <c r="D961" t="s">
        <v>3774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3808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3809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3810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3811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3813</v>
      </c>
    </row>
    <row r="967" spans="1:4" x14ac:dyDescent="0.3">
      <c r="A967">
        <v>991</v>
      </c>
      <c r="B967" s="13">
        <v>45931</v>
      </c>
      <c r="C967" t="s">
        <v>3814</v>
      </c>
      <c r="D967" t="s">
        <v>3815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3820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3821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3826</v>
      </c>
    </row>
    <row r="971" spans="1:4" x14ac:dyDescent="0.3">
      <c r="A971">
        <v>995</v>
      </c>
      <c r="B971" s="13">
        <v>45932</v>
      </c>
      <c r="C971" t="s">
        <v>3817</v>
      </c>
      <c r="D971" t="s">
        <v>3828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3829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3835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3838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3839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3841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3842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3846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3852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3853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3854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3856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3857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3858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3859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3860</v>
      </c>
    </row>
    <row r="987" spans="1:4" x14ac:dyDescent="0.3">
      <c r="A987">
        <v>1011</v>
      </c>
      <c r="B987" s="13">
        <v>45940</v>
      </c>
      <c r="C987" t="s">
        <v>3814</v>
      </c>
      <c r="D987" t="s">
        <v>3861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3862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3863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3870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3871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3872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3873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3877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3879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3881</v>
      </c>
    </row>
    <row r="997" spans="1:4" x14ac:dyDescent="0.3">
      <c r="A997">
        <v>1021</v>
      </c>
      <c r="B997" s="13">
        <v>45943</v>
      </c>
      <c r="C997" t="s">
        <v>3882</v>
      </c>
      <c r="D997" t="s">
        <v>3885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3886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3887</v>
      </c>
    </row>
    <row r="1000" spans="1:4" x14ac:dyDescent="0.3">
      <c r="A1000">
        <v>1024</v>
      </c>
      <c r="B1000" s="13">
        <v>45943</v>
      </c>
      <c r="C1000" t="s">
        <v>3888</v>
      </c>
      <c r="D1000" t="s">
        <v>3889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3890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3902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3903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3904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3906</v>
      </c>
    </row>
    <row r="1006" spans="1:4" x14ac:dyDescent="0.3">
      <c r="A1006">
        <v>1030</v>
      </c>
      <c r="B1006" s="13">
        <v>45944</v>
      </c>
      <c r="C1006" t="s">
        <v>3907</v>
      </c>
      <c r="D1006" t="s">
        <v>3910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3911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3912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3913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3914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3916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3919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3920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3922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3923</v>
      </c>
    </row>
    <row r="1016" spans="1:4" x14ac:dyDescent="0.3">
      <c r="A1016">
        <v>1040</v>
      </c>
      <c r="B1016" s="13">
        <v>45945</v>
      </c>
      <c r="C1016" t="s">
        <v>3924</v>
      </c>
      <c r="D1016" t="s">
        <v>3928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3929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3930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3931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3933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3944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3945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3946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3947</v>
      </c>
    </row>
    <row r="1025" spans="1:4" x14ac:dyDescent="0.3">
      <c r="A1025">
        <v>1049</v>
      </c>
      <c r="B1025" s="13">
        <v>45946</v>
      </c>
      <c r="C1025" t="s">
        <v>3938</v>
      </c>
      <c r="D1025" t="s">
        <v>3948</v>
      </c>
    </row>
    <row r="1026" spans="1:4" x14ac:dyDescent="0.3">
      <c r="A1026">
        <v>1050</v>
      </c>
      <c r="B1026" s="13">
        <v>45946</v>
      </c>
      <c r="C1026" t="s">
        <v>3814</v>
      </c>
      <c r="D1026" t="s">
        <v>3949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3951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3956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3958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3960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3961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3962</v>
      </c>
    </row>
    <row r="1033" spans="1:4" x14ac:dyDescent="0.3">
      <c r="A1033">
        <v>1057</v>
      </c>
      <c r="B1033" s="13">
        <v>45950</v>
      </c>
      <c r="C1033" t="s">
        <v>3963</v>
      </c>
      <c r="D1033" t="s">
        <v>3966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3967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3969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3970</v>
      </c>
    </row>
    <row r="1037" spans="1:4" x14ac:dyDescent="0.3">
      <c r="A1037">
        <v>1061</v>
      </c>
      <c r="B1037" s="13">
        <v>45950</v>
      </c>
      <c r="C1037" t="s">
        <v>3972</v>
      </c>
      <c r="D1037" t="s">
        <v>3973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3974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3976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3977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3978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3980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3983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3984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3985</v>
      </c>
    </row>
    <row r="1046" spans="1:4" x14ac:dyDescent="0.3">
      <c r="A1046">
        <v>1070</v>
      </c>
      <c r="B1046" s="13">
        <v>45951</v>
      </c>
      <c r="C1046" t="s">
        <v>3924</v>
      </c>
      <c r="D1046" t="s">
        <v>3986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3990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3991</v>
      </c>
    </row>
    <row r="1049" spans="1:4" x14ac:dyDescent="0.3">
      <c r="A1049">
        <v>1073</v>
      </c>
      <c r="B1049" s="13">
        <v>45951</v>
      </c>
      <c r="C1049" t="s">
        <v>3992</v>
      </c>
      <c r="D1049" t="s">
        <v>3993</v>
      </c>
    </row>
    <row r="1050" spans="1:4" x14ac:dyDescent="0.3">
      <c r="A1050">
        <v>1074</v>
      </c>
      <c r="B1050" s="13">
        <v>45952</v>
      </c>
      <c r="C1050" t="s">
        <v>3994</v>
      </c>
      <c r="D1050" t="s">
        <v>4000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4001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4002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4003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4005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4006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4009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4010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4011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4012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4013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4014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4015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4017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4018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4027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4033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4034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4035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4036</v>
      </c>
    </row>
    <row r="1070" spans="1:4" x14ac:dyDescent="0.3">
      <c r="A1070">
        <v>1094</v>
      </c>
      <c r="B1070" s="13">
        <v>45955</v>
      </c>
      <c r="C1070" t="s">
        <v>4037</v>
      </c>
      <c r="D1070" t="s">
        <v>4041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4042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4043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4044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4048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4063</v>
      </c>
    </row>
    <row r="1076" spans="1:4" x14ac:dyDescent="0.3">
      <c r="A1076">
        <v>1100</v>
      </c>
      <c r="B1076" s="13">
        <v>45957</v>
      </c>
      <c r="C1076" t="s">
        <v>4058</v>
      </c>
      <c r="D1076" t="s">
        <v>4064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4065</v>
      </c>
    </row>
    <row r="1078" spans="1:4" x14ac:dyDescent="0.3">
      <c r="A1078">
        <v>1102</v>
      </c>
      <c r="B1078" s="13">
        <v>45957</v>
      </c>
      <c r="C1078" t="s">
        <v>4054</v>
      </c>
      <c r="D1078" t="s">
        <v>4066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4067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4068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4078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4079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4089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4090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4091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4092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4093</v>
      </c>
    </row>
    <row r="1088" spans="1:4" x14ac:dyDescent="0.3">
      <c r="A1088">
        <v>1112</v>
      </c>
      <c r="B1088" s="13">
        <v>45958</v>
      </c>
      <c r="C1088" t="s">
        <v>4083</v>
      </c>
      <c r="D1088" t="s">
        <v>4094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4095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4105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4106</v>
      </c>
    </row>
    <row r="1092" spans="1:4" x14ac:dyDescent="0.3">
      <c r="A1092">
        <v>1116</v>
      </c>
      <c r="B1092" s="13">
        <v>45959</v>
      </c>
      <c r="C1092" t="s">
        <v>4102</v>
      </c>
      <c r="D1092" t="s">
        <v>4108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4109</v>
      </c>
    </row>
    <row r="1094" spans="1:4" x14ac:dyDescent="0.3">
      <c r="A1094">
        <v>1118</v>
      </c>
      <c r="B1094" s="13">
        <v>45959</v>
      </c>
      <c r="C1094" t="s">
        <v>4037</v>
      </c>
      <c r="D1094" t="s">
        <v>4110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4111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4112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4120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4121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4124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4125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4126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4128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4129</v>
      </c>
    </row>
    <row r="1104" spans="1:4" x14ac:dyDescent="0.3">
      <c r="A1104">
        <v>1128</v>
      </c>
      <c r="B1104" s="13">
        <v>45960</v>
      </c>
      <c r="C1104" t="s">
        <v>4058</v>
      </c>
      <c r="D1104" t="s">
        <v>4130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4131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4132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4133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4134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4160</v>
      </c>
    </row>
    <row r="1110" spans="1:4" x14ac:dyDescent="0.3">
      <c r="A1110">
        <v>1134</v>
      </c>
      <c r="B1110" s="13">
        <v>45961</v>
      </c>
      <c r="C1110" t="s">
        <v>4161</v>
      </c>
      <c r="D1110" t="s">
        <v>4164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4165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4166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4167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4168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4170</v>
      </c>
    </row>
    <row r="1116" spans="1:4" x14ac:dyDescent="0.3">
      <c r="A1116">
        <v>1140</v>
      </c>
      <c r="B1116" t="s">
        <v>4178</v>
      </c>
      <c r="C1116" t="s">
        <v>1721</v>
      </c>
      <c r="D1116" t="s">
        <v>4179</v>
      </c>
    </row>
    <row r="1117" spans="1:4" x14ac:dyDescent="0.3">
      <c r="A1117">
        <v>1141</v>
      </c>
      <c r="B1117" s="13">
        <v>45964</v>
      </c>
      <c r="C1117" t="s">
        <v>1804</v>
      </c>
      <c r="D1117" t="s">
        <v>4182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4183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4184</v>
      </c>
    </row>
    <row r="1120" spans="1:4" x14ac:dyDescent="0.3">
      <c r="A1120">
        <v>1144</v>
      </c>
      <c r="B1120" s="13">
        <v>45964</v>
      </c>
      <c r="C1120" t="s">
        <v>1443</v>
      </c>
      <c r="D1120" t="s">
        <v>4185</v>
      </c>
    </row>
    <row r="1121" spans="1:4" x14ac:dyDescent="0.3">
      <c r="A1121">
        <v>1145</v>
      </c>
      <c r="B1121" s="13">
        <v>45964</v>
      </c>
      <c r="C1121" t="s">
        <v>1394</v>
      </c>
      <c r="D1121" t="s">
        <v>4186</v>
      </c>
    </row>
    <row r="1122" spans="1:4" x14ac:dyDescent="0.3">
      <c r="A1122">
        <v>1146</v>
      </c>
      <c r="B1122" s="13">
        <v>45964</v>
      </c>
      <c r="C1122" t="s">
        <v>1398</v>
      </c>
      <c r="D1122" t="s">
        <v>4187</v>
      </c>
    </row>
    <row r="1123" spans="1:4" x14ac:dyDescent="0.3">
      <c r="A1123">
        <v>1147</v>
      </c>
      <c r="B1123" s="13">
        <v>45965</v>
      </c>
      <c r="C1123" t="s">
        <v>2257</v>
      </c>
      <c r="D1123" t="s">
        <v>4193</v>
      </c>
    </row>
    <row r="1124" spans="1:4" x14ac:dyDescent="0.3">
      <c r="A1124">
        <v>1148</v>
      </c>
      <c r="B1124" s="13">
        <v>45965</v>
      </c>
      <c r="C1124" t="s">
        <v>2466</v>
      </c>
      <c r="D1124" t="s">
        <v>4196</v>
      </c>
    </row>
    <row r="1125" spans="1:4" x14ac:dyDescent="0.3">
      <c r="A1125">
        <v>1149</v>
      </c>
      <c r="B1125" s="13">
        <v>45965</v>
      </c>
      <c r="C1125" t="s">
        <v>1443</v>
      </c>
      <c r="D1125" t="s">
        <v>4197</v>
      </c>
    </row>
    <row r="1126" spans="1:4" x14ac:dyDescent="0.3">
      <c r="A1126">
        <v>1150</v>
      </c>
      <c r="B1126" s="13">
        <v>45965</v>
      </c>
      <c r="C1126" t="s">
        <v>3972</v>
      </c>
      <c r="D1126" t="s">
        <v>4198</v>
      </c>
    </row>
    <row r="1127" spans="1:4" x14ac:dyDescent="0.3">
      <c r="A1127">
        <v>1151</v>
      </c>
      <c r="B1127" s="13">
        <v>45965</v>
      </c>
      <c r="C1127" t="s">
        <v>1540</v>
      </c>
      <c r="D1127" t="s">
        <v>4199</v>
      </c>
    </row>
    <row r="1128" spans="1:4" x14ac:dyDescent="0.3">
      <c r="A1128">
        <v>1152</v>
      </c>
      <c r="B1128" s="13">
        <v>45965</v>
      </c>
      <c r="C1128" t="s">
        <v>1930</v>
      </c>
      <c r="D1128" t="s">
        <v>4201</v>
      </c>
    </row>
    <row r="1129" spans="1:4" x14ac:dyDescent="0.3">
      <c r="A1129">
        <v>1153</v>
      </c>
      <c r="B1129" s="13">
        <v>45966</v>
      </c>
      <c r="C1129" t="s">
        <v>4212</v>
      </c>
      <c r="D1129" t="s">
        <v>4216</v>
      </c>
    </row>
    <row r="1130" spans="1:4" x14ac:dyDescent="0.3">
      <c r="A1130">
        <v>1154</v>
      </c>
      <c r="B1130" s="13">
        <v>45966</v>
      </c>
      <c r="C1130" t="s">
        <v>1579</v>
      </c>
      <c r="D1130" t="s">
        <v>4217</v>
      </c>
    </row>
    <row r="1131" spans="1:4" x14ac:dyDescent="0.3">
      <c r="A1131">
        <v>1155</v>
      </c>
      <c r="B1131" s="13">
        <v>45966</v>
      </c>
      <c r="C1131" t="s">
        <v>1305</v>
      </c>
      <c r="D1131" t="s">
        <v>4220</v>
      </c>
    </row>
    <row r="1132" spans="1:4" x14ac:dyDescent="0.3">
      <c r="A1132">
        <v>1156</v>
      </c>
      <c r="B1132" s="13">
        <v>45966</v>
      </c>
      <c r="C1132" t="s">
        <v>1721</v>
      </c>
      <c r="D1132" t="s">
        <v>4221</v>
      </c>
    </row>
    <row r="1133" spans="1:4" x14ac:dyDescent="0.3">
      <c r="A1133">
        <v>1157</v>
      </c>
      <c r="B1133" s="13">
        <v>45966</v>
      </c>
      <c r="C1133" t="s">
        <v>2868</v>
      </c>
      <c r="D1133" t="s">
        <v>4222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4223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4224</v>
      </c>
    </row>
    <row r="1136" spans="1:4" x14ac:dyDescent="0.3">
      <c r="A1136">
        <v>1160</v>
      </c>
      <c r="B1136" s="13">
        <v>45967</v>
      </c>
      <c r="C1136" t="s">
        <v>1721</v>
      </c>
      <c r="D1136" t="s">
        <v>4232</v>
      </c>
    </row>
    <row r="1137" spans="1:4" x14ac:dyDescent="0.3">
      <c r="A1137">
        <v>1161</v>
      </c>
      <c r="B1137" s="13">
        <v>45967</v>
      </c>
      <c r="C1137" t="s">
        <v>1670</v>
      </c>
      <c r="D1137" t="s">
        <v>4233</v>
      </c>
    </row>
    <row r="1138" spans="1:4" x14ac:dyDescent="0.3">
      <c r="A1138">
        <v>1162</v>
      </c>
      <c r="B1138" s="13">
        <v>45967</v>
      </c>
      <c r="C1138" t="s">
        <v>2014</v>
      </c>
      <c r="D1138" t="s">
        <v>4235</v>
      </c>
    </row>
    <row r="1139" spans="1:4" x14ac:dyDescent="0.3">
      <c r="A1139">
        <v>1163</v>
      </c>
      <c r="B1139" s="13">
        <v>45967</v>
      </c>
      <c r="C1139" t="s">
        <v>2409</v>
      </c>
      <c r="D1139" t="s">
        <v>4236</v>
      </c>
    </row>
    <row r="1140" spans="1:4" x14ac:dyDescent="0.3">
      <c r="A1140">
        <v>1164</v>
      </c>
      <c r="B1140" s="13">
        <v>45967</v>
      </c>
      <c r="C1140" t="s">
        <v>2601</v>
      </c>
      <c r="D1140" t="s">
        <v>4237</v>
      </c>
    </row>
    <row r="1141" spans="1:4" x14ac:dyDescent="0.3">
      <c r="A1141">
        <v>1165</v>
      </c>
      <c r="B1141" s="13">
        <v>45967</v>
      </c>
      <c r="C1141" t="s">
        <v>1746</v>
      </c>
      <c r="D1141" t="s">
        <v>4239</v>
      </c>
    </row>
    <row r="1142" spans="1:4" x14ac:dyDescent="0.3">
      <c r="A1142">
        <v>1166</v>
      </c>
      <c r="B1142" s="13">
        <v>45967</v>
      </c>
      <c r="C1142" t="s">
        <v>1804</v>
      </c>
      <c r="D1142" t="s">
        <v>4240</v>
      </c>
    </row>
    <row r="1143" spans="1:4" x14ac:dyDescent="0.3">
      <c r="A1143">
        <v>1167</v>
      </c>
      <c r="B1143" s="13">
        <v>45968</v>
      </c>
      <c r="C1143" t="s">
        <v>4037</v>
      </c>
      <c r="D1143" t="s">
        <v>4250</v>
      </c>
    </row>
    <row r="1144" spans="1:4" x14ac:dyDescent="0.3">
      <c r="A1144">
        <v>1168</v>
      </c>
      <c r="B1144" s="13">
        <v>45968</v>
      </c>
      <c r="C1144" t="s">
        <v>2023</v>
      </c>
      <c r="D1144" t="s">
        <v>4251</v>
      </c>
    </row>
    <row r="1145" spans="1:4" x14ac:dyDescent="0.3">
      <c r="A1145">
        <v>1169</v>
      </c>
      <c r="B1145" s="13">
        <v>45968</v>
      </c>
      <c r="C1145" t="s">
        <v>1579</v>
      </c>
      <c r="D1145" t="s">
        <v>4252</v>
      </c>
    </row>
    <row r="1146" spans="1:4" x14ac:dyDescent="0.3">
      <c r="A1146">
        <v>1170</v>
      </c>
      <c r="B1146" s="13">
        <v>45968</v>
      </c>
      <c r="C1146" t="s">
        <v>2291</v>
      </c>
      <c r="D1146" t="s">
        <v>4253</v>
      </c>
    </row>
    <row r="1147" spans="1:4" x14ac:dyDescent="0.3">
      <c r="A1147">
        <v>1171</v>
      </c>
      <c r="B1147" s="13">
        <v>45969</v>
      </c>
      <c r="C1147" t="s">
        <v>1540</v>
      </c>
      <c r="D1147" t="s">
        <v>4262</v>
      </c>
    </row>
    <row r="1148" spans="1:4" x14ac:dyDescent="0.3">
      <c r="A1148">
        <v>1172</v>
      </c>
      <c r="B1148" s="13">
        <v>45970</v>
      </c>
      <c r="C1148" t="s">
        <v>2495</v>
      </c>
      <c r="D1148" t="s">
        <v>4265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tabSelected="1" zoomScaleNormal="100" workbookViewId="0">
      <pane xSplit="1" ySplit="1" topLeftCell="B3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201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300000</v>
      </c>
    </row>
    <row r="4" spans="1:11" x14ac:dyDescent="0.3">
      <c r="A4" s="47">
        <v>3</v>
      </c>
      <c r="B4" t="s">
        <v>1274</v>
      </c>
      <c r="C4" t="s">
        <v>3641</v>
      </c>
      <c r="E4" t="s">
        <v>3642</v>
      </c>
      <c r="F4" t="s">
        <v>963</v>
      </c>
      <c r="G4" t="s">
        <v>3643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3942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3795</v>
      </c>
      <c r="F14" t="s">
        <v>3790</v>
      </c>
      <c r="G14" t="s">
        <v>3796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18013000.199999999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5803000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3519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3616</v>
      </c>
      <c r="J33" t="s">
        <v>3616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3804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3758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3864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4171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4019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3874</v>
      </c>
      <c r="H65" s="194">
        <f>SUMIF(주문_리스트!C:C,거래처!B65,주문_리스트!K:K)+SUMIF(주문_리스트!C:C,거래처!B65,주문_리스트!L:L)</f>
        <v>0</v>
      </c>
      <c r="J65" t="s">
        <v>3893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4143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2500000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3789</v>
      </c>
      <c r="F73" t="s">
        <v>3790</v>
      </c>
      <c r="G73" t="s">
        <v>3791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3849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2450000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4019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3802</v>
      </c>
      <c r="F84" t="s">
        <v>3790</v>
      </c>
      <c r="G84" t="s">
        <v>3803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3758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385000.09999999963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3797</v>
      </c>
      <c r="F95" t="s">
        <v>3790</v>
      </c>
      <c r="G95" t="s">
        <v>3798</v>
      </c>
      <c r="H95" s="194">
        <f>SUMIF(주문_리스트!C:C,거래처!B95,주문_리스트!K:K)+SUMIF(주문_리스트!C:C,거래처!B95,주문_리스트!L:L)-715000</f>
        <v>0</v>
      </c>
      <c r="J95" t="s">
        <v>4144</v>
      </c>
    </row>
    <row r="96" spans="1:11" x14ac:dyDescent="0.3">
      <c r="A96" s="47">
        <v>95</v>
      </c>
      <c r="B96" t="s">
        <v>1351</v>
      </c>
      <c r="C96" t="s">
        <v>3594</v>
      </c>
      <c r="E96" t="s">
        <v>3595</v>
      </c>
      <c r="F96" t="s">
        <v>963</v>
      </c>
      <c r="G96" t="s">
        <v>3596</v>
      </c>
      <c r="H96" s="194">
        <f>SUMIF(주문_리스트!C:C,거래처!B96,주문_리스트!K:K)+SUMIF(주문_리스트!C:C,거래처!B96,주문_리스트!L:L)</f>
        <v>1600000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693000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3491</v>
      </c>
      <c r="H99" s="194">
        <f>SUMIF(주문_리스트!C:C,거래처!B99,주문_리스트!K:K)+SUMIF(주문_리스트!C:C,거래처!B99,주문_리스트!L:L)</f>
        <v>1210000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4019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3943</v>
      </c>
      <c r="H102" s="194">
        <f>SUMIF(주문_리스트!C:C,거래처!B102,주문_리스트!K:K)+SUMIF(주문_리스트!C:C,거래처!B102,주문_리스트!L:L)</f>
        <v>0</v>
      </c>
      <c r="J102" t="s">
        <v>3895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3845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3891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660000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3616</v>
      </c>
    </row>
    <row r="115" spans="1:10" x14ac:dyDescent="0.3">
      <c r="A115" s="47">
        <v>114</v>
      </c>
      <c r="B115" t="s">
        <v>4038</v>
      </c>
      <c r="C115" t="s">
        <v>4039</v>
      </c>
      <c r="E115" t="s">
        <v>4040</v>
      </c>
      <c r="F115" t="s">
        <v>4049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4203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3934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3616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3792</v>
      </c>
      <c r="F148" t="s">
        <v>3793</v>
      </c>
      <c r="G148" t="s">
        <v>3794</v>
      </c>
      <c r="H148" s="194">
        <f>SUMIF(주문_리스트!C:C,거래처!B148,주문_리스트!K:K)+SUMIF(주문_리스트!C:C,거래처!B148,주문_리스트!L:L)</f>
        <v>0</v>
      </c>
      <c r="K148" t="s">
        <v>4019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4147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3758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4149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4019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3735</v>
      </c>
      <c r="C176" t="s">
        <v>3736</v>
      </c>
      <c r="E176" t="s">
        <v>3737</v>
      </c>
      <c r="F176" t="s">
        <v>3738</v>
      </c>
      <c r="G176" t="s">
        <v>3737</v>
      </c>
      <c r="H176" s="194">
        <f>SUMIF(주문_리스트!C:C,거래처!B176,주문_리스트!K:K)+SUMIF(주문_리스트!C:C,거래처!B176,주문_리스트!L:L)</f>
        <v>0</v>
      </c>
      <c r="J176" t="s">
        <v>3899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4019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3616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3758</v>
      </c>
    </row>
    <row r="183" spans="1:11" x14ac:dyDescent="0.3">
      <c r="A183" s="47">
        <v>182</v>
      </c>
      <c r="B183" t="s">
        <v>3760</v>
      </c>
      <c r="C183" t="s">
        <v>3761</v>
      </c>
      <c r="E183" t="s">
        <v>3762</v>
      </c>
      <c r="F183" t="s">
        <v>3763</v>
      </c>
      <c r="G183" t="s">
        <v>3764</v>
      </c>
      <c r="H183" s="194">
        <f>SUMIF(주문_리스트!C:C,거래처!B183,주문_리스트!K:K)+SUMIF(주문_리스트!C:C,거래처!B183,주문_리스트!L:L)</f>
        <v>0</v>
      </c>
      <c r="I183" s="52" t="s">
        <v>3519</v>
      </c>
    </row>
    <row r="184" spans="1:11" x14ac:dyDescent="0.3">
      <c r="A184" s="47">
        <v>183</v>
      </c>
      <c r="B184" t="s">
        <v>3500</v>
      </c>
      <c r="C184" t="s">
        <v>3501</v>
      </c>
      <c r="E184" t="s">
        <v>3505</v>
      </c>
      <c r="F184" t="s">
        <v>973</v>
      </c>
      <c r="H184" s="194">
        <v>0</v>
      </c>
      <c r="I184" s="52" t="s">
        <v>3519</v>
      </c>
    </row>
    <row r="185" spans="1:11" x14ac:dyDescent="0.3">
      <c r="A185" s="47">
        <v>184</v>
      </c>
      <c r="B185" t="s">
        <v>3572</v>
      </c>
      <c r="C185" t="s">
        <v>3573</v>
      </c>
      <c r="E185" t="s">
        <v>3574</v>
      </c>
      <c r="F185" t="s">
        <v>963</v>
      </c>
      <c r="G185" t="s">
        <v>3575</v>
      </c>
      <c r="H185" s="194">
        <f>SUMIF(주문_리스트!C:C,거래처!B185,주문_리스트!K:K)+SUMIF(주문_리스트!C:C,거래처!B185,주문_리스트!L:L)</f>
        <v>0</v>
      </c>
      <c r="J185" t="s">
        <v>3616</v>
      </c>
    </row>
    <row r="186" spans="1:11" x14ac:dyDescent="0.3">
      <c r="A186" s="47">
        <v>185</v>
      </c>
      <c r="B186" t="s">
        <v>3631</v>
      </c>
      <c r="C186" t="s">
        <v>3632</v>
      </c>
      <c r="E186" t="s">
        <v>3633</v>
      </c>
      <c r="F186" t="s">
        <v>1180</v>
      </c>
      <c r="G186" t="s">
        <v>3630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3722</v>
      </c>
      <c r="C187" t="s">
        <v>3723</v>
      </c>
      <c r="E187" t="s">
        <v>3724</v>
      </c>
      <c r="F187" t="s">
        <v>1180</v>
      </c>
      <c r="G187" t="s">
        <v>3725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3817</v>
      </c>
      <c r="C188" t="s">
        <v>3818</v>
      </c>
      <c r="E188" t="s">
        <v>3819</v>
      </c>
      <c r="F188" t="s">
        <v>1180</v>
      </c>
      <c r="G188" t="s">
        <v>3819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3882</v>
      </c>
      <c r="C189" t="s">
        <v>3883</v>
      </c>
      <c r="E189" t="s">
        <v>3884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3901</v>
      </c>
    </row>
    <row r="190" spans="1:11" x14ac:dyDescent="0.3">
      <c r="A190" s="47">
        <v>189</v>
      </c>
      <c r="B190" t="s">
        <v>3907</v>
      </c>
      <c r="C190" t="s">
        <v>3908</v>
      </c>
      <c r="E190" t="s">
        <v>3909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3924</v>
      </c>
      <c r="C191" t="s">
        <v>3925</v>
      </c>
      <c r="E191" t="s">
        <v>3926</v>
      </c>
      <c r="F191" t="s">
        <v>976</v>
      </c>
      <c r="G191" t="s">
        <v>3927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3938</v>
      </c>
      <c r="C192" t="s">
        <v>3939</v>
      </c>
      <c r="E192" t="s">
        <v>3940</v>
      </c>
      <c r="F192" t="s">
        <v>963</v>
      </c>
      <c r="G192" t="s">
        <v>3941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3963</v>
      </c>
      <c r="C193" t="s">
        <v>3964</v>
      </c>
      <c r="E193" t="s">
        <v>3965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3995</v>
      </c>
      <c r="C194" t="s">
        <v>3996</v>
      </c>
      <c r="E194" t="s">
        <v>3997</v>
      </c>
      <c r="F194" t="s">
        <v>3998</v>
      </c>
      <c r="G194" t="s">
        <v>3999</v>
      </c>
      <c r="H194" s="194">
        <f>SUMIF(주문_리스트!C:C,거래처!B194,주문_리스트!K:K)+SUMIF(주문_리스트!C:C,거래처!B194,주문_리스트!L:L)</f>
        <v>0</v>
      </c>
      <c r="K194" t="s">
        <v>4019</v>
      </c>
    </row>
    <row r="195" spans="1:11" x14ac:dyDescent="0.3">
      <c r="A195" s="47">
        <v>195</v>
      </c>
      <c r="B195" t="s">
        <v>4054</v>
      </c>
      <c r="C195" t="s">
        <v>4055</v>
      </c>
      <c r="E195" t="s">
        <v>4056</v>
      </c>
      <c r="F195" t="s">
        <v>963</v>
      </c>
      <c r="G195" t="s">
        <v>4057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4058</v>
      </c>
      <c r="C196" t="s">
        <v>4059</v>
      </c>
      <c r="E196" t="s">
        <v>4060</v>
      </c>
      <c r="F196" t="s">
        <v>1180</v>
      </c>
      <c r="G196" t="s">
        <v>4061</v>
      </c>
      <c r="H196" s="194">
        <f>SUMIF(주문_리스트!C:C,거래처!B196,주문_리스트!K:K)+SUMIF(주문_리스트!C:C,거래처!B196,주문_리스트!L:L)</f>
        <v>0</v>
      </c>
      <c r="J196" t="s">
        <v>4151</v>
      </c>
    </row>
    <row r="197" spans="1:11" x14ac:dyDescent="0.3">
      <c r="A197" s="47">
        <v>197</v>
      </c>
      <c r="B197" t="s">
        <v>4083</v>
      </c>
      <c r="C197" t="s">
        <v>4084</v>
      </c>
      <c r="E197" t="s">
        <v>4085</v>
      </c>
      <c r="F197" t="s">
        <v>963</v>
      </c>
      <c r="G197" t="s">
        <v>4086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4102</v>
      </c>
      <c r="C198" t="s">
        <v>4103</v>
      </c>
      <c r="E198" t="s">
        <v>4104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4161</v>
      </c>
      <c r="C199" t="s">
        <v>4162</v>
      </c>
      <c r="E199" t="s">
        <v>4163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4212</v>
      </c>
      <c r="C200" t="s">
        <v>4213</v>
      </c>
      <c r="E200" t="s">
        <v>4214</v>
      </c>
      <c r="F200" t="s">
        <v>963</v>
      </c>
      <c r="G200" t="s">
        <v>4215</v>
      </c>
      <c r="H200" s="194">
        <f>SUMIF(주문_리스트!C:C,거래처!B200,주문_리스트!K:K)+SUMIF(주문_리스트!C:C,거래처!B200,주문_리스트!L:L)</f>
        <v>1500000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4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258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-54</v>
      </c>
      <c r="I8"/>
    </row>
    <row r="9" spans="1:11" x14ac:dyDescent="0.3">
      <c r="A9">
        <v>8</v>
      </c>
      <c r="B9">
        <v>2</v>
      </c>
      <c r="C9" s="288" t="s">
        <v>3843</v>
      </c>
      <c r="D9" s="288" t="s">
        <v>1140</v>
      </c>
      <c r="E9" s="288" t="s">
        <v>3843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3988</v>
      </c>
      <c r="D15" s="288" t="s">
        <v>1653</v>
      </c>
      <c r="E15" s="288" t="s">
        <v>3988</v>
      </c>
      <c r="F15" s="52">
        <v>1100000</v>
      </c>
      <c r="H15">
        <v>-7</v>
      </c>
      <c r="I15" s="52" t="s">
        <v>3663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-24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-10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-10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-90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-115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-34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-34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-38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-21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-34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-50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-50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-22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-48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4031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4032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-55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-74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-115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-13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-13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-21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4155</v>
      </c>
      <c r="D120" s="288" t="s">
        <v>4156</v>
      </c>
      <c r="E120" s="288" t="s">
        <v>4155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4153</v>
      </c>
      <c r="D121" s="288" t="s">
        <v>4154</v>
      </c>
      <c r="E121" s="288" t="s">
        <v>4153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-34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3844</v>
      </c>
      <c r="D139" s="288" t="s">
        <v>2684</v>
      </c>
      <c r="E139" s="288" t="s">
        <v>3844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3576</v>
      </c>
      <c r="D140" s="288" t="s">
        <v>2682</v>
      </c>
      <c r="E140" s="288" t="s">
        <v>3576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3989</v>
      </c>
      <c r="D145" s="288" t="s">
        <v>2210</v>
      </c>
      <c r="E145" s="288" t="s">
        <v>3989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3765</v>
      </c>
      <c r="D148" s="288" t="s">
        <v>2682</v>
      </c>
      <c r="E148" s="288" t="s">
        <v>3765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3577</v>
      </c>
      <c r="D152" s="288" t="s">
        <v>2517</v>
      </c>
      <c r="E152" s="288" t="s">
        <v>3577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4087</v>
      </c>
      <c r="D162" s="288" t="s">
        <v>2271</v>
      </c>
      <c r="E162" s="288" t="s">
        <v>4087</v>
      </c>
      <c r="F162" s="52">
        <v>80000</v>
      </c>
      <c r="G162" s="52">
        <v>45000</v>
      </c>
      <c r="H162">
        <v>-1</v>
      </c>
      <c r="I162" s="52" t="s">
        <v>4088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-12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-20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4052</v>
      </c>
      <c r="D201" s="288" t="s">
        <v>4053</v>
      </c>
      <c r="E201" s="288" t="s">
        <v>4052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3533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3567</v>
      </c>
      <c r="D216" s="288" t="s">
        <v>3568</v>
      </c>
      <c r="E216" s="288" t="s">
        <v>3567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3520</v>
      </c>
      <c r="D226" s="288" t="s">
        <v>3220</v>
      </c>
      <c r="E226" s="288" t="s">
        <v>3520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3546</v>
      </c>
      <c r="D227" s="288" t="s">
        <v>3547</v>
      </c>
      <c r="E227" s="288" t="s">
        <v>3546</v>
      </c>
    </row>
    <row r="228" spans="1:8" x14ac:dyDescent="0.3">
      <c r="A228">
        <v>227</v>
      </c>
      <c r="B228">
        <v>3</v>
      </c>
      <c r="D228" s="288" t="s">
        <v>3554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3569</v>
      </c>
      <c r="D229" s="288" t="s">
        <v>3570</v>
      </c>
      <c r="E229" s="288" t="s">
        <v>3569</v>
      </c>
      <c r="H229" s="52">
        <v>0</v>
      </c>
    </row>
    <row r="230" spans="1:8" x14ac:dyDescent="0.3">
      <c r="A230">
        <v>229</v>
      </c>
      <c r="B230">
        <v>3</v>
      </c>
      <c r="D230" s="288" t="s">
        <v>3581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3586</v>
      </c>
      <c r="D231" s="288" t="s">
        <v>3587</v>
      </c>
      <c r="E231" s="288" t="s">
        <v>3586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3589</v>
      </c>
      <c r="D232" s="288" t="s">
        <v>3590</v>
      </c>
      <c r="E232" s="288" t="s">
        <v>3589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3591</v>
      </c>
      <c r="D233" s="288" t="s">
        <v>3581</v>
      </c>
      <c r="E233" s="288" t="s">
        <v>3591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3592</v>
      </c>
      <c r="D234" s="288" t="s">
        <v>3593</v>
      </c>
      <c r="E234" s="288" t="s">
        <v>3592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3627</v>
      </c>
      <c r="D235" s="288" t="s">
        <v>3628</v>
      </c>
      <c r="E235" s="288" t="s">
        <v>3627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3824</v>
      </c>
      <c r="D236" s="288" t="s">
        <v>3825</v>
      </c>
      <c r="E236" s="288" t="s">
        <v>3824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3836</v>
      </c>
      <c r="D237" s="288" t="s">
        <v>3836</v>
      </c>
      <c r="E237" s="288" t="s">
        <v>3837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3850</v>
      </c>
      <c r="E238" s="288" t="s">
        <v>3851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3875</v>
      </c>
      <c r="D239" s="288" t="s">
        <v>3876</v>
      </c>
      <c r="E239" s="288" t="s">
        <v>3875</v>
      </c>
    </row>
    <row r="240" spans="1:8" x14ac:dyDescent="0.3">
      <c r="A240">
        <v>243</v>
      </c>
      <c r="B240">
        <v>4</v>
      </c>
      <c r="C240" s="288" t="s">
        <v>3917</v>
      </c>
      <c r="D240" s="288" t="s">
        <v>3918</v>
      </c>
      <c r="E240" s="288" t="s">
        <v>3917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3957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3981</v>
      </c>
      <c r="D245" s="288" t="s">
        <v>3982</v>
      </c>
      <c r="E245" s="288" t="s">
        <v>3981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4004</v>
      </c>
      <c r="D246" s="288" t="s">
        <v>2918</v>
      </c>
      <c r="E246" s="288" t="s">
        <v>4004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4007</v>
      </c>
      <c r="D247" s="288" t="s">
        <v>4008</v>
      </c>
      <c r="E247" s="288" t="s">
        <v>4007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4028</v>
      </c>
      <c r="D248" s="288" t="s">
        <v>4029</v>
      </c>
      <c r="E248" s="288" t="s">
        <v>4028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4046</v>
      </c>
      <c r="D249" s="288" t="s">
        <v>4047</v>
      </c>
      <c r="E249" s="288" t="s">
        <v>4046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4051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4107</v>
      </c>
      <c r="D251" s="288" t="s">
        <v>2918</v>
      </c>
      <c r="E251" s="288" t="s">
        <v>4107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4118</v>
      </c>
      <c r="D252" s="288" t="s">
        <v>4119</v>
      </c>
      <c r="E252" s="288" t="s">
        <v>4118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4180</v>
      </c>
      <c r="D253" s="288" t="s">
        <v>2383</v>
      </c>
      <c r="E253" s="288" t="s">
        <v>4180</v>
      </c>
      <c r="I253" s="52" t="s">
        <v>4181</v>
      </c>
    </row>
    <row r="254" spans="1:9" x14ac:dyDescent="0.3">
      <c r="A254">
        <v>257</v>
      </c>
      <c r="B254">
        <v>3</v>
      </c>
      <c r="C254" s="288" t="s">
        <v>4200</v>
      </c>
      <c r="D254" s="288" t="s">
        <v>3123</v>
      </c>
      <c r="E254" s="288" t="s">
        <v>4200</v>
      </c>
      <c r="F254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2025-11-10T00:26:39Z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